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Glasses\Work\Расчеты\"/>
    </mc:Choice>
  </mc:AlternateContent>
  <bookViews>
    <workbookView xWindow="28680" yWindow="-120" windowWidth="29040" windowHeight="15990" firstSheet="1" activeTab="6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8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O13" i="8" l="1"/>
  <c r="BP13" i="8"/>
  <c r="BQ13" i="8"/>
  <c r="BR13" i="8"/>
  <c r="BS13" i="8"/>
  <c r="BT13" i="8"/>
  <c r="BO14" i="8"/>
  <c r="BP14" i="8"/>
  <c r="BQ14" i="8"/>
  <c r="BR14" i="8"/>
  <c r="BS14" i="8"/>
  <c r="BT14" i="8"/>
  <c r="BO66" i="8" l="1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A32" i="8" s="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109" i="12" l="1"/>
  <c r="A64" i="8"/>
  <c r="G35" i="12"/>
  <c r="O35" i="12"/>
  <c r="W35" i="12"/>
  <c r="AE35" i="12"/>
  <c r="AM35" i="12"/>
  <c r="AU35" i="12"/>
  <c r="BC35" i="12"/>
  <c r="BK35" i="12"/>
  <c r="F35" i="12"/>
  <c r="V35" i="12"/>
  <c r="BR35" i="12"/>
  <c r="H35" i="12"/>
  <c r="P35" i="12"/>
  <c r="X35" i="12"/>
  <c r="AF35" i="12"/>
  <c r="AN35" i="12"/>
  <c r="AV35" i="12"/>
  <c r="BD35" i="12"/>
  <c r="BL35" i="12"/>
  <c r="BB35" i="12"/>
  <c r="I35" i="12"/>
  <c r="Q35" i="12"/>
  <c r="Y35" i="12"/>
  <c r="AG35" i="12"/>
  <c r="AO35" i="12"/>
  <c r="AW35" i="12"/>
  <c r="BE35" i="12"/>
  <c r="BM35" i="12"/>
  <c r="AL35" i="12"/>
  <c r="J35" i="12"/>
  <c r="R35" i="12"/>
  <c r="Z35" i="12"/>
  <c r="AH35" i="12"/>
  <c r="AP35" i="12"/>
  <c r="AX35" i="12"/>
  <c r="BF35" i="12"/>
  <c r="BN35" i="12"/>
  <c r="K35" i="12"/>
  <c r="S35" i="12"/>
  <c r="AA35" i="12"/>
  <c r="AI35" i="12"/>
  <c r="AQ35" i="12"/>
  <c r="AY35" i="12"/>
  <c r="BG35" i="12"/>
  <c r="BO35" i="12"/>
  <c r="AD35" i="12"/>
  <c r="L35" i="12"/>
  <c r="T35" i="12"/>
  <c r="AB35" i="12"/>
  <c r="AJ35" i="12"/>
  <c r="AR35" i="12"/>
  <c r="AZ35" i="12"/>
  <c r="BH35" i="12"/>
  <c r="BP35" i="12"/>
  <c r="N35" i="12"/>
  <c r="BJ35" i="12"/>
  <c r="M35" i="12"/>
  <c r="U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AT36" i="12"/>
  <c r="I36" i="12"/>
  <c r="Q36" i="12"/>
  <c r="Y36" i="12"/>
  <c r="AG36" i="12"/>
  <c r="AO36" i="12"/>
  <c r="AW36" i="12"/>
  <c r="BE36" i="12"/>
  <c r="BM36" i="12"/>
  <c r="N36" i="12"/>
  <c r="BJ36" i="12"/>
  <c r="J36" i="12"/>
  <c r="R36" i="12"/>
  <c r="Z36" i="12"/>
  <c r="AH36" i="12"/>
  <c r="AP36" i="12"/>
  <c r="AX36" i="12"/>
  <c r="BF36" i="12"/>
  <c r="BN36" i="12"/>
  <c r="BB36" i="12"/>
  <c r="K36" i="12"/>
  <c r="S36" i="12"/>
  <c r="AA36" i="12"/>
  <c r="AI36" i="12"/>
  <c r="AQ36" i="12"/>
  <c r="AY36" i="12"/>
  <c r="BG36" i="12"/>
  <c r="BO36" i="12"/>
  <c r="AD36" i="12"/>
  <c r="L36" i="12"/>
  <c r="T36" i="12"/>
  <c r="AB36" i="12"/>
  <c r="AJ36" i="12"/>
  <c r="AR36" i="12"/>
  <c r="AZ36" i="12"/>
  <c r="BH36" i="12"/>
  <c r="BP36" i="12"/>
  <c r="AL36" i="12"/>
  <c r="M36" i="12"/>
  <c r="U36" i="12"/>
  <c r="AC36" i="12"/>
  <c r="AK36" i="12"/>
  <c r="AS36" i="12"/>
  <c r="BA36" i="12"/>
  <c r="BI36" i="12"/>
  <c r="BQ36" i="12"/>
  <c r="V36" i="12"/>
  <c r="BR36" i="12"/>
  <c r="E83" i="12"/>
  <c r="A38" i="8"/>
  <c r="E91" i="12"/>
  <c r="A46" i="8"/>
  <c r="E99" i="12"/>
  <c r="A54" i="8"/>
  <c r="E107" i="12"/>
  <c r="A62" i="8"/>
  <c r="G37" i="12"/>
  <c r="O37" i="12"/>
  <c r="W37" i="12"/>
  <c r="AE37" i="12"/>
  <c r="AM37" i="12"/>
  <c r="AU37" i="12"/>
  <c r="BC37" i="12"/>
  <c r="BK37" i="12"/>
  <c r="N37" i="12"/>
  <c r="BJ37" i="12"/>
  <c r="H37" i="12"/>
  <c r="P37" i="12"/>
  <c r="X37" i="12"/>
  <c r="AF37" i="12"/>
  <c r="AN37" i="12"/>
  <c r="AV37" i="12"/>
  <c r="BD37" i="12"/>
  <c r="BL37" i="12"/>
  <c r="AL37" i="12"/>
  <c r="I37" i="12"/>
  <c r="Q37" i="12"/>
  <c r="Y37" i="12"/>
  <c r="AG37" i="12"/>
  <c r="AO37" i="12"/>
  <c r="AW37" i="12"/>
  <c r="BE37" i="12"/>
  <c r="BM37" i="12"/>
  <c r="F37" i="12"/>
  <c r="AT37" i="12"/>
  <c r="J37" i="12"/>
  <c r="R37" i="12"/>
  <c r="Z37" i="12"/>
  <c r="AH37" i="12"/>
  <c r="AP37" i="12"/>
  <c r="AX37" i="12"/>
  <c r="BF37" i="12"/>
  <c r="BN37" i="12"/>
  <c r="K37" i="12"/>
  <c r="S37" i="12"/>
  <c r="AA37" i="12"/>
  <c r="AI37" i="12"/>
  <c r="AQ37" i="12"/>
  <c r="AY37" i="12"/>
  <c r="BG37" i="12"/>
  <c r="BO37" i="12"/>
  <c r="V37" i="12"/>
  <c r="BR37" i="12"/>
  <c r="L37" i="12"/>
  <c r="T37" i="12"/>
  <c r="AB37" i="12"/>
  <c r="AJ37" i="12"/>
  <c r="AR37" i="12"/>
  <c r="AZ37" i="12"/>
  <c r="BH37" i="12"/>
  <c r="BP37" i="12"/>
  <c r="AD37" i="12"/>
  <c r="M37" i="12"/>
  <c r="U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 i="12"/>
  <c r="W34" i="12"/>
  <c r="AE34" i="12"/>
  <c r="AM34" i="12"/>
  <c r="AU34" i="12"/>
  <c r="BC34" i="12"/>
  <c r="BK34" i="12"/>
  <c r="AL34" i="12"/>
  <c r="H34" i="12"/>
  <c r="P34" i="12"/>
  <c r="X34" i="12"/>
  <c r="AF34" i="12"/>
  <c r="AN34" i="12"/>
  <c r="AV34" i="12"/>
  <c r="BD34" i="12"/>
  <c r="BL34" i="12"/>
  <c r="V34" i="12"/>
  <c r="BR34" i="12"/>
  <c r="I34" i="12"/>
  <c r="Q34" i="12"/>
  <c r="Y34" i="12"/>
  <c r="AG34" i="12"/>
  <c r="AO34" i="12"/>
  <c r="AW34" i="12"/>
  <c r="BE34" i="12"/>
  <c r="BM34" i="12"/>
  <c r="BB34" i="12"/>
  <c r="J34" i="12"/>
  <c r="R34" i="12"/>
  <c r="Z34" i="12"/>
  <c r="AH34" i="12"/>
  <c r="AP34" i="12"/>
  <c r="AX34" i="12"/>
  <c r="BF34" i="12"/>
  <c r="BN34" i="12"/>
  <c r="F34" i="12"/>
  <c r="BJ34" i="12"/>
  <c r="K34" i="12"/>
  <c r="S34" i="12"/>
  <c r="AA34" i="12"/>
  <c r="AI34" i="12"/>
  <c r="AQ34" i="12"/>
  <c r="AY34" i="12"/>
  <c r="BG34" i="12"/>
  <c r="BO34" i="12"/>
  <c r="AD34" i="12"/>
  <c r="L34" i="12"/>
  <c r="T34" i="12"/>
  <c r="AB34" i="12"/>
  <c r="AJ34" i="12"/>
  <c r="AR34" i="12"/>
  <c r="AZ34" i="12"/>
  <c r="BH34" i="12"/>
  <c r="BP34" i="12"/>
  <c r="N34" i="12"/>
  <c r="M34" i="12"/>
  <c r="U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8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88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90" i="11" l="1"/>
  <c r="F107" i="11"/>
  <c r="F89" i="11"/>
  <c r="F84" i="11"/>
  <c r="F91" i="11"/>
  <c r="F95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O41" i="12"/>
  <c r="BR41" i="12"/>
  <c r="M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I41" i="12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R41" i="12"/>
  <c r="AV41" i="12"/>
  <c r="BL72" i="12"/>
  <c r="BH61" i="8" s="1"/>
  <c r="BF41" i="12"/>
  <c r="W41" i="12"/>
  <c r="U41" i="12"/>
  <c r="AI41" i="12"/>
  <c r="G41" i="12"/>
  <c r="AW41" i="12"/>
  <c r="AP68" i="12"/>
  <c r="AL57" i="8" s="1"/>
  <c r="AW72" i="12"/>
  <c r="AS61" i="8" s="1"/>
  <c r="AJ41" i="12"/>
  <c r="H41" i="12"/>
  <c r="P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N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V41" i="12"/>
  <c r="BQ41" i="12"/>
  <c r="Z41" i="12"/>
  <c r="AO41" i="12"/>
  <c r="BD41" i="12"/>
  <c r="AL41" i="12"/>
  <c r="BB41" i="12"/>
  <c r="Y66" i="12"/>
  <c r="U55" i="8" s="1"/>
  <c r="BJ41" i="12"/>
  <c r="T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Y41" i="12"/>
  <c r="Q41" i="12"/>
  <c r="X41" i="12"/>
  <c r="BJ70" i="12"/>
  <c r="BF59" i="8" s="1"/>
  <c r="AX70" i="12"/>
  <c r="AT59" i="8" s="1"/>
  <c r="BA41" i="12"/>
  <c r="BH41" i="12"/>
  <c r="K41" i="12"/>
  <c r="J41" i="12"/>
  <c r="AF41" i="12"/>
  <c r="AU41" i="12"/>
  <c r="L41" i="12"/>
  <c r="S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Y116" i="4" s="1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R116" i="4" s="1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K116" i="4" s="1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BP116" i="4" s="1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J116" i="4" s="1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AU116" i="4" s="1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T114" i="4" s="1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B114" i="4" s="1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116" i="4" s="1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AC116" i="4" s="1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BA116" i="4" s="1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BN114" i="4" s="1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BI100" i="4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O101" i="4"/>
  <c r="O115" i="4" s="1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D115" i="4" s="1"/>
  <c r="AL101" i="4"/>
  <c r="AL115" i="4" s="1"/>
  <c r="AT101" i="4"/>
  <c r="BB101" i="4"/>
  <c r="BJ101" i="4"/>
  <c r="BJ115" i="4" s="1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AZ115" i="4" s="1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R116" i="4"/>
  <c r="BJ114" i="4"/>
  <c r="AT115" i="4"/>
  <c r="AM116" i="4"/>
  <c r="BC116" i="4"/>
  <c r="BC114" i="4"/>
  <c r="BK114" i="4"/>
  <c r="AN116" i="4"/>
  <c r="BD116" i="4"/>
  <c r="BL114" i="4"/>
  <c r="AW116" i="4"/>
  <c r="BM116" i="4"/>
  <c r="BF116" i="4"/>
  <c r="BN116" i="4"/>
  <c r="AX114" i="4"/>
  <c r="AP115" i="4"/>
  <c r="AY116" i="4"/>
  <c r="BG116" i="4"/>
  <c r="BO116" i="4"/>
  <c r="AR116" i="4"/>
  <c r="AZ116" i="4"/>
  <c r="BH116" i="4"/>
  <c r="BH114" i="4"/>
  <c r="BP114" i="4"/>
  <c r="BI116" i="4"/>
  <c r="AS116" i="4"/>
  <c r="AS115" i="4"/>
  <c r="BN115" i="4"/>
  <c r="AS114" i="4"/>
  <c r="AY115" i="4"/>
  <c r="BA115" i="4"/>
  <c r="BQ115" i="4"/>
  <c r="BB115" i="4"/>
  <c r="BC115" i="4"/>
  <c r="BL115" i="4"/>
  <c r="AE116" i="4"/>
  <c r="H116" i="4"/>
  <c r="P116" i="4"/>
  <c r="X116" i="4"/>
  <c r="AF116" i="4"/>
  <c r="H115" i="4"/>
  <c r="P115" i="4"/>
  <c r="X115" i="4"/>
  <c r="I116" i="4"/>
  <c r="Q116" i="4"/>
  <c r="AG116" i="4"/>
  <c r="J116" i="4"/>
  <c r="K115" i="4"/>
  <c r="AA115" i="4"/>
  <c r="L114" i="4"/>
  <c r="AB114" i="4"/>
  <c r="AB115" i="4"/>
  <c r="G115" i="4"/>
  <c r="U115" i="4"/>
  <c r="AG115" i="4"/>
  <c r="I115" i="4"/>
  <c r="AC114" i="4"/>
  <c r="J115" i="4"/>
  <c r="W115" i="4"/>
  <c r="AI115" i="4"/>
  <c r="AL116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A114" i="4" l="1"/>
  <c r="G114" i="4"/>
  <c r="W116" i="4"/>
  <c r="W118" i="4" s="1"/>
  <c r="L116" i="4"/>
  <c r="L119" i="4" s="1"/>
  <c r="S116" i="4"/>
  <c r="Z116" i="4"/>
  <c r="BK115" i="4"/>
  <c r="AR115" i="4"/>
  <c r="AR118" i="4" s="1"/>
  <c r="BG115" i="4"/>
  <c r="BG118" i="4" s="1"/>
  <c r="BI115" i="4"/>
  <c r="BI118" i="4" s="1"/>
  <c r="AL114" i="4"/>
  <c r="AL117" i="4" s="1"/>
  <c r="Z114" i="4"/>
  <c r="Z115" i="4"/>
  <c r="Y115" i="4"/>
  <c r="Y118" i="4" s="1"/>
  <c r="AN115" i="4"/>
  <c r="AN118" i="4" s="1"/>
  <c r="W114" i="4"/>
  <c r="BH115" i="4"/>
  <c r="BH118" i="4" s="1"/>
  <c r="AK116" i="4"/>
  <c r="BQ116" i="4"/>
  <c r="BQ118" i="4" s="1"/>
  <c r="P114" i="4"/>
  <c r="P119" i="4" s="1"/>
  <c r="BP115" i="4"/>
  <c r="BP118" i="4" s="1"/>
  <c r="BD114" i="4"/>
  <c r="BD119" i="4" s="1"/>
  <c r="V115" i="4"/>
  <c r="BE116" i="4"/>
  <c r="BE118" i="4" s="1"/>
  <c r="S114" i="4"/>
  <c r="U114" i="4"/>
  <c r="U119" i="4" s="1"/>
  <c r="AM115" i="4"/>
  <c r="AM118" i="4" s="1"/>
  <c r="H114" i="4"/>
  <c r="H117" i="4" s="1"/>
  <c r="T115" i="4"/>
  <c r="J114" i="4"/>
  <c r="J119" i="4" s="1"/>
  <c r="AV115" i="4"/>
  <c r="BO115" i="4"/>
  <c r="BO118" i="4" s="1"/>
  <c r="AC115" i="4"/>
  <c r="AC118" i="4" s="1"/>
  <c r="M115" i="4"/>
  <c r="BE114" i="4"/>
  <c r="AK115" i="4"/>
  <c r="AH115" i="4"/>
  <c r="AM114" i="4"/>
  <c r="N114" i="4"/>
  <c r="AR114" i="4"/>
  <c r="G116" i="4"/>
  <c r="V116" i="4"/>
  <c r="AB116" i="4"/>
  <c r="AB117" i="4" s="1"/>
  <c r="AI116" i="4"/>
  <c r="AI118" i="4" s="1"/>
  <c r="AP116" i="4"/>
  <c r="AP118" i="4" s="1"/>
  <c r="S115" i="4"/>
  <c r="AT114" i="4"/>
  <c r="AT119" i="4" s="1"/>
  <c r="AH114" i="4"/>
  <c r="AQ114" i="4"/>
  <c r="AD116" i="4"/>
  <c r="AD118" i="4" s="1"/>
  <c r="R114" i="4"/>
  <c r="R117" i="4" s="1"/>
  <c r="AE114" i="4"/>
  <c r="AE117" i="4" s="1"/>
  <c r="AK114" i="4"/>
  <c r="AS119" i="4"/>
  <c r="M116" i="4"/>
  <c r="Q115" i="4"/>
  <c r="Q118" i="4" s="1"/>
  <c r="AV114" i="4"/>
  <c r="AI114" i="4"/>
  <c r="AU115" i="4"/>
  <c r="AU118" i="4" s="1"/>
  <c r="AU114" i="4"/>
  <c r="K114" i="4"/>
  <c r="K119" i="4" s="1"/>
  <c r="BF114" i="4"/>
  <c r="BF119" i="4" s="1"/>
  <c r="V114" i="4"/>
  <c r="BQ114" i="4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8" i="4" s="1"/>
  <c r="BM114" i="4"/>
  <c r="BM117" i="4" s="1"/>
  <c r="AF115" i="4"/>
  <c r="AF118" i="4" s="1"/>
  <c r="BR115" i="4"/>
  <c r="BR118" i="4" s="1"/>
  <c r="BK116" i="4"/>
  <c r="BK117" i="4" s="1"/>
  <c r="T116" i="4"/>
  <c r="BJ118" i="4"/>
  <c r="BC119" i="4"/>
  <c r="BJ119" i="4"/>
  <c r="BB119" i="4"/>
  <c r="BN119" i="4"/>
  <c r="BO114" i="4"/>
  <c r="R115" i="4"/>
  <c r="BM115" i="4"/>
  <c r="BM118" i="4" s="1"/>
  <c r="AP114" i="4"/>
  <c r="M114" i="4"/>
  <c r="AO114" i="4"/>
  <c r="AF114" i="4"/>
  <c r="Q114" i="4"/>
  <c r="AA116" i="4"/>
  <c r="AH116" i="4"/>
  <c r="AO116" i="4"/>
  <c r="AO118" i="4" s="1"/>
  <c r="I114" i="4"/>
  <c r="I119" i="4" s="1"/>
  <c r="AD114" i="4"/>
  <c r="AN114" i="4"/>
  <c r="O114" i="4"/>
  <c r="AY114" i="4"/>
  <c r="AY119" i="4" s="1"/>
  <c r="Y114" i="4"/>
  <c r="BG114" i="4"/>
  <c r="AJ114" i="4"/>
  <c r="AW114" i="4"/>
  <c r="AW119" i="4" s="1"/>
  <c r="AE115" i="4"/>
  <c r="BI114" i="4"/>
  <c r="AV116" i="4"/>
  <c r="BR114" i="4"/>
  <c r="AG114" i="4"/>
  <c r="AG119" i="4" s="1"/>
  <c r="X114" i="4"/>
  <c r="X119" i="4" s="1"/>
  <c r="BA114" i="4"/>
  <c r="BA119" i="4" s="1"/>
  <c r="N116" i="4"/>
  <c r="BA118" i="4"/>
  <c r="AY118" i="4"/>
  <c r="BF118" i="4"/>
  <c r="AS118" i="4"/>
  <c r="AS117" i="4"/>
  <c r="AW118" i="4"/>
  <c r="BD118" i="4"/>
  <c r="BC118" i="4"/>
  <c r="BC117" i="4"/>
  <c r="BP117" i="4"/>
  <c r="BJ117" i="4"/>
  <c r="BH117" i="4"/>
  <c r="BB117" i="4"/>
  <c r="BB118" i="4"/>
  <c r="AZ118" i="4"/>
  <c r="BN118" i="4"/>
  <c r="BN117" i="4"/>
  <c r="AT118" i="4"/>
  <c r="J118" i="4"/>
  <c r="U118" i="4"/>
  <c r="AC117" i="4"/>
  <c r="X118" i="4"/>
  <c r="P118" i="4"/>
  <c r="K118" i="4"/>
  <c r="AG118" i="4"/>
  <c r="H118" i="4"/>
  <c r="AL118" i="4"/>
  <c r="I118" i="4"/>
  <c r="F115" i="4"/>
  <c r="F116" i="4"/>
  <c r="F114" i="4"/>
  <c r="AR119" i="4" l="1"/>
  <c r="BP119" i="4"/>
  <c r="S117" i="4"/>
  <c r="L117" i="4"/>
  <c r="W119" i="4"/>
  <c r="L118" i="4"/>
  <c r="BG119" i="4"/>
  <c r="AA119" i="4"/>
  <c r="BI119" i="4"/>
  <c r="W117" i="4"/>
  <c r="S118" i="4"/>
  <c r="Y119" i="4"/>
  <c r="Z119" i="4"/>
  <c r="G117" i="4"/>
  <c r="Z118" i="4"/>
  <c r="AL119" i="4"/>
  <c r="Z117" i="4"/>
  <c r="AN119" i="4"/>
  <c r="BQ119" i="4"/>
  <c r="AB119" i="4"/>
  <c r="AP119" i="4"/>
  <c r="BH119" i="4"/>
  <c r="G119" i="4"/>
  <c r="AC119" i="4"/>
  <c r="AM119" i="4"/>
  <c r="BO119" i="4"/>
  <c r="BE119" i="4"/>
  <c r="AK119" i="4"/>
  <c r="AB118" i="4"/>
  <c r="H119" i="4"/>
  <c r="S119" i="4"/>
  <c r="P117" i="4"/>
  <c r="U117" i="4"/>
  <c r="G118" i="4"/>
  <c r="BD117" i="4"/>
  <c r="J117" i="4"/>
  <c r="AK118" i="4"/>
  <c r="AK117" i="4"/>
  <c r="AR117" i="4"/>
  <c r="BE117" i="4"/>
  <c r="T118" i="4"/>
  <c r="V118" i="4"/>
  <c r="N117" i="4"/>
  <c r="AT117" i="4"/>
  <c r="AM117" i="4"/>
  <c r="AI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<sst xmlns="http://schemas.openxmlformats.org/spreadsheetml/2006/main" count="3145" uniqueCount="1455">
  <si>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</si>
  <si>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</si>
  <si>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</si>
  <si>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</si>
  <si>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</si>
  <si>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</si>
  <si>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</si>
  <si>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</si>
  <si>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</si>
  <si>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</si>
  <si>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</si>
  <si>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</si>
  <si>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</si>
  <si>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</si>
  <si>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</si>
  <si>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</si>
  <si>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</si>
  <si>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</si>
  <si>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</si>
  <si>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</si>
  <si>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</si>
  <si>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</si>
  <si>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</si>
  <si>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</si>
  <si>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</si>
  <si>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</si>
  <si>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</si>
  <si>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</si>
  <si>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</si>
  <si>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</si>
  <si>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</si>
  <si>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</si>
  <si>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</si>
  <si>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</si>
  <si>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</si>
  <si>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</si>
  <si>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</si>
  <si>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</si>
  <si>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</si>
  <si>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</si>
  <si>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</si>
  <si>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</si>
  <si>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</si>
  <si>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</si>
  <si>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</si>
  <si>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</si>
  <si>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</si>
  <si>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</si>
  <si>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</si>
  <si>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p(Ge)</t>
  </si>
  <si>
    <t>Vapor</t>
  </si>
  <si>
    <t>Solution #1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</si>
  <si>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</si>
  <si>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</si>
  <si>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</si>
  <si>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</si>
  <si>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</si>
  <si>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</si>
  <si>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p(Ga)</t>
  </si>
  <si>
    <t>(l)GaSe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</si>
  <si>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</si>
  <si>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</si>
  <si>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</si>
  <si>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</si>
  <si>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</si>
  <si>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</si>
  <si>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(l)GeSe</t>
    </r>
    <r>
      <rPr>
        <vertAlign val="subscript"/>
        <sz val="7.5"/>
        <rFont val="Arial"/>
        <family val="2"/>
        <charset val="204"/>
      </rPr>
      <t>2</t>
    </r>
  </si>
  <si>
    <t>273.1</t>
  </si>
  <si>
    <t>Se?</t>
  </si>
  <si>
    <t>(l)Se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</si>
  <si>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</si>
  <si>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</si>
  <si>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t>339.2</t>
  </si>
  <si>
    <t>405.3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</si>
  <si>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</si>
  <si>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</si>
  <si>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</si>
  <si>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</si>
  <si>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</si>
  <si>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</si>
  <si>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</si>
  <si>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</si>
  <si>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</si>
  <si>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</si>
  <si>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</si>
  <si>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</si>
  <si>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967</t>
  </si>
  <si>
    <t>983.5</t>
  </si>
  <si>
    <t>1000</t>
  </si>
  <si>
    <t>(2)GeSe[l]</t>
  </si>
  <si>
    <t>(l)Ga2Se3</t>
  </si>
  <si>
    <t>(2)Ga2Se3[l]</t>
  </si>
  <si>
    <t>*Ga2Se3[l]</t>
  </si>
  <si>
    <t>Se8</t>
  </si>
  <si>
    <t>Se6</t>
  </si>
  <si>
    <t>Se5</t>
  </si>
  <si>
    <t>Se4</t>
  </si>
  <si>
    <t>Se3</t>
  </si>
  <si>
    <t>Se2</t>
  </si>
  <si>
    <t>(l)GeSe2</t>
  </si>
  <si>
    <t>(l)Ga2Se3[l]</t>
  </si>
  <si>
    <t>(1)GeSe[l]</t>
  </si>
  <si>
    <t>GeSe</t>
  </si>
  <si>
    <t>686.1</t>
  </si>
  <si>
    <t>702.7</t>
  </si>
  <si>
    <t>719.2</t>
  </si>
  <si>
    <t>(DGaEU</t>
  </si>
  <si>
    <t>(DGeSeEU</t>
  </si>
  <si>
    <t>B(Ge)</t>
  </si>
  <si>
    <t>B(Se)</t>
  </si>
  <si>
    <t>(l)Ge[l]</t>
  </si>
  <si>
    <t>*GeSe2</t>
  </si>
  <si>
    <t>*Ga2Se3</t>
  </si>
  <si>
    <t>(1)Ga[l]</t>
  </si>
  <si>
    <t>1</t>
  </si>
  <si>
    <t>(2)Se[l]</t>
  </si>
  <si>
    <t>884.4</t>
  </si>
  <si>
    <t>900.9</t>
  </si>
  <si>
    <t>917.4</t>
  </si>
  <si>
    <t>(l)Ga[l]</t>
  </si>
  <si>
    <t>(1)Se[l]</t>
  </si>
  <si>
    <t>temp</t>
  </si>
  <si>
    <r>
      <t>Se</t>
    </r>
    <r>
      <rPr>
        <vertAlign val="subscript"/>
        <sz val="6.5"/>
        <rFont val="Arial"/>
        <family val="2"/>
        <charset val="204"/>
      </rPr>
      <t>4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</si>
  <si>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</si>
  <si>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</si>
  <si>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t>pres</t>
  </si>
  <si>
    <t>(1)se[l]</t>
  </si>
  <si>
    <r>
      <t>Se</t>
    </r>
    <r>
      <rPr>
        <vertAlign val="subscript"/>
        <sz val="7.5"/>
        <rFont val="Arial"/>
        <family val="2"/>
        <charset val="204"/>
      </rPr>
      <t>7</t>
    </r>
  </si>
  <si>
    <t>0.00006+00</t>
  </si>
  <si>
    <t>9.2046е-10</t>
  </si>
  <si>
    <t>2.0000е-01</t>
  </si>
  <si>
    <t>8.0003е-02</t>
  </si>
  <si>
    <t>7.9997е-02</t>
  </si>
  <si>
    <t>4.4135е-07</t>
  </si>
  <si>
    <t>7.9998е-02</t>
  </si>
  <si>
    <t>4.2906е-06</t>
  </si>
  <si>
    <t>1.5520е-09</t>
  </si>
  <si>
    <t>289.7</t>
  </si>
  <si>
    <t>0.0000е+00</t>
  </si>
  <si>
    <t>9.4001е-10</t>
  </si>
  <si>
    <t>2.5050е-34</t>
  </si>
  <si>
    <t>2.00006-01</t>
  </si>
  <si>
    <t>8.0005е-02</t>
  </si>
  <si>
    <t>7.9995е-02</t>
  </si>
  <si>
    <t>8.1932е-07</t>
  </si>
  <si>
    <t>7.9996е-02</t>
  </si>
  <si>
    <t>7.6752е-06</t>
  </si>
  <si>
    <t>4.7318е-09</t>
  </si>
  <si>
    <t>0.0000Б+00</t>
  </si>
  <si>
    <t>306.2</t>
  </si>
  <si>
    <t>9.1349е-10</t>
  </si>
  <si>
    <t>4.6302е-32</t>
  </si>
  <si>
    <t>8.0008е-02</t>
  </si>
  <si>
    <t>7.9991е-02</t>
  </si>
  <si>
    <t>1.4207е-06</t>
  </si>
  <si>
    <t>7.9994е-02</t>
  </si>
  <si>
    <t>1.2904е-05</t>
  </si>
  <si>
    <t>1.2801е-08</t>
  </si>
  <si>
    <t>322.7</t>
  </si>
  <si>
    <t>6.7372е-10</t>
  </si>
  <si>
    <t>5.0065е-30</t>
  </si>
  <si>
    <t>8.0013е-02</t>
  </si>
  <si>
    <t>7.9985е-02</t>
  </si>
  <si>
    <t>2.3261е-06</t>
  </si>
  <si>
    <t>7.9990е-02</t>
  </si>
  <si>
    <t>2.0586е-05</t>
  </si>
  <si>
    <t>3.1290е-08</t>
  </si>
  <si>
    <t>1.8184е-10</t>
  </si>
  <si>
    <t>3.4234е-28</t>
  </si>
  <si>
    <t>8.0019е-02</t>
  </si>
  <si>
    <t>7.9977е-02</t>
  </si>
  <si>
    <t>3.6271е-06</t>
  </si>
  <si>
    <t>7.9984е-02</t>
  </si>
  <si>
    <t>3.1403е-05</t>
  </si>
  <si>
    <t>7.0133е-08</t>
  </si>
  <si>
    <t>1.5866е-09</t>
  </si>
  <si>
    <t>2.1583е-33</t>
  </si>
  <si>
    <t>6.0399е-24</t>
  </si>
  <si>
    <t>2.9931е-31</t>
  </si>
  <si>
    <t>8.0243е-02</t>
  </si>
  <si>
    <t>7.9664е-02</t>
  </si>
  <si>
    <t>9.2255е-05</t>
  </si>
  <si>
    <t>7.9849е-02</t>
  </si>
  <si>
    <t>3.0250е-04</t>
  </si>
  <si>
    <t>1.4749е-07</t>
  </si>
  <si>
    <t>8.1039е-12</t>
  </si>
  <si>
    <t>2.6514е-36</t>
  </si>
  <si>
    <t>1.0958е-31</t>
  </si>
  <si>
    <t>7.4665е-28</t>
  </si>
  <si>
    <t>2.4808е-25</t>
  </si>
  <si>
    <t>1.8451е-24</t>
  </si>
  <si>
    <t>6.9337е-22</t>
  </si>
  <si>
    <t>8.4094е-16</t>
  </si>
  <si>
    <t>3.4562е-24</t>
  </si>
  <si>
    <t>7.9955е-02</t>
  </si>
  <si>
    <t>8.0043е-02</t>
  </si>
  <si>
    <t>2.6779е-06</t>
  </si>
  <si>
    <t>7.9959е-02</t>
  </si>
  <si>
    <t>8.2695е-05</t>
  </si>
  <si>
    <t>8.9468е-05</t>
  </si>
  <si>
    <t>1.1125е-34</t>
  </si>
  <si>
    <t>5.5731е-33</t>
  </si>
  <si>
    <t>1.5401е-12</t>
  </si>
  <si>
    <t>2.7540е-28</t>
  </si>
  <si>
    <t>1.5557е-24</t>
  </si>
  <si>
    <t>1.3923е-21</t>
  </si>
  <si>
    <t>1.5097е-19</t>
  </si>
  <si>
    <t>2.6992е-19</t>
  </si>
  <si>
    <t>2.7281е-17</t>
  </si>
  <si>
    <t>2.2245е-12</t>
  </si>
  <si>
    <t>3.2049е-20</t>
  </si>
  <si>
    <t>7.9510е-02</t>
  </si>
  <si>
    <t>8.0486е-02</t>
  </si>
  <si>
    <t>4.1879е-06</t>
  </si>
  <si>
    <t>7.9926е-02</t>
  </si>
  <si>
    <t>1.4874е-04</t>
  </si>
  <si>
    <t>5.6857е-04</t>
  </si>
  <si>
    <t>1.2302е-28</t>
  </si>
  <si>
    <t>1.8057е-27</t>
  </si>
  <si>
    <t>3.9105е-12</t>
  </si>
  <si>
    <t>6.2720е-22</t>
  </si>
  <si>
    <t>7.2585е-19</t>
  </si>
  <si>
    <t>1.2903е-16</t>
  </si>
  <si>
    <t>5.6547е-15</t>
  </si>
  <si>
    <t>3.2155е-15</t>
  </si>
  <si>
    <t>1.1306е-13</t>
  </si>
  <si>
    <t>1.0995е-09</t>
  </si>
  <si>
    <t>4.1280е-17</t>
  </si>
  <si>
    <t>7.7444е-02</t>
  </si>
  <si>
    <t>8.2550е-02</t>
  </si>
  <si>
    <t>5.8393е-06</t>
  </si>
  <si>
    <t>7.9883е-02</t>
  </si>
  <si>
    <t>2.3303е-04</t>
  </si>
  <si>
    <t>2.6779е-03</t>
  </si>
  <si>
    <t>7.7312е-23</t>
  </si>
  <si>
    <t>4.2701е-22</t>
  </si>
  <si>
    <t>2.4175е-11</t>
  </si>
  <si>
    <t>5.0860е-17</t>
  </si>
  <si>
    <t>1.7388е-14</t>
  </si>
  <si>
    <t>8.9078е-13</t>
  </si>
  <si>
    <t>1.9892е-11</t>
  </si>
  <si>
    <t>4.7528е-12</t>
  </si>
  <si>
    <t>7.5549е-11</t>
  </si>
  <si>
    <t>1.4195е-07</t>
  </si>
  <si>
    <t>1.2227е-14</t>
  </si>
  <si>
    <t>7.1088е-02</t>
  </si>
  <si>
    <t>8.8903е-02</t>
  </si>
  <si>
    <t>8.4314е-06</t>
  </si>
  <si>
    <t>7.9827е-02</t>
  </si>
  <si>
    <t>3.4695е-04</t>
  </si>
  <si>
    <t>9.0932е-03</t>
  </si>
  <si>
    <t>5.3846е-17</t>
  </si>
  <si>
    <t>1.4779е-16</t>
  </si>
  <si>
    <t>1.5212е-18</t>
  </si>
  <si>
    <t>9.82206-11</t>
  </si>
  <si>
    <t>1.5975е-13</t>
  </si>
  <si>
    <t>2.3345е-11</t>
  </si>
  <si>
    <t>5.0095е-10</t>
  </si>
  <si>
    <t>7.4773е-09</t>
  </si>
  <si>
    <t>1.0190е-09</t>
  </si>
  <si>
    <t>9.8189е-09</t>
  </si>
  <si>
    <t>5.6079е-06</t>
  </si>
  <si>
    <t>1.1181е-12</t>
  </si>
  <si>
    <t>5.8075е-02</t>
  </si>
  <si>
    <t>1.0191е-01</t>
  </si>
  <si>
    <t>1.4202е-05</t>
  </si>
  <si>
    <t>7.9737е-02</t>
  </si>
  <si>
    <t>5.2671е-04</t>
  </si>
  <si>
    <t>2.2191е-02</t>
  </si>
  <si>
    <t>5.0583е-10</t>
  </si>
  <si>
    <t>9.4883е-10</t>
  </si>
  <si>
    <t>3.6706е-18</t>
  </si>
  <si>
    <t>2.9710е-13</t>
  </si>
  <si>
    <t>7.4620е-13</t>
  </si>
  <si>
    <t>9.3094е-11</t>
  </si>
  <si>
    <t>1.6979е-09</t>
  </si>
  <si>
    <t>2.3899е-08</t>
  </si>
  <si>
    <t>2.9648е-09</t>
  </si>
  <si>
    <t>2.6363е-08</t>
  </si>
  <si>
    <t>1.1927е-05</t>
  </si>
  <si>
    <t>2.9604е-12</t>
  </si>
  <si>
    <t>5.3895е-02</t>
  </si>
  <si>
    <t>1.0609е-01</t>
  </si>
  <si>
    <t>1.6599е-05</t>
  </si>
  <si>
    <t>7.9706е-02</t>
  </si>
  <si>
    <t>5.8838е-04</t>
  </si>
  <si>
    <t>2.6392е-02</t>
  </si>
  <si>
    <t>1.5217е-09</t>
  </si>
  <si>
    <t>2.7179е-09</t>
  </si>
  <si>
    <t>1.9780е-20</t>
  </si>
  <si>
    <t>2.1817е-21</t>
  </si>
  <si>
    <t>2.9420е-12</t>
  </si>
  <si>
    <t>3.1955е-10</t>
  </si>
  <si>
    <t>5.0522е-09</t>
  </si>
  <si>
    <t>6.8099е-08</t>
  </si>
  <si>
    <t>7.8207е-09</t>
  </si>
  <si>
    <t>6.5224е-08</t>
  </si>
  <si>
    <t>2.3925е-05</t>
  </si>
  <si>
    <t>7.4203е-12</t>
  </si>
  <si>
    <t>4.9487е-02</t>
  </si>
  <si>
    <t>1.1049е-01</t>
  </si>
  <si>
    <t>1.9554е-05</t>
  </si>
  <si>
    <t>7.9671е-02</t>
  </si>
  <si>
    <t>6.5877е-04</t>
  </si>
  <si>
    <t>3.0813е-02</t>
  </si>
  <si>
    <t>8.6530е-09</t>
  </si>
  <si>
    <t>1.4948е-08</t>
  </si>
  <si>
    <t>5.0917е-18</t>
  </si>
  <si>
    <t>1.4427е-28</t>
  </si>
  <si>
    <t>1.1721е-11</t>
  </si>
  <si>
    <t>1.1054е-09</t>
  </si>
  <si>
    <t>1.5110е-08</t>
  </si>
  <si>
    <t>1.9371е-07</t>
  </si>
  <si>
    <t>2.0483е-08</t>
  </si>
  <si>
    <t>1.5928е-07</t>
  </si>
  <si>
    <t>4.7395е-05</t>
  </si>
  <si>
    <t>1.8048е-11</t>
  </si>
  <si>
    <t>4.3950е-02</t>
  </si>
  <si>
    <t>1.1011е-01</t>
  </si>
  <si>
    <t>2.1731е-05</t>
  </si>
  <si>
    <t>6.3641е-02</t>
  </si>
  <si>
    <t>6.2400е-04</t>
  </si>
  <si>
    <t>3.2893е-02</t>
  </si>
  <si>
    <t>3.3940е-03</t>
  </si>
  <si>
    <t>5.9157е-03</t>
  </si>
  <si>
    <t>4.5623е-09</t>
  </si>
  <si>
    <t>2.4265е-10</t>
  </si>
  <si>
    <t>6.2080е-11</t>
  </si>
  <si>
    <t>4.8982е-09</t>
  </si>
  <si>
    <t>5.5802е-08</t>
  </si>
  <si>
    <t>6.5322е-07</t>
  </si>
  <si>
    <t>6.1140е-08</t>
  </si>
  <si>
    <t>4.2595е-07</t>
  </si>
  <si>
    <t>9.9396е-05</t>
  </si>
  <si>
    <t>4.4173е-11</t>
  </si>
  <si>
    <t>3.4953е-02</t>
  </si>
  <si>
    <t>9.3988е-02</t>
  </si>
  <si>
    <t>1.9722е-05</t>
  </si>
  <si>
    <t>2.3368е-02</t>
  </si>
  <si>
    <t>3.4455е-04</t>
  </si>
  <si>
    <t>2.8348е-02</t>
  </si>
  <si>
    <t>1.6687е-02</t>
  </si>
  <si>
    <t>3.1039е-02</t>
  </si>
  <si>
    <t>1.7478е-19</t>
  </si>
  <si>
    <t>2.7718е-09</t>
  </si>
  <si>
    <t>1.5157е-07</t>
  </si>
  <si>
    <t>1.1798е-06</t>
  </si>
  <si>
    <t>1.3134е-05</t>
  </si>
  <si>
    <t>1.0445е-06</t>
  </si>
  <si>
    <t>6.4610е-06</t>
  </si>
  <si>
    <t>8.2898е-04</t>
  </si>
  <si>
    <t>8.5472е-10</t>
  </si>
  <si>
    <t>5.3997е-03</t>
  </si>
  <si>
    <t>2.5477е-02</t>
  </si>
  <si>
    <t>8.7902е-06</t>
  </si>
  <si>
    <t>4.5891е-04</t>
  </si>
  <si>
    <t>3.3998е-05</t>
  </si>
  <si>
    <t>9.2442е-03</t>
  </si>
  <si>
    <t>6.3626е-02</t>
  </si>
  <si>
    <t>1.2911е-01</t>
  </si>
  <si>
    <t>1.4269е-33</t>
  </si>
  <si>
    <t>4.5598е-09</t>
  </si>
  <si>
    <t>2.4010е-07</t>
  </si>
  <si>
    <t>1.7939е-06</t>
  </si>
  <si>
    <t>2.0659е-05</t>
  </si>
  <si>
    <t>1.6568е-06</t>
  </si>
  <si>
    <t>1.0438е-05</t>
  </si>
  <si>
    <t>1.2246е-03</t>
  </si>
  <si>
    <t>1.6003е-09</t>
  </si>
  <si>
    <t>1.1447е-04</t>
  </si>
  <si>
    <t>6.4619е-04</t>
  </si>
  <si>
    <t>2.6090е-07</t>
  </si>
  <si>
    <t>6.7964е-06</t>
  </si>
  <si>
    <t>7.3857е-07</t>
  </si>
  <si>
    <t>2.4490е-04</t>
  </si>
  <si>
    <t>7.7038е-02</t>
  </si>
  <si>
    <t>1.5924е-01</t>
  </si>
  <si>
    <t>3.4575е-30</t>
  </si>
  <si>
    <t>5.0339е-09</t>
  </si>
  <si>
    <t>2.6803е-07</t>
  </si>
  <si>
    <t>2.0186е-06</t>
  </si>
  <si>
    <t>2.5188е-05</t>
  </si>
  <si>
    <t>2.1353е-06</t>
  </si>
  <si>
    <t>1.4360е-05</t>
  </si>
  <si>
    <t>1.6210е-03</t>
  </si>
  <si>
    <t>2.7922е-09</t>
  </si>
  <si>
    <t>1.7116е-07</t>
  </si>
  <si>
    <t>1.2074е-06</t>
  </si>
  <si>
    <t>5.9459е-10</t>
  </si>
  <si>
    <t>9.2143е-09</t>
  </si>
  <si>
    <t>1.3805е-09</t>
  </si>
  <si>
    <t>4.8052е-07</t>
  </si>
  <si>
    <t>7.6566е-02</t>
  </si>
  <si>
    <t>1.6000е-01</t>
  </si>
  <si>
    <t>2.0528е-28</t>
  </si>
  <si>
    <t>1.4379е-17</t>
  </si>
  <si>
    <t>5.5153е-09</t>
  </si>
  <si>
    <t>3.1635е-07</t>
  </si>
  <si>
    <t>2.5376е-06</t>
  </si>
  <si>
    <t>4.3914е-05</t>
  </si>
  <si>
    <t>4.7182е-06</t>
  </si>
  <si>
    <t>4.1667е-05</t>
  </si>
  <si>
    <t>4.2351е-03</t>
  </si>
  <si>
    <t>2.0793е-08</t>
  </si>
  <si>
    <t>3.8237е-09</t>
  </si>
  <si>
    <t>6.4522е-08</t>
  </si>
  <si>
    <t>6.7739е-11</t>
  </si>
  <si>
    <t>1.6323е-10</t>
  </si>
  <si>
    <t>7.7675е-11</t>
  </si>
  <si>
    <t>2.9723е-08</t>
  </si>
  <si>
    <t>7.1149е-02</t>
  </si>
  <si>
    <t>1.7638е-25</t>
  </si>
  <si>
    <t>9.5842е-17</t>
  </si>
  <si>
    <t>5.2212е-09</t>
  </si>
  <si>
    <t>3.0754е-07</t>
  </si>
  <si>
    <t>2.5267е-06</t>
  </si>
  <si>
    <t>4.7575е-05</t>
  </si>
  <si>
    <t>5.4478е-06</t>
  </si>
  <si>
    <t>5.1697е-05</t>
  </si>
  <si>
    <t>5.1815е-03</t>
  </si>
  <si>
    <t>3.2670е-08</t>
  </si>
  <si>
    <t>2.3484е-09</t>
  </si>
  <si>
    <t>4.9123е-08</t>
  </si>
  <si>
    <t>6.1870е-11</t>
  </si>
  <si>
    <t>9.7722е-11</t>
  </si>
  <si>
    <t>6.0438е-11</t>
  </si>
  <si>
    <t>2.3151е-08</t>
  </si>
  <si>
    <t>6.9205е-02</t>
  </si>
  <si>
    <t>1.0441е-23</t>
  </si>
  <si>
    <t>2.0561е-16</t>
  </si>
  <si>
    <t>4.7786е-09</t>
  </si>
  <si>
    <t>2.9007е-07</t>
  </si>
  <si>
    <t>2.4499е-06</t>
  </si>
  <si>
    <t>5.0276е-05</t>
  </si>
  <si>
    <t>6.1504е-06</t>
  </si>
  <si>
    <t>6.2847е-05</t>
  </si>
  <si>
    <t>6.2435е-03</t>
  </si>
  <si>
    <t>5.0379е-08</t>
  </si>
  <si>
    <t>1.0880е-09</t>
  </si>
  <si>
    <t>2.8199е-08</t>
  </si>
  <si>
    <t>4.2528е-11</t>
  </si>
  <si>
    <t>4.4675е-11</t>
  </si>
  <si>
    <t>3.5579е-11</t>
  </si>
  <si>
    <t>1.3518е-08</t>
  </si>
  <si>
    <t>6.7032е-02</t>
  </si>
  <si>
    <t>3.6404е-23</t>
  </si>
  <si>
    <t>5.3764е-09</t>
  </si>
  <si>
    <t>2.9041е-07</t>
  </si>
  <si>
    <t>2.2122е-06</t>
  </si>
  <si>
    <t>2.9932е-05</t>
  </si>
  <si>
    <t>2.6870е-06</t>
  </si>
  <si>
    <t>1.9314е-05</t>
  </si>
  <si>
    <t>2.1089е-03</t>
  </si>
  <si>
    <t>4.7598е-09</t>
  </si>
  <si>
    <t>4.4598е-08</t>
  </si>
  <si>
    <t>3.9239е-07</t>
  </si>
  <si>
    <t>2.3478е-10</t>
  </si>
  <si>
    <t>2.2203е-09</t>
  </si>
  <si>
    <t>4.5199е-10</t>
  </si>
  <si>
    <t>1.6324е-07</t>
  </si>
  <si>
    <t>7.5548е-02</t>
  </si>
  <si>
    <t>3.6769е-20</t>
  </si>
  <si>
    <t>5.5872е-09</t>
  </si>
  <si>
    <t>3.0698е-07</t>
  </si>
  <si>
    <t>2.3716е-06</t>
  </si>
  <si>
    <t>3.4804е-05</t>
  </si>
  <si>
    <t>3.3119е-06</t>
  </si>
  <si>
    <t>2.5464е-05</t>
  </si>
  <si>
    <t>2.7018е-03</t>
  </si>
  <si>
    <t>7.9418е-09</t>
  </si>
  <si>
    <t>1.7442е-08</t>
  </si>
  <si>
    <t>1.9097е-07</t>
  </si>
  <si>
    <t>1.3827е-10</t>
  </si>
  <si>
    <t>8.1414е-10</t>
  </si>
  <si>
    <t>2.2244е-10</t>
  </si>
  <si>
    <t>8.2639е-08</t>
  </si>
  <si>
    <t>7.4316е-02</t>
  </si>
  <si>
    <t>1.6490е-32</t>
  </si>
  <si>
    <t>9.3820е-19</t>
  </si>
  <si>
    <t>5.6384е-09</t>
  </si>
  <si>
    <t>3.1602е-07</t>
  </si>
  <si>
    <t>2.4837е-06</t>
  </si>
  <si>
    <t>3.9559е-05</t>
  </si>
  <si>
    <t>3.9963е-06</t>
  </si>
  <si>
    <t>3.2905е-05</t>
  </si>
  <si>
    <t>3.4088е-03</t>
  </si>
  <si>
    <t>1.2980е-08</t>
  </si>
  <si>
    <t>6.5613е-09</t>
  </si>
  <si>
    <t>8.9241е-08</t>
  </si>
  <si>
    <t>7.7915е-11</t>
  </si>
  <si>
    <t>2.9099е-10</t>
  </si>
  <si>
    <t>1.0549е-10</t>
  </si>
  <si>
    <t>3.9954е-08</t>
  </si>
  <si>
    <t>7.2853е-02</t>
  </si>
  <si>
    <t>H(Ar)</t>
  </si>
  <si>
    <t>Solution #2</t>
  </si>
  <si>
    <t>Convergencv</t>
  </si>
  <si>
    <r>
      <t>(DGeSe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</si>
  <si>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</si>
  <si>
    <r>
      <t>C2)Ga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</si>
  <si>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r>
      <t xml:space="preserve">Solution </t>
    </r>
    <r>
      <rPr>
        <sz val="6.5"/>
        <rFont val="Arial"/>
        <family val="2"/>
        <charset val="204"/>
      </rPr>
      <t>Й1</t>
    </r>
  </si>
  <si>
    <t>-1.862е+01</t>
  </si>
  <si>
    <t>-6.547е+01</t>
  </si>
  <si>
    <t>-1.696е+01</t>
  </si>
  <si>
    <t>-2.395е+01</t>
  </si>
  <si>
    <t>2.4000е-01</t>
  </si>
  <si>
    <t>8.8436е-09</t>
  </si>
  <si>
    <t>-1.861е+01</t>
  </si>
  <si>
    <t>-6.200е+01</t>
  </si>
  <si>
    <t>-1.633е+01</t>
  </si>
  <si>
    <t>-2.283е+01</t>
  </si>
  <si>
    <t>8.9485е-09</t>
  </si>
  <si>
    <t>-5.891е+01</t>
  </si>
  <si>
    <t>-1.578е+01</t>
  </si>
  <si>
    <t>-2.183е+01</t>
  </si>
  <si>
    <t>2.4001е-01</t>
  </si>
  <si>
    <t>8.7042е-09</t>
  </si>
  <si>
    <t>-5.615е+01</t>
  </si>
  <si>
    <t>-1.529е+01</t>
  </si>
  <si>
    <t>-2.095е+01</t>
  </si>
  <si>
    <t>7.6278е-09</t>
  </si>
  <si>
    <t>-1.863е+01</t>
  </si>
  <si>
    <t>-5.366е+01</t>
  </si>
  <si>
    <t>-1.486е+01</t>
  </si>
  <si>
    <t>-2.015е+01</t>
  </si>
  <si>
    <t>2.4002е-01</t>
  </si>
  <si>
    <t>5.8054е-09</t>
  </si>
  <si>
    <t>-1.872е+01</t>
  </si>
  <si>
    <t>-4.305е+01</t>
  </si>
  <si>
    <t>-1.173е+01</t>
  </si>
  <si>
    <t>-1.952е+01</t>
  </si>
  <si>
    <t>2.4015е-01</t>
  </si>
  <si>
    <t>7.4511е-38</t>
  </si>
  <si>
    <t>6.6156е-09</t>
  </si>
  <si>
    <t>-1.884е+01</t>
  </si>
  <si>
    <t>-4.427е+01</t>
  </si>
  <si>
    <t>-1.540е+01</t>
  </si>
  <si>
    <t>-1.326е+01</t>
  </si>
  <si>
    <t>2.4013е-01</t>
  </si>
  <si>
    <t>3.1432е-31</t>
  </si>
  <si>
    <t>7.8413е-09</t>
  </si>
  <si>
    <t>9.7398е-32</t>
  </si>
  <si>
    <t>-1.897е+01</t>
  </si>
  <si>
    <t>-4.057е+01</t>
  </si>
  <si>
    <t>-1.511е+01</t>
  </si>
  <si>
    <t>-1.171е+01</t>
  </si>
  <si>
    <t>2.4064е-01</t>
  </si>
  <si>
    <t>5.1369е-26</t>
  </si>
  <si>
    <t>8.6750е-09</t>
  </si>
  <si>
    <t>1.4958е-24</t>
  </si>
  <si>
    <t>-1.911е+01</t>
  </si>
  <si>
    <t>-3.777е+01</t>
  </si>
  <si>
    <t>-1.495е+01</t>
  </si>
  <si>
    <t>-1.051е+01</t>
  </si>
  <si>
    <t>2.4279е-01</t>
  </si>
  <si>
    <t>6.9108е-21</t>
  </si>
  <si>
    <t>6.8367е-09</t>
  </si>
  <si>
    <t>1.17156-17</t>
  </si>
  <si>
    <t>-1.925е+01</t>
  </si>
  <si>
    <t>-3.548е+01</t>
  </si>
  <si>
    <t>-1.478е+01</t>
  </si>
  <si>
    <t>-9.637е+00</t>
  </si>
  <si>
    <t>2.4927е-01</t>
  </si>
  <si>
    <t>1.4528е-15</t>
  </si>
  <si>
    <t>3.4215е-09</t>
  </si>
  <si>
    <t>7.7800е-10</t>
  </si>
  <si>
    <t>-1.938е+01</t>
  </si>
  <si>
    <t>-3.343е+01</t>
  </si>
  <si>
    <t>-1.447е+01</t>
  </si>
  <si>
    <t>-9.094е+00</t>
  </si>
  <si>
    <t>2.0001е-01</t>
  </si>
  <si>
    <t>2.6245е-01</t>
  </si>
  <si>
    <t>5.8715е-09</t>
  </si>
  <si>
    <t>9.4984е-09</t>
  </si>
  <si>
    <t>3.6346е-09</t>
  </si>
  <si>
    <t>-1.942е+01</t>
  </si>
  <si>
    <t>-3.293е+01</t>
  </si>
  <si>
    <t>-1.437е+01</t>
  </si>
  <si>
    <t>-9.008е+00</t>
  </si>
  <si>
    <t>2.6669е-01</t>
  </si>
  <si>
    <t>1.5078е-08</t>
  </si>
  <si>
    <t>9.5442е-09</t>
  </si>
  <si>
    <t>3.1600е-08</t>
  </si>
  <si>
    <t>-1.945е+01</t>
  </si>
  <si>
    <t>-3.244е+01</t>
  </si>
  <si>
    <t>-1.426е+01</t>
  </si>
  <si>
    <t>-8.940е+00</t>
  </si>
  <si>
    <t>2.0002е-01</t>
  </si>
  <si>
    <t>2.7114е-01</t>
  </si>
  <si>
    <t>7.4593е-08</t>
  </si>
  <si>
    <t>8.8842е-09</t>
  </si>
  <si>
    <t>1.6047е-02</t>
  </si>
  <si>
    <t>-1.948е+01</t>
  </si>
  <si>
    <t>-3.205е+01</t>
  </si>
  <si>
    <t>-1.412е+01</t>
  </si>
  <si>
    <t>-8.867е+00</t>
  </si>
  <si>
    <t>2.0005е-01</t>
  </si>
  <si>
    <t>2.5123е-01</t>
  </si>
  <si>
    <t>2.5370е-02</t>
  </si>
  <si>
    <t>9.7048е-09</t>
  </si>
  <si>
    <t>5.6459е-02</t>
  </si>
  <si>
    <t>-1.951е+01</t>
  </si>
  <si>
    <t>-3.200е+01</t>
  </si>
  <si>
    <t>-1.393е+01</t>
  </si>
  <si>
    <t>-8.756е+00</t>
  </si>
  <si>
    <t>2.0010е-01</t>
  </si>
  <si>
    <t>1.8103е-01</t>
  </si>
  <si>
    <t>1.0418е-01</t>
  </si>
  <si>
    <t>8.9909е-09</t>
  </si>
  <si>
    <t>7.9524е-02</t>
  </si>
  <si>
    <t>-1.965е+01</t>
  </si>
  <si>
    <t>-3.144е+01</t>
  </si>
  <si>
    <t>-1.339е+01</t>
  </si>
  <si>
    <t>-8.644е+00</t>
  </si>
  <si>
    <t>2.0085е-01</t>
  </si>
  <si>
    <t>4.0644е-02</t>
  </si>
  <si>
    <t>2.7224е-01</t>
  </si>
  <si>
    <t>9.3994е-09</t>
  </si>
  <si>
    <t>7.9993е-02</t>
  </si>
  <si>
    <t>-1.968е+01</t>
  </si>
  <si>
    <t>-3.124е+01</t>
  </si>
  <si>
    <t>-1.328е+01</t>
  </si>
  <si>
    <t>-8.667е+00</t>
  </si>
  <si>
    <t>2.0126е-01</t>
  </si>
  <si>
    <t>1.0343е-03</t>
  </si>
  <si>
    <t>3.1625е-01</t>
  </si>
  <si>
    <t>2.4864е-07</t>
  </si>
  <si>
    <t>8.0000е-02</t>
  </si>
  <si>
    <t>-1.971е+01</t>
  </si>
  <si>
    <t>-3.091е+01</t>
  </si>
  <si>
    <t>-1.317е+01</t>
  </si>
  <si>
    <t>-8.737е+00</t>
  </si>
  <si>
    <t>2.0166е-01</t>
  </si>
  <si>
    <t>2.0465е-06</t>
  </si>
  <si>
    <t>3.1656е-01</t>
  </si>
  <si>
    <t>9.6956е-09</t>
  </si>
  <si>
    <t>-1.974е+01</t>
  </si>
  <si>
    <t>-3.058е+01</t>
  </si>
  <si>
    <t>-1.307е+01</t>
  </si>
  <si>
    <t>-8.810е+00</t>
  </si>
  <si>
    <t>2.0216е-01</t>
  </si>
  <si>
    <t>7.0318е-07</t>
  </si>
  <si>
    <t>3.1555е-01</t>
  </si>
  <si>
    <t>9.9212е-09</t>
  </si>
  <si>
    <t>-1.978е+01</t>
  </si>
  <si>
    <t>-3.025е+01</t>
  </si>
  <si>
    <t>-1.297е+01</t>
  </si>
  <si>
    <t>-8.884е+00</t>
  </si>
  <si>
    <t>2.0277е-01</t>
  </si>
  <si>
    <t>3.6089е-07</t>
  </si>
  <si>
    <t>3.1432е-01</t>
  </si>
  <si>
    <t>9.8623е-09</t>
  </si>
  <si>
    <t>-1.981е+01</t>
  </si>
  <si>
    <t>-2.993е+01</t>
  </si>
  <si>
    <t>-1.287е+01</t>
  </si>
  <si>
    <t>-8.960е+00</t>
  </si>
  <si>
    <t>2.0349е-01</t>
  </si>
  <si>
    <t>1.7737е-07</t>
  </si>
  <si>
    <t>3.1285е-01</t>
  </si>
  <si>
    <t>7.7614е-09</t>
  </si>
  <si>
    <t>-1.984е+01</t>
  </si>
  <si>
    <t>-2.962е+01</t>
  </si>
  <si>
    <t>-1.277е+01</t>
  </si>
  <si>
    <t>-9.038е+00</t>
  </si>
  <si>
    <t>2.0433е-01</t>
  </si>
  <si>
    <t>1.3453е-07</t>
  </si>
  <si>
    <t>3.1115е-01</t>
  </si>
  <si>
    <t>8.4792е-09</t>
  </si>
  <si>
    <t>-1.988е+01</t>
  </si>
  <si>
    <t>-2.930е+01</t>
  </si>
  <si>
    <t>-1.267е+01</t>
  </si>
  <si>
    <t>-9.118е+00</t>
  </si>
  <si>
    <t>2.0529е-01</t>
  </si>
  <si>
    <t>1.0718е-07</t>
  </si>
  <si>
    <t>3.0920е-01</t>
  </si>
  <si>
    <t>9.1054е-09</t>
  </si>
  <si>
    <t>-1.991е+01</t>
  </si>
  <si>
    <t>-2.899е+01</t>
  </si>
  <si>
    <t>-1.257е+01</t>
  </si>
  <si>
    <t>-9.201е+00</t>
  </si>
  <si>
    <t>2.0637е-01</t>
  </si>
  <si>
    <t>6.4229е-08</t>
  </si>
  <si>
    <t>3.0703е-01</t>
  </si>
  <si>
    <t>7.0326е-09</t>
  </si>
  <si>
    <t>(l)Se[l]</t>
  </si>
  <si>
    <t>B(Ar)</t>
  </si>
  <si>
    <t>B&lt;Ga)</t>
  </si>
  <si>
    <t>B&lt;Se)</t>
  </si>
  <si>
    <r>
      <t>(l)Ga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</si>
  <si>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7.4854е-09</t>
  </si>
  <si>
    <t>1.1202е-24</t>
  </si>
  <si>
    <t>1.4362е-21</t>
  </si>
  <si>
    <t>2.4485е-19</t>
  </si>
  <si>
    <t>9.3295е-21</t>
  </si>
  <si>
    <t>7.4467е-23</t>
  </si>
  <si>
    <t>2.3974е-26</t>
  </si>
  <si>
    <t>7.5160е-21</t>
  </si>
  <si>
    <t>-6.371е+01</t>
  </si>
  <si>
    <t>-2.836е+01</t>
  </si>
  <si>
    <t>-5.510е+00</t>
  </si>
  <si>
    <t>3.2000е-01</t>
  </si>
  <si>
    <t>6.8696е-09</t>
  </si>
  <si>
    <t>4.7218е-23</t>
  </si>
  <si>
    <t>4.3291е-20</t>
  </si>
  <si>
    <t>4.1544е-18</t>
  </si>
  <si>
    <t>1.8517е-19</t>
  </si>
  <si>
    <t>1.6729е-21</t>
  </si>
  <si>
    <t>1.5273е-24</t>
  </si>
  <si>
    <t>2.2711е-19</t>
  </si>
  <si>
    <t>-6.128е+01</t>
  </si>
  <si>
    <t>-2.699е+01</t>
  </si>
  <si>
    <t>-5.607е+00</t>
  </si>
  <si>
    <t>1.2807е-08</t>
  </si>
  <si>
    <t>1.2980е-21</t>
  </si>
  <si>
    <t>8.7932е-19</t>
  </si>
  <si>
    <t>5.0331е-17</t>
  </si>
  <si>
    <t>2.5688е-18</t>
  </si>
  <si>
    <t>2.5810е-20</t>
  </si>
  <si>
    <t>6.0983е-23</t>
  </si>
  <si>
    <t>4.7006е-18</t>
  </si>
  <si>
    <t>3.2833е-35</t>
  </si>
  <si>
    <t>-5.909е+01</t>
  </si>
  <si>
    <t>-2.577е+01</t>
  </si>
  <si>
    <t>-5.706е+00</t>
  </si>
  <si>
    <t>1.2091е-08</t>
  </si>
  <si>
    <t>2.4886е-20</t>
  </si>
  <si>
    <t>1.2808е-17</t>
  </si>
  <si>
    <t>4.5934е-16</t>
  </si>
  <si>
    <t>2.6374е-17</t>
  </si>
  <si>
    <t>2.9041е-19</t>
  </si>
  <si>
    <t>1.6414е-21</t>
  </si>
  <si>
    <t>7.0671е-17</t>
  </si>
  <si>
    <t>3.5508е-33</t>
  </si>
  <si>
    <t>-5.710е+01</t>
  </si>
  <si>
    <t>-2.469е+01</t>
  </si>
  <si>
    <t>-5.807е+00</t>
  </si>
  <si>
    <t>1.1528е-08</t>
  </si>
  <si>
    <t>3.5116е-19</t>
  </si>
  <si>
    <t>1.4063е-16</t>
  </si>
  <si>
    <t>3.2965е-15</t>
  </si>
  <si>
    <t>2.0977е-16</t>
  </si>
  <si>
    <t>2.5005е-18</t>
  </si>
  <si>
    <t>3.1579е-20</t>
  </si>
  <si>
    <t>8.0904е-16</t>
  </si>
  <si>
    <t>2.4232е-31</t>
  </si>
  <si>
    <t>-5.530е+01</t>
  </si>
  <si>
    <t>-2.373е+01</t>
  </si>
  <si>
    <t>-5.909е+00</t>
  </si>
  <si>
    <t>355.7</t>
  </si>
  <si>
    <t>1.1069е-08</t>
  </si>
  <si>
    <t>3.8099е-18</t>
  </si>
  <si>
    <t>1.2120е-15</t>
  </si>
  <si>
    <t>1.9262е-14</t>
  </si>
  <si>
    <t>1.3414е-15</t>
  </si>
  <si>
    <t>1.7129е-17</t>
  </si>
  <si>
    <t>4.5538е-19</t>
  </si>
  <si>
    <t>7.3282е-15</t>
  </si>
  <si>
    <t>1.1128е-29</t>
  </si>
  <si>
    <t>-1.865е+01</t>
  </si>
  <si>
    <t>-5.364е+01</t>
  </si>
  <si>
    <t>-2.286е+01</t>
  </si>
  <si>
    <t>-6.010е+00</t>
  </si>
  <si>
    <t>372.3</t>
  </si>
  <si>
    <t>1.0675е-08</t>
  </si>
  <si>
    <t>3.2943е-17</t>
  </si>
  <si>
    <t>8.4760е-15</t>
  </si>
  <si>
    <t>9.4282е-14</t>
  </si>
  <si>
    <t>7.1081е-15</t>
  </si>
  <si>
    <t>9.6383е-17</t>
  </si>
  <si>
    <t>5.1182е-18</t>
  </si>
  <si>
    <t>5.4200е-14</t>
  </si>
  <si>
    <t>3.6256е-28</t>
  </si>
  <si>
    <t>-1.867е+01</t>
  </si>
  <si>
    <t>-5.212е+01</t>
  </si>
  <si>
    <t>-2.207е+01</t>
  </si>
  <si>
    <t>-6.112е+00</t>
  </si>
  <si>
    <t>388.8</t>
  </si>
  <si>
    <t>1.0317е-08</t>
  </si>
  <si>
    <t>2.3384е-16</t>
  </si>
  <si>
    <t>4.9439е-14</t>
  </si>
  <si>
    <t>3.9579е-13</t>
  </si>
  <si>
    <t>3.2005е-14</t>
  </si>
  <si>
    <t>4.5733е-16</t>
  </si>
  <si>
    <t>4.6310е-17</t>
  </si>
  <si>
    <t>3.3599е-13</t>
  </si>
  <si>
    <t>8.7573е-27</t>
  </si>
  <si>
    <t>-1.869е+01</t>
  </si>
  <si>
    <t>-5.072е+01</t>
  </si>
  <si>
    <t>-2.136е+01</t>
  </si>
  <si>
    <t>-6.213е+00</t>
  </si>
  <si>
    <t>9.9748е-09</t>
  </si>
  <si>
    <t>1.3968е-15</t>
  </si>
  <si>
    <t>2.4609е-13</t>
  </si>
  <si>
    <t>1.4532е-12</t>
  </si>
  <si>
    <t>1.2503е-13</t>
  </si>
  <si>
    <t>1.8705е-15</t>
  </si>
  <si>
    <t>3.4656е-16</t>
  </si>
  <si>
    <t>1.7843е-12</t>
  </si>
  <si>
    <t>1.6268е-25</t>
  </si>
  <si>
    <t>-4.942е+01</t>
  </si>
  <si>
    <t>-2.071е+01</t>
  </si>
  <si>
    <t>-6.312е+00</t>
  </si>
  <si>
    <t>8.6568е-09</t>
  </si>
  <si>
    <t>4.5955e-13</t>
  </si>
  <si>
    <t>4.3649e-ll</t>
  </si>
  <si>
    <t>9.2806e-ll</t>
  </si>
  <si>
    <t>9.6219e-12</t>
  </si>
  <si>
    <t>1.6447e-13</t>
  </si>
  <si>
    <t>2.4445e-13</t>
  </si>
  <si>
    <t>4.1968e-10</t>
  </si>
  <si>
    <t>2.4416e-21</t>
  </si>
  <si>
    <t>2.0000e-01</t>
  </si>
  <si>
    <t>8.0000e-02</t>
  </si>
  <si>
    <t>1.6000e-01</t>
  </si>
  <si>
    <t>-1.884e+01</t>
  </si>
  <si>
    <t>-4.505e+01</t>
  </si>
  <si>
    <t>-1.862e+01</t>
  </si>
  <si>
    <t>-6.700e+00</t>
  </si>
  <si>
    <t>3.2000e-01</t>
  </si>
  <si>
    <t>7.6741e-09</t>
  </si>
  <si>
    <t>3.2079e-ll</t>
  </si>
  <si>
    <t>1.8733e-09</t>
  </si>
  <si>
    <t>1.8039e-09</t>
  </si>
  <si>
    <t>2.1045e-10</t>
  </si>
  <si>
    <t>3.8899e-12</t>
  </si>
  <si>
    <t>3.1053e-ll</t>
  </si>
  <si>
    <t>2.4251e-08</t>
  </si>
  <si>
    <t>3.3463e-18</t>
  </si>
  <si>
    <t>-1.897e+01</t>
  </si>
  <si>
    <t>-4.165e+01</t>
  </si>
  <si>
    <t>-1.711e+01</t>
  </si>
  <si>
    <t>-7.065e+00</t>
  </si>
  <si>
    <t>7.2913e-09</t>
  </si>
  <si>
    <t>8.0227e-10</t>
  </si>
  <si>
    <t>3.1532e-08</t>
  </si>
  <si>
    <t>1.6080e-08</t>
  </si>
  <si>
    <t>2.0217e-09</t>
  </si>
  <si>
    <t>3.9044e-ll</t>
  </si>
  <si>
    <t>1.2622e-09</t>
  </si>
  <si>
    <t>5.4919e-07</t>
  </si>
  <si>
    <t>9.2259e-16</t>
  </si>
  <si>
    <t>7.9999e-02</t>
  </si>
  <si>
    <t>-1.911e+01</t>
  </si>
  <si>
    <t>-3.890e+01</t>
  </si>
  <si>
    <t>-1.597e+01</t>
  </si>
  <si>
    <t>-7.408e+00</t>
  </si>
  <si>
    <t>7.9999е-02</t>
  </si>
  <si>
    <t>7.3028е-09</t>
  </si>
  <si>
    <t>9.8369e-09</t>
  </si>
  <si>
    <t>2.7769e-07</t>
  </si>
  <si>
    <t>8.3874e-08</t>
  </si>
  <si>
    <t>1.1043e-08</t>
  </si>
  <si>
    <t>2.1786e-10</t>
  </si>
  <si>
    <t>2.3183e-08</t>
  </si>
  <si>
    <t>6.4579e-06</t>
  </si>
  <si>
    <t>8.2471e-14</t>
  </si>
  <si>
    <t>7.9985e-02</t>
  </si>
  <si>
    <t>-1.925e+01</t>
  </si>
  <si>
    <t>-3.663e+01</t>
  </si>
  <si>
    <t>-1.509e+01</t>
  </si>
  <si>
    <t>-7.728e+00</t>
  </si>
  <si>
    <t>2.0001e-01</t>
  </si>
  <si>
    <t>3.1998e-01</t>
  </si>
  <si>
    <t>7.8324e-09</t>
  </si>
  <si>
    <t>7.2006e-08</t>
  </si>
  <si>
    <t>1.5318e-06</t>
  </si>
  <si>
    <t>2.9753e-07</t>
  </si>
  <si>
    <t>4.0198e-08</t>
  </si>
  <si>
    <t>7.9750e-10</t>
  </si>
  <si>
    <t>2.3932e-07</t>
  </si>
  <si>
    <t>4.7146e-05</t>
  </si>
  <si>
    <t>3.2424e-12</t>
  </si>
  <si>
    <t>7.9895e-02</t>
  </si>
  <si>
    <t>-1.938e+01</t>
  </si>
  <si>
    <t>-3.471e+01</t>
  </si>
  <si>
    <t>-1.440e+01</t>
  </si>
  <si>
    <t>-8.030e+00</t>
  </si>
  <si>
    <t>2.0005e-01</t>
  </si>
  <si>
    <t>3.1989e-01</t>
  </si>
  <si>
    <t>8.7259e-09</t>
  </si>
  <si>
    <t>3.5602e-07</t>
  </si>
  <si>
    <t>5.9075e-06</t>
  </si>
  <si>
    <t>7.8380e-07</t>
  </si>
  <si>
    <t>1.0685e-07</t>
  </si>
  <si>
    <t>2.1034e-09</t>
  </si>
  <si>
    <t>1.5970e-06</t>
  </si>
  <si>
    <t>2.3994e-04</t>
  </si>
  <si>
    <t>6.8656e-ll</t>
  </si>
  <si>
    <t>7.9479e-02</t>
  </si>
  <si>
    <t>-1.952e+01</t>
  </si>
  <si>
    <t>-3.305e+01</t>
  </si>
  <si>
    <t>-1.385e+01</t>
  </si>
  <si>
    <t>-8.316e+00</t>
  </si>
  <si>
    <t>2.0025e-01</t>
  </si>
  <si>
    <t>3.1948e-01</t>
  </si>
  <si>
    <t>818.3</t>
  </si>
  <si>
    <t>9.0510е-09</t>
  </si>
  <si>
    <t>5.0379е-07</t>
  </si>
  <si>
    <t>7.8858е-06</t>
  </si>
  <si>
    <t>9.5795е-07</t>
  </si>
  <si>
    <t>1.3053е-07</t>
  </si>
  <si>
    <t>2.5583е-09</t>
  </si>
  <si>
    <t>2.4237е-06</t>
  </si>
  <si>
    <t>3.4379е-04</t>
  </si>
  <si>
    <t>1.3602е-10</t>
  </si>
  <si>
    <t>7.9257е-02</t>
  </si>
  <si>
    <t>-1.955е+01</t>
  </si>
  <si>
    <t>-3.267е+01</t>
  </si>
  <si>
    <t>-1.372е+01</t>
  </si>
  <si>
    <t>-8.386е+00</t>
  </si>
  <si>
    <t>2.0036е-01</t>
  </si>
  <si>
    <t>3.1926е-01</t>
  </si>
  <si>
    <t>834.8</t>
  </si>
  <si>
    <t>9.4424е-09</t>
  </si>
  <si>
    <t>6.9905е-07</t>
  </si>
  <si>
    <t>1.0332е-05</t>
  </si>
  <si>
    <t>1.1517е-06</t>
  </si>
  <si>
    <t>1.5664е-07</t>
  </si>
  <si>
    <t>3.0533е-09</t>
  </si>
  <si>
    <t>3.6016е-06</t>
  </si>
  <si>
    <t>4.8420е-04</t>
  </si>
  <si>
    <t>2.6196е-10</t>
  </si>
  <si>
    <t>7.8958е-02</t>
  </si>
  <si>
    <t>-1.958е+01</t>
  </si>
  <si>
    <t>-3.230е+01</t>
  </si>
  <si>
    <t>-1.361е+01</t>
  </si>
  <si>
    <t>-8.456е+00</t>
  </si>
  <si>
    <t>2.0050е-01</t>
  </si>
  <si>
    <t>3.1896е-01</t>
  </si>
  <si>
    <t>851.3</t>
  </si>
  <si>
    <t>9.9194е-09</t>
  </si>
  <si>
    <t>9.5141е-07</t>
  </si>
  <si>
    <t>1.3288е-05</t>
  </si>
  <si>
    <t>1.3615е-06</t>
  </si>
  <si>
    <t>1.8457е-07</t>
  </si>
  <si>
    <t>3.5735е-09</t>
  </si>
  <si>
    <t>5.2436е-06</t>
  </si>
  <si>
    <t>6.7076е-04</t>
  </si>
  <si>
    <t>4.9119е-10</t>
  </si>
  <si>
    <t>7.8563е-02</t>
  </si>
  <si>
    <t>-1.961е+01</t>
  </si>
  <si>
    <t>-3.194е+01</t>
  </si>
  <si>
    <t>-1.349е+01</t>
  </si>
  <si>
    <t>-8.526е+00</t>
  </si>
  <si>
    <t>2.0069е-01</t>
  </si>
  <si>
    <t>3.1856е-01</t>
  </si>
  <si>
    <t>1.0508е-08</t>
  </si>
  <si>
    <t>1.2702е-06</t>
  </si>
  <si>
    <t>1.6770е-05</t>
  </si>
  <si>
    <t>1.5817е-06</t>
  </si>
  <si>
    <t>2.1337е-07</t>
  </si>
  <si>
    <t>4.0969е-09</t>
  </si>
  <si>
    <t>7.4827е-06</t>
  </si>
  <si>
    <t>9.1435е-04</t>
  </si>
  <si>
    <t>8.9785е-10</t>
  </si>
  <si>
    <t>7.8049е-02</t>
  </si>
  <si>
    <t>-3.159е+01</t>
  </si>
  <si>
    <t>-1.338е+01</t>
  </si>
  <si>
    <t>-8.596е+00</t>
  </si>
  <si>
    <t>2.0094е-01</t>
  </si>
  <si>
    <t>3.1805е-01</t>
  </si>
  <si>
    <t>1.1241е-08</t>
  </si>
  <si>
    <t>1.6632е-06</t>
  </si>
  <si>
    <t>2.0759е-05</t>
  </si>
  <si>
    <t>1.8043е-06</t>
  </si>
  <si>
    <t>2.4173е-07</t>
  </si>
  <si>
    <t>4.5951е-09</t>
  </si>
  <si>
    <t>1.0469е-05</t>
  </si>
  <si>
    <t>1.2269е-03</t>
  </si>
  <si>
    <t>1.6018е-09</t>
  </si>
  <si>
    <t>7.7392е-02</t>
  </si>
  <si>
    <t>-8.666е+00</t>
  </si>
  <si>
    <t>3.1739е-01</t>
  </si>
  <si>
    <t>1.2163е-08</t>
  </si>
  <si>
    <t>3.1657е-01</t>
  </si>
  <si>
    <t>1.3334е-08</t>
  </si>
  <si>
    <t>2.6870e-06</t>
  </si>
  <si>
    <t>2.9932e-05</t>
  </si>
  <si>
    <t>2.2122e-06</t>
  </si>
  <si>
    <t>2.9042e-07</t>
  </si>
  <si>
    <t>5.3764e-09</t>
  </si>
  <si>
    <t>1.9314e-05</t>
  </si>
  <si>
    <t>2.1089e-03</t>
  </si>
  <si>
    <t>4.7598e-09</t>
  </si>
  <si>
    <t>7.5548e-02</t>
  </si>
  <si>
    <t>-1.974e+01</t>
  </si>
  <si>
    <t>-3.058e+01</t>
  </si>
  <si>
    <t>-1.307e+01</t>
  </si>
  <si>
    <t>-8.810e+00</t>
  </si>
  <si>
    <t>2.0216e-01</t>
  </si>
  <si>
    <t>3.1555e-01</t>
  </si>
  <si>
    <t>7.5509e-09</t>
  </si>
  <si>
    <t>3.3119e-06</t>
  </si>
  <si>
    <t>3.4804e-05</t>
  </si>
  <si>
    <t>2.3716e-06</t>
  </si>
  <si>
    <t>3.0698e-07</t>
  </si>
  <si>
    <t>5.5872e-09</t>
  </si>
  <si>
    <t>2.5464e-05</t>
  </si>
  <si>
    <t>2.7018e-03</t>
  </si>
  <si>
    <t>7.9418e-09</t>
  </si>
  <si>
    <t>7.4316e-02</t>
  </si>
  <si>
    <t>-1.978e+01</t>
  </si>
  <si>
    <t>-3.025e+01</t>
  </si>
  <si>
    <t>-1.297e+01</t>
  </si>
  <si>
    <t>-8.884e+00</t>
  </si>
  <si>
    <t>2.0277e-01</t>
  </si>
  <si>
    <t>3.1432e-01</t>
  </si>
  <si>
    <t>8.5744e-09</t>
  </si>
  <si>
    <t>3.9963e-06</t>
  </si>
  <si>
    <t>3.9559e-05</t>
  </si>
  <si>
    <t>2.4837e-06</t>
  </si>
  <si>
    <t>3.1602e-07</t>
  </si>
  <si>
    <t>5.6384e-09</t>
  </si>
  <si>
    <t>3.2905e-05</t>
  </si>
  <si>
    <t>3.4088e-03</t>
  </si>
  <si>
    <t>1.2980e-08</t>
  </si>
  <si>
    <t>7.2853e-02</t>
  </si>
  <si>
    <t>-1.981e+01</t>
  </si>
  <si>
    <t>-2.993e+01</t>
  </si>
  <si>
    <t>-1.287e+01</t>
  </si>
  <si>
    <t>-8.960e+00</t>
  </si>
  <si>
    <t>2.0349e-01</t>
  </si>
  <si>
    <t>3.1285e-01</t>
  </si>
  <si>
    <t>9.9095е-09</t>
  </si>
  <si>
    <t>1.1667е-08</t>
  </si>
  <si>
    <t>1.3985е-08</t>
  </si>
  <si>
    <t>6.9378е-26</t>
  </si>
  <si>
    <t>1.1493е-25</t>
  </si>
  <si>
    <t>2.1386е-31</t>
  </si>
  <si>
    <t>4.1208е-19</t>
  </si>
  <si>
    <t>2.3150е-32</t>
  </si>
  <si>
    <t>3.4198е-28</t>
  </si>
  <si>
    <t>2.0885е-18</t>
  </si>
  <si>
    <t>4.9152е-23</t>
  </si>
  <si>
    <t>4.8869е-15</t>
  </si>
  <si>
    <t>5.1894е-28</t>
  </si>
  <si>
    <t>2.1120е-33</t>
  </si>
  <si>
    <t>5.9530е-24</t>
  </si>
  <si>
    <t>2.9715е-31</t>
  </si>
  <si>
    <t>3.9499е-30</t>
  </si>
  <si>
    <t>4.8919е-15</t>
  </si>
  <si>
    <t>1.0059е-19</t>
  </si>
  <si>
    <t>4.6366е-13</t>
  </si>
  <si>
    <t>2.6749е-36</t>
  </si>
  <si>
    <t>1.1043е-31</t>
  </si>
  <si>
    <t>7.5161е-28</t>
  </si>
  <si>
    <t>2.4945е-25</t>
  </si>
  <si>
    <t>6.7151е-25</t>
  </si>
  <si>
    <t>1.8533е-24</t>
  </si>
  <si>
    <t>6.9567е-22</t>
  </si>
  <si>
    <t>8.4280е-16</t>
  </si>
  <si>
    <t>3.4601е-24</t>
  </si>
  <si>
    <t>9.0084е-29</t>
  </si>
  <si>
    <t>4.9262е-13</t>
  </si>
  <si>
    <t>3.2816е-15</t>
  </si>
  <si>
    <t>3.8350е-12</t>
  </si>
  <si>
    <t>3.0363е-28</t>
  </si>
  <si>
    <t>1.6944е-24</t>
  </si>
  <si>
    <t>1.4980е-21</t>
  </si>
  <si>
    <t>1.6046е-19</t>
  </si>
  <si>
    <t>1.4416е-22</t>
  </si>
  <si>
    <t>2.8341е-19</t>
  </si>
  <si>
    <t>2.8298е-17</t>
  </si>
  <si>
    <t>2.2795е-12</t>
  </si>
  <si>
    <t>3.2442е-20</t>
  </si>
  <si>
    <t>2.0790е-25</t>
  </si>
  <si>
    <t>3.3044е-11</t>
  </si>
  <si>
    <t>1.8670е-33</t>
  </si>
  <si>
    <t>7.6219е-13</t>
  </si>
  <si>
    <t>3.1227е-11</t>
  </si>
  <si>
    <t>1.0452е-21</t>
  </si>
  <si>
    <t>1.1348е-18</t>
  </si>
  <si>
    <t>1.8925е-16</t>
  </si>
  <si>
    <t>7.7810е-15</t>
  </si>
  <si>
    <t>9.2847е-21</t>
  </si>
  <si>
    <t>4.1510е-15</t>
  </si>
  <si>
    <t>1.3693е-13</t>
  </si>
  <si>
    <t>1.2492е-09</t>
  </si>
  <si>
    <t>4.4001е-17</t>
  </si>
  <si>
    <t>6.4359е-24</t>
  </si>
  <si>
    <t>7.3104е-11</t>
  </si>
  <si>
    <t>5.5563е-31</t>
  </si>
  <si>
    <t>4.7968е-12</t>
  </si>
  <si>
    <t>4.6510е-33</t>
  </si>
  <si>
    <t>5.0581е-13</t>
  </si>
  <si>
    <t>3.0431е-16</t>
  </si>
  <si>
    <t>8.3191е-14</t>
  </si>
  <si>
    <t>3.4079е-12</t>
  </si>
  <si>
    <t>6.0852е-11</t>
  </si>
  <si>
    <t>2.5661е-19</t>
  </si>
  <si>
    <t>1.1626е-11</t>
  </si>
  <si>
    <t>1.4777е-10</t>
  </si>
  <si>
    <t>2.2201е-07</t>
  </si>
  <si>
    <t>1.5291е-14</t>
  </si>
  <si>
    <t>1.2988е-21</t>
  </si>
  <si>
    <t>1.9790е-09</t>
  </si>
  <si>
    <t>7.0713е-28</t>
  </si>
  <si>
    <t>3.2160е-10</t>
  </si>
  <si>
    <t>1.3832е-31</t>
  </si>
  <si>
    <t>3.9535е-14</t>
  </si>
  <si>
    <t>8.0001е-02</t>
  </si>
  <si>
    <t>5.2153е-15</t>
  </si>
  <si>
    <t>1.0426е-12</t>
  </si>
  <si>
    <t>3.1062е-11</t>
  </si>
  <si>
    <t>4.5725е-10</t>
  </si>
  <si>
    <t>5.3059е-19</t>
  </si>
  <si>
    <t>6.9022е-11</t>
  </si>
  <si>
    <t>7.0450е-10</t>
  </si>
  <si>
    <t>7.0592е-07</t>
  </si>
  <si>
    <t>5.5875е-14</t>
  </si>
  <si>
    <t>2.0427е-21</t>
  </si>
  <si>
    <t>2.0336е-09</t>
  </si>
  <si>
    <t>1.6738е-27</t>
  </si>
  <si>
    <t>4.0755е-10</t>
  </si>
  <si>
    <t>6.6211е-30</t>
  </si>
  <si>
    <t>7.3827е-16</t>
  </si>
  <si>
    <t>8.0004е-02</t>
  </si>
  <si>
    <t>8.0466е-14</t>
  </si>
  <si>
    <t>1.1893е-11</t>
  </si>
  <si>
    <t>2.6064е-10</t>
  </si>
  <si>
    <t>3.1799е-09</t>
  </si>
  <si>
    <t>1.0588е-18</t>
  </si>
  <si>
    <t>3.8205е-10</t>
  </si>
  <si>
    <t>3.1523е-09</t>
  </si>
  <si>
    <t>2.1402е-06</t>
  </si>
  <si>
    <t>1.9279е-13</t>
  </si>
  <si>
    <t>1.1504е-20</t>
  </si>
  <si>
    <t>7.6813е-09</t>
  </si>
  <si>
    <t>1.3937е-26</t>
  </si>
  <si>
    <t>1.8871е-09</t>
  </si>
  <si>
    <t>7.9987е-02</t>
  </si>
  <si>
    <t>2.4152е-33</t>
  </si>
  <si>
    <t>1.3440е-22</t>
  </si>
  <si>
    <t>1.1255е-12</t>
  </si>
  <si>
    <t>1.2427е-10</t>
  </si>
  <si>
    <t>2.0244е-09</t>
  </si>
  <si>
    <t>2.0574е-08</t>
  </si>
  <si>
    <t>2.0443е-18</t>
  </si>
  <si>
    <t>1.9809е-09</t>
  </si>
  <si>
    <t>1.3295е-08</t>
  </si>
  <si>
    <t>6.2068е-06</t>
  </si>
  <si>
    <t>6.3058е-13</t>
  </si>
  <si>
    <t>7.1849е-20</t>
  </si>
  <si>
    <t>3.2965е-08</t>
  </si>
  <si>
    <t>1.2657е-25</t>
  </si>
  <si>
    <t>9.8733е-09</t>
  </si>
  <si>
    <t>5.4728е-02</t>
  </si>
  <si>
    <t>7.6583е-03</t>
  </si>
  <si>
    <t>3.5888е-02</t>
  </si>
  <si>
    <t>1.4421е-11</t>
  </si>
  <si>
    <t>1.2004е-09</t>
  </si>
  <si>
    <t>1.4672е-08</t>
  </si>
  <si>
    <t>1.2473е-07</t>
  </si>
  <si>
    <t>3.8244е-18</t>
  </si>
  <si>
    <t>9.6823е-09</t>
  </si>
  <si>
    <t>5.3139е-08</t>
  </si>
  <si>
    <t>1.7287е-05</t>
  </si>
  <si>
    <t>1.9632е-12</t>
  </si>
  <si>
    <t>2.1454е-13</t>
  </si>
  <si>
    <t>6.9384е-02</t>
  </si>
  <si>
    <t>5.4249е-19</t>
  </si>
  <si>
    <t>2.5236е-02</t>
  </si>
  <si>
    <t>3.4264е-02</t>
  </si>
  <si>
    <t>4.4876е-15</t>
  </si>
  <si>
    <t>1.5517е-18</t>
  </si>
  <si>
    <t>2.6388е-15</t>
  </si>
  <si>
    <t>2.1467е-02</t>
  </si>
  <si>
    <t>1.6713е-10</t>
  </si>
  <si>
    <t>1.0602е-08</t>
  </si>
  <si>
    <t>9.8306е-08</t>
  </si>
  <si>
    <t>7.0354е-07</t>
  </si>
  <si>
    <t>6.9691е-18</t>
  </si>
  <si>
    <t>4.4375е-08</t>
  </si>
  <si>
    <t>2.0062е-07</t>
  </si>
  <si>
    <t>4.6148е-05</t>
  </si>
  <si>
    <t>5.8235е-12</t>
  </si>
  <si>
    <t>2.9600е-13</t>
  </si>
  <si>
    <t>1.0427е-01</t>
  </si>
  <si>
    <t>1.6052е-18</t>
  </si>
  <si>
    <t>4.5638е-02</t>
  </si>
  <si>
    <t>1.8522е-04</t>
  </si>
  <si>
    <t>5.7837е-03</t>
  </si>
  <si>
    <t>1.5417е-09</t>
  </si>
  <si>
    <t>7.6561е-08</t>
  </si>
  <si>
    <t>5.5342е-07</t>
  </si>
  <si>
    <t>3.4105е-06</t>
  </si>
  <si>
    <t>1.2322е-17</t>
  </si>
  <si>
    <t>1.7907е-07</t>
  </si>
  <si>
    <t>6.8280е-07</t>
  </si>
  <si>
    <t>1.1451е-04</t>
  </si>
  <si>
    <t>1.6238е-11</t>
  </si>
  <si>
    <t>3.9485е-13</t>
  </si>
  <si>
    <t>1.5403е-01</t>
  </si>
  <si>
    <t>4.6009е-18</t>
  </si>
  <si>
    <t>7.9562е-02</t>
  </si>
  <si>
    <t>7.9277е-22</t>
  </si>
  <si>
    <t>4.8008е-06</t>
  </si>
  <si>
    <t>1.6978е-09</t>
  </si>
  <si>
    <t>8.5965е-08</t>
  </si>
  <si>
    <t>6.3098е-07</t>
  </si>
  <si>
    <t>4.3432е-06</t>
  </si>
  <si>
    <t>2.0047е-17</t>
  </si>
  <si>
    <t>2.4659е-07</t>
  </si>
  <si>
    <t>1.0296е-06</t>
  </si>
  <si>
    <t>1.6450е-04</t>
  </si>
  <si>
    <t>3.3635е-11</t>
  </si>
  <si>
    <t>6.6498е-13</t>
  </si>
  <si>
    <t>1.1615е-17</t>
  </si>
  <si>
    <t>7.9641е-02</t>
  </si>
  <si>
    <t>6.6076е-24</t>
  </si>
  <si>
    <t>4.5431е-25</t>
  </si>
  <si>
    <t>7.5869е-07</t>
  </si>
  <si>
    <t>2.1034е-09</t>
  </si>
  <si>
    <t>1.0686е-07</t>
  </si>
  <si>
    <t>7.8381е-07</t>
  </si>
  <si>
    <t>5.9076е-06</t>
  </si>
  <si>
    <t>3.1372е-17</t>
  </si>
  <si>
    <t>3.5602е-07</t>
  </si>
  <si>
    <t>1.5970е-06</t>
  </si>
  <si>
    <t>2.3994е-04</t>
  </si>
  <si>
    <t>6.8657е-11</t>
  </si>
  <si>
    <t>1.0647е-12</t>
  </si>
  <si>
    <t>2.6781е-17</t>
  </si>
  <si>
    <t>7.9479е-02</t>
  </si>
  <si>
    <t>1.1243е-31</t>
  </si>
  <si>
    <t>2.2464е-16</t>
  </si>
  <si>
    <t>1.5536е-09</t>
  </si>
  <si>
    <t>1.7962е-08</t>
  </si>
  <si>
    <t>2.9042е-07</t>
  </si>
  <si>
    <t>4.5192е-16</t>
  </si>
  <si>
    <t>2.0439е-11</t>
  </si>
  <si>
    <t>4.0953е-15</t>
  </si>
  <si>
    <t>2.4191е-33</t>
  </si>
  <si>
    <t>9.2169е-16</t>
  </si>
  <si>
    <t>3.5764е-09</t>
  </si>
  <si>
    <t>9.2685е-09</t>
  </si>
  <si>
    <t>2.3717е-06</t>
  </si>
  <si>
    <t>6.2680е-16</t>
  </si>
  <si>
    <t>3.0054е-11</t>
  </si>
  <si>
    <t>7.6441е-15</t>
  </si>
  <si>
    <t>3.6832е-36</t>
  </si>
  <si>
    <t>9.8786е-16</t>
  </si>
  <si>
    <t>4.2394е-09</t>
  </si>
  <si>
    <t>2.8372е-09</t>
  </si>
  <si>
    <t>8.6001е-16</t>
  </si>
  <si>
    <t>4.3920е-11</t>
  </si>
  <si>
    <t>1.4004е-14</t>
  </si>
  <si>
    <t>4.2413е-15</t>
  </si>
  <si>
    <t>9.9709е-09</t>
  </si>
  <si>
    <t>1.9301е-09</t>
  </si>
  <si>
    <t>1.1681е-15</t>
  </si>
  <si>
    <t>6.3841е-11</t>
  </si>
  <si>
    <t>2.5214е-14</t>
  </si>
  <si>
    <t>4.7725е-15</t>
  </si>
  <si>
    <t>1.2154е-08</t>
  </si>
  <si>
    <t>6.9686е-10</t>
  </si>
  <si>
    <t>1.5716е-15</t>
  </si>
  <si>
    <t>9.2376е-11</t>
  </si>
  <si>
    <t>4.4675е-14</t>
  </si>
  <si>
    <t>5.4959е-15</t>
  </si>
  <si>
    <t>1.5018е-08</t>
  </si>
  <si>
    <t>2.6502е-10</t>
  </si>
  <si>
    <t>2.0955е-15</t>
  </si>
  <si>
    <t>1.3315е-10</t>
  </si>
  <si>
    <t>7.7985е-14</t>
  </si>
  <si>
    <t>(l)GeSe[l]</t>
  </si>
  <si>
    <t>H(Ga)</t>
  </si>
  <si>
    <t>B&lt;Ge)</t>
  </si>
  <si>
    <t>Convergency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</si>
  <si>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</si>
  <si>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</si>
  <si>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-6.492е+01</t>
  </si>
  <si>
    <t>-1.586е+01</t>
  </si>
  <si>
    <t>8.3558е-23</t>
  </si>
  <si>
    <t>6.7742е-10</t>
  </si>
  <si>
    <t>1.6382е-33</t>
  </si>
  <si>
    <t>-5.311е+01</t>
  </si>
  <si>
    <t>-1.376е+01</t>
  </si>
  <si>
    <t>2.9230е-16</t>
  </si>
  <si>
    <t>2.9825е-09</t>
  </si>
  <si>
    <t>3.5598е-25</t>
  </si>
  <si>
    <t>-4.249е+01</t>
  </si>
  <si>
    <t>-1.061е+01</t>
  </si>
  <si>
    <t>-1.953е+01</t>
  </si>
  <si>
    <t>2.1900е-13</t>
  </si>
  <si>
    <t>7.9713е-10</t>
  </si>
  <si>
    <t>9.3566е-20</t>
  </si>
  <si>
    <t>-4.373е+01</t>
  </si>
  <si>
    <t>-1.431е+01</t>
  </si>
  <si>
    <t>9.2376е-12</t>
  </si>
  <si>
    <t>6.8229е-10</t>
  </si>
  <si>
    <t>1.7949е-15</t>
  </si>
  <si>
    <t>-4.004е+01</t>
  </si>
  <si>
    <t>-1.403е+01</t>
  </si>
  <si>
    <t>-1.170е+01</t>
  </si>
  <si>
    <t>3.1407е-10</t>
  </si>
  <si>
    <t>4.4017е-09</t>
  </si>
  <si>
    <t>2.6464е-13</t>
  </si>
  <si>
    <t>-3.731е+01</t>
  </si>
  <si>
    <t>-1.394е+01</t>
  </si>
  <si>
    <t>-1.045е+01</t>
  </si>
  <si>
    <t>4.0223е-10</t>
  </si>
  <si>
    <t>2.5620е-09</t>
  </si>
  <si>
    <t>1.7471е-10</t>
  </si>
  <si>
    <t>-3.525е+01</t>
  </si>
  <si>
    <t>-1.397е+01</t>
  </si>
  <si>
    <t>-9.414е+00</t>
  </si>
  <si>
    <t>6.9389е-09</t>
  </si>
  <si>
    <t>8.4782е-09</t>
  </si>
  <si>
    <t>3.5343е-10</t>
  </si>
  <si>
    <t>-1.928е+01</t>
  </si>
  <si>
    <t>-3.481е+01</t>
  </si>
  <si>
    <t>-1.399е+01</t>
  </si>
  <si>
    <t>-9.180е+00</t>
  </si>
  <si>
    <t>6.4483е-09</t>
  </si>
  <si>
    <t>5.0245е-09</t>
  </si>
  <si>
    <t>2.5220е-09</t>
  </si>
  <si>
    <t>-1.932е+01</t>
  </si>
  <si>
    <t>-3.441е+01</t>
  </si>
  <si>
    <t>-1.402е+01</t>
  </si>
  <si>
    <t>-8.956е+00</t>
  </si>
  <si>
    <t>2.2119е-08</t>
  </si>
  <si>
    <t>8.6391е-09</t>
  </si>
  <si>
    <t>1.9682е-08</t>
  </si>
  <si>
    <t>-1.935е+01</t>
  </si>
  <si>
    <t>-3.403е+01</t>
  </si>
  <si>
    <t>-1.405е+01</t>
  </si>
  <si>
    <t>-8.740е+00</t>
  </si>
  <si>
    <t>8.6552е-08</t>
  </si>
  <si>
    <t>9.2947е-09</t>
  </si>
  <si>
    <t>7.2342е-02</t>
  </si>
  <si>
    <t>-3.368е+01</t>
  </si>
  <si>
    <t>-1.408е+01</t>
  </si>
  <si>
    <t>-8.531е+00</t>
  </si>
  <si>
    <t>1.6686е-01</t>
  </si>
  <si>
    <t>4.8159е-07</t>
  </si>
  <si>
    <t>-3.376е+01</t>
  </si>
  <si>
    <t>-8.332е+00</t>
  </si>
  <si>
    <t>2.2992е-01</t>
  </si>
  <si>
    <t>9.9971е-09</t>
  </si>
  <si>
    <t>-3.386е+01</t>
  </si>
  <si>
    <t>-1.415е+01</t>
  </si>
  <si>
    <t>-8.157е+00</t>
  </si>
  <si>
    <t>2.0012е-01</t>
  </si>
  <si>
    <t>3.1358е-01</t>
  </si>
  <si>
    <t>9.5249е-08</t>
  </si>
  <si>
    <t>-3.344е+01</t>
  </si>
  <si>
    <t>-1.398е+01</t>
  </si>
  <si>
    <t>-8.246е+00</t>
  </si>
  <si>
    <t>2.0017е-01</t>
  </si>
  <si>
    <t>3.1964е-01</t>
  </si>
  <si>
    <t>9.8735е-09</t>
  </si>
  <si>
    <t>-3.305е+01</t>
  </si>
  <si>
    <t>-1.385е+01</t>
  </si>
  <si>
    <t>-8.316е+00</t>
  </si>
  <si>
    <t>2.0025е-01</t>
  </si>
  <si>
    <t>3.1948е-01</t>
  </si>
  <si>
    <t>8.8303е-09</t>
  </si>
  <si>
    <t>1.5744e-16</t>
  </si>
  <si>
    <t>1.2702e-06</t>
  </si>
  <si>
    <t>7.4827e-06</t>
  </si>
  <si>
    <t>9.1436e-04</t>
  </si>
  <si>
    <t>8.9785e-10</t>
  </si>
  <si>
    <t>6.1342e-12</t>
  </si>
  <si>
    <t>5.5423e-16</t>
  </si>
  <si>
    <t>7.8049e-02</t>
  </si>
  <si>
    <t>-1.965e+01</t>
  </si>
  <si>
    <t>-3.159e+01</t>
  </si>
  <si>
    <t>-1.338e+01</t>
  </si>
  <si>
    <t>-8.596e+00</t>
  </si>
  <si>
    <t>2.0094e-01</t>
  </si>
  <si>
    <t>3.1805e-01</t>
  </si>
  <si>
    <t>8.0346e-09</t>
  </si>
  <si>
    <t>2.0759e-05</t>
  </si>
  <si>
    <t>2.2669e-16</t>
  </si>
  <si>
    <t>1.6632e-06</t>
  </si>
  <si>
    <t>1.0469e-05</t>
  </si>
  <si>
    <t>1.2269e-03</t>
  </si>
  <si>
    <t>1.6018e-09</t>
  </si>
  <si>
    <t>9.2428e-12</t>
  </si>
  <si>
    <t>1.1045e-15</t>
  </si>
  <si>
    <t>7.7392e-02</t>
  </si>
  <si>
    <t>-1.968e+01</t>
  </si>
  <si>
    <t>-3.124e+01</t>
  </si>
  <si>
    <t>-1.328e+01</t>
  </si>
  <si>
    <t>-8.666e+00</t>
  </si>
  <si>
    <t>2.0126e-01</t>
  </si>
  <si>
    <t>3.1739e-01</t>
  </si>
  <si>
    <t>6.7411e-09</t>
  </si>
  <si>
    <t>2.5188e-05</t>
  </si>
  <si>
    <t>3.2207e-16</t>
  </si>
  <si>
    <t>2.1353e-06</t>
  </si>
  <si>
    <t>1.4360e-05</t>
  </si>
  <si>
    <t>1.6210e-03</t>
  </si>
  <si>
    <t>2.7922e-09</t>
  </si>
  <si>
    <t>1.3801e-ll</t>
  </si>
  <si>
    <t>2.1501e-15</t>
  </si>
  <si>
    <t>7.6566e-02</t>
  </si>
  <si>
    <t>-1.971e+01</t>
  </si>
  <si>
    <t>-3.091e+01</t>
  </si>
  <si>
    <t>-1.317e+01</t>
  </si>
  <si>
    <t>-8.737e+00</t>
  </si>
  <si>
    <t>2.0166e-01</t>
  </si>
  <si>
    <t>3.1657e-01</t>
  </si>
  <si>
    <t>8.4382e-09</t>
  </si>
  <si>
    <t>9.2802е-09</t>
  </si>
  <si>
    <t>8.0250е-09</t>
  </si>
  <si>
    <t>5.0797е-09</t>
  </si>
  <si>
    <t>1.1681e-15</t>
  </si>
  <si>
    <t>4.7182e-06</t>
  </si>
  <si>
    <t>4.1667e-05</t>
  </si>
  <si>
    <t>4.2351e-03</t>
  </si>
  <si>
    <t>2.0793e-08</t>
  </si>
  <si>
    <t>6.3841e-ll</t>
  </si>
  <si>
    <t>2.5214e-14</t>
  </si>
  <si>
    <t>7.1149e-02</t>
  </si>
  <si>
    <t>-1.984e+01</t>
  </si>
  <si>
    <t>-2.962e+01</t>
  </si>
  <si>
    <t>-1.277e+01</t>
  </si>
  <si>
    <t>-9.038e+00</t>
  </si>
  <si>
    <t>2.0433e-01</t>
  </si>
  <si>
    <t>3.1115e-01</t>
  </si>
  <si>
    <t>8.5611e-09</t>
  </si>
  <si>
    <t>4.7575e-05</t>
  </si>
  <si>
    <t>1.5716e-15</t>
  </si>
  <si>
    <t>5.4478e-06</t>
  </si>
  <si>
    <t>5.1697e-05</t>
  </si>
  <si>
    <t>5.1815e-03</t>
  </si>
  <si>
    <t>3.2670e-08</t>
  </si>
  <si>
    <t>9.2376e-ll</t>
  </si>
  <si>
    <t>4.4675e-14</t>
  </si>
  <si>
    <t>6.9205e-02</t>
  </si>
  <si>
    <t>-1.988e+01</t>
  </si>
  <si>
    <t>-2.930e+01</t>
  </si>
  <si>
    <t>-1.267e+01</t>
  </si>
  <si>
    <t>-9.118e+00</t>
  </si>
  <si>
    <t>2.0529e-01</t>
  </si>
  <si>
    <t>3.0920e-01</t>
  </si>
  <si>
    <t>8.7929e-09</t>
  </si>
  <si>
    <t>5.0276e-05</t>
  </si>
  <si>
    <t>2.0955e-15</t>
  </si>
  <si>
    <t>6.1504e-06</t>
  </si>
  <si>
    <t>6.2847e-05</t>
  </si>
  <si>
    <t>6.2435e-03</t>
  </si>
  <si>
    <t>5.0379e-08</t>
  </si>
  <si>
    <t>1.3315e-10</t>
  </si>
  <si>
    <t>7.7985e-14</t>
  </si>
  <si>
    <t>6.7032e-02</t>
  </si>
  <si>
    <t>-1.991e+01</t>
  </si>
  <si>
    <t>-2.899e+01</t>
  </si>
  <si>
    <t>-1.257e+01</t>
  </si>
  <si>
    <t>-9.201e+00</t>
  </si>
  <si>
    <t>2.0637e-01</t>
  </si>
  <si>
    <t>3.0703e-01</t>
  </si>
  <si>
    <t>9.9221e-09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</si>
</sst>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6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vertAlign val="subscript"/>
      <sz val="6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217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2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3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5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6" fillId="0" borderId="0" xfId="0" applyNumberFormat="1" applyFont="1"/>
    <xf numFmtId="164" fontId="26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7" fillId="0" borderId="0" xfId="0" applyFont="1"/>
    <xf numFmtId="0" fontId="0" fillId="0" borderId="0" xfId="0"/>
    <xf numFmtId="0" fontId="2" fillId="4" borderId="0" xfId="5" applyAlignment="1">
      <alignment horizontal="left" vertical="center"/>
    </xf>
    <xf numFmtId="0" fontId="0" fillId="0" borderId="0" xfId="0"/>
    <xf numFmtId="0" fontId="28" fillId="0" borderId="0" xfId="10" applyNumberFormat="1" applyFont="1" applyFill="1" applyBorder="1" applyAlignment="1" applyProtection="1">
      <alignment vertical="top"/>
    </xf>
    <xf numFmtId="0" fontId="28" fillId="0" borderId="0" xfId="11" applyNumberFormat="1" applyFont="1" applyFill="1" applyBorder="1" applyAlignment="1" applyProtection="1">
      <alignment vertical="top"/>
    </xf>
    <xf numFmtId="11" fontId="21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30" fillId="0" borderId="0" xfId="11" applyNumberFormat="1" applyFont="1" applyFill="1" applyBorder="1" applyAlignment="1" applyProtection="1">
      <alignment vertical="top"/>
    </xf>
    <xf numFmtId="0" fontId="28" fillId="0" borderId="24" xfId="10" applyNumberFormat="1" applyFont="1" applyFill="1" applyBorder="1" applyAlignment="1" applyProtection="1">
      <alignment horizontal="center"/>
    </xf>
    <xf numFmtId="11" fontId="10" fillId="0" borderId="0" xfId="8" applyNumberFormat="1"/>
    <xf numFmtId="0" fontId="9" fillId="6" borderId="3" xfId="3" applyBorder="1">
      <alignment horizontal="left" vertical="center"/>
    </xf>
    <xf numFmtId="2" fontId="10" fillId="0" borderId="0" xfId="8" applyNumberFormat="1"/>
    <xf numFmtId="2" fontId="8" fillId="7" borderId="2" xfId="2" applyNumberFormat="1">
      <alignment horizontal="left" vertical="center"/>
    </xf>
    <xf numFmtId="0" fontId="0" fillId="0" borderId="0" xfId="0"/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30" fillId="0" borderId="0" xfId="10" applyNumberFormat="1" applyFont="1" applyFill="1" applyBorder="1" applyAlignment="1" applyProtection="1">
      <alignment vertical="top"/>
    </xf>
    <xf numFmtId="0" fontId="28" fillId="0" borderId="26" xfId="10" applyNumberFormat="1" applyFont="1" applyFill="1" applyBorder="1" applyAlignment="1" applyProtection="1">
      <alignment horizontal="justify" vertical="top"/>
    </xf>
    <xf numFmtId="0" fontId="28" fillId="0" borderId="31" xfId="10" applyNumberFormat="1" applyFont="1" applyFill="1" applyBorder="1" applyAlignment="1" applyProtection="1">
      <alignment horizontal="center" vertical="top"/>
    </xf>
    <xf numFmtId="0" fontId="28" fillId="0" borderId="31" xfId="10" applyNumberFormat="1" applyFont="1" applyFill="1" applyBorder="1" applyAlignment="1" applyProtection="1">
      <alignment horizontal="justify" vertical="top"/>
    </xf>
    <xf numFmtId="0" fontId="28" fillId="0" borderId="26" xfId="10" applyNumberFormat="1" applyFont="1" applyFill="1" applyBorder="1" applyAlignment="1" applyProtection="1">
      <alignment horizontal="justify"/>
    </xf>
    <xf numFmtId="0" fontId="28" fillId="0" borderId="31" xfId="10" applyNumberFormat="1" applyFont="1" applyFill="1" applyBorder="1" applyAlignment="1" applyProtection="1">
      <alignment horizontal="center"/>
    </xf>
    <xf numFmtId="0" fontId="21" fillId="0" borderId="0" xfId="11" applyNumberFormat="1" applyFont="1" applyFill="1" applyBorder="1" applyAlignment="1" applyProtection="1">
      <alignment vertical="top"/>
    </xf>
    <xf numFmtId="0" fontId="28" fillId="0" borderId="26" xfId="11" applyNumberFormat="1" applyFont="1" applyFill="1" applyBorder="1" applyAlignment="1" applyProtection="1">
      <alignment horizontal="left" indent="3"/>
    </xf>
    <xf numFmtId="0" fontId="28" fillId="0" borderId="31" xfId="11" applyNumberFormat="1" applyFont="1" applyFill="1" applyBorder="1" applyAlignment="1" applyProtection="1">
      <alignment horizontal="center"/>
    </xf>
    <xf numFmtId="0" fontId="28" fillId="0" borderId="35" xfId="11" applyNumberFormat="1" applyFont="1" applyFill="1" applyBorder="1" applyAlignment="1" applyProtection="1">
      <alignment horizontal="right"/>
    </xf>
    <xf numFmtId="0" fontId="28" fillId="0" borderId="36" xfId="11" applyNumberFormat="1" applyFont="1" applyFill="1" applyBorder="1" applyAlignment="1" applyProtection="1">
      <alignment horizontal="left" vertical="top" indent="5"/>
    </xf>
    <xf numFmtId="0" fontId="28" fillId="0" borderId="10" xfId="11" applyNumberFormat="1" applyFont="1" applyFill="1" applyBorder="1" applyAlignment="1" applyProtection="1">
      <alignment horizontal="justify" vertical="top" indent="5"/>
    </xf>
    <xf numFmtId="0" fontId="28" fillId="0" borderId="11" xfId="11" applyNumberFormat="1" applyFont="1" applyFill="1" applyBorder="1" applyAlignment="1" applyProtection="1">
      <alignment horizontal="right" vertical="top"/>
    </xf>
    <xf numFmtId="0" fontId="28" fillId="0" borderId="34" xfId="11" applyNumberFormat="1" applyFont="1" applyFill="1" applyBorder="1" applyAlignment="1" applyProtection="1">
      <alignment horizontal="justify"/>
    </xf>
    <xf numFmtId="0" fontId="28" fillId="0" borderId="24" xfId="11" applyNumberFormat="1" applyFont="1" applyFill="1" applyBorder="1" applyAlignment="1" applyProtection="1">
      <alignment horizontal="center"/>
    </xf>
    <xf numFmtId="0" fontId="28" fillId="0" borderId="25" xfId="11" applyNumberFormat="1" applyFont="1" applyFill="1" applyBorder="1" applyAlignment="1" applyProtection="1">
      <alignment horizontal="justify"/>
    </xf>
    <xf numFmtId="0" fontId="28" fillId="0" borderId="26" xfId="11" applyNumberFormat="1" applyFont="1" applyFill="1" applyBorder="1" applyAlignment="1" applyProtection="1">
      <alignment horizontal="justify" vertical="top"/>
    </xf>
    <xf numFmtId="0" fontId="28" fillId="0" borderId="31" xfId="11" applyNumberFormat="1" applyFont="1" applyFill="1" applyBorder="1" applyAlignment="1" applyProtection="1">
      <alignment horizontal="center" vertical="top"/>
    </xf>
    <xf numFmtId="0" fontId="28" fillId="0" borderId="35" xfId="11" applyNumberFormat="1" applyFont="1" applyFill="1" applyBorder="1" applyAlignment="1" applyProtection="1">
      <alignment horizontal="justify" vertical="top"/>
    </xf>
    <xf numFmtId="0" fontId="28" fillId="0" borderId="31" xfId="11" applyNumberFormat="1" applyFont="1" applyFill="1" applyBorder="1" applyAlignment="1" applyProtection="1">
      <alignment horizontal="justify" vertical="top"/>
    </xf>
    <xf numFmtId="0" fontId="28" fillId="0" borderId="26" xfId="11" applyNumberFormat="1" applyFont="1" applyFill="1" applyBorder="1" applyAlignment="1" applyProtection="1">
      <alignment horizontal="justify"/>
    </xf>
    <xf numFmtId="0" fontId="28" fillId="0" borderId="35" xfId="11" applyNumberFormat="1" applyFont="1" applyFill="1" applyBorder="1" applyAlignment="1" applyProtection="1">
      <alignment horizontal="justify"/>
    </xf>
    <xf numFmtId="0" fontId="28" fillId="0" borderId="26" xfId="11" applyNumberFormat="1" applyFont="1" applyFill="1" applyBorder="1" applyAlignment="1" applyProtection="1">
      <alignment horizontal="center"/>
    </xf>
    <xf numFmtId="0" fontId="28" fillId="0" borderId="25" xfId="11" applyNumberFormat="1" applyFont="1" applyFill="1" applyBorder="1" applyAlignment="1" applyProtection="1">
      <alignment horizontal="right"/>
    </xf>
    <xf numFmtId="0" fontId="28" fillId="0" borderId="35" xfId="11" applyNumberFormat="1" applyFont="1" applyFill="1" applyBorder="1" applyAlignment="1" applyProtection="1">
      <alignment horizontal="right" vertical="top"/>
    </xf>
    <xf numFmtId="0" fontId="28" fillId="0" borderId="36" xfId="11" applyNumberFormat="1" applyFont="1" applyFill="1" applyBorder="1" applyAlignment="1" applyProtection="1">
      <alignment horizontal="justify" vertical="top" indent="5"/>
    </xf>
    <xf numFmtId="0" fontId="28" fillId="0" borderId="26" xfId="11" applyNumberFormat="1" applyFont="1" applyFill="1" applyBorder="1" applyAlignment="1" applyProtection="1">
      <alignment horizontal="left" indent="4"/>
    </xf>
    <xf numFmtId="0" fontId="28" fillId="0" borderId="10" xfId="11" applyNumberFormat="1" applyFont="1" applyFill="1" applyBorder="1" applyAlignment="1" applyProtection="1">
      <alignment horizontal="left" vertical="top" indent="5"/>
    </xf>
    <xf numFmtId="0" fontId="28" fillId="0" borderId="26" xfId="11" applyNumberFormat="1" applyFont="1" applyFill="1" applyBorder="1" applyAlignment="1" applyProtection="1">
      <alignment horizontal="center" vertical="top"/>
    </xf>
    <xf numFmtId="0" fontId="28" fillId="0" borderId="26" xfId="10" applyNumberFormat="1" applyFont="1" applyFill="1" applyBorder="1" applyAlignment="1" applyProtection="1">
      <alignment horizontal="center"/>
    </xf>
    <xf numFmtId="0" fontId="28" fillId="0" borderId="35" xfId="10" applyNumberFormat="1" applyFont="1" applyFill="1" applyBorder="1" applyAlignment="1" applyProtection="1">
      <alignment horizontal="right"/>
    </xf>
    <xf numFmtId="0" fontId="28" fillId="0" borderId="36" xfId="10" applyNumberFormat="1" applyFont="1" applyFill="1" applyBorder="1" applyAlignment="1" applyProtection="1">
      <alignment horizontal="justify" vertical="top" indent="5"/>
    </xf>
    <xf numFmtId="0" fontId="28" fillId="0" borderId="10" xfId="10" applyNumberFormat="1" applyFont="1" applyFill="1" applyBorder="1" applyAlignment="1" applyProtection="1">
      <alignment horizontal="justify" vertical="top" indent="5"/>
    </xf>
    <xf numFmtId="0" fontId="28" fillId="0" borderId="11" xfId="10" applyNumberFormat="1" applyFont="1" applyFill="1" applyBorder="1" applyAlignment="1" applyProtection="1">
      <alignment horizontal="right" vertical="top"/>
    </xf>
    <xf numFmtId="0" fontId="28" fillId="0" borderId="34" xfId="10" applyNumberFormat="1" applyFont="1" applyFill="1" applyBorder="1" applyAlignment="1" applyProtection="1">
      <alignment horizontal="justify"/>
    </xf>
    <xf numFmtId="0" fontId="28" fillId="0" borderId="25" xfId="10" applyNumberFormat="1" applyFont="1" applyFill="1" applyBorder="1" applyAlignment="1" applyProtection="1">
      <alignment horizontal="right"/>
    </xf>
    <xf numFmtId="0" fontId="28" fillId="0" borderId="35" xfId="10" applyNumberFormat="1" applyFont="1" applyFill="1" applyBorder="1" applyAlignment="1" applyProtection="1">
      <alignment horizontal="right" vertical="top"/>
    </xf>
    <xf numFmtId="0" fontId="28" fillId="0" borderId="36" xfId="10" applyNumberFormat="1" applyFont="1" applyFill="1" applyBorder="1" applyAlignment="1" applyProtection="1">
      <alignment horizontal="left" vertical="top" indent="5"/>
    </xf>
    <xf numFmtId="0" fontId="28" fillId="0" borderId="26" xfId="10" applyNumberFormat="1" applyFont="1" applyFill="1" applyBorder="1" applyAlignment="1" applyProtection="1">
      <alignment horizontal="left" indent="2"/>
    </xf>
    <xf numFmtId="0" fontId="28" fillId="0" borderId="25" xfId="10" applyNumberFormat="1" applyFont="1" applyFill="1" applyBorder="1" applyAlignment="1" applyProtection="1">
      <alignment horizontal="justify"/>
    </xf>
    <xf numFmtId="0" fontId="28" fillId="0" borderId="35" xfId="10" applyNumberFormat="1" applyFont="1" applyFill="1" applyBorder="1" applyAlignment="1" applyProtection="1">
      <alignment horizontal="justify" vertical="top"/>
    </xf>
    <xf numFmtId="0" fontId="28" fillId="0" borderId="35" xfId="10" applyNumberFormat="1" applyFont="1" applyFill="1" applyBorder="1" applyAlignment="1" applyProtection="1">
      <alignment horizontal="justify"/>
    </xf>
    <xf numFmtId="0" fontId="28" fillId="0" borderId="26" xfId="10" applyNumberFormat="1" applyFont="1" applyFill="1" applyBorder="1" applyAlignment="1" applyProtection="1">
      <alignment horizontal="left" indent="3"/>
    </xf>
    <xf numFmtId="0" fontId="28" fillId="0" borderId="24" xfId="10" applyNumberFormat="1" applyFont="1" applyFill="1" applyBorder="1" applyAlignment="1" applyProtection="1">
      <alignment horizontal="justify"/>
    </xf>
    <xf numFmtId="0" fontId="28" fillId="0" borderId="26" xfId="10" applyNumberFormat="1" applyFont="1" applyFill="1" applyBorder="1" applyAlignment="1" applyProtection="1">
      <alignment horizontal="left" indent="4"/>
    </xf>
    <xf numFmtId="0" fontId="28" fillId="0" borderId="0" xfId="9" applyNumberFormat="1" applyFont="1" applyFill="1" applyBorder="1" applyAlignment="1" applyProtection="1">
      <alignment vertical="top"/>
    </xf>
    <xf numFmtId="0" fontId="21" fillId="0" borderId="0" xfId="9" applyNumberFormat="1" applyFont="1" applyFill="1" applyBorder="1" applyAlignment="1" applyProtection="1">
      <alignment vertical="top"/>
    </xf>
    <xf numFmtId="0" fontId="28" fillId="0" borderId="31" xfId="9" applyNumberFormat="1" applyFont="1" applyFill="1" applyBorder="1" applyAlignment="1" applyProtection="1">
      <alignment horizontal="center" vertical="top"/>
    </xf>
    <xf numFmtId="0" fontId="28" fillId="0" borderId="35" xfId="9" applyNumberFormat="1" applyFont="1" applyFill="1" applyBorder="1" applyAlignment="1" applyProtection="1">
      <alignment horizontal="right" vertical="top"/>
    </xf>
    <xf numFmtId="0" fontId="28" fillId="0" borderId="36" xfId="9" applyNumberFormat="1" applyFont="1" applyFill="1" applyBorder="1" applyAlignment="1" applyProtection="1">
      <alignment horizontal="left" vertical="top" indent="5"/>
    </xf>
    <xf numFmtId="0" fontId="28" fillId="0" borderId="10" xfId="9" applyNumberFormat="1" applyFont="1" applyFill="1" applyBorder="1" applyAlignment="1" applyProtection="1">
      <alignment horizontal="justify" vertical="top" indent="5"/>
    </xf>
    <xf numFmtId="0" fontId="28" fillId="0" borderId="11" xfId="9" applyNumberFormat="1" applyFont="1" applyFill="1" applyBorder="1" applyAlignment="1" applyProtection="1">
      <alignment horizontal="right" vertical="top"/>
    </xf>
    <xf numFmtId="0" fontId="28" fillId="0" borderId="34" xfId="9" applyNumberFormat="1" applyFont="1" applyFill="1" applyBorder="1" applyAlignment="1" applyProtection="1">
      <alignment horizontal="justify"/>
    </xf>
    <xf numFmtId="0" fontId="28" fillId="0" borderId="24" xfId="9" applyNumberFormat="1" applyFont="1" applyFill="1" applyBorder="1" applyAlignment="1" applyProtection="1">
      <alignment horizontal="justify"/>
    </xf>
    <xf numFmtId="0" fontId="28" fillId="0" borderId="25" xfId="9" applyNumberFormat="1" applyFont="1" applyFill="1" applyBorder="1" applyAlignment="1" applyProtection="1">
      <alignment horizontal="right"/>
    </xf>
    <xf numFmtId="0" fontId="28" fillId="0" borderId="26" xfId="9" applyNumberFormat="1" applyFont="1" applyFill="1" applyBorder="1" applyAlignment="1" applyProtection="1">
      <alignment horizontal="justify" vertical="top"/>
    </xf>
    <xf numFmtId="0" fontId="28" fillId="0" borderId="31" xfId="9" applyNumberFormat="1" applyFont="1" applyFill="1" applyBorder="1" applyAlignment="1" applyProtection="1">
      <alignment horizontal="justify" vertical="top"/>
    </xf>
    <xf numFmtId="0" fontId="28" fillId="0" borderId="26" xfId="9" applyNumberFormat="1" applyFont="1" applyFill="1" applyBorder="1" applyAlignment="1" applyProtection="1">
      <alignment horizontal="justify"/>
    </xf>
    <xf numFmtId="0" fontId="28" fillId="0" borderId="31" xfId="9" applyNumberFormat="1" applyFont="1" applyFill="1" applyBorder="1" applyAlignment="1" applyProtection="1">
      <alignment horizontal="center"/>
    </xf>
    <xf numFmtId="0" fontId="28" fillId="0" borderId="35" xfId="9" applyNumberFormat="1" applyFont="1" applyFill="1" applyBorder="1" applyAlignment="1" applyProtection="1">
      <alignment horizontal="right"/>
    </xf>
    <xf numFmtId="0" fontId="28" fillId="0" borderId="10" xfId="9" applyNumberFormat="1" applyFont="1" applyFill="1" applyBorder="1" applyAlignment="1" applyProtection="1">
      <alignment horizontal="left" vertical="top" indent="5"/>
    </xf>
    <xf numFmtId="0" fontId="28" fillId="0" borderId="24" xfId="9" applyNumberFormat="1" applyFont="1" applyFill="1" applyBorder="1" applyAlignment="1" applyProtection="1">
      <alignment horizontal="center"/>
    </xf>
    <xf numFmtId="0" fontId="28" fillId="0" borderId="36" xfId="9" applyNumberFormat="1" applyFont="1" applyFill="1" applyBorder="1" applyAlignment="1" applyProtection="1">
      <alignment horizontal="justify" vertical="top" indent="5"/>
    </xf>
    <xf numFmtId="0" fontId="28" fillId="0" borderId="35" xfId="9" applyNumberFormat="1" applyFont="1" applyFill="1" applyBorder="1" applyAlignment="1" applyProtection="1">
      <alignment horizontal="justify" vertical="top"/>
    </xf>
    <xf numFmtId="0" fontId="28" fillId="0" borderId="35" xfId="9" applyNumberFormat="1" applyFont="1" applyFill="1" applyBorder="1" applyAlignment="1" applyProtection="1">
      <alignment horizontal="justify"/>
    </xf>
    <xf numFmtId="0" fontId="28" fillId="0" borderId="25" xfId="9" applyNumberFormat="1" applyFont="1" applyFill="1" applyBorder="1" applyAlignment="1" applyProtection="1">
      <alignment horizontal="justify"/>
    </xf>
    <xf numFmtId="0" fontId="28" fillId="0" borderId="31" xfId="9" applyNumberFormat="1" applyFont="1" applyFill="1" applyBorder="1" applyAlignment="1" applyProtection="1">
      <alignment horizontal="justify"/>
    </xf>
    <xf numFmtId="0" fontId="28" fillId="0" borderId="0" xfId="12" applyNumberFormat="1" applyFont="1" applyFill="1" applyBorder="1" applyAlignment="1" applyProtection="1">
      <alignment vertical="top"/>
    </xf>
    <xf numFmtId="0" fontId="21" fillId="0" borderId="0" xfId="12" applyNumberFormat="1" applyFont="1" applyFill="1" applyBorder="1" applyAlignment="1" applyProtection="1">
      <alignment vertical="top"/>
    </xf>
    <xf numFmtId="0" fontId="28" fillId="0" borderId="26" xfId="12" applyNumberFormat="1" applyFont="1" applyFill="1" applyBorder="1" applyAlignment="1" applyProtection="1">
      <alignment horizontal="center"/>
    </xf>
    <xf numFmtId="0" fontId="28" fillId="0" borderId="31" xfId="12" applyNumberFormat="1" applyFont="1" applyFill="1" applyBorder="1" applyAlignment="1" applyProtection="1">
      <alignment horizontal="center"/>
    </xf>
    <xf numFmtId="0" fontId="28" fillId="0" borderId="35" xfId="12" applyNumberFormat="1" applyFont="1" applyFill="1" applyBorder="1" applyAlignment="1" applyProtection="1">
      <alignment horizontal="right"/>
    </xf>
    <xf numFmtId="0" fontId="28" fillId="0" borderId="36" xfId="12" applyNumberFormat="1" applyFont="1" applyFill="1" applyBorder="1" applyAlignment="1" applyProtection="1">
      <alignment horizontal="left" vertical="top" indent="5"/>
    </xf>
    <xf numFmtId="0" fontId="28" fillId="0" borderId="10" xfId="12" applyNumberFormat="1" applyFont="1" applyFill="1" applyBorder="1" applyAlignment="1" applyProtection="1">
      <alignment horizontal="left" vertical="top" indent="5"/>
    </xf>
    <xf numFmtId="0" fontId="28" fillId="0" borderId="11" xfId="12" applyNumberFormat="1" applyFont="1" applyFill="1" applyBorder="1" applyAlignment="1" applyProtection="1">
      <alignment horizontal="right" vertical="top"/>
    </xf>
    <xf numFmtId="0" fontId="28" fillId="0" borderId="34" xfId="12" applyNumberFormat="1" applyFont="1" applyFill="1" applyBorder="1" applyAlignment="1" applyProtection="1">
      <alignment horizontal="justify"/>
    </xf>
    <xf numFmtId="0" fontId="28" fillId="0" borderId="24" xfId="12" applyNumberFormat="1" applyFont="1" applyFill="1" applyBorder="1" applyAlignment="1" applyProtection="1">
      <alignment horizontal="center"/>
    </xf>
    <xf numFmtId="0" fontId="28" fillId="0" borderId="25" xfId="12" applyNumberFormat="1" applyFont="1" applyFill="1" applyBorder="1" applyAlignment="1" applyProtection="1">
      <alignment horizontal="justify"/>
    </xf>
    <xf numFmtId="0" fontId="28" fillId="0" borderId="26" xfId="12" applyNumberFormat="1" applyFont="1" applyFill="1" applyBorder="1" applyAlignment="1" applyProtection="1">
      <alignment horizontal="justify" vertical="top"/>
    </xf>
    <xf numFmtId="0" fontId="28" fillId="0" borderId="31" xfId="12" applyNumberFormat="1" applyFont="1" applyFill="1" applyBorder="1" applyAlignment="1" applyProtection="1">
      <alignment horizontal="center" vertical="top"/>
    </xf>
    <xf numFmtId="0" fontId="28" fillId="0" borderId="35" xfId="12" applyNumberFormat="1" applyFont="1" applyFill="1" applyBorder="1" applyAlignment="1" applyProtection="1">
      <alignment horizontal="justify" vertical="top"/>
    </xf>
    <xf numFmtId="0" fontId="28" fillId="0" borderId="10" xfId="12" applyNumberFormat="1" applyFont="1" applyFill="1" applyBorder="1" applyAlignment="1" applyProtection="1">
      <alignment horizontal="justify" vertical="top" indent="5"/>
    </xf>
    <xf numFmtId="0" fontId="28" fillId="0" borderId="25" xfId="12" applyNumberFormat="1" applyFont="1" applyFill="1" applyBorder="1" applyAlignment="1" applyProtection="1">
      <alignment horizontal="right"/>
    </xf>
    <xf numFmtId="0" fontId="28" fillId="0" borderId="35" xfId="12" applyNumberFormat="1" applyFont="1" applyFill="1" applyBorder="1" applyAlignment="1" applyProtection="1">
      <alignment horizontal="right" vertical="top"/>
    </xf>
    <xf numFmtId="0" fontId="28" fillId="0" borderId="26" xfId="12" applyNumberFormat="1" applyFont="1" applyFill="1" applyBorder="1" applyAlignment="1" applyProtection="1">
      <alignment horizontal="justify"/>
    </xf>
    <xf numFmtId="0" fontId="28" fillId="0" borderId="31" xfId="12" applyNumberFormat="1" applyFont="1" applyFill="1" applyBorder="1" applyAlignment="1" applyProtection="1">
      <alignment horizontal="justify" vertical="top"/>
    </xf>
    <xf numFmtId="0" fontId="28" fillId="0" borderId="26" xfId="12" applyNumberFormat="1" applyFont="1" applyFill="1" applyBorder="1" applyAlignment="1" applyProtection="1">
      <alignment horizontal="justify" indent="3"/>
    </xf>
    <xf numFmtId="0" fontId="28" fillId="0" borderId="24" xfId="12" applyNumberFormat="1" applyFont="1" applyFill="1" applyBorder="1" applyAlignment="1" applyProtection="1">
      <alignment horizontal="justify"/>
    </xf>
    <xf numFmtId="0" fontId="28" fillId="0" borderId="35" xfId="12" applyNumberFormat="1" applyFont="1" applyFill="1" applyBorder="1" applyAlignment="1" applyProtection="1">
      <alignment horizontal="justify"/>
    </xf>
    <xf numFmtId="0" fontId="28" fillId="0" borderId="26" xfId="12" applyNumberFormat="1" applyFont="1" applyFill="1" applyBorder="1" applyAlignment="1" applyProtection="1">
      <alignment horizontal="left" indent="3"/>
    </xf>
    <xf numFmtId="0" fontId="28" fillId="0" borderId="26" xfId="12" applyNumberFormat="1" applyFont="1" applyFill="1" applyBorder="1" applyAlignment="1" applyProtection="1">
      <alignment horizontal="left" indent="4"/>
    </xf>
    <xf numFmtId="0" fontId="28" fillId="0" borderId="36" xfId="12" applyNumberFormat="1" applyFont="1" applyFill="1" applyBorder="1" applyAlignment="1" applyProtection="1">
      <alignment horizontal="justify" vertical="top" indent="5"/>
    </xf>
    <xf numFmtId="0" fontId="30" fillId="0" borderId="0" xfId="12" applyNumberFormat="1" applyFont="1" applyFill="1" applyBorder="1" applyAlignment="1" applyProtection="1">
      <alignment vertical="top"/>
    </xf>
    <xf numFmtId="0" fontId="28" fillId="0" borderId="26" xfId="12" applyNumberFormat="1" applyFont="1" applyFill="1" applyBorder="1" applyAlignment="1" applyProtection="1">
      <alignment horizontal="center" vertical="top"/>
    </xf>
    <xf numFmtId="0" fontId="28" fillId="0" borderId="26" xfId="12" applyNumberFormat="1" applyFont="1" applyFill="1" applyBorder="1" applyAlignment="1" applyProtection="1">
      <alignment horizontal="justify" indent="2"/>
    </xf>
  </cellXfs>
  <cellStyles count="13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ll" xfId="10"/>
    <cellStyle name="Обычный_data" xfId="11"/>
    <cellStyle name="Обычный_dfluid1" xfId="9"/>
    <cellStyle name="Обычный_dsolid" xfId="12"/>
    <cellStyle name="Форм" xfId="4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76944"/>
        <c:axId val="229411360"/>
      </c:scatterChart>
      <c:valAx>
        <c:axId val="12067694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411360"/>
        <c:crosses val="autoZero"/>
        <c:crossBetween val="midCat"/>
      </c:valAx>
      <c:valAx>
        <c:axId val="2294113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6769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3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93576"/>
        <c:axId val="7087562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11989357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875624"/>
        <c:crosses val="autoZero"/>
        <c:crossBetween val="midCat"/>
        <c:majorUnit val="100"/>
      </c:valAx>
      <c:valAx>
        <c:axId val="7087562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8935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104992"/>
        <c:axId val="417105384"/>
        <c:extLst xmlns:c16r2="http://schemas.microsoft.com/office/drawing/2015/06/chart"/>
      </c:scatterChart>
      <c:valAx>
        <c:axId val="41710499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105384"/>
        <c:crosses val="autoZero"/>
        <c:crossBetween val="midCat"/>
      </c:valAx>
      <c:valAx>
        <c:axId val="417105384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104992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33E-2"/>
          <c:y val="9.0586236023553687E-2"/>
          <c:w val="0.91743241838991729"/>
          <c:h val="0.7894500953617668"/>
        </c:manualLayout>
      </c:layout>
      <c:scatterChart>
        <c:scatterStyle val="lineMarker"/>
        <c:varyColors val="0"/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ALL!$F$19:$BR$19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ALL!$F$20:$BR$20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ALL!$F$21:$BR$21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ALL!$F$22:$BR$22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ALL!$F$23:$BR$23</c:f>
              <c:numCache>
                <c:formatCode>0.0E+00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ALL!$F$24:$BR$24</c:f>
              <c:numCache>
                <c:formatCode>0.0E+00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1"/>
          <c:order val="21"/>
          <c:tx>
            <c:strRef>
              <c:f>ALL!$E$25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ALL!$F$25:$BR$25</c:f>
              <c:numCache>
                <c:formatCode>0.0E+00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809072"/>
        <c:axId val="41780946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E7A-412E-BBF5-89E233391AB6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E7A-412E-BBF5-89E233391AB6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41780907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809464"/>
        <c:crosses val="autoZero"/>
        <c:crossBetween val="midCat"/>
        <c:majorUnit val="100"/>
      </c:valAx>
      <c:valAx>
        <c:axId val="417809464"/>
        <c:scaling>
          <c:orientation val="minMax"/>
          <c:max val="0.1600000000000000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8090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805152"/>
        <c:axId val="417802800"/>
      </c:scatterChart>
      <c:valAx>
        <c:axId val="417805152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802800"/>
        <c:crosses val="autoZero"/>
        <c:crossBetween val="midCat"/>
      </c:valAx>
      <c:valAx>
        <c:axId val="41780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8051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78E-2"/>
          <c:w val="0.91684723434101212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FLUID!$F$4:$BR$4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FLUID!$F$5:$BR$5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FLUID!$F$6:$BR$6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FLUID!$F$7:$BR$7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FLUID!$F$8:$BR$8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FLUID!$F$9:$BR$9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FLUID!$F$10:$BR$10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FLUID!$F$11:$BR$11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FLUID!$F$12:$BR$12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</c:numRef>
          </c:xVal>
          <c:yVal>
            <c:numRef>
              <c:f>FLUID!$F$13:$BR$13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106952"/>
        <c:axId val="41710420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41710695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104208"/>
        <c:crosses val="autoZero"/>
        <c:crossBetween val="midCat"/>
      </c:valAx>
      <c:valAx>
        <c:axId val="417104208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1069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81992"/>
        <c:axId val="4191788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41918199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178856"/>
        <c:crosses val="autoZero"/>
        <c:crossBetween val="midCat"/>
      </c:valAx>
      <c:valAx>
        <c:axId val="41917885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91819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66E-2"/>
          <c:w val="0.91701947782842963"/>
          <c:h val="0.8281883057043651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FLUID!$F$4:$BR$4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FLUID!$F$14:$BR$14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FLUID!$F$15:$BR$15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FLUID!$F$16:$BR$16</c:f>
              <c:numCache>
                <c:formatCode>0.00E+00</c:formatCode>
                <c:ptCount val="65"/>
              </c:numCache>
              <c:extLst xmlns:c15="http://schemas.microsoft.com/office/drawing/2012/chart" xmlns:c16r2="http://schemas.microsoft.com/office/drawing/2015/06/chart"/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049592"/>
        <c:axId val="4200499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42004959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049984"/>
        <c:crosses val="autoZero"/>
        <c:crossBetween val="midCat"/>
      </c:valAx>
      <c:valAx>
        <c:axId val="420049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0495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45E-2"/>
          <c:y val="9.3034716533807557E-2"/>
          <c:w val="0.92172545969724562"/>
          <c:h val="0.82261080939032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02384"/>
        <c:axId val="420699248"/>
      </c:scatterChart>
      <c:valAx>
        <c:axId val="4207023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9248"/>
        <c:crosses val="autoZero"/>
        <c:crossBetween val="midCat"/>
      </c:valAx>
      <c:valAx>
        <c:axId val="42069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7023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E-2"/>
          <c:y val="1.66938945330158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06"/>
          <c:h val="0.80534181504717128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99640"/>
        <c:axId val="420696504"/>
        <c:extLst xmlns:c16r2="http://schemas.microsoft.com/office/drawing/2015/06/chart"/>
      </c:scatterChart>
      <c:valAx>
        <c:axId val="4206996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6504"/>
        <c:crosses val="autoZero"/>
        <c:crossBetween val="midCat"/>
      </c:valAx>
      <c:valAx>
        <c:axId val="42069650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96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98464"/>
        <c:axId val="4206968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42069846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6896"/>
        <c:crosses val="autoZero"/>
        <c:crossBetween val="midCat"/>
      </c:valAx>
      <c:valAx>
        <c:axId val="42069689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846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4006"/>
          <c:h val="0.80534181504717128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01600"/>
        <c:axId val="42069768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42070160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7680"/>
        <c:crosses val="autoZero"/>
        <c:crossBetween val="midCat"/>
      </c:valAx>
      <c:valAx>
        <c:axId val="420697680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70160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37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-18.630969696969697</c:v>
                </c:pt>
                <c:pt idx="5" formatCode="General">
                  <c:v>-18.643090909090908</c:v>
                </c:pt>
                <c:pt idx="6" formatCode="General">
                  <c:v>-18.655180722891565</c:v>
                </c:pt>
                <c:pt idx="7" formatCode="General">
                  <c:v>-18.667228915662651</c:v>
                </c:pt>
                <c:pt idx="8" formatCode="General">
                  <c:v>-18.679333333333336</c:v>
                </c:pt>
                <c:pt idx="9" formatCode="General">
                  <c:v>-18.692181818181819</c:v>
                </c:pt>
                <c:pt idx="10" formatCode="General">
                  <c:v>-18.710363636363635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-19.534909090909093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-19.827349397590361</c:v>
                </c:pt>
                <c:pt idx="67" formatCode="General">
                  <c:v>-19.847272727272728</c:v>
                </c:pt>
                <c:pt idx="68" formatCode="General">
                  <c:v>-19.871515151515151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-89.614220877458393</c:v>
                </c:pt>
                <c:pt idx="1">
                  <c:v>-87.314674735249611</c:v>
                </c:pt>
                <c:pt idx="2" formatCode="General">
                  <c:v>-85.015128593040842</c:v>
                </c:pt>
                <c:pt idx="3" formatCode="General">
                  <c:v>-82.715582450832073</c:v>
                </c:pt>
                <c:pt idx="4" formatCode="General">
                  <c:v>-80.569984871406959</c:v>
                </c:pt>
                <c:pt idx="5" formatCode="General">
                  <c:v>-80.194795763993937</c:v>
                </c:pt>
                <c:pt idx="6" formatCode="General">
                  <c:v>-79.81960665658093</c:v>
                </c:pt>
                <c:pt idx="7" formatCode="General">
                  <c:v>-79.444417549167923</c:v>
                </c:pt>
                <c:pt idx="8" formatCode="General">
                  <c:v>-79.069228441754916</c:v>
                </c:pt>
                <c:pt idx="9" formatCode="General">
                  <c:v>-78.694039334341909</c:v>
                </c:pt>
                <c:pt idx="10" formatCode="General">
                  <c:v>-78.318850226928902</c:v>
                </c:pt>
                <c:pt idx="11" formatCode="General">
                  <c:v>-76.336701966717101</c:v>
                </c:pt>
                <c:pt idx="12" formatCode="General">
                  <c:v>-72.542450832072618</c:v>
                </c:pt>
                <c:pt idx="13" formatCode="General">
                  <c:v>-68.748199697428134</c:v>
                </c:pt>
                <c:pt idx="14" formatCode="General">
                  <c:v>-64.953948562783665</c:v>
                </c:pt>
                <c:pt idx="15" formatCode="General">
                  <c:v>-61.159697428139182</c:v>
                </c:pt>
                <c:pt idx="16" formatCode="General">
                  <c:v>-57.365446293494699</c:v>
                </c:pt>
                <c:pt idx="17" formatCode="General">
                  <c:v>-53.571195158850216</c:v>
                </c:pt>
                <c:pt idx="18" formatCode="General">
                  <c:v>-52.228139183055973</c:v>
                </c:pt>
                <c:pt idx="19" formatCode="General">
                  <c:v>-51.284114977307105</c:v>
                </c:pt>
                <c:pt idx="20" formatCode="General">
                  <c:v>-50.340090771558245</c:v>
                </c:pt>
                <c:pt idx="21" formatCode="General">
                  <c:v>-49.396066565809377</c:v>
                </c:pt>
                <c:pt idx="22" formatCode="General">
                  <c:v>-48.45204236006051</c:v>
                </c:pt>
                <c:pt idx="23" formatCode="General">
                  <c:v>-47.50801815431165</c:v>
                </c:pt>
                <c:pt idx="24" formatCode="General">
                  <c:v>-46.610606060606059</c:v>
                </c:pt>
                <c:pt idx="25" formatCode="General">
                  <c:v>-45.853030303030302</c:v>
                </c:pt>
                <c:pt idx="26" formatCode="General">
                  <c:v>-45.095454545454544</c:v>
                </c:pt>
                <c:pt idx="27" formatCode="General">
                  <c:v>-44.337878787878786</c:v>
                </c:pt>
                <c:pt idx="28" formatCode="General">
                  <c:v>-43.580303030303028</c:v>
                </c:pt>
                <c:pt idx="29" formatCode="General">
                  <c:v>-42.822727272727271</c:v>
                </c:pt>
                <c:pt idx="30" formatCode="General">
                  <c:v>-42.065151515151513</c:v>
                </c:pt>
                <c:pt idx="31" formatCode="General">
                  <c:v>-41.392496217851736</c:v>
                </c:pt>
                <c:pt idx="32" formatCode="General">
                  <c:v>-40.765567322239029</c:v>
                </c:pt>
                <c:pt idx="33" formatCode="General">
                  <c:v>-40.138638426626322</c:v>
                </c:pt>
                <c:pt idx="34" formatCode="General">
                  <c:v>-39.511709531013615</c:v>
                </c:pt>
                <c:pt idx="35" formatCode="General">
                  <c:v>-38.884780635400908</c:v>
                </c:pt>
                <c:pt idx="36" formatCode="General">
                  <c:v>-38.257851739788201</c:v>
                </c:pt>
                <c:pt idx="37" formatCode="General">
                  <c:v>-37.633309090909094</c:v>
                </c:pt>
                <c:pt idx="38" formatCode="General">
                  <c:v>-37.066036363636364</c:v>
                </c:pt>
                <c:pt idx="39" formatCode="General">
                  <c:v>-36.509493975903617</c:v>
                </c:pt>
                <c:pt idx="40" formatCode="General">
                  <c:v>-35.969734939759036</c:v>
                </c:pt>
                <c:pt idx="41" formatCode="General">
                  <c:v>-35.441745454545455</c:v>
                </c:pt>
                <c:pt idx="42" formatCode="General">
                  <c:v>-34.91966060606061</c:v>
                </c:pt>
                <c:pt idx="43" formatCode="General">
                  <c:v>-34.415418181818183</c:v>
                </c:pt>
                <c:pt idx="44" formatCode="General">
                  <c:v>-33.918472727272729</c:v>
                </c:pt>
                <c:pt idx="45" formatCode="General">
                  <c:v>-33.431200000000004</c:v>
                </c:pt>
                <c:pt idx="46" formatCode="General">
                  <c:v>-32.99498181818182</c:v>
                </c:pt>
                <c:pt idx="47" formatCode="General">
                  <c:v>-32.656048484848483</c:v>
                </c:pt>
                <c:pt idx="48" formatCode="General">
                  <c:v>-32.871806060606062</c:v>
                </c:pt>
                <c:pt idx="49" formatCode="General">
                  <c:v>-33.064963855421688</c:v>
                </c:pt>
                <c:pt idx="50" formatCode="General">
                  <c:v>-33.233638554216874</c:v>
                </c:pt>
                <c:pt idx="51" formatCode="General">
                  <c:v>-33.403151515151521</c:v>
                </c:pt>
                <c:pt idx="52" formatCode="General">
                  <c:v>-33.572848484848485</c:v>
                </c:pt>
                <c:pt idx="53" formatCode="General">
                  <c:v>-33.742545454545457</c:v>
                </c:pt>
                <c:pt idx="54" formatCode="General">
                  <c:v>-33.912242424242429</c:v>
                </c:pt>
                <c:pt idx="55" formatCode="General">
                  <c:v>-34.081939393939393</c:v>
                </c:pt>
                <c:pt idx="56" formatCode="General">
                  <c:v>-34.251636363636365</c:v>
                </c:pt>
                <c:pt idx="57" formatCode="General">
                  <c:v>-34.421108433734943</c:v>
                </c:pt>
                <c:pt idx="58" formatCode="General">
                  <c:v>-34.589783132530123</c:v>
                </c:pt>
                <c:pt idx="59" formatCode="General">
                  <c:v>-34.760387878787881</c:v>
                </c:pt>
                <c:pt idx="60" formatCode="General">
                  <c:v>-34.932509090909093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-82.276848484848472</c:v>
                </c:pt>
                <c:pt idx="1">
                  <c:v>-79.901696969696957</c:v>
                </c:pt>
                <c:pt idx="2" formatCode="General">
                  <c:v>-77.695636363636353</c:v>
                </c:pt>
                <c:pt idx="3" formatCode="General">
                  <c:v>-75.644424242424236</c:v>
                </c:pt>
                <c:pt idx="4" formatCode="General">
                  <c:v>-73.673963691376699</c:v>
                </c:pt>
                <c:pt idx="5" formatCode="General">
                  <c:v>-71.973509833585481</c:v>
                </c:pt>
                <c:pt idx="6" formatCode="General">
                  <c:v>-70.27305597579425</c:v>
                </c:pt>
                <c:pt idx="7" formatCode="General">
                  <c:v>-68.572602118003019</c:v>
                </c:pt>
                <c:pt idx="8" formatCode="General">
                  <c:v>-66.872148260211802</c:v>
                </c:pt>
                <c:pt idx="9" formatCode="General">
                  <c:v>-65.17169440242057</c:v>
                </c:pt>
                <c:pt idx="10" formatCode="General">
                  <c:v>-63.471240544629346</c:v>
                </c:pt>
                <c:pt idx="11" formatCode="General">
                  <c:v>-62.211633888048404</c:v>
                </c:pt>
                <c:pt idx="12" formatCode="General">
                  <c:v>-61.449152798789711</c:v>
                </c:pt>
                <c:pt idx="13" formatCode="General">
                  <c:v>-60.686671709531012</c:v>
                </c:pt>
                <c:pt idx="14" formatCode="General">
                  <c:v>-59.924190620272313</c:v>
                </c:pt>
                <c:pt idx="15" formatCode="General">
                  <c:v>-59.161709531013614</c:v>
                </c:pt>
                <c:pt idx="16" formatCode="General">
                  <c:v>-58.399228441754914</c:v>
                </c:pt>
                <c:pt idx="17" formatCode="General">
                  <c:v>-57.636747352496215</c:v>
                </c:pt>
                <c:pt idx="18" formatCode="General">
                  <c:v>-56.846944024205747</c:v>
                </c:pt>
                <c:pt idx="19" formatCode="General">
                  <c:v>-56.052692889561271</c:v>
                </c:pt>
                <c:pt idx="20" formatCode="General">
                  <c:v>-55.258441754916795</c:v>
                </c:pt>
                <c:pt idx="21" formatCode="General">
                  <c:v>-54.464190620272312</c:v>
                </c:pt>
                <c:pt idx="22" formatCode="General">
                  <c:v>-53.669939485627836</c:v>
                </c:pt>
                <c:pt idx="23" formatCode="General">
                  <c:v>-52.87568835098336</c:v>
                </c:pt>
                <c:pt idx="24" formatCode="General">
                  <c:v>-52.128484848484852</c:v>
                </c:pt>
                <c:pt idx="25" formatCode="General">
                  <c:v>-51.522424242424243</c:v>
                </c:pt>
                <c:pt idx="26" formatCode="General">
                  <c:v>-50.916363636363634</c:v>
                </c:pt>
                <c:pt idx="27" formatCode="General">
                  <c:v>-50.310303030303032</c:v>
                </c:pt>
                <c:pt idx="28" formatCode="General">
                  <c:v>-49.704242424242423</c:v>
                </c:pt>
                <c:pt idx="29" formatCode="General">
                  <c:v>-49.098181818181821</c:v>
                </c:pt>
                <c:pt idx="30" formatCode="General">
                  <c:v>-48.492121212121212</c:v>
                </c:pt>
                <c:pt idx="31" formatCode="General">
                  <c:v>-47.9689636913767</c:v>
                </c:pt>
                <c:pt idx="32" formatCode="General">
                  <c:v>-47.490446293494706</c:v>
                </c:pt>
                <c:pt idx="33" formatCode="General">
                  <c:v>-47.011928895612705</c:v>
                </c:pt>
                <c:pt idx="34" formatCode="General">
                  <c:v>-46.533411497730711</c:v>
                </c:pt>
                <c:pt idx="35" formatCode="General">
                  <c:v>-46.05489409984871</c:v>
                </c:pt>
                <c:pt idx="36" formatCode="General">
                  <c:v>-45.576376701966716</c:v>
                </c:pt>
                <c:pt idx="37" formatCode="General">
                  <c:v>-45.101308623298031</c:v>
                </c:pt>
                <c:pt idx="38" formatCode="General">
                  <c:v>-44.709024205748861</c:v>
                </c:pt>
                <c:pt idx="39" formatCode="General">
                  <c:v>-44.316739788199698</c:v>
                </c:pt>
                <c:pt idx="40" formatCode="General">
                  <c:v>-43.924455370650527</c:v>
                </c:pt>
                <c:pt idx="41" formatCode="General">
                  <c:v>-43.532170953101364</c:v>
                </c:pt>
                <c:pt idx="42" formatCode="General">
                  <c:v>-43.139886535552193</c:v>
                </c:pt>
                <c:pt idx="43" formatCode="General">
                  <c:v>-42.74760211800303</c:v>
                </c:pt>
                <c:pt idx="44" formatCode="General">
                  <c:v>-42.371284848484848</c:v>
                </c:pt>
                <c:pt idx="45" formatCode="General">
                  <c:v>-42.016133333333336</c:v>
                </c:pt>
                <c:pt idx="46" formatCode="General">
                  <c:v>-41.674218181818183</c:v>
                </c:pt>
                <c:pt idx="47" formatCode="General">
                  <c:v>-41.337375757575757</c:v>
                </c:pt>
                <c:pt idx="48" formatCode="General">
                  <c:v>-41.009496969696968</c:v>
                </c:pt>
                <c:pt idx="49" formatCode="General">
                  <c:v>-40.686614457831325</c:v>
                </c:pt>
                <c:pt idx="50" formatCode="General">
                  <c:v>-40.369144578313247</c:v>
                </c:pt>
                <c:pt idx="51" formatCode="General">
                  <c:v>-40.066496969696964</c:v>
                </c:pt>
                <c:pt idx="52" formatCode="General">
                  <c:v>-39.806872727272726</c:v>
                </c:pt>
                <c:pt idx="53" formatCode="General">
                  <c:v>-39.741418181818183</c:v>
                </c:pt>
                <c:pt idx="54" formatCode="General">
                  <c:v>-39.673127272727271</c:v>
                </c:pt>
                <c:pt idx="55" formatCode="General">
                  <c:v>-39.602218181818188</c:v>
                </c:pt>
                <c:pt idx="56" formatCode="General">
                  <c:v>-39.525509090909097</c:v>
                </c:pt>
                <c:pt idx="57" formatCode="General">
                  <c:v>-39.44710843373494</c:v>
                </c:pt>
                <c:pt idx="58" formatCode="General">
                  <c:v>-39.365783132530119</c:v>
                </c:pt>
                <c:pt idx="59" formatCode="General">
                  <c:v>-39.247527272727275</c:v>
                </c:pt>
                <c:pt idx="60" formatCode="General">
                  <c:v>-39.100254545454547</c:v>
                </c:pt>
                <c:pt idx="61" formatCode="General">
                  <c:v>-38.950775757575762</c:v>
                </c:pt>
                <c:pt idx="62" formatCode="General">
                  <c:v>-38.802812121212121</c:v>
                </c:pt>
                <c:pt idx="63" formatCode="General">
                  <c:v>-38.65978181818182</c:v>
                </c:pt>
                <c:pt idx="64" formatCode="General">
                  <c:v>-38.51749090909091</c:v>
                </c:pt>
                <c:pt idx="65" formatCode="General">
                  <c:v>-38.375672727272729</c:v>
                </c:pt>
                <c:pt idx="66" formatCode="General">
                  <c:v>-38.235831325301213</c:v>
                </c:pt>
                <c:pt idx="67" formatCode="General">
                  <c:v>-38.096181818181826</c:v>
                </c:pt>
                <c:pt idx="68" formatCode="General">
                  <c:v>-37.956787878787878</c:v>
                </c:pt>
                <c:pt idx="69" formatCode="General">
                  <c:v>-37.822515151515155</c:v>
                </c:pt>
                <c:pt idx="70" formatCode="General">
                  <c:v>-37.691000000000003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00424"/>
        <c:axId val="4207019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42070042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701992"/>
        <c:crosses val="autoZero"/>
        <c:crossBetween val="midCat"/>
        <c:majorUnit val="100"/>
      </c:valAx>
      <c:valAx>
        <c:axId val="420701992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700424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9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-5.6688000000000001</c:v>
                </c:pt>
                <c:pt idx="1">
                  <c:v>-5.7292606060606062</c:v>
                </c:pt>
                <c:pt idx="2" formatCode="General">
                  <c:v>-5.7904727272727277</c:v>
                </c:pt>
                <c:pt idx="3" formatCode="General">
                  <c:v>-5.8521272727272731</c:v>
                </c:pt>
                <c:pt idx="4" formatCode="General">
                  <c:v>-5.9138969696969692</c:v>
                </c:pt>
                <c:pt idx="5" formatCode="General">
                  <c:v>-5.9751090909090907</c:v>
                </c:pt>
                <c:pt idx="6" formatCode="General">
                  <c:v>-6.036421686746988</c:v>
                </c:pt>
                <c:pt idx="7" formatCode="General">
                  <c:v>-6.0978674698795183</c:v>
                </c:pt>
                <c:pt idx="8" formatCode="General">
                  <c:v>-6.1591333333333331</c:v>
                </c:pt>
                <c:pt idx="9" formatCode="General">
                  <c:v>-6.2202000000000002</c:v>
                </c:pt>
                <c:pt idx="10" formatCode="General">
                  <c:v>-6.2801999999999998</c:v>
                </c:pt>
                <c:pt idx="11" formatCode="General">
                  <c:v>-6.3395885022692893</c:v>
                </c:pt>
                <c:pt idx="12" formatCode="General">
                  <c:v>-6.3982874432677761</c:v>
                </c:pt>
                <c:pt idx="13" formatCode="General">
                  <c:v>-6.4569863842662638</c:v>
                </c:pt>
                <c:pt idx="14" formatCode="General">
                  <c:v>-6.5156853252647506</c:v>
                </c:pt>
                <c:pt idx="15" formatCode="General">
                  <c:v>-6.5743842662632375</c:v>
                </c:pt>
                <c:pt idx="16" formatCode="General">
                  <c:v>-6.6330832072617252</c:v>
                </c:pt>
                <c:pt idx="17" formatCode="General">
                  <c:v>-6.691782148260212</c:v>
                </c:pt>
                <c:pt idx="18" formatCode="General">
                  <c:v>-6.7474886535552194</c:v>
                </c:pt>
                <c:pt idx="19" formatCode="General">
                  <c:v>-6.8027080181543118</c:v>
                </c:pt>
                <c:pt idx="20" formatCode="General">
                  <c:v>-6.8579273827534042</c:v>
                </c:pt>
                <c:pt idx="21" formatCode="General">
                  <c:v>-6.9131467473524966</c:v>
                </c:pt>
                <c:pt idx="22" formatCode="General">
                  <c:v>-6.9683661119515889</c:v>
                </c:pt>
                <c:pt idx="23" formatCode="General">
                  <c:v>-7.0235854765506813</c:v>
                </c:pt>
                <c:pt idx="24" formatCode="General">
                  <c:v>-7.0779924242424244</c:v>
                </c:pt>
                <c:pt idx="25" formatCode="General">
                  <c:v>-7.129962121212122</c:v>
                </c:pt>
                <c:pt idx="26" formatCode="General">
                  <c:v>-7.1819318181818188</c:v>
                </c:pt>
                <c:pt idx="27" formatCode="General">
                  <c:v>-7.2339015151515156</c:v>
                </c:pt>
                <c:pt idx="28" formatCode="General">
                  <c:v>-7.2858712121212124</c:v>
                </c:pt>
                <c:pt idx="29" formatCode="General">
                  <c:v>-7.3378409090909091</c:v>
                </c:pt>
                <c:pt idx="30" formatCode="General">
                  <c:v>-7.3898106060606068</c:v>
                </c:pt>
                <c:pt idx="31" formatCode="General">
                  <c:v>-7.4394674735249628</c:v>
                </c:pt>
                <c:pt idx="32" formatCode="General">
                  <c:v>-7.4878789712556735</c:v>
                </c:pt>
                <c:pt idx="33" formatCode="General">
                  <c:v>-7.5362904689863841</c:v>
                </c:pt>
                <c:pt idx="34" formatCode="General">
                  <c:v>-7.5847019667170956</c:v>
                </c:pt>
                <c:pt idx="35" formatCode="General">
                  <c:v>-7.6331134644478063</c:v>
                </c:pt>
                <c:pt idx="36" formatCode="General">
                  <c:v>-7.6815249621785169</c:v>
                </c:pt>
                <c:pt idx="37" formatCode="General">
                  <c:v>-7.7298275340393339</c:v>
                </c:pt>
                <c:pt idx="38" formatCode="General">
                  <c:v>-7.7755158850226929</c:v>
                </c:pt>
                <c:pt idx="39" formatCode="General">
                  <c:v>-7.821204236006051</c:v>
                </c:pt>
                <c:pt idx="40" formatCode="General">
                  <c:v>-7.8668925869894091</c:v>
                </c:pt>
                <c:pt idx="41" formatCode="General">
                  <c:v>-7.9125809379727681</c:v>
                </c:pt>
                <c:pt idx="42" formatCode="General">
                  <c:v>-7.9582692889561262</c:v>
                </c:pt>
                <c:pt idx="43" formatCode="General">
                  <c:v>-8.0039576399394843</c:v>
                </c:pt>
                <c:pt idx="44" formatCode="General">
                  <c:v>-8.0486051437216339</c:v>
                </c:pt>
                <c:pt idx="45" formatCode="General">
                  <c:v>-8.0918729198184565</c:v>
                </c:pt>
                <c:pt idx="46" formatCode="General">
                  <c:v>-8.135140695915279</c:v>
                </c:pt>
                <c:pt idx="47" formatCode="General">
                  <c:v>-8.1784084720121033</c:v>
                </c:pt>
                <c:pt idx="48" formatCode="General">
                  <c:v>-8.2216762481089258</c:v>
                </c:pt>
                <c:pt idx="49" formatCode="General">
                  <c:v>-8.2649440242057501</c:v>
                </c:pt>
                <c:pt idx="50" formatCode="General">
                  <c:v>-8.3082118003025727</c:v>
                </c:pt>
                <c:pt idx="51" formatCode="General">
                  <c:v>-8.3507878787878784</c:v>
                </c:pt>
                <c:pt idx="52" formatCode="General">
                  <c:v>-8.3932121212121213</c:v>
                </c:pt>
                <c:pt idx="53" formatCode="General">
                  <c:v>-8.4356363636363625</c:v>
                </c:pt>
                <c:pt idx="54" formatCode="General">
                  <c:v>-8.4780606060606054</c:v>
                </c:pt>
                <c:pt idx="55" formatCode="General">
                  <c:v>-8.5204848484848483</c:v>
                </c:pt>
                <c:pt idx="56" formatCode="General">
                  <c:v>-8.5629090909090912</c:v>
                </c:pt>
                <c:pt idx="57" formatCode="General">
                  <c:v>-8.6052771084337358</c:v>
                </c:pt>
                <c:pt idx="58" formatCode="General">
                  <c:v>-8.6474457831325307</c:v>
                </c:pt>
                <c:pt idx="59" formatCode="General">
                  <c:v>-8.6900969696969703</c:v>
                </c:pt>
                <c:pt idx="60" formatCode="General">
                  <c:v>-8.7331272727272733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-91.303327272727273</c:v>
                </c:pt>
                <c:pt idx="47" formatCode="General">
                  <c:v>-90.847430303030308</c:v>
                </c:pt>
                <c:pt idx="48" formatCode="General">
                  <c:v>-90.512278787878785</c:v>
                </c:pt>
                <c:pt idx="49" formatCode="General">
                  <c:v>-90.178963855421685</c:v>
                </c:pt>
                <c:pt idx="50" formatCode="General">
                  <c:v>-89.847638554216871</c:v>
                </c:pt>
                <c:pt idx="51" formatCode="General">
                  <c:v>-89.542000000000016</c:v>
                </c:pt>
                <c:pt idx="52" formatCode="General">
                  <c:v>-89.242000000000004</c:v>
                </c:pt>
                <c:pt idx="53" formatCode="General">
                  <c:v>-88.942000000000007</c:v>
                </c:pt>
                <c:pt idx="54" formatCode="General">
                  <c:v>-88.64200000000001</c:v>
                </c:pt>
                <c:pt idx="55" formatCode="General">
                  <c:v>-88.342000000000013</c:v>
                </c:pt>
                <c:pt idx="56" formatCode="General">
                  <c:v>-88.042000000000002</c:v>
                </c:pt>
                <c:pt idx="57" formatCode="General">
                  <c:v>-87.748361445783132</c:v>
                </c:pt>
                <c:pt idx="58" formatCode="General">
                  <c:v>-87.477277108433739</c:v>
                </c:pt>
                <c:pt idx="59" formatCode="General">
                  <c:v>-87.20629090909091</c:v>
                </c:pt>
                <c:pt idx="60" formatCode="General">
                  <c:v>-86.935381818181824</c:v>
                </c:pt>
                <c:pt idx="61" formatCode="General">
                  <c:v>-86.678812121212133</c:v>
                </c:pt>
                <c:pt idx="62" formatCode="General">
                  <c:v>-86.427284848484859</c:v>
                </c:pt>
                <c:pt idx="63" formatCode="General">
                  <c:v>-86.18607272727273</c:v>
                </c:pt>
                <c:pt idx="64" formatCode="General">
                  <c:v>-85.947078787878795</c:v>
                </c:pt>
                <c:pt idx="65" formatCode="General">
                  <c:v>-85.709503030303026</c:v>
                </c:pt>
                <c:pt idx="66" formatCode="General">
                  <c:v>-85.476771084337358</c:v>
                </c:pt>
                <c:pt idx="67" formatCode="General">
                  <c:v>-85.24490909090909</c:v>
                </c:pt>
                <c:pt idx="68" formatCode="General">
                  <c:v>-85.014606060606056</c:v>
                </c:pt>
                <c:pt idx="69" formatCode="General">
                  <c:v>-84.795727272727277</c:v>
                </c:pt>
                <c:pt idx="70" formatCode="General">
                  <c:v>-84.582999999999998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-9.071587878787879</c:v>
                </c:pt>
                <c:pt idx="45" formatCode="General">
                  <c:v>-9.0194666666666663</c:v>
                </c:pt>
                <c:pt idx="46" formatCode="General">
                  <c:v>-8.9758545454545455</c:v>
                </c:pt>
                <c:pt idx="47" formatCode="General">
                  <c:v>-8.9359818181818174</c:v>
                </c:pt>
                <c:pt idx="48" formatCode="General">
                  <c:v>-8.9050727272727261</c:v>
                </c:pt>
                <c:pt idx="49" formatCode="General">
                  <c:v>-8.8783012048192766</c:v>
                </c:pt>
                <c:pt idx="50" formatCode="General">
                  <c:v>-8.8560120481927704</c:v>
                </c:pt>
                <c:pt idx="51" formatCode="General">
                  <c:v>-8.8400727272727266</c:v>
                </c:pt>
                <c:pt idx="52" formatCode="General">
                  <c:v>-8.8179030303030288</c:v>
                </c:pt>
                <c:pt idx="53" formatCode="General">
                  <c:v>-8.7585090909090901</c:v>
                </c:pt>
                <c:pt idx="54" formatCode="General">
                  <c:v>-8.7151878787878783</c:v>
                </c:pt>
                <c:pt idx="55" formatCode="General">
                  <c:v>-8.6867030303030308</c:v>
                </c:pt>
                <c:pt idx="56" formatCode="General">
                  <c:v>-8.6735090909090911</c:v>
                </c:pt>
                <c:pt idx="57" formatCode="General">
                  <c:v>-8.6656626506024086</c:v>
                </c:pt>
                <c:pt idx="58" formatCode="General">
                  <c:v>-8.668674698795181</c:v>
                </c:pt>
                <c:pt idx="59" formatCode="General">
                  <c:v>-8.6927393939393944</c:v>
                </c:pt>
                <c:pt idx="60" formatCode="General">
                  <c:v>-8.7333454545454554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98072"/>
        <c:axId val="42069885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42069807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8856"/>
        <c:crosses val="autoZero"/>
        <c:crossBetween val="midCat"/>
        <c:majorUnit val="100"/>
      </c:valAx>
      <c:valAx>
        <c:axId val="42069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698072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54"/>
          <c:w val="0.79872285919300712"/>
          <c:h val="0.79349420735008203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-58.239090909090905</c:v>
                </c:pt>
                <c:pt idx="1">
                  <c:v>-57.012424242424245</c:v>
                </c:pt>
                <c:pt idx="2" formatCode="General">
                  <c:v>-55.86090909090909</c:v>
                </c:pt>
                <c:pt idx="3" formatCode="General">
                  <c:v>-54.784606060606059</c:v>
                </c:pt>
                <c:pt idx="4" formatCode="General">
                  <c:v>-53.74339393939394</c:v>
                </c:pt>
                <c:pt idx="5" formatCode="General">
                  <c:v>-52.785818181818179</c:v>
                </c:pt>
                <c:pt idx="6" formatCode="General">
                  <c:v>-51.861807228915666</c:v>
                </c:pt>
                <c:pt idx="7" formatCode="General">
                  <c:v>-50.982289156626507</c:v>
                </c:pt>
                <c:pt idx="8" formatCode="General">
                  <c:v>-50.154666666666664</c:v>
                </c:pt>
                <c:pt idx="9" formatCode="General">
                  <c:v>-49.349090909090904</c:v>
                </c:pt>
                <c:pt idx="10" formatCode="General">
                  <c:v>-48.591515151515154</c:v>
                </c:pt>
                <c:pt idx="11" formatCode="General">
                  <c:v>-47.891361573373672</c:v>
                </c:pt>
                <c:pt idx="12" formatCode="General">
                  <c:v>-47.255960665658094</c:v>
                </c:pt>
                <c:pt idx="13" formatCode="General">
                  <c:v>-46.620559757942509</c:v>
                </c:pt>
                <c:pt idx="14" formatCode="General">
                  <c:v>-45.985158850226931</c:v>
                </c:pt>
                <c:pt idx="15" formatCode="General">
                  <c:v>-45.349757942511346</c:v>
                </c:pt>
                <c:pt idx="16" formatCode="General">
                  <c:v>-44.714357034795768</c:v>
                </c:pt>
                <c:pt idx="17" formatCode="General">
                  <c:v>-44.078956127080183</c:v>
                </c:pt>
                <c:pt idx="18" formatCode="General">
                  <c:v>-43.564553706505293</c:v>
                </c:pt>
                <c:pt idx="19" formatCode="General">
                  <c:v>-43.069848714069593</c:v>
                </c:pt>
                <c:pt idx="20" formatCode="General">
                  <c:v>-42.575143721633886</c:v>
                </c:pt>
                <c:pt idx="21" formatCode="General">
                  <c:v>-42.080438729198185</c:v>
                </c:pt>
                <c:pt idx="22" formatCode="General">
                  <c:v>-41.585733736762478</c:v>
                </c:pt>
                <c:pt idx="23" formatCode="General">
                  <c:v>-41.091028744326778</c:v>
                </c:pt>
                <c:pt idx="24" formatCode="General">
                  <c:v>-40.61962121212121</c:v>
                </c:pt>
                <c:pt idx="25" formatCode="General">
                  <c:v>-40.218106060606061</c:v>
                </c:pt>
                <c:pt idx="26" formatCode="General">
                  <c:v>-39.816590909090905</c:v>
                </c:pt>
                <c:pt idx="27" formatCode="General">
                  <c:v>-39.415075757575757</c:v>
                </c:pt>
                <c:pt idx="28" formatCode="General">
                  <c:v>-39.013560606060608</c:v>
                </c:pt>
                <c:pt idx="29" formatCode="General">
                  <c:v>-38.612045454545452</c:v>
                </c:pt>
                <c:pt idx="30" formatCode="General">
                  <c:v>-38.210530303030303</c:v>
                </c:pt>
                <c:pt idx="31" formatCode="General">
                  <c:v>-37.854644478063541</c:v>
                </c:pt>
                <c:pt idx="32" formatCode="General">
                  <c:v>-37.523328290468989</c:v>
                </c:pt>
                <c:pt idx="33" formatCode="General">
                  <c:v>-37.192012102874436</c:v>
                </c:pt>
                <c:pt idx="34" formatCode="General">
                  <c:v>-36.860695915279884</c:v>
                </c:pt>
                <c:pt idx="35" formatCode="General">
                  <c:v>-36.529379727685324</c:v>
                </c:pt>
                <c:pt idx="36" formatCode="General">
                  <c:v>-36.198063540090772</c:v>
                </c:pt>
                <c:pt idx="37" formatCode="General">
                  <c:v>-35.868804841149775</c:v>
                </c:pt>
                <c:pt idx="38" formatCode="General">
                  <c:v>-35.588925869894105</c:v>
                </c:pt>
                <c:pt idx="39" formatCode="General">
                  <c:v>-35.309046898638428</c:v>
                </c:pt>
                <c:pt idx="40" formatCode="General">
                  <c:v>-35.029167927382758</c:v>
                </c:pt>
                <c:pt idx="41" formatCode="General">
                  <c:v>-34.749288956127081</c:v>
                </c:pt>
                <c:pt idx="42" formatCode="General">
                  <c:v>-34.469409984871412</c:v>
                </c:pt>
                <c:pt idx="43" formatCode="General">
                  <c:v>-34.189531013615735</c:v>
                </c:pt>
                <c:pt idx="44" formatCode="General">
                  <c:v>-33.925264750378219</c:v>
                </c:pt>
                <c:pt idx="45" formatCode="General">
                  <c:v>-33.681694402420575</c:v>
                </c:pt>
                <c:pt idx="46" formatCode="General">
                  <c:v>-33.438124054462939</c:v>
                </c:pt>
                <c:pt idx="47" formatCode="General">
                  <c:v>-33.194553706505296</c:v>
                </c:pt>
                <c:pt idx="48" formatCode="General">
                  <c:v>-32.950983358547653</c:v>
                </c:pt>
                <c:pt idx="49" formatCode="General">
                  <c:v>-32.707413010590017</c:v>
                </c:pt>
                <c:pt idx="50" formatCode="General">
                  <c:v>-32.463842662632374</c:v>
                </c:pt>
                <c:pt idx="51" formatCode="General">
                  <c:v>-32.241090909090907</c:v>
                </c:pt>
                <c:pt idx="52" formatCode="General">
                  <c:v>-32.022909090909089</c:v>
                </c:pt>
                <c:pt idx="53" formatCode="General">
                  <c:v>-31.804727272727273</c:v>
                </c:pt>
                <c:pt idx="54" formatCode="General">
                  <c:v>-31.58969696969697</c:v>
                </c:pt>
                <c:pt idx="55" formatCode="General">
                  <c:v>-31.377575757575759</c:v>
                </c:pt>
                <c:pt idx="56" formatCode="General">
                  <c:v>-31.170727272727273</c:v>
                </c:pt>
                <c:pt idx="57" formatCode="General">
                  <c:v>-30.966265060240964</c:v>
                </c:pt>
                <c:pt idx="58" formatCode="General">
                  <c:v>-30.767469879518071</c:v>
                </c:pt>
                <c:pt idx="59" formatCode="General">
                  <c:v>-30.568000000000001</c:v>
                </c:pt>
                <c:pt idx="60" formatCode="General">
                  <c:v>-30.368000000000002</c:v>
                </c:pt>
                <c:pt idx="61" formatCode="General">
                  <c:v>-30.173515151515151</c:v>
                </c:pt>
                <c:pt idx="62" formatCode="General">
                  <c:v>-29.981151515151517</c:v>
                </c:pt>
                <c:pt idx="63" formatCode="General">
                  <c:v>-29.793272727272726</c:v>
                </c:pt>
                <c:pt idx="64" formatCode="General">
                  <c:v>-29.605393939393938</c:v>
                </c:pt>
                <c:pt idx="65" formatCode="General">
                  <c:v>-29.417515151515151</c:v>
                </c:pt>
                <c:pt idx="66" formatCode="General">
                  <c:v>-29.230722891566266</c:v>
                </c:pt>
                <c:pt idx="67" formatCode="General">
                  <c:v>-29.043636363636363</c:v>
                </c:pt>
                <c:pt idx="68" formatCode="General">
                  <c:v>-28.855757575757575</c:v>
                </c:pt>
                <c:pt idx="69" formatCode="General">
                  <c:v>-28.671818181818182</c:v>
                </c:pt>
                <c:pt idx="70" formatCode="General">
                  <c:v>-28.49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-94.214836363636365</c:v>
                </c:pt>
                <c:pt idx="43" formatCode="General">
                  <c:v>-93.400290909090913</c:v>
                </c:pt>
                <c:pt idx="44" formatCode="General">
                  <c:v>-92.606854545454553</c:v>
                </c:pt>
                <c:pt idx="45" formatCode="General">
                  <c:v>-91.841400000000007</c:v>
                </c:pt>
                <c:pt idx="46" formatCode="General">
                  <c:v>-91.303327272727273</c:v>
                </c:pt>
                <c:pt idx="47" formatCode="General">
                  <c:v>-90.847430303030308</c:v>
                </c:pt>
                <c:pt idx="48" formatCode="General">
                  <c:v>-90.512278787878785</c:v>
                </c:pt>
                <c:pt idx="49" formatCode="General">
                  <c:v>-90.178963855421685</c:v>
                </c:pt>
                <c:pt idx="50" formatCode="General">
                  <c:v>-89.847638554216871</c:v>
                </c:pt>
                <c:pt idx="51" formatCode="General">
                  <c:v>-89.542000000000016</c:v>
                </c:pt>
                <c:pt idx="52" formatCode="General">
                  <c:v>-89.242000000000004</c:v>
                </c:pt>
                <c:pt idx="53" formatCode="General">
                  <c:v>-88.942000000000007</c:v>
                </c:pt>
                <c:pt idx="54" formatCode="General">
                  <c:v>-88.64200000000001</c:v>
                </c:pt>
                <c:pt idx="55" formatCode="General">
                  <c:v>-88.342000000000013</c:v>
                </c:pt>
                <c:pt idx="56" formatCode="General">
                  <c:v>-88.042000000000002</c:v>
                </c:pt>
                <c:pt idx="57" formatCode="General">
                  <c:v>-87.748361445783132</c:v>
                </c:pt>
                <c:pt idx="58" formatCode="General">
                  <c:v>-87.477277108433739</c:v>
                </c:pt>
                <c:pt idx="59" formatCode="General">
                  <c:v>-87.20629090909091</c:v>
                </c:pt>
                <c:pt idx="60" formatCode="General">
                  <c:v>-86.935381818181824</c:v>
                </c:pt>
                <c:pt idx="61" formatCode="General">
                  <c:v>-86.678812121212133</c:v>
                </c:pt>
                <c:pt idx="62" formatCode="General">
                  <c:v>-86.427284848484859</c:v>
                </c:pt>
                <c:pt idx="63" formatCode="General">
                  <c:v>-86.18607272727273</c:v>
                </c:pt>
                <c:pt idx="64" formatCode="General">
                  <c:v>-85.947078787878795</c:v>
                </c:pt>
                <c:pt idx="65" formatCode="General">
                  <c:v>-85.709503030303026</c:v>
                </c:pt>
                <c:pt idx="66" formatCode="General">
                  <c:v>-85.476771084337358</c:v>
                </c:pt>
                <c:pt idx="67" formatCode="General">
                  <c:v>-85.24490909090909</c:v>
                </c:pt>
                <c:pt idx="68" formatCode="General">
                  <c:v>-85.014606060606056</c:v>
                </c:pt>
                <c:pt idx="69" formatCode="General">
                  <c:v>-84.795727272727277</c:v>
                </c:pt>
                <c:pt idx="70" formatCode="General">
                  <c:v>-84.582999999999998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Se2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 xmlns:c16r2="http://schemas.microsoft.com/office/drawing/2015/06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-17.459830303030305</c:v>
                </c:pt>
                <c:pt idx="43" formatCode="General">
                  <c:v>-17.207709090909091</c:v>
                </c:pt>
                <c:pt idx="44" formatCode="General">
                  <c:v>-16.959236363636364</c:v>
                </c:pt>
                <c:pt idx="45" formatCode="General">
                  <c:v>-16.715600000000002</c:v>
                </c:pt>
                <c:pt idx="46" formatCode="General">
                  <c:v>-16.49749090909091</c:v>
                </c:pt>
                <c:pt idx="47" formatCode="General">
                  <c:v>-16.328024242424242</c:v>
                </c:pt>
                <c:pt idx="48" formatCode="General">
                  <c:v>-16.435903030303031</c:v>
                </c:pt>
                <c:pt idx="49" formatCode="General">
                  <c:v>-16.532481927710844</c:v>
                </c:pt>
                <c:pt idx="50" formatCode="General">
                  <c:v>-16.616819277108437</c:v>
                </c:pt>
                <c:pt idx="51" formatCode="General">
                  <c:v>-16.70157575757576</c:v>
                </c:pt>
                <c:pt idx="52" formatCode="General">
                  <c:v>-16.786424242424243</c:v>
                </c:pt>
                <c:pt idx="53" formatCode="General">
                  <c:v>-16.871272727272729</c:v>
                </c:pt>
                <c:pt idx="54" formatCode="General">
                  <c:v>-16.956121212121214</c:v>
                </c:pt>
                <c:pt idx="55" formatCode="General">
                  <c:v>-17.040969696969697</c:v>
                </c:pt>
                <c:pt idx="56" formatCode="General">
                  <c:v>-17.125818181818182</c:v>
                </c:pt>
                <c:pt idx="57" formatCode="General">
                  <c:v>-17.210554216867472</c:v>
                </c:pt>
                <c:pt idx="58" formatCode="General">
                  <c:v>-17.294891566265061</c:v>
                </c:pt>
                <c:pt idx="59" formatCode="General">
                  <c:v>-17.380193939393941</c:v>
                </c:pt>
                <c:pt idx="60" formatCode="General">
                  <c:v>-17.466254545454547</c:v>
                </c:pt>
                <c:pt idx="61" formatCode="General">
                  <c:v>-17.554521212121212</c:v>
                </c:pt>
                <c:pt idx="62" formatCode="General">
                  <c:v>-17.643321212121212</c:v>
                </c:pt>
                <c:pt idx="63" formatCode="General">
                  <c:v>-17.733018181818181</c:v>
                </c:pt>
                <c:pt idx="64" formatCode="General">
                  <c:v>-17.82419393939394</c:v>
                </c:pt>
                <c:pt idx="65" formatCode="General">
                  <c:v>-17.916315151515153</c:v>
                </c:pt>
                <c:pt idx="66" formatCode="General">
                  <c:v>-18.010216867469882</c:v>
                </c:pt>
                <c:pt idx="67" formatCode="General">
                  <c:v>-18.105090909090908</c:v>
                </c:pt>
                <c:pt idx="68" formatCode="General">
                  <c:v>-18.202060606060606</c:v>
                </c:pt>
                <c:pt idx="69" formatCode="General">
                  <c:v>-18.30139393939394</c:v>
                </c:pt>
                <c:pt idx="70" formatCode="General">
                  <c:v>-18.402000000000001</c:v>
                </c:pt>
              </c:numCache>
              <c:extLst xmlns:c15="http://schemas.microsoft.com/office/drawing/2012/chart" xmlns:c16r2="http://schemas.microsoft.com/office/drawing/2015/06/chart"/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-60.398181818181811</c:v>
                </c:pt>
                <c:pt idx="1">
                  <c:v>-58.921818181818175</c:v>
                </c:pt>
                <c:pt idx="2" formatCode="General">
                  <c:v>-57.558181818181815</c:v>
                </c:pt>
                <c:pt idx="3" formatCode="General">
                  <c:v>-56.291878787878787</c:v>
                </c:pt>
                <c:pt idx="4" formatCode="General">
                  <c:v>-55.106868381240538</c:v>
                </c:pt>
                <c:pt idx="5" formatCode="General">
                  <c:v>-54.442723146747348</c:v>
                </c:pt>
                <c:pt idx="6" formatCode="General">
                  <c:v>-53.778577912254157</c:v>
                </c:pt>
                <c:pt idx="7" formatCode="General">
                  <c:v>-53.114432677760966</c:v>
                </c:pt>
                <c:pt idx="8" formatCode="General">
                  <c:v>-52.450287443267776</c:v>
                </c:pt>
                <c:pt idx="9" formatCode="General">
                  <c:v>-51.786142208774578</c:v>
                </c:pt>
                <c:pt idx="10" formatCode="General">
                  <c:v>-51.121996974281387</c:v>
                </c:pt>
                <c:pt idx="11" formatCode="General">
                  <c:v>-50.140726172465961</c:v>
                </c:pt>
                <c:pt idx="12" formatCode="General">
                  <c:v>-48.80184568835098</c:v>
                </c:pt>
                <c:pt idx="13" formatCode="General">
                  <c:v>-47.462965204236006</c:v>
                </c:pt>
                <c:pt idx="14" formatCode="General">
                  <c:v>-46.124084720121026</c:v>
                </c:pt>
                <c:pt idx="15" formatCode="General">
                  <c:v>-44.785204236006052</c:v>
                </c:pt>
                <c:pt idx="16" formatCode="General">
                  <c:v>-43.446323751891072</c:v>
                </c:pt>
                <c:pt idx="17" formatCode="General">
                  <c:v>-42.107443267776098</c:v>
                </c:pt>
                <c:pt idx="18" formatCode="General">
                  <c:v>-41.47894099848714</c:v>
                </c:pt>
                <c:pt idx="19" formatCode="General">
                  <c:v>-40.966081694402419</c:v>
                </c:pt>
                <c:pt idx="20" formatCode="General">
                  <c:v>-40.453222390317698</c:v>
                </c:pt>
                <c:pt idx="21" formatCode="General">
                  <c:v>-39.940363086232978</c:v>
                </c:pt>
                <c:pt idx="22" formatCode="General">
                  <c:v>-39.427503782148264</c:v>
                </c:pt>
                <c:pt idx="23" formatCode="General">
                  <c:v>-38.914644478063543</c:v>
                </c:pt>
                <c:pt idx="24" formatCode="General">
                  <c:v>-38.433030303030307</c:v>
                </c:pt>
                <c:pt idx="25" formatCode="General">
                  <c:v>-38.045151515151517</c:v>
                </c:pt>
                <c:pt idx="26" formatCode="General">
                  <c:v>-37.657272727272726</c:v>
                </c:pt>
                <c:pt idx="27" formatCode="General">
                  <c:v>-37.269393939393936</c:v>
                </c:pt>
                <c:pt idx="28" formatCode="General">
                  <c:v>-36.881515151515153</c:v>
                </c:pt>
                <c:pt idx="29" formatCode="General">
                  <c:v>-36.493636363636362</c:v>
                </c:pt>
                <c:pt idx="30" formatCode="General">
                  <c:v>-36.105757575757572</c:v>
                </c:pt>
                <c:pt idx="31" formatCode="General">
                  <c:v>-35.781588502269287</c:v>
                </c:pt>
                <c:pt idx="32" formatCode="General">
                  <c:v>-35.491724659606653</c:v>
                </c:pt>
                <c:pt idx="33" formatCode="General">
                  <c:v>-35.201860816944027</c:v>
                </c:pt>
                <c:pt idx="34" formatCode="General">
                  <c:v>-34.911996974281394</c:v>
                </c:pt>
                <c:pt idx="35" formatCode="General">
                  <c:v>-34.62213313161876</c:v>
                </c:pt>
                <c:pt idx="36" formatCode="General">
                  <c:v>-34.332269288956127</c:v>
                </c:pt>
                <c:pt idx="37" formatCode="General">
                  <c:v>-34.045552193645996</c:v>
                </c:pt>
                <c:pt idx="38" formatCode="General">
                  <c:v>-33.834357034795765</c:v>
                </c:pt>
                <c:pt idx="39" formatCode="General">
                  <c:v>-33.623161875945542</c:v>
                </c:pt>
                <c:pt idx="40" formatCode="General">
                  <c:v>-33.411966717095311</c:v>
                </c:pt>
                <c:pt idx="41" formatCode="General">
                  <c:v>-33.200771558245087</c:v>
                </c:pt>
                <c:pt idx="42" formatCode="General">
                  <c:v>-32.989576399394856</c:v>
                </c:pt>
                <c:pt idx="43" formatCode="General">
                  <c:v>-32.778381240544633</c:v>
                </c:pt>
                <c:pt idx="44" formatCode="General">
                  <c:v>-32.58711515151515</c:v>
                </c:pt>
                <c:pt idx="45" formatCode="General">
                  <c:v>-32.422266666666665</c:v>
                </c:pt>
                <c:pt idx="46" formatCode="General">
                  <c:v>-32.269709090909089</c:v>
                </c:pt>
                <c:pt idx="47" formatCode="General">
                  <c:v>-32.123296969696973</c:v>
                </c:pt>
                <c:pt idx="48" formatCode="General">
                  <c:v>-31.994812121212121</c:v>
                </c:pt>
                <c:pt idx="49" formatCode="General">
                  <c:v>-31.871903614457832</c:v>
                </c:pt>
                <c:pt idx="50" formatCode="General">
                  <c:v>-31.755036144578312</c:v>
                </c:pt>
                <c:pt idx="51" formatCode="General">
                  <c:v>-31.645539393939394</c:v>
                </c:pt>
                <c:pt idx="52" formatCode="General">
                  <c:v>-31.514169696969692</c:v>
                </c:pt>
                <c:pt idx="53" formatCode="General">
                  <c:v>-31.268109090909089</c:v>
                </c:pt>
                <c:pt idx="54" formatCode="General">
                  <c:v>-31.069951515151512</c:v>
                </c:pt>
                <c:pt idx="55" formatCode="General">
                  <c:v>-30.91601212121212</c:v>
                </c:pt>
                <c:pt idx="56" formatCode="General">
                  <c:v>-30.808472727272726</c:v>
                </c:pt>
                <c:pt idx="57" formatCode="General">
                  <c:v>-30.715421686746986</c:v>
                </c:pt>
                <c:pt idx="58" formatCode="General">
                  <c:v>-30.64915662650602</c:v>
                </c:pt>
                <c:pt idx="59" formatCode="General">
                  <c:v>-30.628145454545454</c:v>
                </c:pt>
                <c:pt idx="60" formatCode="General">
                  <c:v>-30.642690909090909</c:v>
                </c:pt>
                <c:pt idx="61" formatCode="General">
                  <c:v>-30.669369696969696</c:v>
                </c:pt>
                <c:pt idx="62" formatCode="General">
                  <c:v>-30.697563636363636</c:v>
                </c:pt>
                <c:pt idx="63" formatCode="General">
                  <c:v>-30.726654545454547</c:v>
                </c:pt>
                <c:pt idx="64" formatCode="General">
                  <c:v>-30.757224242424243</c:v>
                </c:pt>
                <c:pt idx="65" formatCode="General">
                  <c:v>-30.788739393939395</c:v>
                </c:pt>
                <c:pt idx="66" formatCode="General">
                  <c:v>-30.822385542168675</c:v>
                </c:pt>
                <c:pt idx="67" formatCode="General">
                  <c:v>-30.856909090909092</c:v>
                </c:pt>
                <c:pt idx="68" formatCode="General">
                  <c:v>-30.893272727272727</c:v>
                </c:pt>
                <c:pt idx="69" formatCode="General">
                  <c:v>-30.931999999999999</c:v>
                </c:pt>
                <c:pt idx="70" formatCode="General">
                  <c:v>-30.972000000000001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06832"/>
        <c:axId val="44190722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4419068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7224"/>
        <c:crosses val="autoZero"/>
        <c:crossBetween val="midCat"/>
        <c:majorUnit val="100"/>
      </c:valAx>
      <c:valAx>
        <c:axId val="441907224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6832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9"/>
          <c:y val="1.41679086828084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-22.6752</c:v>
                </c:pt>
                <c:pt idx="1">
                  <c:v>-22.917042424242425</c:v>
                </c:pt>
                <c:pt idx="2" formatCode="General">
                  <c:v>-23.161890909090911</c:v>
                </c:pt>
                <c:pt idx="3" formatCode="General">
                  <c:v>-23.408509090909092</c:v>
                </c:pt>
                <c:pt idx="4" formatCode="General">
                  <c:v>-23.655587878787877</c:v>
                </c:pt>
                <c:pt idx="5" formatCode="General">
                  <c:v>-23.900436363636363</c:v>
                </c:pt>
                <c:pt idx="6" formatCode="General">
                  <c:v>-24.145686746987952</c:v>
                </c:pt>
                <c:pt idx="7" formatCode="General">
                  <c:v>-24.391469879518073</c:v>
                </c:pt>
                <c:pt idx="8" formatCode="General">
                  <c:v>-24.636533333333333</c:v>
                </c:pt>
                <c:pt idx="9" formatCode="General">
                  <c:v>-24.880800000000001</c:v>
                </c:pt>
                <c:pt idx="10" formatCode="General">
                  <c:v>-25.120799999999999</c:v>
                </c:pt>
                <c:pt idx="11" formatCode="General">
                  <c:v>-25.358354009077157</c:v>
                </c:pt>
                <c:pt idx="12" formatCode="General">
                  <c:v>-25.593149773071104</c:v>
                </c:pt>
                <c:pt idx="13" formatCode="General">
                  <c:v>-25.827945537065055</c:v>
                </c:pt>
                <c:pt idx="14" formatCode="General">
                  <c:v>-26.062741301059003</c:v>
                </c:pt>
                <c:pt idx="15" formatCode="General">
                  <c:v>-26.29753706505295</c:v>
                </c:pt>
                <c:pt idx="16" formatCode="General">
                  <c:v>-26.532332829046901</c:v>
                </c:pt>
                <c:pt idx="17" formatCode="General">
                  <c:v>-26.767128593040848</c:v>
                </c:pt>
                <c:pt idx="18" formatCode="General">
                  <c:v>-26.989954614220878</c:v>
                </c:pt>
                <c:pt idx="19" formatCode="General">
                  <c:v>-27.210832072617247</c:v>
                </c:pt>
                <c:pt idx="20" formatCode="General">
                  <c:v>-27.431709531013617</c:v>
                </c:pt>
                <c:pt idx="21" formatCode="General">
                  <c:v>-27.652586989409986</c:v>
                </c:pt>
                <c:pt idx="22" formatCode="General">
                  <c:v>-27.873464447806356</c:v>
                </c:pt>
                <c:pt idx="23" formatCode="General">
                  <c:v>-28.094341906202725</c:v>
                </c:pt>
                <c:pt idx="24" formatCode="General">
                  <c:v>-28.311969696969697</c:v>
                </c:pt>
                <c:pt idx="25" formatCode="General">
                  <c:v>-28.519848484848488</c:v>
                </c:pt>
                <c:pt idx="26" formatCode="General">
                  <c:v>-28.727727272727275</c:v>
                </c:pt>
                <c:pt idx="27" formatCode="General">
                  <c:v>-28.935606060606062</c:v>
                </c:pt>
                <c:pt idx="28" formatCode="General">
                  <c:v>-29.143484848484849</c:v>
                </c:pt>
                <c:pt idx="29" formatCode="General">
                  <c:v>-29.351363636363637</c:v>
                </c:pt>
                <c:pt idx="30" formatCode="General">
                  <c:v>-29.559242424242427</c:v>
                </c:pt>
                <c:pt idx="31" formatCode="General">
                  <c:v>-29.757869894099851</c:v>
                </c:pt>
                <c:pt idx="32" formatCode="General">
                  <c:v>-29.951515885022694</c:v>
                </c:pt>
                <c:pt idx="33" formatCode="General">
                  <c:v>-30.145161875945536</c:v>
                </c:pt>
                <c:pt idx="34" formatCode="General">
                  <c:v>-30.338807866868382</c:v>
                </c:pt>
                <c:pt idx="35" formatCode="General">
                  <c:v>-30.532453857791225</c:v>
                </c:pt>
                <c:pt idx="36" formatCode="General">
                  <c:v>-30.726099848714068</c:v>
                </c:pt>
                <c:pt idx="37" formatCode="General">
                  <c:v>-30.919310136157335</c:v>
                </c:pt>
                <c:pt idx="38" formatCode="General">
                  <c:v>-31.102063540090771</c:v>
                </c:pt>
                <c:pt idx="39" formatCode="General">
                  <c:v>-31.284816944024204</c:v>
                </c:pt>
                <c:pt idx="40" formatCode="General">
                  <c:v>-31.467570347957636</c:v>
                </c:pt>
                <c:pt idx="41" formatCode="General">
                  <c:v>-31.650323751891072</c:v>
                </c:pt>
                <c:pt idx="42" formatCode="General">
                  <c:v>-31.833077155824505</c:v>
                </c:pt>
                <c:pt idx="43" formatCode="General">
                  <c:v>-32.015830559757937</c:v>
                </c:pt>
                <c:pt idx="44" formatCode="General">
                  <c:v>-32.194420574886536</c:v>
                </c:pt>
                <c:pt idx="45" formatCode="General">
                  <c:v>-32.367491679273826</c:v>
                </c:pt>
                <c:pt idx="46" formatCode="General">
                  <c:v>-32.540562783661116</c:v>
                </c:pt>
                <c:pt idx="47" formatCode="General">
                  <c:v>-32.713633888048413</c:v>
                </c:pt>
                <c:pt idx="48" formatCode="General">
                  <c:v>-32.886704992435703</c:v>
                </c:pt>
                <c:pt idx="49" formatCode="General">
                  <c:v>-33.059776096823001</c:v>
                </c:pt>
                <c:pt idx="50" formatCode="General">
                  <c:v>-33.232847201210291</c:v>
                </c:pt>
                <c:pt idx="51" formatCode="General">
                  <c:v>-33.403151515151514</c:v>
                </c:pt>
                <c:pt idx="52" formatCode="General">
                  <c:v>-33.572848484848485</c:v>
                </c:pt>
                <c:pt idx="53" formatCode="General">
                  <c:v>-33.74254545454545</c:v>
                </c:pt>
                <c:pt idx="54" formatCode="General">
                  <c:v>-33.912242424242422</c:v>
                </c:pt>
                <c:pt idx="55" formatCode="General">
                  <c:v>-34.081939393939393</c:v>
                </c:pt>
                <c:pt idx="56" formatCode="General">
                  <c:v>-34.251636363636365</c:v>
                </c:pt>
                <c:pt idx="57" formatCode="General">
                  <c:v>-34.421108433734943</c:v>
                </c:pt>
                <c:pt idx="58" formatCode="General">
                  <c:v>-34.589783132530123</c:v>
                </c:pt>
                <c:pt idx="59" formatCode="General">
                  <c:v>-34.760387878787881</c:v>
                </c:pt>
                <c:pt idx="60" formatCode="General">
                  <c:v>-34.932509090909093</c:v>
                </c:pt>
                <c:pt idx="61" formatCode="General">
                  <c:v>-35.109042424242425</c:v>
                </c:pt>
                <c:pt idx="62" formatCode="General">
                  <c:v>-35.286642424242423</c:v>
                </c:pt>
                <c:pt idx="63" formatCode="General">
                  <c:v>-35.466036363636363</c:v>
                </c:pt>
                <c:pt idx="64" formatCode="General">
                  <c:v>-35.648387878787879</c:v>
                </c:pt>
                <c:pt idx="65" formatCode="General">
                  <c:v>-35.832630303030307</c:v>
                </c:pt>
                <c:pt idx="66" formatCode="General">
                  <c:v>-36.020433734939765</c:v>
                </c:pt>
                <c:pt idx="67" formatCode="General">
                  <c:v>-36.210181818181816</c:v>
                </c:pt>
                <c:pt idx="68" formatCode="General">
                  <c:v>-36.404121212121211</c:v>
                </c:pt>
                <c:pt idx="69" formatCode="General">
                  <c:v>-36.602787878787879</c:v>
                </c:pt>
                <c:pt idx="70" formatCode="General">
                  <c:v>-36.804000000000002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-8.248745454545455</c:v>
                </c:pt>
                <c:pt idx="47" formatCode="General">
                  <c:v>-8.1640121212121208</c:v>
                </c:pt>
                <c:pt idx="48" formatCode="General">
                  <c:v>-8.2179515151515155</c:v>
                </c:pt>
                <c:pt idx="49" formatCode="General">
                  <c:v>-8.266240963855422</c:v>
                </c:pt>
                <c:pt idx="50" formatCode="General">
                  <c:v>-8.3084096385542185</c:v>
                </c:pt>
                <c:pt idx="51" formatCode="General">
                  <c:v>-8.3507878787878802</c:v>
                </c:pt>
                <c:pt idx="52" formatCode="General">
                  <c:v>-8.3932121212121213</c:v>
                </c:pt>
                <c:pt idx="53" formatCode="General">
                  <c:v>-8.4356363636363643</c:v>
                </c:pt>
                <c:pt idx="54" formatCode="General">
                  <c:v>-8.4780606060606072</c:v>
                </c:pt>
                <c:pt idx="55" formatCode="General">
                  <c:v>-8.5204848484848483</c:v>
                </c:pt>
                <c:pt idx="56" formatCode="General">
                  <c:v>-8.5629090909090912</c:v>
                </c:pt>
                <c:pt idx="57" formatCode="General">
                  <c:v>-8.6052771084337358</c:v>
                </c:pt>
                <c:pt idx="58" formatCode="General">
                  <c:v>-8.6474457831325307</c:v>
                </c:pt>
                <c:pt idx="59" formatCode="General">
                  <c:v>-8.6900969696969703</c:v>
                </c:pt>
                <c:pt idx="60" formatCode="General">
                  <c:v>-8.7331272727272733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-19.746303030303029</c:v>
                </c:pt>
                <c:pt idx="63" formatCode="General">
                  <c:v>-19.770545454545456</c:v>
                </c:pt>
                <c:pt idx="64" formatCode="General">
                  <c:v>-19.791090909090908</c:v>
                </c:pt>
                <c:pt idx="65" formatCode="General">
                  <c:v>-19.809272727272727</c:v>
                </c:pt>
                <c:pt idx="66" formatCode="General">
                  <c:v>-19.827349397590361</c:v>
                </c:pt>
                <c:pt idx="67" formatCode="General">
                  <c:v>-19.847272727272728</c:v>
                </c:pt>
                <c:pt idx="68" formatCode="General">
                  <c:v>-19.871515151515151</c:v>
                </c:pt>
                <c:pt idx="69" formatCode="General">
                  <c:v>-19.891818181818181</c:v>
                </c:pt>
                <c:pt idx="70" formatCode="General">
                  <c:v>-19.91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06440"/>
        <c:axId val="44190761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4419064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7616"/>
        <c:crosses val="autoZero"/>
        <c:crossBetween val="midCat"/>
        <c:majorUnit val="100"/>
      </c:valAx>
      <c:valAx>
        <c:axId val="441907616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644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37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-31.89722424242424</c:v>
                </c:pt>
                <c:pt idx="1">
                  <c:v>-31.250533333333333</c:v>
                </c:pt>
                <c:pt idx="2" formatCode="General">
                  <c:v>-30.6572</c:v>
                </c:pt>
                <c:pt idx="3" formatCode="General">
                  <c:v>-30.1174</c:v>
                </c:pt>
                <c:pt idx="4" formatCode="General">
                  <c:v>-29.601715151515151</c:v>
                </c:pt>
                <c:pt idx="5" formatCode="General">
                  <c:v>-29.135654545454543</c:v>
                </c:pt>
                <c:pt idx="6" formatCode="General">
                  <c:v>-28.691783132530119</c:v>
                </c:pt>
                <c:pt idx="7" formatCode="General">
                  <c:v>-28.277325301204822</c:v>
                </c:pt>
                <c:pt idx="8" formatCode="General">
                  <c:v>-27.8978</c:v>
                </c:pt>
                <c:pt idx="9" formatCode="General">
                  <c:v>-27.532927272727274</c:v>
                </c:pt>
                <c:pt idx="10" formatCode="General">
                  <c:v>-27.198987878787882</c:v>
                </c:pt>
                <c:pt idx="11" formatCode="General">
                  <c:v>-26.90098033282905</c:v>
                </c:pt>
                <c:pt idx="12" formatCode="General">
                  <c:v>-26.643491679273829</c:v>
                </c:pt>
                <c:pt idx="13" formatCode="General">
                  <c:v>-26.386003025718608</c:v>
                </c:pt>
                <c:pt idx="14" formatCode="General">
                  <c:v>-26.128514372163391</c:v>
                </c:pt>
                <c:pt idx="15" formatCode="General">
                  <c:v>-25.87102571860817</c:v>
                </c:pt>
                <c:pt idx="16" formatCode="General">
                  <c:v>-25.613537065052949</c:v>
                </c:pt>
                <c:pt idx="17" formatCode="General">
                  <c:v>-25.356048411497731</c:v>
                </c:pt>
                <c:pt idx="18" formatCode="General">
                  <c:v>-25.171028744326776</c:v>
                </c:pt>
                <c:pt idx="19" formatCode="General">
                  <c:v>-24.997806354009079</c:v>
                </c:pt>
                <c:pt idx="20" formatCode="General">
                  <c:v>-24.824583963691378</c:v>
                </c:pt>
                <c:pt idx="21" formatCode="General">
                  <c:v>-24.651361573373677</c:v>
                </c:pt>
                <c:pt idx="22" formatCode="General">
                  <c:v>-24.478139183055976</c:v>
                </c:pt>
                <c:pt idx="23" formatCode="General">
                  <c:v>-24.304916792738275</c:v>
                </c:pt>
                <c:pt idx="24" formatCode="General">
                  <c:v>-24.144810606060606</c:v>
                </c:pt>
                <c:pt idx="25" formatCode="General">
                  <c:v>-24.02405303030303</c:v>
                </c:pt>
                <c:pt idx="26" formatCode="General">
                  <c:v>-23.903295454545454</c:v>
                </c:pt>
                <c:pt idx="27" formatCode="General">
                  <c:v>-23.782537878787878</c:v>
                </c:pt>
                <c:pt idx="28" formatCode="General">
                  <c:v>-23.661780303030305</c:v>
                </c:pt>
                <c:pt idx="29" formatCode="General">
                  <c:v>-23.541022727272729</c:v>
                </c:pt>
                <c:pt idx="30" formatCode="General">
                  <c:v>-23.420265151515153</c:v>
                </c:pt>
                <c:pt idx="31" formatCode="General">
                  <c:v>-23.322931921331318</c:v>
                </c:pt>
                <c:pt idx="32" formatCode="General">
                  <c:v>-23.238211800302572</c:v>
                </c:pt>
                <c:pt idx="33" formatCode="General">
                  <c:v>-23.153491679273827</c:v>
                </c:pt>
                <c:pt idx="34" formatCode="General">
                  <c:v>-23.068771558245082</c:v>
                </c:pt>
                <c:pt idx="35" formatCode="General">
                  <c:v>-22.984051437216337</c:v>
                </c:pt>
                <c:pt idx="36" formatCode="General">
                  <c:v>-22.899331316187592</c:v>
                </c:pt>
                <c:pt idx="37" formatCode="General">
                  <c:v>-22.815652042360057</c:v>
                </c:pt>
                <c:pt idx="38" formatCode="General">
                  <c:v>-22.756953101361571</c:v>
                </c:pt>
                <c:pt idx="39" formatCode="General">
                  <c:v>-22.698254160363085</c:v>
                </c:pt>
                <c:pt idx="40" formatCode="General">
                  <c:v>-22.639555219364599</c:v>
                </c:pt>
                <c:pt idx="41" formatCode="General">
                  <c:v>-22.58085627836611</c:v>
                </c:pt>
                <c:pt idx="42" formatCode="General">
                  <c:v>-22.522157337367624</c:v>
                </c:pt>
                <c:pt idx="43" formatCode="General">
                  <c:v>-22.463458396369138</c:v>
                </c:pt>
                <c:pt idx="44" formatCode="General">
                  <c:v>-22.412826021180031</c:v>
                </c:pt>
                <c:pt idx="45" formatCode="General">
                  <c:v>-22.372886535552194</c:v>
                </c:pt>
                <c:pt idx="46" formatCode="General">
                  <c:v>-22.332947049924357</c:v>
                </c:pt>
                <c:pt idx="47" formatCode="General">
                  <c:v>-22.29300756429652</c:v>
                </c:pt>
                <c:pt idx="48" formatCode="General">
                  <c:v>-22.253068078668683</c:v>
                </c:pt>
                <c:pt idx="49" formatCode="General">
                  <c:v>-22.213128593040846</c:v>
                </c:pt>
                <c:pt idx="50" formatCode="General">
                  <c:v>-22.173189107413009</c:v>
                </c:pt>
                <c:pt idx="51" formatCode="General">
                  <c:v>-22.136181818181818</c:v>
                </c:pt>
                <c:pt idx="52" formatCode="General">
                  <c:v>-22.101878787878789</c:v>
                </c:pt>
                <c:pt idx="53" formatCode="General">
                  <c:v>-22.077636363636362</c:v>
                </c:pt>
                <c:pt idx="54" formatCode="General">
                  <c:v>-22.050242424242423</c:v>
                </c:pt>
                <c:pt idx="55" formatCode="General">
                  <c:v>-22.019939393939392</c:v>
                </c:pt>
                <c:pt idx="56" formatCode="General">
                  <c:v>-21.99490909090909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-30.631672727272726</c:v>
                </c:pt>
                <c:pt idx="47" formatCode="General">
                  <c:v>-30.464630303030301</c:v>
                </c:pt>
                <c:pt idx="48" formatCode="General">
                  <c:v>-30.469478787878788</c:v>
                </c:pt>
                <c:pt idx="49" formatCode="General">
                  <c:v>-30.474891566265061</c:v>
                </c:pt>
                <c:pt idx="50" formatCode="General">
                  <c:v>-30.480915662650602</c:v>
                </c:pt>
                <c:pt idx="51" formatCode="General">
                  <c:v>-30.493181818181817</c:v>
                </c:pt>
                <c:pt idx="52" formatCode="General">
                  <c:v>-30.506818181818183</c:v>
                </c:pt>
                <c:pt idx="53" formatCode="General">
                  <c:v>-30.520454545454545</c:v>
                </c:pt>
                <c:pt idx="54" formatCode="General">
                  <c:v>-30.53409090909091</c:v>
                </c:pt>
                <c:pt idx="55" formatCode="General">
                  <c:v>-30.547727272727276</c:v>
                </c:pt>
                <c:pt idx="56" formatCode="General">
                  <c:v>-30.561363636363637</c:v>
                </c:pt>
                <c:pt idx="57" formatCode="General">
                  <c:v>-30.577301204819278</c:v>
                </c:pt>
                <c:pt idx="58" formatCode="General">
                  <c:v>-30.601397590361447</c:v>
                </c:pt>
                <c:pt idx="59" formatCode="General">
                  <c:v>-30.622860606060605</c:v>
                </c:pt>
                <c:pt idx="60" formatCode="General">
                  <c:v>-30.642254545454545</c:v>
                </c:pt>
                <c:pt idx="61" formatCode="General">
                  <c:v>-30.669369696969696</c:v>
                </c:pt>
                <c:pt idx="62" formatCode="General">
                  <c:v>-30.697563636363636</c:v>
                </c:pt>
                <c:pt idx="63" formatCode="General">
                  <c:v>-30.726654545454547</c:v>
                </c:pt>
                <c:pt idx="64" formatCode="General">
                  <c:v>-30.757224242424243</c:v>
                </c:pt>
                <c:pt idx="65" formatCode="General">
                  <c:v>-30.788739393939395</c:v>
                </c:pt>
                <c:pt idx="66" formatCode="General">
                  <c:v>-30.822385542168675</c:v>
                </c:pt>
                <c:pt idx="67" formatCode="General">
                  <c:v>-30.856909090909092</c:v>
                </c:pt>
                <c:pt idx="68" formatCode="General">
                  <c:v>-30.893272727272727</c:v>
                </c:pt>
                <c:pt idx="69" formatCode="General">
                  <c:v>-30.931999999999999</c:v>
                </c:pt>
                <c:pt idx="70" formatCode="General">
                  <c:v>-30.972000000000001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-22.205757575757573</c:v>
                </c:pt>
                <c:pt idx="1">
                  <c:v>-21.627333333333333</c:v>
                </c:pt>
                <c:pt idx="2" formatCode="General">
                  <c:v>-21.093999999999998</c:v>
                </c:pt>
                <c:pt idx="3" formatCode="General">
                  <c:v>-20.596060606060604</c:v>
                </c:pt>
                <c:pt idx="4" formatCode="General">
                  <c:v>-20.142375189107412</c:v>
                </c:pt>
                <c:pt idx="5" formatCode="General">
                  <c:v>-20.047065052950074</c:v>
                </c:pt>
                <c:pt idx="6" formatCode="General">
                  <c:v>-19.951754916792737</c:v>
                </c:pt>
                <c:pt idx="7" formatCode="General">
                  <c:v>-19.8564447806354</c:v>
                </c:pt>
                <c:pt idx="8" formatCode="General">
                  <c:v>-19.761134644478062</c:v>
                </c:pt>
                <c:pt idx="9" formatCode="General">
                  <c:v>-19.665824508320725</c:v>
                </c:pt>
                <c:pt idx="10" formatCode="General">
                  <c:v>-19.570514372163387</c:v>
                </c:pt>
                <c:pt idx="11" formatCode="General">
                  <c:v>-19.074886535552196</c:v>
                </c:pt>
                <c:pt idx="12" formatCode="General">
                  <c:v>-18.127836611195157</c:v>
                </c:pt>
                <c:pt idx="13" formatCode="General">
                  <c:v>-17.180786686838125</c:v>
                </c:pt>
                <c:pt idx="14" formatCode="General">
                  <c:v>-16.233736762481087</c:v>
                </c:pt>
                <c:pt idx="15" formatCode="General">
                  <c:v>-15.286686838124053</c:v>
                </c:pt>
                <c:pt idx="16" formatCode="General">
                  <c:v>-14.339636913767016</c:v>
                </c:pt>
                <c:pt idx="17" formatCode="General">
                  <c:v>-13.392586989409981</c:v>
                </c:pt>
                <c:pt idx="18" formatCode="General">
                  <c:v>-13.058335854765506</c:v>
                </c:pt>
                <c:pt idx="19" formatCode="General">
                  <c:v>-12.823842662632375</c:v>
                </c:pt>
                <c:pt idx="20" formatCode="General">
                  <c:v>-12.589349470499243</c:v>
                </c:pt>
                <c:pt idx="21" formatCode="General">
                  <c:v>-12.354856278366112</c:v>
                </c:pt>
                <c:pt idx="22" formatCode="General">
                  <c:v>-12.120363086232981</c:v>
                </c:pt>
                <c:pt idx="23" formatCode="General">
                  <c:v>-11.88586989409985</c:v>
                </c:pt>
                <c:pt idx="24" formatCode="General">
                  <c:v>-11.664545454545456</c:v>
                </c:pt>
                <c:pt idx="25" formatCode="General">
                  <c:v>-11.482727272727274</c:v>
                </c:pt>
                <c:pt idx="26" formatCode="General">
                  <c:v>-11.300909090909091</c:v>
                </c:pt>
                <c:pt idx="27" formatCode="General">
                  <c:v>-11.119090909090909</c:v>
                </c:pt>
                <c:pt idx="28" formatCode="General">
                  <c:v>-10.937272727272727</c:v>
                </c:pt>
                <c:pt idx="29" formatCode="General">
                  <c:v>-10.755454545454546</c:v>
                </c:pt>
                <c:pt idx="30" formatCode="General">
                  <c:v>-10.573636363636364</c:v>
                </c:pt>
                <c:pt idx="31" formatCode="General">
                  <c:v>-10.424152798789713</c:v>
                </c:pt>
                <c:pt idx="32" formatCode="General">
                  <c:v>-10.292080181543117</c:v>
                </c:pt>
                <c:pt idx="33" formatCode="General">
                  <c:v>-10.160007564296521</c:v>
                </c:pt>
                <c:pt idx="34" formatCode="General">
                  <c:v>-10.027934947049925</c:v>
                </c:pt>
                <c:pt idx="35" formatCode="General">
                  <c:v>-9.8958623298033288</c:v>
                </c:pt>
                <c:pt idx="36" formatCode="General">
                  <c:v>-9.7637897125567328</c:v>
                </c:pt>
                <c:pt idx="37" formatCode="General">
                  <c:v>-9.6337140695915284</c:v>
                </c:pt>
                <c:pt idx="38" formatCode="General">
                  <c:v>-9.5515658093797278</c:v>
                </c:pt>
                <c:pt idx="39" formatCode="General">
                  <c:v>-9.4694175491679271</c:v>
                </c:pt>
                <c:pt idx="40" formatCode="General">
                  <c:v>-9.3872692889561264</c:v>
                </c:pt>
                <c:pt idx="41" formatCode="General">
                  <c:v>-9.3051210287443276</c:v>
                </c:pt>
                <c:pt idx="42" formatCode="General">
                  <c:v>-9.2229727685325269</c:v>
                </c:pt>
                <c:pt idx="43" formatCode="General">
                  <c:v>-9.1408245083207262</c:v>
                </c:pt>
                <c:pt idx="44" formatCode="General">
                  <c:v>-9.071587878787879</c:v>
                </c:pt>
                <c:pt idx="45" formatCode="General">
                  <c:v>-9.0194666666666663</c:v>
                </c:pt>
                <c:pt idx="46" formatCode="General">
                  <c:v>-8.9758545454545455</c:v>
                </c:pt>
                <c:pt idx="47" formatCode="General">
                  <c:v>-8.9359818181818174</c:v>
                </c:pt>
                <c:pt idx="48" formatCode="General">
                  <c:v>-8.9050727272727261</c:v>
                </c:pt>
                <c:pt idx="49" formatCode="General">
                  <c:v>-8.8783012048192766</c:v>
                </c:pt>
                <c:pt idx="50" formatCode="General">
                  <c:v>-8.8560120481927704</c:v>
                </c:pt>
                <c:pt idx="51" formatCode="General">
                  <c:v>-8.8400727272727266</c:v>
                </c:pt>
                <c:pt idx="52" formatCode="General">
                  <c:v>-8.8179030303030288</c:v>
                </c:pt>
                <c:pt idx="53" formatCode="General">
                  <c:v>-8.7585090909090901</c:v>
                </c:pt>
                <c:pt idx="54" formatCode="General">
                  <c:v>-8.7151878787878783</c:v>
                </c:pt>
                <c:pt idx="55" formatCode="General">
                  <c:v>-8.6867030303030308</c:v>
                </c:pt>
                <c:pt idx="56" formatCode="General">
                  <c:v>-8.6735090909090911</c:v>
                </c:pt>
                <c:pt idx="57" formatCode="General">
                  <c:v>-8.6656626506024086</c:v>
                </c:pt>
                <c:pt idx="58" formatCode="General">
                  <c:v>-8.668674698795181</c:v>
                </c:pt>
                <c:pt idx="59" formatCode="General">
                  <c:v>-8.6927393939393944</c:v>
                </c:pt>
                <c:pt idx="60" formatCode="General">
                  <c:v>-8.7333454545454554</c:v>
                </c:pt>
                <c:pt idx="61" formatCode="General">
                  <c:v>-8.7772606060606062</c:v>
                </c:pt>
                <c:pt idx="62" formatCode="General">
                  <c:v>-8.8216606060606058</c:v>
                </c:pt>
                <c:pt idx="63" formatCode="General">
                  <c:v>-8.8665090909090907</c:v>
                </c:pt>
                <c:pt idx="64" formatCode="General">
                  <c:v>-8.9120969696969699</c:v>
                </c:pt>
                <c:pt idx="65" formatCode="General">
                  <c:v>-8.9581575757575767</c:v>
                </c:pt>
                <c:pt idx="66" formatCode="General">
                  <c:v>-9.0051084337349412</c:v>
                </c:pt>
                <c:pt idx="67" formatCode="General">
                  <c:v>-9.052545454545454</c:v>
                </c:pt>
                <c:pt idx="68" formatCode="General">
                  <c:v>-9.1010303030303028</c:v>
                </c:pt>
                <c:pt idx="69" formatCode="General">
                  <c:v>-9.1506969696969698</c:v>
                </c:pt>
                <c:pt idx="70" formatCode="General">
                  <c:v>-9.2010000000000005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12320"/>
        <c:axId val="44190840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4419123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8400"/>
        <c:crosses val="autoZero"/>
        <c:crossBetween val="midCat"/>
        <c:majorUnit val="100"/>
      </c:valAx>
      <c:valAx>
        <c:axId val="441908400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12320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9"/>
          <c:y val="1.415765045429893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-65.98996363636364</c:v>
                </c:pt>
                <c:pt idx="47" formatCode="General">
                  <c:v>-65.312096969696967</c:v>
                </c:pt>
                <c:pt idx="48" formatCode="General">
                  <c:v>-65.743612121212124</c:v>
                </c:pt>
                <c:pt idx="49" formatCode="General">
                  <c:v>-66.129927710843376</c:v>
                </c:pt>
                <c:pt idx="50" formatCode="General">
                  <c:v>-66.467277108433748</c:v>
                </c:pt>
                <c:pt idx="51" formatCode="General">
                  <c:v>-66.806303030303042</c:v>
                </c:pt>
                <c:pt idx="52" formatCode="General">
                  <c:v>-67.145696969696971</c:v>
                </c:pt>
                <c:pt idx="53" formatCode="General">
                  <c:v>-67.485090909090914</c:v>
                </c:pt>
                <c:pt idx="54" formatCode="General">
                  <c:v>-67.824484848484857</c:v>
                </c:pt>
                <c:pt idx="55" formatCode="General">
                  <c:v>-68.163878787878787</c:v>
                </c:pt>
                <c:pt idx="56" formatCode="General">
                  <c:v>-68.50327272727273</c:v>
                </c:pt>
                <c:pt idx="57" formatCode="General">
                  <c:v>-68.842216867469887</c:v>
                </c:pt>
                <c:pt idx="58" formatCode="General">
                  <c:v>-69.179566265060245</c:v>
                </c:pt>
                <c:pt idx="59" formatCode="General">
                  <c:v>-69.520775757575763</c:v>
                </c:pt>
                <c:pt idx="60" formatCode="General">
                  <c:v>-69.865018181818186</c:v>
                </c:pt>
                <c:pt idx="61" formatCode="General">
                  <c:v>-70.21808484848485</c:v>
                </c:pt>
                <c:pt idx="62" formatCode="General">
                  <c:v>-70.573284848484846</c:v>
                </c:pt>
                <c:pt idx="63" formatCode="General">
                  <c:v>-70.932072727272725</c:v>
                </c:pt>
                <c:pt idx="64" formatCode="General">
                  <c:v>-71.296775757575759</c:v>
                </c:pt>
                <c:pt idx="65" formatCode="General">
                  <c:v>-71.665260606060613</c:v>
                </c:pt>
                <c:pt idx="66" formatCode="General">
                  <c:v>-72.040867469879529</c:v>
                </c:pt>
                <c:pt idx="67" formatCode="General">
                  <c:v>-72.420363636363632</c:v>
                </c:pt>
                <c:pt idx="68" formatCode="General">
                  <c:v>-72.808242424242422</c:v>
                </c:pt>
                <c:pt idx="69" formatCode="General">
                  <c:v>-73.205575757575758</c:v>
                </c:pt>
                <c:pt idx="70" formatCode="General">
                  <c:v>-73.608000000000004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-15.986666666666665</c:v>
                </c:pt>
                <c:pt idx="1">
                  <c:v>-15.667151515151515</c:v>
                </c:pt>
                <c:pt idx="2" formatCode="General">
                  <c:v>-15.370181818181816</c:v>
                </c:pt>
                <c:pt idx="3" formatCode="General">
                  <c:v>-15.099757575757575</c:v>
                </c:pt>
                <c:pt idx="4" formatCode="General">
                  <c:v>-14.822118003025718</c:v>
                </c:pt>
                <c:pt idx="5" formatCode="General">
                  <c:v>-14.3485930408472</c:v>
                </c:pt>
                <c:pt idx="6" formatCode="General">
                  <c:v>-13.875068078668683</c:v>
                </c:pt>
                <c:pt idx="7" formatCode="General">
                  <c:v>-13.401543116490167</c:v>
                </c:pt>
                <c:pt idx="8" formatCode="General">
                  <c:v>-12.928018154311649</c:v>
                </c:pt>
                <c:pt idx="9" formatCode="General">
                  <c:v>-12.454493192133132</c:v>
                </c:pt>
                <c:pt idx="10" formatCode="General">
                  <c:v>-11.980968229954614</c:v>
                </c:pt>
                <c:pt idx="11" formatCode="General">
                  <c:v>-11.990953101361573</c:v>
                </c:pt>
                <c:pt idx="12" formatCode="General">
                  <c:v>-12.546172465960666</c:v>
                </c:pt>
                <c:pt idx="13" formatCode="General">
                  <c:v>-13.101391830559759</c:v>
                </c:pt>
                <c:pt idx="14" formatCode="General">
                  <c:v>-13.656611195158851</c:v>
                </c:pt>
                <c:pt idx="15" formatCode="General">
                  <c:v>-14.211830559757944</c:v>
                </c:pt>
                <c:pt idx="16" formatCode="General">
                  <c:v>-14.767049924357035</c:v>
                </c:pt>
                <c:pt idx="17" formatCode="General">
                  <c:v>-15.322269288956129</c:v>
                </c:pt>
                <c:pt idx="18" formatCode="General">
                  <c:v>-15.362269288956128</c:v>
                </c:pt>
                <c:pt idx="19" formatCode="General">
                  <c:v>-15.31839636913767</c:v>
                </c:pt>
                <c:pt idx="20" formatCode="General">
                  <c:v>-15.274523449319213</c:v>
                </c:pt>
                <c:pt idx="21" formatCode="General">
                  <c:v>-15.230650529500757</c:v>
                </c:pt>
                <c:pt idx="22" formatCode="General">
                  <c:v>-15.186777609682299</c:v>
                </c:pt>
                <c:pt idx="23" formatCode="General">
                  <c:v>-15.142904689863842</c:v>
                </c:pt>
                <c:pt idx="24" formatCode="General">
                  <c:v>-15.103939393939394</c:v>
                </c:pt>
                <c:pt idx="25" formatCode="General">
                  <c:v>-15.079696969696968</c:v>
                </c:pt>
                <c:pt idx="26" formatCode="General">
                  <c:v>-15.055454545454545</c:v>
                </c:pt>
                <c:pt idx="27" formatCode="General">
                  <c:v>-15.031212121212121</c:v>
                </c:pt>
                <c:pt idx="28" formatCode="General">
                  <c:v>-15.006969696969696</c:v>
                </c:pt>
                <c:pt idx="29" formatCode="General">
                  <c:v>-14.982727272727272</c:v>
                </c:pt>
                <c:pt idx="30" formatCode="General">
                  <c:v>-14.958484848484847</c:v>
                </c:pt>
                <c:pt idx="31" formatCode="General">
                  <c:v>-14.933282904689863</c:v>
                </c:pt>
                <c:pt idx="32" formatCode="General">
                  <c:v>-14.907564296520423</c:v>
                </c:pt>
                <c:pt idx="33" formatCode="General">
                  <c:v>-14.881845688350984</c:v>
                </c:pt>
                <c:pt idx="34" formatCode="General">
                  <c:v>-14.856127080181542</c:v>
                </c:pt>
                <c:pt idx="35" formatCode="General">
                  <c:v>-14.830408472012103</c:v>
                </c:pt>
                <c:pt idx="36" formatCode="General">
                  <c:v>-14.804689863842661</c:v>
                </c:pt>
                <c:pt idx="37" formatCode="General">
                  <c:v>-14.778124054462934</c:v>
                </c:pt>
                <c:pt idx="38" formatCode="General">
                  <c:v>-14.731225416036308</c:v>
                </c:pt>
                <c:pt idx="39" formatCode="General">
                  <c:v>-14.684326777609682</c:v>
                </c:pt>
                <c:pt idx="40" formatCode="General">
                  <c:v>-14.637428139183056</c:v>
                </c:pt>
                <c:pt idx="41" formatCode="General">
                  <c:v>-14.59052950075643</c:v>
                </c:pt>
                <c:pt idx="42" formatCode="General">
                  <c:v>-14.543630862329804</c:v>
                </c:pt>
                <c:pt idx="43" formatCode="General">
                  <c:v>-14.496732223903178</c:v>
                </c:pt>
                <c:pt idx="44" formatCode="General">
                  <c:v>-14.443939393939395</c:v>
                </c:pt>
                <c:pt idx="45" formatCode="General">
                  <c:v>-14.383333333333333</c:v>
                </c:pt>
                <c:pt idx="46" formatCode="General">
                  <c:v>-14.318</c:v>
                </c:pt>
                <c:pt idx="47" formatCode="General">
                  <c:v>-14.251333333333333</c:v>
                </c:pt>
                <c:pt idx="48" formatCode="General">
                  <c:v>-14.184666666666667</c:v>
                </c:pt>
                <c:pt idx="49" formatCode="General">
                  <c:v>-14.115301204819277</c:v>
                </c:pt>
                <c:pt idx="50" formatCode="General">
                  <c:v>-14.04301204819277</c:v>
                </c:pt>
                <c:pt idx="51" formatCode="General">
                  <c:v>-13.965393939393939</c:v>
                </c:pt>
                <c:pt idx="52" formatCode="General">
                  <c:v>-13.878363636363636</c:v>
                </c:pt>
                <c:pt idx="53" formatCode="General">
                  <c:v>-13.751090909090909</c:v>
                </c:pt>
                <c:pt idx="54" formatCode="General">
                  <c:v>-13.639575757575757</c:v>
                </c:pt>
                <c:pt idx="55" formatCode="General">
                  <c:v>-13.54260606060606</c:v>
                </c:pt>
                <c:pt idx="56" formatCode="General">
                  <c:v>-13.461454545454545</c:v>
                </c:pt>
                <c:pt idx="57" formatCode="General">
                  <c:v>-13.384096385542168</c:v>
                </c:pt>
                <c:pt idx="58" formatCode="General">
                  <c:v>-13.311807228915661</c:v>
                </c:pt>
                <c:pt idx="59" formatCode="General">
                  <c:v>-13.242666666666667</c:v>
                </c:pt>
                <c:pt idx="60" formatCode="General">
                  <c:v>-13.176</c:v>
                </c:pt>
                <c:pt idx="61" formatCode="General">
                  <c:v>-13.114848484848485</c:v>
                </c:pt>
                <c:pt idx="62" formatCode="General">
                  <c:v>-13.054242424242425</c:v>
                </c:pt>
                <c:pt idx="63" formatCode="General">
                  <c:v>-12.993636363636364</c:v>
                </c:pt>
                <c:pt idx="64" formatCode="General">
                  <c:v>-12.933030303030304</c:v>
                </c:pt>
                <c:pt idx="65" formatCode="General">
                  <c:v>-12.872424242424241</c:v>
                </c:pt>
                <c:pt idx="66" formatCode="General">
                  <c:v>-12.812168674698794</c:v>
                </c:pt>
                <c:pt idx="67" formatCode="General">
                  <c:v>-12.751818181818182</c:v>
                </c:pt>
                <c:pt idx="68" formatCode="General">
                  <c:v>-12.691212121212121</c:v>
                </c:pt>
                <c:pt idx="69" formatCode="General">
                  <c:v>-12.630606060606061</c:v>
                </c:pt>
                <c:pt idx="70" formatCode="General">
                  <c:v>-12.57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09968"/>
        <c:axId val="44191036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44190996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10360"/>
        <c:crosses val="autoZero"/>
        <c:crossBetween val="midCat"/>
        <c:majorUnit val="100"/>
      </c:valAx>
      <c:valAx>
        <c:axId val="441910360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9968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9"/>
          <c:y val="1.41269686334021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2"/>
          <c:w val="0.79872285919300712"/>
          <c:h val="0.79349420735008203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-22.382927272727276</c:v>
                </c:pt>
                <c:pt idx="47" formatCode="General">
                  <c:v>-22.300618181818184</c:v>
                </c:pt>
                <c:pt idx="48" formatCode="General">
                  <c:v>-22.251527272727273</c:v>
                </c:pt>
                <c:pt idx="49" formatCode="General">
                  <c:v>-22.208650602409637</c:v>
                </c:pt>
                <c:pt idx="50" formatCode="General">
                  <c:v>-22.172506024096386</c:v>
                </c:pt>
                <c:pt idx="51" formatCode="General">
                  <c:v>-22.142393939393941</c:v>
                </c:pt>
                <c:pt idx="52" formatCode="General">
                  <c:v>-22.11360606060606</c:v>
                </c:pt>
                <c:pt idx="53" formatCode="General">
                  <c:v>-22.084818181818182</c:v>
                </c:pt>
                <c:pt idx="54" formatCode="General">
                  <c:v>-22.056030303030301</c:v>
                </c:pt>
                <c:pt idx="55" formatCode="General">
                  <c:v>-22.027242424242424</c:v>
                </c:pt>
                <c:pt idx="56" formatCode="General">
                  <c:v>-21.998454545454546</c:v>
                </c:pt>
                <c:pt idx="57" formatCode="General">
                  <c:v>-21.972024096385542</c:v>
                </c:pt>
                <c:pt idx="58" formatCode="General">
                  <c:v>-21.953951807228915</c:v>
                </c:pt>
                <c:pt idx="59" formatCode="General">
                  <c:v>-21.932763636363635</c:v>
                </c:pt>
                <c:pt idx="60" formatCode="General">
                  <c:v>-21.909127272727272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5="http://schemas.microsoft.com/office/drawing/2012/chart" xmlns:c16r2="http://schemas.microsoft.com/office/drawing/2015/06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-38.192424242424238</c:v>
                </c:pt>
                <c:pt idx="1">
                  <c:v>-37.294484848484849</c:v>
                </c:pt>
                <c:pt idx="2" formatCode="General">
                  <c:v>-36.464181818181814</c:v>
                </c:pt>
                <c:pt idx="3" formatCode="General">
                  <c:v>-35.695818181818176</c:v>
                </c:pt>
                <c:pt idx="4" formatCode="General">
                  <c:v>-34.964493192133126</c:v>
                </c:pt>
                <c:pt idx="5" formatCode="General">
                  <c:v>-34.395658093797273</c:v>
                </c:pt>
                <c:pt idx="6" formatCode="General">
                  <c:v>-33.82682299546142</c:v>
                </c:pt>
                <c:pt idx="7" formatCode="General">
                  <c:v>-33.257987897125567</c:v>
                </c:pt>
                <c:pt idx="8" formatCode="General">
                  <c:v>-32.689152798789713</c:v>
                </c:pt>
                <c:pt idx="9" formatCode="General">
                  <c:v>-32.12031770045386</c:v>
                </c:pt>
                <c:pt idx="10" formatCode="General">
                  <c:v>-31.551482602118003</c:v>
                </c:pt>
                <c:pt idx="11" formatCode="General">
                  <c:v>-31.065839636913768</c:v>
                </c:pt>
                <c:pt idx="12" formatCode="General">
                  <c:v>-30.674009077155823</c:v>
                </c:pt>
                <c:pt idx="13" formatCode="General">
                  <c:v>-30.282178517397881</c:v>
                </c:pt>
                <c:pt idx="14" formatCode="General">
                  <c:v>-29.890347957639939</c:v>
                </c:pt>
                <c:pt idx="15" formatCode="General">
                  <c:v>-29.498517397881997</c:v>
                </c:pt>
                <c:pt idx="16" formatCode="General">
                  <c:v>-29.106686838124055</c:v>
                </c:pt>
                <c:pt idx="17" formatCode="General">
                  <c:v>-28.71485627836611</c:v>
                </c:pt>
                <c:pt idx="18" formatCode="General">
                  <c:v>-28.420605143721634</c:v>
                </c:pt>
                <c:pt idx="19" formatCode="General">
                  <c:v>-28.142239031770046</c:v>
                </c:pt>
                <c:pt idx="20" formatCode="General">
                  <c:v>-27.863872919818455</c:v>
                </c:pt>
                <c:pt idx="21" formatCode="General">
                  <c:v>-27.585506807866867</c:v>
                </c:pt>
                <c:pt idx="22" formatCode="General">
                  <c:v>-27.30714069591528</c:v>
                </c:pt>
                <c:pt idx="23" formatCode="General">
                  <c:v>-27.028774583963692</c:v>
                </c:pt>
                <c:pt idx="24" formatCode="General">
                  <c:v>-26.768484848484849</c:v>
                </c:pt>
                <c:pt idx="25" formatCode="General">
                  <c:v>-26.562424242424242</c:v>
                </c:pt>
                <c:pt idx="26" formatCode="General">
                  <c:v>-26.356363636363636</c:v>
                </c:pt>
                <c:pt idx="27" formatCode="General">
                  <c:v>-26.150303030303032</c:v>
                </c:pt>
                <c:pt idx="28" formatCode="General">
                  <c:v>-25.944242424242425</c:v>
                </c:pt>
                <c:pt idx="29" formatCode="General">
                  <c:v>-25.738181818181818</c:v>
                </c:pt>
                <c:pt idx="30" formatCode="General">
                  <c:v>-25.532121212121211</c:v>
                </c:pt>
                <c:pt idx="31" formatCode="General">
                  <c:v>-25.357435703479577</c:v>
                </c:pt>
                <c:pt idx="32" formatCode="General">
                  <c:v>-25.19964447806354</c:v>
                </c:pt>
                <c:pt idx="33" formatCode="General">
                  <c:v>-25.041853252647506</c:v>
                </c:pt>
                <c:pt idx="34" formatCode="General">
                  <c:v>-24.884062027231469</c:v>
                </c:pt>
                <c:pt idx="35" formatCode="General">
                  <c:v>-24.726270801815431</c:v>
                </c:pt>
                <c:pt idx="36" formatCode="General">
                  <c:v>-24.568479576399398</c:v>
                </c:pt>
                <c:pt idx="37" formatCode="General">
                  <c:v>-24.411838124054466</c:v>
                </c:pt>
                <c:pt idx="38" formatCode="General">
                  <c:v>-24.282791225416037</c:v>
                </c:pt>
                <c:pt idx="39" formatCode="General">
                  <c:v>-24.153744326777613</c:v>
                </c:pt>
                <c:pt idx="40" formatCode="General">
                  <c:v>-24.024697428139184</c:v>
                </c:pt>
                <c:pt idx="41" formatCode="General">
                  <c:v>-23.895650529500756</c:v>
                </c:pt>
                <c:pt idx="42" formatCode="General">
                  <c:v>-23.766603630862331</c:v>
                </c:pt>
                <c:pt idx="43" formatCode="General">
                  <c:v>-23.637556732223903</c:v>
                </c:pt>
                <c:pt idx="44" formatCode="General">
                  <c:v>-23.515527272727272</c:v>
                </c:pt>
                <c:pt idx="45" formatCode="General">
                  <c:v>-23.402799999999999</c:v>
                </c:pt>
                <c:pt idx="46" formatCode="General">
                  <c:v>-23.293854545454547</c:v>
                </c:pt>
                <c:pt idx="47" formatCode="General">
                  <c:v>-23.187315151515151</c:v>
                </c:pt>
                <c:pt idx="48" formatCode="General">
                  <c:v>-23.089739393939396</c:v>
                </c:pt>
                <c:pt idx="49" formatCode="General">
                  <c:v>-22.993602409638555</c:v>
                </c:pt>
                <c:pt idx="50" formatCode="General">
                  <c:v>-22.899024096385538</c:v>
                </c:pt>
                <c:pt idx="51" formatCode="General">
                  <c:v>-22.805466666666668</c:v>
                </c:pt>
                <c:pt idx="52" formatCode="General">
                  <c:v>-22.696266666666666</c:v>
                </c:pt>
                <c:pt idx="53" formatCode="General">
                  <c:v>-22.509600000000002</c:v>
                </c:pt>
                <c:pt idx="54" formatCode="General">
                  <c:v>-22.354763636363636</c:v>
                </c:pt>
                <c:pt idx="55" formatCode="General">
                  <c:v>-22.229309090909091</c:v>
                </c:pt>
                <c:pt idx="56" formatCode="General">
                  <c:v>-22.134963636363636</c:v>
                </c:pt>
                <c:pt idx="57" formatCode="General">
                  <c:v>-22.049759036144575</c:v>
                </c:pt>
                <c:pt idx="58" formatCode="General">
                  <c:v>-21.980481927710841</c:v>
                </c:pt>
                <c:pt idx="59" formatCode="General">
                  <c:v>-21.935406060606059</c:v>
                </c:pt>
                <c:pt idx="60" formatCode="General">
                  <c:v>-21.909345454545456</c:v>
                </c:pt>
                <c:pt idx="61" formatCode="General">
                  <c:v>-21.892109090909091</c:v>
                </c:pt>
                <c:pt idx="62" formatCode="General">
                  <c:v>-21.875903030303032</c:v>
                </c:pt>
                <c:pt idx="63" formatCode="General">
                  <c:v>-21.860145454545453</c:v>
                </c:pt>
                <c:pt idx="64" formatCode="General">
                  <c:v>-21.845127272727272</c:v>
                </c:pt>
                <c:pt idx="65" formatCode="General">
                  <c:v>-21.830581818181816</c:v>
                </c:pt>
                <c:pt idx="66" formatCode="General">
                  <c:v>-21.817277108433736</c:v>
                </c:pt>
                <c:pt idx="67" formatCode="General">
                  <c:v>-21.804363636363636</c:v>
                </c:pt>
                <c:pt idx="68" formatCode="General">
                  <c:v>-21.792242424242424</c:v>
                </c:pt>
                <c:pt idx="69" formatCode="General">
                  <c:v>-21.781303030303032</c:v>
                </c:pt>
                <c:pt idx="70" formatCode="General">
                  <c:v>-21.771000000000001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909184"/>
        <c:axId val="44191114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-22.6752</c:v>
                      </c:pt>
                      <c:pt idx="1">
                        <c:v>-22.917042424242425</c:v>
                      </c:pt>
                      <c:pt idx="2" formatCode="General">
                        <c:v>-23.161890909090911</c:v>
                      </c:pt>
                      <c:pt idx="3" formatCode="General">
                        <c:v>-23.408509090909092</c:v>
                      </c:pt>
                      <c:pt idx="4" formatCode="General">
                        <c:v>-23.655587878787877</c:v>
                      </c:pt>
                      <c:pt idx="5" formatCode="General">
                        <c:v>-23.900436363636363</c:v>
                      </c:pt>
                      <c:pt idx="6" formatCode="General">
                        <c:v>-24.145686746987952</c:v>
                      </c:pt>
                      <c:pt idx="7" formatCode="General">
                        <c:v>-24.391469879518073</c:v>
                      </c:pt>
                      <c:pt idx="8" formatCode="General">
                        <c:v>-24.636533333333333</c:v>
                      </c:pt>
                      <c:pt idx="9" formatCode="General">
                        <c:v>-24.880800000000001</c:v>
                      </c:pt>
                      <c:pt idx="10" formatCode="General">
                        <c:v>-25.120799999999999</c:v>
                      </c:pt>
                      <c:pt idx="11" formatCode="General">
                        <c:v>-25.358354009077157</c:v>
                      </c:pt>
                      <c:pt idx="12" formatCode="General">
                        <c:v>-25.593149773071104</c:v>
                      </c:pt>
                      <c:pt idx="13" formatCode="General">
                        <c:v>-25.827945537065055</c:v>
                      </c:pt>
                      <c:pt idx="14" formatCode="General">
                        <c:v>-26.062741301059003</c:v>
                      </c:pt>
                      <c:pt idx="15" formatCode="General">
                        <c:v>-26.29753706505295</c:v>
                      </c:pt>
                      <c:pt idx="16" formatCode="General">
                        <c:v>-26.532332829046901</c:v>
                      </c:pt>
                      <c:pt idx="17" formatCode="General">
                        <c:v>-26.767128593040848</c:v>
                      </c:pt>
                      <c:pt idx="18" formatCode="General">
                        <c:v>-26.989954614220878</c:v>
                      </c:pt>
                      <c:pt idx="19" formatCode="General">
                        <c:v>-27.210832072617247</c:v>
                      </c:pt>
                      <c:pt idx="20" formatCode="General">
                        <c:v>-27.431709531013617</c:v>
                      </c:pt>
                      <c:pt idx="21" formatCode="General">
                        <c:v>-27.652586989409986</c:v>
                      </c:pt>
                      <c:pt idx="22" formatCode="General">
                        <c:v>-27.873464447806356</c:v>
                      </c:pt>
                      <c:pt idx="23" formatCode="General">
                        <c:v>-28.094341906202725</c:v>
                      </c:pt>
                      <c:pt idx="24" formatCode="General">
                        <c:v>-28.311969696969697</c:v>
                      </c:pt>
                      <c:pt idx="25" formatCode="General">
                        <c:v>-28.519848484848488</c:v>
                      </c:pt>
                      <c:pt idx="26" formatCode="General">
                        <c:v>-28.727727272727275</c:v>
                      </c:pt>
                      <c:pt idx="27" formatCode="General">
                        <c:v>-28.935606060606062</c:v>
                      </c:pt>
                      <c:pt idx="28" formatCode="General">
                        <c:v>-29.143484848484849</c:v>
                      </c:pt>
                      <c:pt idx="29" formatCode="General">
                        <c:v>-29.351363636363637</c:v>
                      </c:pt>
                      <c:pt idx="30" formatCode="General">
                        <c:v>-29.559242424242427</c:v>
                      </c:pt>
                      <c:pt idx="31" formatCode="General">
                        <c:v>-29.757869894099851</c:v>
                      </c:pt>
                      <c:pt idx="32" formatCode="General">
                        <c:v>-29.951515885022694</c:v>
                      </c:pt>
                      <c:pt idx="33" formatCode="General">
                        <c:v>-30.145161875945536</c:v>
                      </c:pt>
                      <c:pt idx="34" formatCode="General">
                        <c:v>-30.338807866868382</c:v>
                      </c:pt>
                      <c:pt idx="35" formatCode="General">
                        <c:v>-30.532453857791225</c:v>
                      </c:pt>
                      <c:pt idx="36" formatCode="General">
                        <c:v>-30.726099848714068</c:v>
                      </c:pt>
                      <c:pt idx="37" formatCode="General">
                        <c:v>-30.919310136157335</c:v>
                      </c:pt>
                      <c:pt idx="38" formatCode="General">
                        <c:v>-31.102063540090771</c:v>
                      </c:pt>
                      <c:pt idx="39" formatCode="General">
                        <c:v>-31.284816944024204</c:v>
                      </c:pt>
                      <c:pt idx="40" formatCode="General">
                        <c:v>-31.467570347957636</c:v>
                      </c:pt>
                      <c:pt idx="41" formatCode="General">
                        <c:v>-31.650323751891072</c:v>
                      </c:pt>
                      <c:pt idx="42" formatCode="General">
                        <c:v>-31.833077155824505</c:v>
                      </c:pt>
                      <c:pt idx="43" formatCode="General">
                        <c:v>-32.015830559757937</c:v>
                      </c:pt>
                      <c:pt idx="44" formatCode="General">
                        <c:v>-32.194420574886536</c:v>
                      </c:pt>
                      <c:pt idx="45" formatCode="General">
                        <c:v>-32.367491679273826</c:v>
                      </c:pt>
                      <c:pt idx="46" formatCode="General">
                        <c:v>-32.540562783661116</c:v>
                      </c:pt>
                      <c:pt idx="47" formatCode="General">
                        <c:v>-32.713633888048413</c:v>
                      </c:pt>
                      <c:pt idx="48" formatCode="General">
                        <c:v>-32.886704992435703</c:v>
                      </c:pt>
                      <c:pt idx="49" formatCode="General">
                        <c:v>-33.059776096823001</c:v>
                      </c:pt>
                      <c:pt idx="50" formatCode="General">
                        <c:v>-33.232847201210291</c:v>
                      </c:pt>
                      <c:pt idx="51" formatCode="General">
                        <c:v>-33.403151515151514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</c:v>
                      </c:pt>
                      <c:pt idx="54" formatCode="General">
                        <c:v>-33.912242424242422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6r2="http://schemas.microsoft.com/office/drawing/2015/06/chart"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-28.344000000000001</c:v>
                      </c:pt>
                      <c:pt idx="1">
                        <c:v>-28.646303030303031</c:v>
                      </c:pt>
                      <c:pt idx="2" formatCode="General">
                        <c:v>-28.952363636363639</c:v>
                      </c:pt>
                      <c:pt idx="3" formatCode="General">
                        <c:v>-29.260636363636365</c:v>
                      </c:pt>
                      <c:pt idx="4" formatCode="General">
                        <c:v>-29.569484848484848</c:v>
                      </c:pt>
                      <c:pt idx="5" formatCode="General">
                        <c:v>-29.875545454545453</c:v>
                      </c:pt>
                      <c:pt idx="6" formatCode="General">
                        <c:v>-30.182108433734939</c:v>
                      </c:pt>
                      <c:pt idx="7" formatCode="General">
                        <c:v>-30.489337349397591</c:v>
                      </c:pt>
                      <c:pt idx="8" formatCode="General">
                        <c:v>-30.795666666666669</c:v>
                      </c:pt>
                      <c:pt idx="9" formatCode="General">
                        <c:v>-31.101000000000003</c:v>
                      </c:pt>
                      <c:pt idx="10" formatCode="General">
                        <c:v>-31.401000000000003</c:v>
                      </c:pt>
                      <c:pt idx="11" formatCode="General">
                        <c:v>-31.697942511346447</c:v>
                      </c:pt>
                      <c:pt idx="12" formatCode="General">
                        <c:v>-31.99143721633888</c:v>
                      </c:pt>
                      <c:pt idx="13" formatCode="General">
                        <c:v>-32.284931921331321</c:v>
                      </c:pt>
                      <c:pt idx="14" formatCode="General">
                        <c:v>-32.578426626323754</c:v>
                      </c:pt>
                      <c:pt idx="15" formatCode="General">
                        <c:v>-32.871921331316187</c:v>
                      </c:pt>
                      <c:pt idx="16" formatCode="General">
                        <c:v>-33.165416036308628</c:v>
                      </c:pt>
                      <c:pt idx="17" formatCode="General">
                        <c:v>-33.458910741301061</c:v>
                      </c:pt>
                      <c:pt idx="18" formatCode="General">
                        <c:v>-33.737443267776101</c:v>
                      </c:pt>
                      <c:pt idx="19" formatCode="General">
                        <c:v>-34.013540090771556</c:v>
                      </c:pt>
                      <c:pt idx="20" formatCode="General">
                        <c:v>-34.289636913767019</c:v>
                      </c:pt>
                      <c:pt idx="21" formatCode="General">
                        <c:v>-34.565733736762482</c:v>
                      </c:pt>
                      <c:pt idx="22" formatCode="General">
                        <c:v>-34.841830559757945</c:v>
                      </c:pt>
                      <c:pt idx="23" formatCode="General">
                        <c:v>-35.117927382753408</c:v>
                      </c:pt>
                      <c:pt idx="24" formatCode="General">
                        <c:v>-35.389962121212122</c:v>
                      </c:pt>
                      <c:pt idx="25" formatCode="General">
                        <c:v>-35.649810606060605</c:v>
                      </c:pt>
                      <c:pt idx="26" formatCode="General">
                        <c:v>-35.909659090909095</c:v>
                      </c:pt>
                      <c:pt idx="27" formatCode="General">
                        <c:v>-36.169507575757578</c:v>
                      </c:pt>
                      <c:pt idx="28" formatCode="General">
                        <c:v>-36.429356060606061</c:v>
                      </c:pt>
                      <c:pt idx="29" formatCode="General">
                        <c:v>-36.689204545454544</c:v>
                      </c:pt>
                      <c:pt idx="30" formatCode="General">
                        <c:v>-36.949053030303027</c:v>
                      </c:pt>
                      <c:pt idx="31" formatCode="General">
                        <c:v>-37.197337367624812</c:v>
                      </c:pt>
                      <c:pt idx="32" formatCode="General">
                        <c:v>-37.439394856278362</c:v>
                      </c:pt>
                      <c:pt idx="33" formatCode="General">
                        <c:v>-37.68145234493192</c:v>
                      </c:pt>
                      <c:pt idx="34" formatCode="General">
                        <c:v>-37.923509833585477</c:v>
                      </c:pt>
                      <c:pt idx="35" formatCode="General">
                        <c:v>-38.165567322239035</c:v>
                      </c:pt>
                      <c:pt idx="36" formatCode="General">
                        <c:v>-38.407624810892585</c:v>
                      </c:pt>
                      <c:pt idx="37" formatCode="General">
                        <c:v>-38.649137670196673</c:v>
                      </c:pt>
                      <c:pt idx="38" formatCode="General">
                        <c:v>-38.877579425113467</c:v>
                      </c:pt>
                      <c:pt idx="39" formatCode="General">
                        <c:v>-39.106021180030254</c:v>
                      </c:pt>
                      <c:pt idx="40" formatCode="General">
                        <c:v>-39.334462934947048</c:v>
                      </c:pt>
                      <c:pt idx="41" formatCode="General">
                        <c:v>-39.562904689863842</c:v>
                      </c:pt>
                      <c:pt idx="42" formatCode="General">
                        <c:v>-39.791346444780636</c:v>
                      </c:pt>
                      <c:pt idx="43" formatCode="General">
                        <c:v>-40.019788199697423</c:v>
                      </c:pt>
                      <c:pt idx="44" formatCode="General">
                        <c:v>-40.243025718608166</c:v>
                      </c:pt>
                      <c:pt idx="45" formatCode="General">
                        <c:v>-40.459364599092282</c:v>
                      </c:pt>
                      <c:pt idx="46" formatCode="General">
                        <c:v>-40.675703479576399</c:v>
                      </c:pt>
                      <c:pt idx="47" formatCode="General">
                        <c:v>-40.892042360060515</c:v>
                      </c:pt>
                      <c:pt idx="48" formatCode="General">
                        <c:v>-41.108381240544631</c:v>
                      </c:pt>
                      <c:pt idx="49" formatCode="General">
                        <c:v>-41.324720121028747</c:v>
                      </c:pt>
                      <c:pt idx="50" formatCode="General">
                        <c:v>-41.541059001512863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-41.966060606060601</c:v>
                      </c:pt>
                      <c:pt idx="53" formatCode="General">
                        <c:v>-42.17818181818182</c:v>
                      </c:pt>
                      <c:pt idx="54" formatCode="General">
                        <c:v>-42.390303030303031</c:v>
                      </c:pt>
                      <c:pt idx="55" formatCode="General">
                        <c:v>-42.602424242424242</c:v>
                      </c:pt>
                      <c:pt idx="56" formatCode="General">
                        <c:v>-42.814545454545453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-34.012800000000006</c:v>
                      </c:pt>
                      <c:pt idx="1">
                        <c:v>-34.375563636363637</c:v>
                      </c:pt>
                      <c:pt idx="2" formatCode="General">
                        <c:v>-34.742836363636364</c:v>
                      </c:pt>
                      <c:pt idx="3" formatCode="General">
                        <c:v>-35.112763636363638</c:v>
                      </c:pt>
                      <c:pt idx="4" formatCode="General">
                        <c:v>-35.483381818181819</c:v>
                      </c:pt>
                      <c:pt idx="5" formatCode="General">
                        <c:v>-35.850654545454546</c:v>
                      </c:pt>
                      <c:pt idx="6" formatCode="General">
                        <c:v>-36.21853012048193</c:v>
                      </c:pt>
                      <c:pt idx="7" formatCode="General">
                        <c:v>-36.587204819277105</c:v>
                      </c:pt>
                      <c:pt idx="8" formatCode="General">
                        <c:v>-36.954799999999999</c:v>
                      </c:pt>
                      <c:pt idx="9" formatCode="General">
                        <c:v>-37.321199999999997</c:v>
                      </c:pt>
                      <c:pt idx="10" formatCode="General">
                        <c:v>-37.681199999999997</c:v>
                      </c:pt>
                      <c:pt idx="11" formatCode="General">
                        <c:v>-38.037531013615734</c:v>
                      </c:pt>
                      <c:pt idx="12" formatCode="General">
                        <c:v>-38.389724659606657</c:v>
                      </c:pt>
                      <c:pt idx="13" formatCode="General">
                        <c:v>-38.741918305597579</c:v>
                      </c:pt>
                      <c:pt idx="14" formatCode="General">
                        <c:v>-39.094111951588502</c:v>
                      </c:pt>
                      <c:pt idx="15" formatCode="General">
                        <c:v>-39.446305597579425</c:v>
                      </c:pt>
                      <c:pt idx="16" formatCode="General">
                        <c:v>-39.798499243570348</c:v>
                      </c:pt>
                      <c:pt idx="17" formatCode="General">
                        <c:v>-40.150692889561277</c:v>
                      </c:pt>
                      <c:pt idx="18" formatCode="General">
                        <c:v>-40.484931921331317</c:v>
                      </c:pt>
                      <c:pt idx="19" formatCode="General">
                        <c:v>-40.816248108925876</c:v>
                      </c:pt>
                      <c:pt idx="20" formatCode="General">
                        <c:v>-41.147564296520429</c:v>
                      </c:pt>
                      <c:pt idx="21" formatCode="General">
                        <c:v>-41.478880484114981</c:v>
                      </c:pt>
                      <c:pt idx="22" formatCode="General">
                        <c:v>-41.810196671709534</c:v>
                      </c:pt>
                      <c:pt idx="23" formatCode="General">
                        <c:v>-42.141512859304086</c:v>
                      </c:pt>
                      <c:pt idx="24" formatCode="General">
                        <c:v>-42.467954545454546</c:v>
                      </c:pt>
                      <c:pt idx="25" formatCode="General">
                        <c:v>-42.779772727272729</c:v>
                      </c:pt>
                      <c:pt idx="26" formatCode="General">
                        <c:v>-43.091590909090911</c:v>
                      </c:pt>
                      <c:pt idx="27" formatCode="General">
                        <c:v>-43.403409090909093</c:v>
                      </c:pt>
                      <c:pt idx="28" formatCode="General">
                        <c:v>-43.715227272727276</c:v>
                      </c:pt>
                      <c:pt idx="29" formatCode="General">
                        <c:v>-44.027045454545458</c:v>
                      </c:pt>
                      <c:pt idx="30" formatCode="General">
                        <c:v>-44.338863636363634</c:v>
                      </c:pt>
                      <c:pt idx="31" formatCode="General">
                        <c:v>-44.636804841149775</c:v>
                      </c:pt>
                      <c:pt idx="32" formatCode="General">
                        <c:v>-44.927273827534037</c:v>
                      </c:pt>
                      <c:pt idx="33" formatCode="General">
                        <c:v>-45.217742813918306</c:v>
                      </c:pt>
                      <c:pt idx="34" formatCode="General">
                        <c:v>-45.508211800302568</c:v>
                      </c:pt>
                      <c:pt idx="35" formatCode="General">
                        <c:v>-45.798680786686838</c:v>
                      </c:pt>
                      <c:pt idx="36" formatCode="General">
                        <c:v>-46.0891497730711</c:v>
                      </c:pt>
                      <c:pt idx="37" formatCode="General">
                        <c:v>-46.378965204236003</c:v>
                      </c:pt>
                      <c:pt idx="38" formatCode="General">
                        <c:v>-46.653095310136152</c:v>
                      </c:pt>
                      <c:pt idx="39" formatCode="General">
                        <c:v>-46.9272254160363</c:v>
                      </c:pt>
                      <c:pt idx="40" formatCode="General">
                        <c:v>-47.201355521936456</c:v>
                      </c:pt>
                      <c:pt idx="41" formatCode="General">
                        <c:v>-47.475485627836605</c:v>
                      </c:pt>
                      <c:pt idx="42" formatCode="General">
                        <c:v>-47.749615733736753</c:v>
                      </c:pt>
                      <c:pt idx="43" formatCode="General">
                        <c:v>-48.023745839636902</c:v>
                      </c:pt>
                      <c:pt idx="44" formatCode="General">
                        <c:v>-48.291630862329797</c:v>
                      </c:pt>
                      <c:pt idx="45" formatCode="General">
                        <c:v>-48.551237518910732</c:v>
                      </c:pt>
                      <c:pt idx="46" formatCode="General">
                        <c:v>-48.810844175491674</c:v>
                      </c:pt>
                      <c:pt idx="47" formatCode="General">
                        <c:v>-49.070450832072616</c:v>
                      </c:pt>
                      <c:pt idx="48" formatCode="General">
                        <c:v>-49.330057488653551</c:v>
                      </c:pt>
                      <c:pt idx="49" formatCode="General">
                        <c:v>-49.589664145234494</c:v>
                      </c:pt>
                      <c:pt idx="50" formatCode="General">
                        <c:v>-49.849270801815436</c:v>
                      </c:pt>
                      <c:pt idx="51" formatCode="General">
                        <c:v>-50.104727272727274</c:v>
                      </c:pt>
                      <c:pt idx="52" formatCode="General">
                        <c:v>-50.359272727272725</c:v>
                      </c:pt>
                      <c:pt idx="53" formatCode="General">
                        <c:v>-50.613818181818182</c:v>
                      </c:pt>
                      <c:pt idx="54" formatCode="General">
                        <c:v>-50.868363636363632</c:v>
                      </c:pt>
                      <c:pt idx="55" formatCode="General">
                        <c:v>-51.12290909090909</c:v>
                      </c:pt>
                      <c:pt idx="56" formatCode="General">
                        <c:v>-51.377454545454547</c:v>
                      </c:pt>
                      <c:pt idx="57" formatCode="General">
                        <c:v>-51.631662650602415</c:v>
                      </c:pt>
                      <c:pt idx="58" formatCode="General">
                        <c:v>-51.88467469879518</c:v>
                      </c:pt>
                      <c:pt idx="59" formatCode="General">
                        <c:v>-52.140581818181822</c:v>
                      </c:pt>
                      <c:pt idx="60" formatCode="General">
                        <c:v>-52.398763636363633</c:v>
                      </c:pt>
                      <c:pt idx="61" formatCode="General">
                        <c:v>-52.663563636363634</c:v>
                      </c:pt>
                      <c:pt idx="62" formatCode="General">
                        <c:v>-52.929963636363638</c:v>
                      </c:pt>
                      <c:pt idx="63" formatCode="General">
                        <c:v>-53.199054545454544</c:v>
                      </c:pt>
                      <c:pt idx="64" formatCode="General">
                        <c:v>-53.472581818181823</c:v>
                      </c:pt>
                      <c:pt idx="65" formatCode="General">
                        <c:v>-53.748945454545463</c:v>
                      </c:pt>
                      <c:pt idx="66" formatCode="General">
                        <c:v>-54.030650602409644</c:v>
                      </c:pt>
                      <c:pt idx="67" formatCode="General">
                        <c:v>-54.315272727272728</c:v>
                      </c:pt>
                      <c:pt idx="68" formatCode="General">
                        <c:v>-54.606181818181817</c:v>
                      </c:pt>
                      <c:pt idx="69" formatCode="General">
                        <c:v>-54.904181818181819</c:v>
                      </c:pt>
                      <c:pt idx="70" formatCode="General">
                        <c:v>-55.206000000000003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-17.006400000000003</c:v>
                      </c:pt>
                      <c:pt idx="1">
                        <c:v>-17.187781818181818</c:v>
                      </c:pt>
                      <c:pt idx="2" formatCode="General">
                        <c:v>-17.371418181818182</c:v>
                      </c:pt>
                      <c:pt idx="3" formatCode="General">
                        <c:v>-17.556381818181819</c:v>
                      </c:pt>
                      <c:pt idx="4" formatCode="General">
                        <c:v>-17.741690909090909</c:v>
                      </c:pt>
                      <c:pt idx="5" formatCode="General">
                        <c:v>-17.925327272727273</c:v>
                      </c:pt>
                      <c:pt idx="6" formatCode="General">
                        <c:v>-18.109265060240965</c:v>
                      </c:pt>
                      <c:pt idx="7" formatCode="General">
                        <c:v>-18.293602409638552</c:v>
                      </c:pt>
                      <c:pt idx="8" formatCode="General">
                        <c:v>-18.477399999999999</c:v>
                      </c:pt>
                      <c:pt idx="9" formatCode="General">
                        <c:v>-18.660599999999999</c:v>
                      </c:pt>
                      <c:pt idx="10" formatCode="General">
                        <c:v>-18.840599999999998</c:v>
                      </c:pt>
                      <c:pt idx="11" formatCode="General">
                        <c:v>-19.018765506807867</c:v>
                      </c:pt>
                      <c:pt idx="12" formatCode="General">
                        <c:v>-19.194862329803328</c:v>
                      </c:pt>
                      <c:pt idx="13" formatCode="General">
                        <c:v>-19.37095915279879</c:v>
                      </c:pt>
                      <c:pt idx="14" formatCode="General">
                        <c:v>-19.547055975794251</c:v>
                      </c:pt>
                      <c:pt idx="15" formatCode="General">
                        <c:v>-19.723152798789712</c:v>
                      </c:pt>
                      <c:pt idx="16" formatCode="General">
                        <c:v>-19.899249621785174</c:v>
                      </c:pt>
                      <c:pt idx="17" formatCode="General">
                        <c:v>-20.075346444780639</c:v>
                      </c:pt>
                      <c:pt idx="18" formatCode="General">
                        <c:v>-20.242465960665658</c:v>
                      </c:pt>
                      <c:pt idx="19" formatCode="General">
                        <c:v>-20.408124054462938</c:v>
                      </c:pt>
                      <c:pt idx="20" formatCode="General">
                        <c:v>-20.573782148260214</c:v>
                      </c:pt>
                      <c:pt idx="21" formatCode="General">
                        <c:v>-20.739440242057491</c:v>
                      </c:pt>
                      <c:pt idx="22" formatCode="General">
                        <c:v>-20.905098335854767</c:v>
                      </c:pt>
                      <c:pt idx="23" formatCode="General">
                        <c:v>-21.070756429652043</c:v>
                      </c:pt>
                      <c:pt idx="24" formatCode="General">
                        <c:v>-21.233977272727273</c:v>
                      </c:pt>
                      <c:pt idx="25" formatCode="General">
                        <c:v>-21.389886363636364</c:v>
                      </c:pt>
                      <c:pt idx="26" formatCode="General">
                        <c:v>-21.545795454545456</c:v>
                      </c:pt>
                      <c:pt idx="27" formatCode="General">
                        <c:v>-21.701704545454547</c:v>
                      </c:pt>
                      <c:pt idx="28" formatCode="General">
                        <c:v>-21.857613636363638</c:v>
                      </c:pt>
                      <c:pt idx="29" formatCode="General">
                        <c:v>-22.013522727272729</c:v>
                      </c:pt>
                      <c:pt idx="30" formatCode="General">
                        <c:v>-22.169431818181817</c:v>
                      </c:pt>
                      <c:pt idx="31" formatCode="General">
                        <c:v>-22.318402420574888</c:v>
                      </c:pt>
                      <c:pt idx="32" formatCode="General">
                        <c:v>-22.463636913767019</c:v>
                      </c:pt>
                      <c:pt idx="33" formatCode="General">
                        <c:v>-22.608871406959153</c:v>
                      </c:pt>
                      <c:pt idx="34" formatCode="General">
                        <c:v>-22.754105900151284</c:v>
                      </c:pt>
                      <c:pt idx="35" formatCode="General">
                        <c:v>-22.899340393343419</c:v>
                      </c:pt>
                      <c:pt idx="36" formatCode="General">
                        <c:v>-23.04457488653555</c:v>
                      </c:pt>
                      <c:pt idx="37" formatCode="General">
                        <c:v>-23.189482602118002</c:v>
                      </c:pt>
                      <c:pt idx="38" formatCode="General">
                        <c:v>-23.326547655068076</c:v>
                      </c:pt>
                      <c:pt idx="39" formatCode="General">
                        <c:v>-23.46361270801815</c:v>
                      </c:pt>
                      <c:pt idx="40" formatCode="General">
                        <c:v>-23.600677760968228</c:v>
                      </c:pt>
                      <c:pt idx="41" formatCode="General">
                        <c:v>-23.737742813918302</c:v>
                      </c:pt>
                      <c:pt idx="42" formatCode="General">
                        <c:v>-23.874807866868377</c:v>
                      </c:pt>
                      <c:pt idx="43" formatCode="General">
                        <c:v>-24.011872919818451</c:v>
                      </c:pt>
                      <c:pt idx="44" formatCode="General">
                        <c:v>-24.145815431164898</c:v>
                      </c:pt>
                      <c:pt idx="45" formatCode="General">
                        <c:v>-24.275618759455366</c:v>
                      </c:pt>
                      <c:pt idx="46" formatCode="General">
                        <c:v>-24.405422087745837</c:v>
                      </c:pt>
                      <c:pt idx="47" formatCode="General">
                        <c:v>-24.535225416036308</c:v>
                      </c:pt>
                      <c:pt idx="48" formatCode="General">
                        <c:v>-24.665028744326776</c:v>
                      </c:pt>
                      <c:pt idx="49" formatCode="General">
                        <c:v>-24.794832072617247</c:v>
                      </c:pt>
                      <c:pt idx="50" formatCode="General">
                        <c:v>-24.924635400907718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-25.179636363636362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-25.434181818181816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-11.3376</c:v>
                      </c:pt>
                      <c:pt idx="1">
                        <c:v>-11.458521212121212</c:v>
                      </c:pt>
                      <c:pt idx="2" formatCode="General">
                        <c:v>-11.580945454545455</c:v>
                      </c:pt>
                      <c:pt idx="3" formatCode="General">
                        <c:v>-11.704254545454546</c:v>
                      </c:pt>
                      <c:pt idx="4" formatCode="General">
                        <c:v>-11.827793939393938</c:v>
                      </c:pt>
                      <c:pt idx="5" formatCode="General">
                        <c:v>-11.950218181818181</c:v>
                      </c:pt>
                      <c:pt idx="6" formatCode="General">
                        <c:v>-12.072843373493976</c:v>
                      </c:pt>
                      <c:pt idx="7" formatCode="General">
                        <c:v>-12.195734939759037</c:v>
                      </c:pt>
                      <c:pt idx="8" formatCode="General">
                        <c:v>-12.318266666666666</c:v>
                      </c:pt>
                      <c:pt idx="9" formatCode="General">
                        <c:v>-12.4404</c:v>
                      </c:pt>
                      <c:pt idx="10" formatCode="General">
                        <c:v>-12.5604</c:v>
                      </c:pt>
                      <c:pt idx="11" formatCode="General">
                        <c:v>-12.679177004538579</c:v>
                      </c:pt>
                      <c:pt idx="12" formatCode="General">
                        <c:v>-12.796574886535552</c:v>
                      </c:pt>
                      <c:pt idx="13" formatCode="General">
                        <c:v>-12.913972768532528</c:v>
                      </c:pt>
                      <c:pt idx="14" formatCode="General">
                        <c:v>-13.031370650529501</c:v>
                      </c:pt>
                      <c:pt idx="15" formatCode="General">
                        <c:v>-13.148768532526475</c:v>
                      </c:pt>
                      <c:pt idx="16" formatCode="General">
                        <c:v>-13.26616641452345</c:v>
                      </c:pt>
                      <c:pt idx="17" formatCode="General">
                        <c:v>-13.383564296520424</c:v>
                      </c:pt>
                      <c:pt idx="18" formatCode="General">
                        <c:v>-13.494977307110439</c:v>
                      </c:pt>
                      <c:pt idx="19" formatCode="General">
                        <c:v>-13.605416036308624</c:v>
                      </c:pt>
                      <c:pt idx="20" formatCode="General">
                        <c:v>-13.715854765506808</c:v>
                      </c:pt>
                      <c:pt idx="21" formatCode="General">
                        <c:v>-13.826293494704993</c:v>
                      </c:pt>
                      <c:pt idx="22" formatCode="General">
                        <c:v>-13.936732223903178</c:v>
                      </c:pt>
                      <c:pt idx="23" formatCode="General">
                        <c:v>-14.047170953101363</c:v>
                      </c:pt>
                      <c:pt idx="24" formatCode="General">
                        <c:v>-14.155984848484849</c:v>
                      </c:pt>
                      <c:pt idx="25" formatCode="General">
                        <c:v>-14.259924242424244</c:v>
                      </c:pt>
                      <c:pt idx="26" formatCode="General">
                        <c:v>-14.363863636363638</c:v>
                      </c:pt>
                      <c:pt idx="27" formatCode="General">
                        <c:v>-14.467803030303031</c:v>
                      </c:pt>
                      <c:pt idx="28" formatCode="General">
                        <c:v>-14.571742424242425</c:v>
                      </c:pt>
                      <c:pt idx="29" formatCode="General">
                        <c:v>-14.675681818181818</c:v>
                      </c:pt>
                      <c:pt idx="30" formatCode="General">
                        <c:v>-14.779621212121214</c:v>
                      </c:pt>
                      <c:pt idx="31" formatCode="General">
                        <c:v>-14.878934947049926</c:v>
                      </c:pt>
                      <c:pt idx="32" formatCode="General">
                        <c:v>-14.975757942511347</c:v>
                      </c:pt>
                      <c:pt idx="33" formatCode="General">
                        <c:v>-15.072580937972768</c:v>
                      </c:pt>
                      <c:pt idx="34" formatCode="General">
                        <c:v>-15.169403933434191</c:v>
                      </c:pt>
                      <c:pt idx="35" formatCode="General">
                        <c:v>-15.266226928895613</c:v>
                      </c:pt>
                      <c:pt idx="36" formatCode="General">
                        <c:v>-15.363049924357034</c:v>
                      </c:pt>
                      <c:pt idx="37" formatCode="General">
                        <c:v>-15.459655068078668</c:v>
                      </c:pt>
                      <c:pt idx="38" formatCode="General">
                        <c:v>-15.551031770045386</c:v>
                      </c:pt>
                      <c:pt idx="39" formatCode="General">
                        <c:v>-15.642408472012102</c:v>
                      </c:pt>
                      <c:pt idx="40" formatCode="General">
                        <c:v>-15.733785173978818</c:v>
                      </c:pt>
                      <c:pt idx="41" formatCode="General">
                        <c:v>-15.825161875945536</c:v>
                      </c:pt>
                      <c:pt idx="42" formatCode="General">
                        <c:v>-15.916538577912252</c:v>
                      </c:pt>
                      <c:pt idx="43" formatCode="General">
                        <c:v>-16.007915279878969</c:v>
                      </c:pt>
                      <c:pt idx="44" formatCode="General">
                        <c:v>-16.097210287443268</c:v>
                      </c:pt>
                      <c:pt idx="45" formatCode="General">
                        <c:v>-16.183745839636913</c:v>
                      </c:pt>
                      <c:pt idx="46" formatCode="General">
                        <c:v>-16.270281391830558</c:v>
                      </c:pt>
                      <c:pt idx="47" formatCode="General">
                        <c:v>-16.356816944024207</c:v>
                      </c:pt>
                      <c:pt idx="48" formatCode="General">
                        <c:v>-16.443352496217852</c:v>
                      </c:pt>
                      <c:pt idx="49" formatCode="General">
                        <c:v>-16.5298880484115</c:v>
                      </c:pt>
                      <c:pt idx="50" formatCode="General">
                        <c:v>-16.616423600605145</c:v>
                      </c:pt>
                      <c:pt idx="51" formatCode="General">
                        <c:v>-16.701575757575757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-16.871272727272725</c:v>
                      </c:pt>
                      <c:pt idx="54" formatCode="General">
                        <c:v>-16.956121212121211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-31.89722424242424</c:v>
                      </c:pt>
                      <c:pt idx="1">
                        <c:v>-31.250533333333333</c:v>
                      </c:pt>
                      <c:pt idx="2" formatCode="General">
                        <c:v>-30.6572</c:v>
                      </c:pt>
                      <c:pt idx="3" formatCode="General">
                        <c:v>-30.1174</c:v>
                      </c:pt>
                      <c:pt idx="4" formatCode="General">
                        <c:v>-29.601715151515151</c:v>
                      </c:pt>
                      <c:pt idx="5" formatCode="General">
                        <c:v>-29.135654545454543</c:v>
                      </c:pt>
                      <c:pt idx="6" formatCode="General">
                        <c:v>-28.691783132530119</c:v>
                      </c:pt>
                      <c:pt idx="7" formatCode="General">
                        <c:v>-28.277325301204822</c:v>
                      </c:pt>
                      <c:pt idx="8" formatCode="General">
                        <c:v>-27.8978</c:v>
                      </c:pt>
                      <c:pt idx="9" formatCode="General">
                        <c:v>-27.532927272727274</c:v>
                      </c:pt>
                      <c:pt idx="10" formatCode="General">
                        <c:v>-27.198987878787882</c:v>
                      </c:pt>
                      <c:pt idx="11" formatCode="General">
                        <c:v>-26.90098033282905</c:v>
                      </c:pt>
                      <c:pt idx="12" formatCode="General">
                        <c:v>-26.643491679273829</c:v>
                      </c:pt>
                      <c:pt idx="13" formatCode="General">
                        <c:v>-26.386003025718608</c:v>
                      </c:pt>
                      <c:pt idx="14" formatCode="General">
                        <c:v>-26.128514372163391</c:v>
                      </c:pt>
                      <c:pt idx="15" formatCode="General">
                        <c:v>-25.87102571860817</c:v>
                      </c:pt>
                      <c:pt idx="16" formatCode="General">
                        <c:v>-25.613537065052949</c:v>
                      </c:pt>
                      <c:pt idx="17" formatCode="General">
                        <c:v>-25.356048411497731</c:v>
                      </c:pt>
                      <c:pt idx="18" formatCode="General">
                        <c:v>-25.171028744326776</c:v>
                      </c:pt>
                      <c:pt idx="19" formatCode="General">
                        <c:v>-24.997806354009079</c:v>
                      </c:pt>
                      <c:pt idx="20" formatCode="General">
                        <c:v>-24.824583963691378</c:v>
                      </c:pt>
                      <c:pt idx="21" formatCode="General">
                        <c:v>-24.651361573373677</c:v>
                      </c:pt>
                      <c:pt idx="22" formatCode="General">
                        <c:v>-24.478139183055976</c:v>
                      </c:pt>
                      <c:pt idx="23" formatCode="General">
                        <c:v>-24.304916792738275</c:v>
                      </c:pt>
                      <c:pt idx="24" formatCode="General">
                        <c:v>-24.144810606060606</c:v>
                      </c:pt>
                      <c:pt idx="25" formatCode="General">
                        <c:v>-24.02405303030303</c:v>
                      </c:pt>
                      <c:pt idx="26" formatCode="General">
                        <c:v>-23.903295454545454</c:v>
                      </c:pt>
                      <c:pt idx="27" formatCode="General">
                        <c:v>-23.782537878787878</c:v>
                      </c:pt>
                      <c:pt idx="28" formatCode="General">
                        <c:v>-23.661780303030305</c:v>
                      </c:pt>
                      <c:pt idx="29" formatCode="General">
                        <c:v>-23.541022727272729</c:v>
                      </c:pt>
                      <c:pt idx="30" formatCode="General">
                        <c:v>-23.420265151515153</c:v>
                      </c:pt>
                      <c:pt idx="31" formatCode="General">
                        <c:v>-23.322931921331318</c:v>
                      </c:pt>
                      <c:pt idx="32" formatCode="General">
                        <c:v>-23.238211800302572</c:v>
                      </c:pt>
                      <c:pt idx="33" formatCode="General">
                        <c:v>-23.153491679273827</c:v>
                      </c:pt>
                      <c:pt idx="34" formatCode="General">
                        <c:v>-23.068771558245082</c:v>
                      </c:pt>
                      <c:pt idx="35" formatCode="General">
                        <c:v>-22.984051437216337</c:v>
                      </c:pt>
                      <c:pt idx="36" formatCode="General">
                        <c:v>-22.899331316187592</c:v>
                      </c:pt>
                      <c:pt idx="37" formatCode="General">
                        <c:v>-22.815652042360057</c:v>
                      </c:pt>
                      <c:pt idx="38" formatCode="General">
                        <c:v>-22.756953101361571</c:v>
                      </c:pt>
                      <c:pt idx="39" formatCode="General">
                        <c:v>-22.698254160363085</c:v>
                      </c:pt>
                      <c:pt idx="40" formatCode="General">
                        <c:v>-22.639555219364599</c:v>
                      </c:pt>
                      <c:pt idx="41" formatCode="General">
                        <c:v>-22.58085627836611</c:v>
                      </c:pt>
                      <c:pt idx="42" formatCode="General">
                        <c:v>-22.522157337367624</c:v>
                      </c:pt>
                      <c:pt idx="43" formatCode="General">
                        <c:v>-22.463458396369138</c:v>
                      </c:pt>
                      <c:pt idx="44" formatCode="General">
                        <c:v>-22.412826021180031</c:v>
                      </c:pt>
                      <c:pt idx="45" formatCode="General">
                        <c:v>-22.372886535552194</c:v>
                      </c:pt>
                      <c:pt idx="46" formatCode="General">
                        <c:v>-22.332947049924357</c:v>
                      </c:pt>
                      <c:pt idx="47" formatCode="General">
                        <c:v>-22.29300756429652</c:v>
                      </c:pt>
                      <c:pt idx="48" formatCode="General">
                        <c:v>-22.253068078668683</c:v>
                      </c:pt>
                      <c:pt idx="49" formatCode="General">
                        <c:v>-22.213128593040846</c:v>
                      </c:pt>
                      <c:pt idx="50" formatCode="General">
                        <c:v>-22.173189107413009</c:v>
                      </c:pt>
                      <c:pt idx="51" formatCode="General">
                        <c:v>-22.136181818181818</c:v>
                      </c:pt>
                      <c:pt idx="52" formatCode="General">
                        <c:v>-22.101878787878789</c:v>
                      </c:pt>
                      <c:pt idx="53" formatCode="General">
                        <c:v>-22.077636363636362</c:v>
                      </c:pt>
                      <c:pt idx="54" formatCode="General">
                        <c:v>-22.050242424242423</c:v>
                      </c:pt>
                      <c:pt idx="55" formatCode="General">
                        <c:v>-22.019939393939392</c:v>
                      </c:pt>
                      <c:pt idx="56" formatCode="General">
                        <c:v>-21.99490909090909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-133.48458181818182</c:v>
                      </c:pt>
                      <c:pt idx="1">
                        <c:v>-131.21263030303029</c:v>
                      </c:pt>
                      <c:pt idx="2" formatCode="General">
                        <c:v>-129.09323636363635</c:v>
                      </c:pt>
                      <c:pt idx="3" formatCode="General">
                        <c:v>-127.12559393939394</c:v>
                      </c:pt>
                      <c:pt idx="4" formatCode="General">
                        <c:v>-125.22847878787879</c:v>
                      </c:pt>
                      <c:pt idx="5" formatCode="General">
                        <c:v>-123.49696363636365</c:v>
                      </c:pt>
                      <c:pt idx="6" formatCode="General">
                        <c:v>-121.83287951807229</c:v>
                      </c:pt>
                      <c:pt idx="7" formatCode="General">
                        <c:v>-120.25818072289157</c:v>
                      </c:pt>
                      <c:pt idx="8" formatCode="General">
                        <c:v>-118.78673333333333</c:v>
                      </c:pt>
                      <c:pt idx="9" formatCode="General">
                        <c:v>-117.35878181818181</c:v>
                      </c:pt>
                      <c:pt idx="10" formatCode="General">
                        <c:v>-116.0236303030303</c:v>
                      </c:pt>
                      <c:pt idx="11" formatCode="General">
                        <c:v>-114.80148865355523</c:v>
                      </c:pt>
                      <c:pt idx="12" formatCode="General">
                        <c:v>-113.70678366111952</c:v>
                      </c:pt>
                      <c:pt idx="13" formatCode="General">
                        <c:v>-112.61207866868382</c:v>
                      </c:pt>
                      <c:pt idx="14" formatCode="General">
                        <c:v>-111.51737367624811</c:v>
                      </c:pt>
                      <c:pt idx="15" formatCode="General">
                        <c:v>-110.42266868381242</c:v>
                      </c:pt>
                      <c:pt idx="16" formatCode="General">
                        <c:v>-109.32796369137671</c:v>
                      </c:pt>
                      <c:pt idx="17" formatCode="General">
                        <c:v>-108.23325869894101</c:v>
                      </c:pt>
                      <c:pt idx="18" formatCode="General">
                        <c:v>-107.37157337367626</c:v>
                      </c:pt>
                      <c:pt idx="19" formatCode="General">
                        <c:v>-106.54782148260212</c:v>
                      </c:pt>
                      <c:pt idx="20" formatCode="General">
                        <c:v>-105.72406959152799</c:v>
                      </c:pt>
                      <c:pt idx="21" formatCode="General">
                        <c:v>-104.90031770045385</c:v>
                      </c:pt>
                      <c:pt idx="22" formatCode="General">
                        <c:v>-104.07656580937973</c:v>
                      </c:pt>
                      <c:pt idx="23" formatCode="General">
                        <c:v>-103.25281391830559</c:v>
                      </c:pt>
                      <c:pt idx="24" formatCode="General">
                        <c:v>-102.47321969696969</c:v>
                      </c:pt>
                      <c:pt idx="25" formatCode="General">
                        <c:v>-101.82609848484847</c:v>
                      </c:pt>
                      <c:pt idx="26" formatCode="General">
                        <c:v>-101.17897727272727</c:v>
                      </c:pt>
                      <c:pt idx="27" formatCode="General">
                        <c:v>-100.53185606060606</c:v>
                      </c:pt>
                      <c:pt idx="28" formatCode="General">
                        <c:v>-99.884734848484854</c:v>
                      </c:pt>
                      <c:pt idx="29" formatCode="General">
                        <c:v>-99.237613636363633</c:v>
                      </c:pt>
                      <c:pt idx="30" formatCode="General">
                        <c:v>-98.590492424242427</c:v>
                      </c:pt>
                      <c:pt idx="31" formatCode="General">
                        <c:v>-98.027691376701966</c:v>
                      </c:pt>
                      <c:pt idx="32" formatCode="General">
                        <c:v>-97.510293494704996</c:v>
                      </c:pt>
                      <c:pt idx="33" formatCode="General">
                        <c:v>-96.992895612708026</c:v>
                      </c:pt>
                      <c:pt idx="34" formatCode="General">
                        <c:v>-96.475497730711055</c:v>
                      </c:pt>
                      <c:pt idx="35" formatCode="General">
                        <c:v>-95.95809984871407</c:v>
                      </c:pt>
                      <c:pt idx="36" formatCode="General">
                        <c:v>-95.4407019667171</c:v>
                      </c:pt>
                      <c:pt idx="37" formatCode="General">
                        <c:v>-94.927092284417554</c:v>
                      </c:pt>
                      <c:pt idx="38" formatCode="General">
                        <c:v>-94.504399394856279</c:v>
                      </c:pt>
                      <c:pt idx="39" formatCode="General">
                        <c:v>-94.081706505295017</c:v>
                      </c:pt>
                      <c:pt idx="40" formatCode="General">
                        <c:v>-93.659013615733741</c:v>
                      </c:pt>
                      <c:pt idx="41" formatCode="General">
                        <c:v>-93.236320726172465</c:v>
                      </c:pt>
                      <c:pt idx="42" formatCode="General">
                        <c:v>-92.813627836611204</c:v>
                      </c:pt>
                      <c:pt idx="43" formatCode="General">
                        <c:v>-92.390934947049928</c:v>
                      </c:pt>
                      <c:pt idx="44" formatCode="General">
                        <c:v>-91.996344931921342</c:v>
                      </c:pt>
                      <c:pt idx="45" formatCode="General">
                        <c:v>-91.639007564296534</c:v>
                      </c:pt>
                      <c:pt idx="46" formatCode="General">
                        <c:v>-91.281670196671712</c:v>
                      </c:pt>
                      <c:pt idx="47" formatCode="General">
                        <c:v>-90.924332829046904</c:v>
                      </c:pt>
                      <c:pt idx="48" formatCode="General">
                        <c:v>-90.566995461422096</c:v>
                      </c:pt>
                      <c:pt idx="49" formatCode="General">
                        <c:v>-90.209658093797287</c:v>
                      </c:pt>
                      <c:pt idx="50" formatCode="General">
                        <c:v>-89.852320726172479</c:v>
                      </c:pt>
                      <c:pt idx="51" formatCode="General">
                        <c:v>-89.534545454545466</c:v>
                      </c:pt>
                      <c:pt idx="52" formatCode="General">
                        <c:v>-89.225454545454554</c:v>
                      </c:pt>
                      <c:pt idx="53" formatCode="General">
                        <c:v>-88.916363636363641</c:v>
                      </c:pt>
                      <c:pt idx="54" formatCode="General">
                        <c:v>-88.613575757575759</c:v>
                      </c:pt>
                      <c:pt idx="55" formatCode="General">
                        <c:v>-88.316606060606063</c:v>
                      </c:pt>
                      <c:pt idx="56" formatCode="General">
                        <c:v>-88.030181818181816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-18.630969696969697</c:v>
                      </c:pt>
                      <c:pt idx="5" formatCode="General">
                        <c:v>-18.643090909090908</c:v>
                      </c:pt>
                      <c:pt idx="6" formatCode="General">
                        <c:v>-18.655180722891565</c:v>
                      </c:pt>
                      <c:pt idx="7" formatCode="General">
                        <c:v>-18.667228915662651</c:v>
                      </c:pt>
                      <c:pt idx="8" formatCode="General">
                        <c:v>-18.679333333333336</c:v>
                      </c:pt>
                      <c:pt idx="9" formatCode="General">
                        <c:v>-18.692181818181819</c:v>
                      </c:pt>
                      <c:pt idx="10" formatCode="General">
                        <c:v>-18.710363636363635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-19.389107413010588</c:v>
                      </c:pt>
                      <c:pt idx="45" formatCode="General">
                        <c:v>-19.410287443267777</c:v>
                      </c:pt>
                      <c:pt idx="46" formatCode="General">
                        <c:v>-19.431467473524961</c:v>
                      </c:pt>
                      <c:pt idx="47" formatCode="General">
                        <c:v>-19.452647503782149</c:v>
                      </c:pt>
                      <c:pt idx="48" formatCode="General">
                        <c:v>-19.473827534039334</c:v>
                      </c:pt>
                      <c:pt idx="49" formatCode="General">
                        <c:v>-19.495007564296522</c:v>
                      </c:pt>
                      <c:pt idx="50" formatCode="General">
                        <c:v>-19.516187594553706</c:v>
                      </c:pt>
                      <c:pt idx="51" formatCode="General">
                        <c:v>-19.534909090909093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-58.239090909090905</c:v>
                      </c:pt>
                      <c:pt idx="1">
                        <c:v>-57.012424242424245</c:v>
                      </c:pt>
                      <c:pt idx="2" formatCode="General">
                        <c:v>-55.86090909090909</c:v>
                      </c:pt>
                      <c:pt idx="3" formatCode="General">
                        <c:v>-54.784606060606059</c:v>
                      </c:pt>
                      <c:pt idx="4" formatCode="General">
                        <c:v>-53.74339393939394</c:v>
                      </c:pt>
                      <c:pt idx="5" formatCode="General">
                        <c:v>-52.785818181818179</c:v>
                      </c:pt>
                      <c:pt idx="6" formatCode="General">
                        <c:v>-51.861807228915666</c:v>
                      </c:pt>
                      <c:pt idx="7" formatCode="General">
                        <c:v>-50.982289156626507</c:v>
                      </c:pt>
                      <c:pt idx="8" formatCode="General">
                        <c:v>-50.154666666666664</c:v>
                      </c:pt>
                      <c:pt idx="9" formatCode="General">
                        <c:v>-49.349090909090904</c:v>
                      </c:pt>
                      <c:pt idx="10" formatCode="General">
                        <c:v>-48.591515151515154</c:v>
                      </c:pt>
                      <c:pt idx="11" formatCode="General">
                        <c:v>-47.891361573373672</c:v>
                      </c:pt>
                      <c:pt idx="12" formatCode="General">
                        <c:v>-47.255960665658094</c:v>
                      </c:pt>
                      <c:pt idx="13" formatCode="General">
                        <c:v>-46.620559757942509</c:v>
                      </c:pt>
                      <c:pt idx="14" formatCode="General">
                        <c:v>-45.985158850226931</c:v>
                      </c:pt>
                      <c:pt idx="15" formatCode="General">
                        <c:v>-45.349757942511346</c:v>
                      </c:pt>
                      <c:pt idx="16" formatCode="General">
                        <c:v>-44.714357034795768</c:v>
                      </c:pt>
                      <c:pt idx="17" formatCode="General">
                        <c:v>-44.078956127080183</c:v>
                      </c:pt>
                      <c:pt idx="18" formatCode="General">
                        <c:v>-43.564553706505293</c:v>
                      </c:pt>
                      <c:pt idx="19" formatCode="General">
                        <c:v>-43.069848714069593</c:v>
                      </c:pt>
                      <c:pt idx="20" formatCode="General">
                        <c:v>-42.575143721633886</c:v>
                      </c:pt>
                      <c:pt idx="21" formatCode="General">
                        <c:v>-42.080438729198185</c:v>
                      </c:pt>
                      <c:pt idx="22" formatCode="General">
                        <c:v>-41.585733736762478</c:v>
                      </c:pt>
                      <c:pt idx="23" formatCode="General">
                        <c:v>-41.091028744326778</c:v>
                      </c:pt>
                      <c:pt idx="24" formatCode="General">
                        <c:v>-40.61962121212121</c:v>
                      </c:pt>
                      <c:pt idx="25" formatCode="General">
                        <c:v>-40.218106060606061</c:v>
                      </c:pt>
                      <c:pt idx="26" formatCode="General">
                        <c:v>-39.816590909090905</c:v>
                      </c:pt>
                      <c:pt idx="27" formatCode="General">
                        <c:v>-39.415075757575757</c:v>
                      </c:pt>
                      <c:pt idx="28" formatCode="General">
                        <c:v>-39.013560606060608</c:v>
                      </c:pt>
                      <c:pt idx="29" formatCode="General">
                        <c:v>-38.612045454545452</c:v>
                      </c:pt>
                      <c:pt idx="30" formatCode="General">
                        <c:v>-38.210530303030303</c:v>
                      </c:pt>
                      <c:pt idx="31" formatCode="General">
                        <c:v>-37.854644478063541</c:v>
                      </c:pt>
                      <c:pt idx="32" formatCode="General">
                        <c:v>-37.523328290468989</c:v>
                      </c:pt>
                      <c:pt idx="33" formatCode="General">
                        <c:v>-37.192012102874436</c:v>
                      </c:pt>
                      <c:pt idx="34" formatCode="General">
                        <c:v>-36.860695915279884</c:v>
                      </c:pt>
                      <c:pt idx="35" formatCode="General">
                        <c:v>-36.529379727685324</c:v>
                      </c:pt>
                      <c:pt idx="36" formatCode="General">
                        <c:v>-36.198063540090772</c:v>
                      </c:pt>
                      <c:pt idx="37" formatCode="General">
                        <c:v>-35.868804841149775</c:v>
                      </c:pt>
                      <c:pt idx="38" formatCode="General">
                        <c:v>-35.588925869894105</c:v>
                      </c:pt>
                      <c:pt idx="39" formatCode="General">
                        <c:v>-35.309046898638428</c:v>
                      </c:pt>
                      <c:pt idx="40" formatCode="General">
                        <c:v>-35.029167927382758</c:v>
                      </c:pt>
                      <c:pt idx="41" formatCode="General">
                        <c:v>-34.749288956127081</c:v>
                      </c:pt>
                      <c:pt idx="42" formatCode="General">
                        <c:v>-34.469409984871412</c:v>
                      </c:pt>
                      <c:pt idx="43" formatCode="General">
                        <c:v>-34.189531013615735</c:v>
                      </c:pt>
                      <c:pt idx="44" formatCode="General">
                        <c:v>-33.925264750378219</c:v>
                      </c:pt>
                      <c:pt idx="45" formatCode="General">
                        <c:v>-33.681694402420575</c:v>
                      </c:pt>
                      <c:pt idx="46" formatCode="General">
                        <c:v>-33.438124054462939</c:v>
                      </c:pt>
                      <c:pt idx="47" formatCode="General">
                        <c:v>-33.194553706505296</c:v>
                      </c:pt>
                      <c:pt idx="48" formatCode="General">
                        <c:v>-32.950983358547653</c:v>
                      </c:pt>
                      <c:pt idx="49" formatCode="General">
                        <c:v>-32.707413010590017</c:v>
                      </c:pt>
                      <c:pt idx="50" formatCode="General">
                        <c:v>-32.463842662632374</c:v>
                      </c:pt>
                      <c:pt idx="51" formatCode="General">
                        <c:v>-32.241090909090907</c:v>
                      </c:pt>
                      <c:pt idx="52" formatCode="General">
                        <c:v>-32.022909090909089</c:v>
                      </c:pt>
                      <c:pt idx="53" formatCode="General">
                        <c:v>-31.804727272727273</c:v>
                      </c:pt>
                      <c:pt idx="54" formatCode="General">
                        <c:v>-31.58969696969697</c:v>
                      </c:pt>
                      <c:pt idx="55" formatCode="General">
                        <c:v>-31.377575757575759</c:v>
                      </c:pt>
                      <c:pt idx="56" formatCode="General">
                        <c:v>-31.170727272727273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-26.228424242424239</c:v>
                      </c:pt>
                      <c:pt idx="1">
                        <c:v>-25.521272727272727</c:v>
                      </c:pt>
                      <c:pt idx="2" formatCode="General">
                        <c:v>-24.866727272727275</c:v>
                      </c:pt>
                      <c:pt idx="3" formatCode="General">
                        <c:v>-24.265272727272727</c:v>
                      </c:pt>
                      <c:pt idx="4" formatCode="General">
                        <c:v>-23.68781818181818</c:v>
                      </c:pt>
                      <c:pt idx="5" formatCode="General">
                        <c:v>-23.160545454545453</c:v>
                      </c:pt>
                      <c:pt idx="6" formatCode="General">
                        <c:v>-22.655361445783132</c:v>
                      </c:pt>
                      <c:pt idx="7" formatCode="General">
                        <c:v>-22.179457831325301</c:v>
                      </c:pt>
                      <c:pt idx="8" formatCode="General">
                        <c:v>-21.738666666666667</c:v>
                      </c:pt>
                      <c:pt idx="9" formatCode="General">
                        <c:v>-21.312727272727273</c:v>
                      </c:pt>
                      <c:pt idx="10" formatCode="General">
                        <c:v>-20.918787878787878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-13.78539393939394</c:v>
                      </c:pt>
                      <c:pt idx="52" formatCode="General">
                        <c:v>-13.708666666666668</c:v>
                      </c:pt>
                      <c:pt idx="53" formatCode="General">
                        <c:v>-13.641999999999999</c:v>
                      </c:pt>
                      <c:pt idx="54" formatCode="General">
                        <c:v>-13.572181818181818</c:v>
                      </c:pt>
                      <c:pt idx="55" formatCode="General">
                        <c:v>-13.499454545454546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-5.6688000000000001</c:v>
                      </c:pt>
                      <c:pt idx="1">
                        <c:v>-5.7292606060606062</c:v>
                      </c:pt>
                      <c:pt idx="2" formatCode="General">
                        <c:v>-5.7904727272727277</c:v>
                      </c:pt>
                      <c:pt idx="3" formatCode="General">
                        <c:v>-5.8521272727272731</c:v>
                      </c:pt>
                      <c:pt idx="4" formatCode="General">
                        <c:v>-5.9138969696969692</c:v>
                      </c:pt>
                      <c:pt idx="5" formatCode="General">
                        <c:v>-5.9751090909090907</c:v>
                      </c:pt>
                      <c:pt idx="6" formatCode="General">
                        <c:v>-6.036421686746988</c:v>
                      </c:pt>
                      <c:pt idx="7" formatCode="General">
                        <c:v>-6.0978674698795183</c:v>
                      </c:pt>
                      <c:pt idx="8" formatCode="General">
                        <c:v>-6.1591333333333331</c:v>
                      </c:pt>
                      <c:pt idx="9" formatCode="General">
                        <c:v>-6.2202000000000002</c:v>
                      </c:pt>
                      <c:pt idx="10" formatCode="General">
                        <c:v>-6.2801999999999998</c:v>
                      </c:pt>
                      <c:pt idx="11" formatCode="General">
                        <c:v>-6.3395885022692893</c:v>
                      </c:pt>
                      <c:pt idx="12" formatCode="General">
                        <c:v>-6.3982874432677761</c:v>
                      </c:pt>
                      <c:pt idx="13" formatCode="General">
                        <c:v>-6.4569863842662638</c:v>
                      </c:pt>
                      <c:pt idx="14" formatCode="General">
                        <c:v>-6.5156853252647506</c:v>
                      </c:pt>
                      <c:pt idx="15" formatCode="General">
                        <c:v>-6.5743842662632375</c:v>
                      </c:pt>
                      <c:pt idx="16" formatCode="General">
                        <c:v>-6.6330832072617252</c:v>
                      </c:pt>
                      <c:pt idx="17" formatCode="General">
                        <c:v>-6.691782148260212</c:v>
                      </c:pt>
                      <c:pt idx="18" formatCode="General">
                        <c:v>-6.7474886535552194</c:v>
                      </c:pt>
                      <c:pt idx="19" formatCode="General">
                        <c:v>-6.8027080181543118</c:v>
                      </c:pt>
                      <c:pt idx="20" formatCode="General">
                        <c:v>-6.8579273827534042</c:v>
                      </c:pt>
                      <c:pt idx="21" formatCode="General">
                        <c:v>-6.9131467473524966</c:v>
                      </c:pt>
                      <c:pt idx="22" formatCode="General">
                        <c:v>-6.9683661119515889</c:v>
                      </c:pt>
                      <c:pt idx="23" formatCode="General">
                        <c:v>-7.0235854765506813</c:v>
                      </c:pt>
                      <c:pt idx="24" formatCode="General">
                        <c:v>-7.0779924242424244</c:v>
                      </c:pt>
                      <c:pt idx="25" formatCode="General">
                        <c:v>-7.129962121212122</c:v>
                      </c:pt>
                      <c:pt idx="26" formatCode="General">
                        <c:v>-7.1819318181818188</c:v>
                      </c:pt>
                      <c:pt idx="27" formatCode="General">
                        <c:v>-7.2339015151515156</c:v>
                      </c:pt>
                      <c:pt idx="28" formatCode="General">
                        <c:v>-7.2858712121212124</c:v>
                      </c:pt>
                      <c:pt idx="29" formatCode="General">
                        <c:v>-7.3378409090909091</c:v>
                      </c:pt>
                      <c:pt idx="30" formatCode="General">
                        <c:v>-7.3898106060606068</c:v>
                      </c:pt>
                      <c:pt idx="31" formatCode="General">
                        <c:v>-7.4394674735249628</c:v>
                      </c:pt>
                      <c:pt idx="32" formatCode="General">
                        <c:v>-7.4878789712556735</c:v>
                      </c:pt>
                      <c:pt idx="33" formatCode="General">
                        <c:v>-7.5362904689863841</c:v>
                      </c:pt>
                      <c:pt idx="34" formatCode="General">
                        <c:v>-7.5847019667170956</c:v>
                      </c:pt>
                      <c:pt idx="35" formatCode="General">
                        <c:v>-7.6331134644478063</c:v>
                      </c:pt>
                      <c:pt idx="36" formatCode="General">
                        <c:v>-7.6815249621785169</c:v>
                      </c:pt>
                      <c:pt idx="37" formatCode="General">
                        <c:v>-7.7298275340393339</c:v>
                      </c:pt>
                      <c:pt idx="38" formatCode="General">
                        <c:v>-7.7755158850226929</c:v>
                      </c:pt>
                      <c:pt idx="39" formatCode="General">
                        <c:v>-7.821204236006051</c:v>
                      </c:pt>
                      <c:pt idx="40" formatCode="General">
                        <c:v>-7.8668925869894091</c:v>
                      </c:pt>
                      <c:pt idx="41" formatCode="General">
                        <c:v>-7.9125809379727681</c:v>
                      </c:pt>
                      <c:pt idx="42" formatCode="General">
                        <c:v>-7.9582692889561262</c:v>
                      </c:pt>
                      <c:pt idx="43" formatCode="General">
                        <c:v>-8.0039576399394843</c:v>
                      </c:pt>
                      <c:pt idx="44" formatCode="General">
                        <c:v>-8.0486051437216339</c:v>
                      </c:pt>
                      <c:pt idx="45" formatCode="General">
                        <c:v>-8.0918729198184565</c:v>
                      </c:pt>
                      <c:pt idx="46" formatCode="General">
                        <c:v>-8.135140695915279</c:v>
                      </c:pt>
                      <c:pt idx="47" formatCode="General">
                        <c:v>-8.1784084720121033</c:v>
                      </c:pt>
                      <c:pt idx="48" formatCode="General">
                        <c:v>-8.2216762481089258</c:v>
                      </c:pt>
                      <c:pt idx="49" formatCode="General">
                        <c:v>-8.2649440242057501</c:v>
                      </c:pt>
                      <c:pt idx="50" formatCode="General">
                        <c:v>-8.3082118003025727</c:v>
                      </c:pt>
                      <c:pt idx="51" formatCode="General">
                        <c:v>-8.3507878787878784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-8.4356363636363625</c:v>
                      </c:pt>
                      <c:pt idx="54" formatCode="General">
                        <c:v>-8.4780606060606054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-30.631672727272726</c:v>
                      </c:pt>
                      <c:pt idx="47" formatCode="General">
                        <c:v>-30.464630303030301</c:v>
                      </c:pt>
                      <c:pt idx="48" formatCode="General">
                        <c:v>-30.469478787878788</c:v>
                      </c:pt>
                      <c:pt idx="49" formatCode="General">
                        <c:v>-30.474891566265061</c:v>
                      </c:pt>
                      <c:pt idx="50" formatCode="General">
                        <c:v>-30.480915662650602</c:v>
                      </c:pt>
                      <c:pt idx="51" formatCode="General">
                        <c:v>-30.493181818181817</c:v>
                      </c:pt>
                      <c:pt idx="52" formatCode="General">
                        <c:v>-30.506818181818183</c:v>
                      </c:pt>
                      <c:pt idx="53" formatCode="General">
                        <c:v>-30.520454545454545</c:v>
                      </c:pt>
                      <c:pt idx="54" formatCode="General">
                        <c:v>-30.53409090909091</c:v>
                      </c:pt>
                      <c:pt idx="55" formatCode="General">
                        <c:v>-30.547727272727276</c:v>
                      </c:pt>
                      <c:pt idx="56" formatCode="General">
                        <c:v>-30.561363636363637</c:v>
                      </c:pt>
                      <c:pt idx="57" formatCode="General">
                        <c:v>-30.577301204819278</c:v>
                      </c:pt>
                      <c:pt idx="58" formatCode="General">
                        <c:v>-30.601397590361447</c:v>
                      </c:pt>
                      <c:pt idx="59" formatCode="General">
                        <c:v>-30.622860606060605</c:v>
                      </c:pt>
                      <c:pt idx="60" formatCode="General">
                        <c:v>-30.642254545454545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-69.83932121212122</c:v>
                      </c:pt>
                      <c:pt idx="43" formatCode="General">
                        <c:v>-68.830836363636365</c:v>
                      </c:pt>
                      <c:pt idx="44" formatCode="General">
                        <c:v>-67.836945454545457</c:v>
                      </c:pt>
                      <c:pt idx="45" formatCode="General">
                        <c:v>-66.862400000000008</c:v>
                      </c:pt>
                      <c:pt idx="46" formatCode="General">
                        <c:v>-65.98996363636364</c:v>
                      </c:pt>
                      <c:pt idx="47" formatCode="General">
                        <c:v>-65.312096969696967</c:v>
                      </c:pt>
                      <c:pt idx="48" formatCode="General">
                        <c:v>-65.743612121212124</c:v>
                      </c:pt>
                      <c:pt idx="49" formatCode="General">
                        <c:v>-66.129927710843376</c:v>
                      </c:pt>
                      <c:pt idx="50" formatCode="General">
                        <c:v>-66.467277108433748</c:v>
                      </c:pt>
                      <c:pt idx="51" formatCode="General">
                        <c:v>-66.806303030303042</c:v>
                      </c:pt>
                      <c:pt idx="52" formatCode="General">
                        <c:v>-67.145696969696971</c:v>
                      </c:pt>
                      <c:pt idx="53" formatCode="General">
                        <c:v>-67.485090909090914</c:v>
                      </c:pt>
                      <c:pt idx="54" formatCode="General">
                        <c:v>-67.824484848484857</c:v>
                      </c:pt>
                      <c:pt idx="55" formatCode="General">
                        <c:v>-68.163878787878787</c:v>
                      </c:pt>
                      <c:pt idx="56" formatCode="General">
                        <c:v>-68.50327272727273</c:v>
                      </c:pt>
                      <c:pt idx="57" formatCode="General">
                        <c:v>-68.842216867469887</c:v>
                      </c:pt>
                      <c:pt idx="58" formatCode="General">
                        <c:v>-69.179566265060245</c:v>
                      </c:pt>
                      <c:pt idx="59" formatCode="General">
                        <c:v>-69.520775757575763</c:v>
                      </c:pt>
                      <c:pt idx="60" formatCode="General">
                        <c:v>-69.865018181818186</c:v>
                      </c:pt>
                      <c:pt idx="61" formatCode="General">
                        <c:v>-70.21808484848485</c:v>
                      </c:pt>
                      <c:pt idx="62" formatCode="General">
                        <c:v>-70.573284848484846</c:v>
                      </c:pt>
                      <c:pt idx="63" formatCode="General">
                        <c:v>-70.932072727272725</c:v>
                      </c:pt>
                      <c:pt idx="64" formatCode="General">
                        <c:v>-71.296775757575759</c:v>
                      </c:pt>
                      <c:pt idx="65" formatCode="General">
                        <c:v>-71.665260606060613</c:v>
                      </c:pt>
                      <c:pt idx="66" formatCode="General">
                        <c:v>-72.040867469879529</c:v>
                      </c:pt>
                      <c:pt idx="67" formatCode="General">
                        <c:v>-72.420363636363632</c:v>
                      </c:pt>
                      <c:pt idx="68" formatCode="General">
                        <c:v>-72.808242424242422</c:v>
                      </c:pt>
                      <c:pt idx="69" formatCode="General">
                        <c:v>-73.205575757575758</c:v>
                      </c:pt>
                      <c:pt idx="70" formatCode="General">
                        <c:v>-73.608000000000004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-41.243727272727277</c:v>
                      </c:pt>
                      <c:pt idx="47" formatCode="General">
                        <c:v>-40.820060606060601</c:v>
                      </c:pt>
                      <c:pt idx="48" formatCode="General">
                        <c:v>-41.089757575757574</c:v>
                      </c:pt>
                      <c:pt idx="49" formatCode="General">
                        <c:v>-41.331204819277112</c:v>
                      </c:pt>
                      <c:pt idx="50" formatCode="General">
                        <c:v>-41.542048192771091</c:v>
                      </c:pt>
                      <c:pt idx="51" formatCode="General">
                        <c:v>-41.753939393939397</c:v>
                      </c:pt>
                      <c:pt idx="52" formatCode="General">
                        <c:v>-41.966060606060609</c:v>
                      </c:pt>
                      <c:pt idx="53" formatCode="General">
                        <c:v>-42.178181818181827</c:v>
                      </c:pt>
                      <c:pt idx="54" formatCode="General">
                        <c:v>-42.390303030303038</c:v>
                      </c:pt>
                      <c:pt idx="55" formatCode="General">
                        <c:v>-42.602424242424249</c:v>
                      </c:pt>
                      <c:pt idx="56" formatCode="General">
                        <c:v>-42.81454545454546</c:v>
                      </c:pt>
                      <c:pt idx="57" formatCode="General">
                        <c:v>-43.026385542168676</c:v>
                      </c:pt>
                      <c:pt idx="58" formatCode="General">
                        <c:v>-43.237228915662648</c:v>
                      </c:pt>
                      <c:pt idx="59" formatCode="General">
                        <c:v>-43.450484848484848</c:v>
                      </c:pt>
                      <c:pt idx="60" formatCode="General">
                        <c:v>-43.665636363636366</c:v>
                      </c:pt>
                      <c:pt idx="61" formatCode="General">
                        <c:v>-43.886303030303033</c:v>
                      </c:pt>
                      <c:pt idx="62" formatCode="General">
                        <c:v>-44.108303030303034</c:v>
                      </c:pt>
                      <c:pt idx="63" formatCode="General">
                        <c:v>-44.33254545454546</c:v>
                      </c:pt>
                      <c:pt idx="64" formatCode="General">
                        <c:v>-44.560484848484855</c:v>
                      </c:pt>
                      <c:pt idx="65" formatCode="General">
                        <c:v>-44.790787878787881</c:v>
                      </c:pt>
                      <c:pt idx="66" formatCode="General">
                        <c:v>-45.025542168674697</c:v>
                      </c:pt>
                      <c:pt idx="67" formatCode="General">
                        <c:v>-45.262727272727268</c:v>
                      </c:pt>
                      <c:pt idx="68" formatCode="General">
                        <c:v>-45.505151515151518</c:v>
                      </c:pt>
                      <c:pt idx="69" formatCode="General">
                        <c:v>-45.753484848484852</c:v>
                      </c:pt>
                      <c:pt idx="70" formatCode="General">
                        <c:v>-46.005000000000003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-32.99498181818182</c:v>
                      </c:pt>
                      <c:pt idx="47" formatCode="General">
                        <c:v>-32.656048484848483</c:v>
                      </c:pt>
                      <c:pt idx="48" formatCode="General">
                        <c:v>-32.871806060606062</c:v>
                      </c:pt>
                      <c:pt idx="49" formatCode="General">
                        <c:v>-33.064963855421688</c:v>
                      </c:pt>
                      <c:pt idx="50" formatCode="General">
                        <c:v>-33.233638554216874</c:v>
                      </c:pt>
                      <c:pt idx="51" formatCode="General">
                        <c:v>-33.403151515151521</c:v>
                      </c:pt>
                      <c:pt idx="52" formatCode="General">
                        <c:v>-33.572848484848485</c:v>
                      </c:pt>
                      <c:pt idx="53" formatCode="General">
                        <c:v>-33.742545454545457</c:v>
                      </c:pt>
                      <c:pt idx="54" formatCode="General">
                        <c:v>-33.912242424242429</c:v>
                      </c:pt>
                      <c:pt idx="55" formatCode="General">
                        <c:v>-34.081939393939393</c:v>
                      </c:pt>
                      <c:pt idx="56" formatCode="General">
                        <c:v>-34.251636363636365</c:v>
                      </c:pt>
                      <c:pt idx="57" formatCode="General">
                        <c:v>-34.421108433734943</c:v>
                      </c:pt>
                      <c:pt idx="58" formatCode="General">
                        <c:v>-34.589783132530123</c:v>
                      </c:pt>
                      <c:pt idx="59" formatCode="General">
                        <c:v>-34.760387878787881</c:v>
                      </c:pt>
                      <c:pt idx="60" formatCode="General">
                        <c:v>-34.932509090909093</c:v>
                      </c:pt>
                      <c:pt idx="61" formatCode="General">
                        <c:v>-35.109042424242425</c:v>
                      </c:pt>
                      <c:pt idx="62" formatCode="General">
                        <c:v>-35.286642424242423</c:v>
                      </c:pt>
                      <c:pt idx="63" formatCode="General">
                        <c:v>-35.466036363636363</c:v>
                      </c:pt>
                      <c:pt idx="64" formatCode="General">
                        <c:v>-35.648387878787879</c:v>
                      </c:pt>
                      <c:pt idx="65" formatCode="General">
                        <c:v>-35.832630303030307</c:v>
                      </c:pt>
                      <c:pt idx="66" formatCode="General">
                        <c:v>-36.020433734939765</c:v>
                      </c:pt>
                      <c:pt idx="67" formatCode="General">
                        <c:v>-36.210181818181816</c:v>
                      </c:pt>
                      <c:pt idx="68" formatCode="General">
                        <c:v>-36.404121212121211</c:v>
                      </c:pt>
                      <c:pt idx="69" formatCode="General">
                        <c:v>-36.602787878787879</c:v>
                      </c:pt>
                      <c:pt idx="70" formatCode="General">
                        <c:v>-36.804000000000002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-24.746236363636363</c:v>
                      </c:pt>
                      <c:pt idx="47" formatCode="General">
                        <c:v>-24.492036363636362</c:v>
                      </c:pt>
                      <c:pt idx="48" formatCode="General">
                        <c:v>-24.653854545454543</c:v>
                      </c:pt>
                      <c:pt idx="49" formatCode="General">
                        <c:v>-24.798722891566264</c:v>
                      </c:pt>
                      <c:pt idx="50" formatCode="General">
                        <c:v>-24.92522891566265</c:v>
                      </c:pt>
                      <c:pt idx="51" formatCode="General">
                        <c:v>-25.052363636363637</c:v>
                      </c:pt>
                      <c:pt idx="52" formatCode="General">
                        <c:v>-25.179636363636366</c:v>
                      </c:pt>
                      <c:pt idx="53" formatCode="General">
                        <c:v>-25.306909090909091</c:v>
                      </c:pt>
                      <c:pt idx="54" formatCode="General">
                        <c:v>-25.43418181818182</c:v>
                      </c:pt>
                      <c:pt idx="55" formatCode="General">
                        <c:v>-25.561454545454545</c:v>
                      </c:pt>
                      <c:pt idx="56" formatCode="General">
                        <c:v>-25.688727272727274</c:v>
                      </c:pt>
                      <c:pt idx="57" formatCode="General">
                        <c:v>-25.815831325301207</c:v>
                      </c:pt>
                      <c:pt idx="58" formatCode="General">
                        <c:v>-25.94233734939759</c:v>
                      </c:pt>
                      <c:pt idx="59" formatCode="General">
                        <c:v>-26.070290909090911</c:v>
                      </c:pt>
                      <c:pt idx="60" formatCode="General">
                        <c:v>-26.199381818181816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-16.49749090909091</c:v>
                      </c:pt>
                      <c:pt idx="47" formatCode="General">
                        <c:v>-16.328024242424242</c:v>
                      </c:pt>
                      <c:pt idx="48" formatCode="General">
                        <c:v>-16.435903030303031</c:v>
                      </c:pt>
                      <c:pt idx="49" formatCode="General">
                        <c:v>-16.532481927710844</c:v>
                      </c:pt>
                      <c:pt idx="50" formatCode="General">
                        <c:v>-16.616819277108437</c:v>
                      </c:pt>
                      <c:pt idx="51" formatCode="General">
                        <c:v>-16.70157575757576</c:v>
                      </c:pt>
                      <c:pt idx="52" formatCode="General">
                        <c:v>-16.786424242424243</c:v>
                      </c:pt>
                      <c:pt idx="53" formatCode="General">
                        <c:v>-16.871272727272729</c:v>
                      </c:pt>
                      <c:pt idx="54" formatCode="General">
                        <c:v>-16.956121212121214</c:v>
                      </c:pt>
                      <c:pt idx="55" formatCode="General">
                        <c:v>-17.040969696969697</c:v>
                      </c:pt>
                      <c:pt idx="56" formatCode="General">
                        <c:v>-17.125818181818182</c:v>
                      </c:pt>
                      <c:pt idx="57" formatCode="General">
                        <c:v>-17.210554216867472</c:v>
                      </c:pt>
                      <c:pt idx="58" formatCode="General">
                        <c:v>-17.294891566265061</c:v>
                      </c:pt>
                      <c:pt idx="59" formatCode="General">
                        <c:v>-17.380193939393941</c:v>
                      </c:pt>
                      <c:pt idx="60" formatCode="General">
                        <c:v>-17.466254545454547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-22.382927272727276</c:v>
                      </c:pt>
                      <c:pt idx="47" formatCode="General">
                        <c:v>-22.300618181818184</c:v>
                      </c:pt>
                      <c:pt idx="48" formatCode="General">
                        <c:v>-22.251527272727273</c:v>
                      </c:pt>
                      <c:pt idx="49" formatCode="General">
                        <c:v>-22.208650602409637</c:v>
                      </c:pt>
                      <c:pt idx="50" formatCode="General">
                        <c:v>-22.172506024096386</c:v>
                      </c:pt>
                      <c:pt idx="51" formatCode="General">
                        <c:v>-22.142393939393941</c:v>
                      </c:pt>
                      <c:pt idx="52" formatCode="General">
                        <c:v>-22.11360606060606</c:v>
                      </c:pt>
                      <c:pt idx="53" formatCode="General">
                        <c:v>-22.084818181818182</c:v>
                      </c:pt>
                      <c:pt idx="54" formatCode="General">
                        <c:v>-22.056030303030301</c:v>
                      </c:pt>
                      <c:pt idx="55" formatCode="General">
                        <c:v>-22.027242424242424</c:v>
                      </c:pt>
                      <c:pt idx="56" formatCode="General">
                        <c:v>-21.998454545454546</c:v>
                      </c:pt>
                      <c:pt idx="57" formatCode="General">
                        <c:v>-21.972024096385542</c:v>
                      </c:pt>
                      <c:pt idx="58" formatCode="General">
                        <c:v>-21.953951807228915</c:v>
                      </c:pt>
                      <c:pt idx="59" formatCode="General">
                        <c:v>-21.932763636363635</c:v>
                      </c:pt>
                      <c:pt idx="60" formatCode="General">
                        <c:v>-21.909127272727272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-94.214836363636365</c:v>
                      </c:pt>
                      <c:pt idx="43" formatCode="General">
                        <c:v>-93.400290909090913</c:v>
                      </c:pt>
                      <c:pt idx="44" formatCode="General">
                        <c:v>-92.606854545454553</c:v>
                      </c:pt>
                      <c:pt idx="45" formatCode="General">
                        <c:v>-91.841400000000007</c:v>
                      </c:pt>
                      <c:pt idx="46" formatCode="General">
                        <c:v>-91.303327272727273</c:v>
                      </c:pt>
                      <c:pt idx="47" formatCode="General">
                        <c:v>-90.847430303030308</c:v>
                      </c:pt>
                      <c:pt idx="48" formatCode="General">
                        <c:v>-90.512278787878785</c:v>
                      </c:pt>
                      <c:pt idx="49" formatCode="General">
                        <c:v>-90.178963855421685</c:v>
                      </c:pt>
                      <c:pt idx="50" formatCode="General">
                        <c:v>-89.847638554216871</c:v>
                      </c:pt>
                      <c:pt idx="51" formatCode="General">
                        <c:v>-89.542000000000016</c:v>
                      </c:pt>
                      <c:pt idx="52" formatCode="General">
                        <c:v>-89.242000000000004</c:v>
                      </c:pt>
                      <c:pt idx="53" formatCode="General">
                        <c:v>-88.942000000000007</c:v>
                      </c:pt>
                      <c:pt idx="54" formatCode="General">
                        <c:v>-88.64200000000001</c:v>
                      </c:pt>
                      <c:pt idx="55" formatCode="General">
                        <c:v>-88.342000000000013</c:v>
                      </c:pt>
                      <c:pt idx="56" formatCode="General">
                        <c:v>-88.042000000000002</c:v>
                      </c:pt>
                      <c:pt idx="57" formatCode="General">
                        <c:v>-87.748361445783132</c:v>
                      </c:pt>
                      <c:pt idx="58" formatCode="General">
                        <c:v>-87.477277108433739</c:v>
                      </c:pt>
                      <c:pt idx="59" formatCode="General">
                        <c:v>-87.20629090909091</c:v>
                      </c:pt>
                      <c:pt idx="60" formatCode="General">
                        <c:v>-86.935381818181824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-34.01254545454546</c:v>
                      </c:pt>
                      <c:pt idx="43" formatCode="General">
                        <c:v>-33.794363636363641</c:v>
                      </c:pt>
                      <c:pt idx="44" formatCode="General">
                        <c:v>-33.584000000000003</c:v>
                      </c:pt>
                      <c:pt idx="45" formatCode="General">
                        <c:v>-33.384000000000007</c:v>
                      </c:pt>
                      <c:pt idx="46" formatCode="General">
                        <c:v>-33.278545454545458</c:v>
                      </c:pt>
                      <c:pt idx="47" formatCode="General">
                        <c:v>-33.177696969696974</c:v>
                      </c:pt>
                      <c:pt idx="48" formatCode="General">
                        <c:v>-32.929212121212117</c:v>
                      </c:pt>
                      <c:pt idx="49" formatCode="General">
                        <c:v>-32.690120481927707</c:v>
                      </c:pt>
                      <c:pt idx="50" formatCode="General">
                        <c:v>-32.461204819277107</c:v>
                      </c:pt>
                      <c:pt idx="51" formatCode="General">
                        <c:v>-32.244818181818182</c:v>
                      </c:pt>
                      <c:pt idx="52" formatCode="General">
                        <c:v>-32.031181818181821</c:v>
                      </c:pt>
                      <c:pt idx="53" formatCode="General">
                        <c:v>-31.817545454545456</c:v>
                      </c:pt>
                      <c:pt idx="54" formatCode="General">
                        <c:v>-31.603909090909092</c:v>
                      </c:pt>
                      <c:pt idx="55" formatCode="General">
                        <c:v>-31.390272727272727</c:v>
                      </c:pt>
                      <c:pt idx="56" formatCode="General">
                        <c:v>-31.176636363636366</c:v>
                      </c:pt>
                      <c:pt idx="57" formatCode="General">
                        <c:v>-30.966265060240964</c:v>
                      </c:pt>
                      <c:pt idx="58" formatCode="General">
                        <c:v>-30.767469879518071</c:v>
                      </c:pt>
                      <c:pt idx="59" formatCode="General">
                        <c:v>-30.568000000000001</c:v>
                      </c:pt>
                      <c:pt idx="60" formatCode="General">
                        <c:v>-30.368000000000002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-14.134181818181817</c:v>
                      </c:pt>
                      <c:pt idx="47" formatCode="General">
                        <c:v>-14.136606060606061</c:v>
                      </c:pt>
                      <c:pt idx="48" formatCode="General">
                        <c:v>-14.033575757575758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-8.248745454545455</c:v>
                      </c:pt>
                      <c:pt idx="47" formatCode="General">
                        <c:v>-8.1640121212121208</c:v>
                      </c:pt>
                      <c:pt idx="48" formatCode="General">
                        <c:v>-8.2179515151515155</c:v>
                      </c:pt>
                      <c:pt idx="49" formatCode="General">
                        <c:v>-8.266240963855422</c:v>
                      </c:pt>
                      <c:pt idx="50" formatCode="General">
                        <c:v>-8.3084096385542185</c:v>
                      </c:pt>
                      <c:pt idx="51" formatCode="General">
                        <c:v>-8.3507878787878802</c:v>
                      </c:pt>
                      <c:pt idx="52" formatCode="General">
                        <c:v>-8.3932121212121213</c:v>
                      </c:pt>
                      <c:pt idx="53" formatCode="General">
                        <c:v>-8.4356363636363643</c:v>
                      </c:pt>
                      <c:pt idx="54" formatCode="General">
                        <c:v>-8.4780606060606072</c:v>
                      </c:pt>
                      <c:pt idx="55" formatCode="General">
                        <c:v>-8.5204848484848483</c:v>
                      </c:pt>
                      <c:pt idx="56" formatCode="General">
                        <c:v>-8.5629090909090912</c:v>
                      </c:pt>
                      <c:pt idx="57" formatCode="General">
                        <c:v>-8.6052771084337358</c:v>
                      </c:pt>
                      <c:pt idx="58" formatCode="General">
                        <c:v>-8.6474457831325307</c:v>
                      </c:pt>
                      <c:pt idx="59" formatCode="General">
                        <c:v>-8.6900969696969703</c:v>
                      </c:pt>
                      <c:pt idx="60" formatCode="General">
                        <c:v>-8.7331272727272733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-34.993636363636369</c:v>
                      </c:pt>
                      <c:pt idx="25" formatCode="General">
                        <c:v>-34.448181818181823</c:v>
                      </c:pt>
                      <c:pt idx="26" formatCode="General">
                        <c:v>-33.902727272727276</c:v>
                      </c:pt>
                      <c:pt idx="27" formatCode="General">
                        <c:v>-33.357272727272729</c:v>
                      </c:pt>
                      <c:pt idx="28" formatCode="General">
                        <c:v>-32.811818181818182</c:v>
                      </c:pt>
                      <c:pt idx="29" formatCode="General">
                        <c:v>-32.266363636363636</c:v>
                      </c:pt>
                      <c:pt idx="30" formatCode="General">
                        <c:v>-31.720909090909092</c:v>
                      </c:pt>
                      <c:pt idx="31" formatCode="General">
                        <c:v>-31.272458396369139</c:v>
                      </c:pt>
                      <c:pt idx="32" formatCode="General">
                        <c:v>-30.876240544629351</c:v>
                      </c:pt>
                      <c:pt idx="33" formatCode="General">
                        <c:v>-30.480022692889563</c:v>
                      </c:pt>
                      <c:pt idx="34" formatCode="General">
                        <c:v>-30.083804841149774</c:v>
                      </c:pt>
                      <c:pt idx="35" formatCode="General">
                        <c:v>-29.687586989409986</c:v>
                      </c:pt>
                      <c:pt idx="36" formatCode="General">
                        <c:v>-29.291369137670198</c:v>
                      </c:pt>
                      <c:pt idx="37" formatCode="General">
                        <c:v>-28.901142208774587</c:v>
                      </c:pt>
                      <c:pt idx="38" formatCode="General">
                        <c:v>-28.654697428139183</c:v>
                      </c:pt>
                      <c:pt idx="39" formatCode="General">
                        <c:v>-28.408252647503783</c:v>
                      </c:pt>
                      <c:pt idx="40" formatCode="General">
                        <c:v>-28.161807866868379</c:v>
                      </c:pt>
                      <c:pt idx="41" formatCode="General">
                        <c:v>-27.915363086232979</c:v>
                      </c:pt>
                      <c:pt idx="42" formatCode="General">
                        <c:v>-27.668918305597579</c:v>
                      </c:pt>
                      <c:pt idx="43" formatCode="General">
                        <c:v>-27.422473524962175</c:v>
                      </c:pt>
                      <c:pt idx="44" formatCode="General">
                        <c:v>-27.214763636363635</c:v>
                      </c:pt>
                      <c:pt idx="45" formatCode="General">
                        <c:v>-27.058399999999999</c:v>
                      </c:pt>
                      <c:pt idx="46" formatCode="General">
                        <c:v>-26.927563636363637</c:v>
                      </c:pt>
                      <c:pt idx="47" formatCode="General">
                        <c:v>-26.807945454545454</c:v>
                      </c:pt>
                      <c:pt idx="48" formatCode="General">
                        <c:v>-26.71521818181818</c:v>
                      </c:pt>
                      <c:pt idx="49" formatCode="General">
                        <c:v>-26.63490361445783</c:v>
                      </c:pt>
                      <c:pt idx="50" formatCode="General">
                        <c:v>-26.568036144578315</c:v>
                      </c:pt>
                      <c:pt idx="51" formatCode="General">
                        <c:v>-26.52021818181818</c:v>
                      </c:pt>
                      <c:pt idx="52" formatCode="General">
                        <c:v>-26.45370909090909</c:v>
                      </c:pt>
                      <c:pt idx="53" formatCode="General">
                        <c:v>-26.275527272727274</c:v>
                      </c:pt>
                      <c:pt idx="54" formatCode="General">
                        <c:v>-26.145563636363637</c:v>
                      </c:pt>
                      <c:pt idx="55" formatCode="General">
                        <c:v>-26.060109090909091</c:v>
                      </c:pt>
                      <c:pt idx="56" formatCode="General">
                        <c:v>-26.020527272727271</c:v>
                      </c:pt>
                      <c:pt idx="57" formatCode="General">
                        <c:v>-25.996987951807228</c:v>
                      </c:pt>
                      <c:pt idx="58" formatCode="General">
                        <c:v>-26.006024096385541</c:v>
                      </c:pt>
                      <c:pt idx="59" formatCode="General">
                        <c:v>-26.07821818181818</c:v>
                      </c:pt>
                      <c:pt idx="60" formatCode="General">
                        <c:v>-26.200036363636361</c:v>
                      </c:pt>
                      <c:pt idx="61" formatCode="General">
                        <c:v>-26.331781818181817</c:v>
                      </c:pt>
                      <c:pt idx="62" formatCode="General">
                        <c:v>-26.464981818181819</c:v>
                      </c:pt>
                      <c:pt idx="63" formatCode="General">
                        <c:v>-26.599527272727272</c:v>
                      </c:pt>
                      <c:pt idx="64" formatCode="General">
                        <c:v>-26.736290909090911</c:v>
                      </c:pt>
                      <c:pt idx="65" formatCode="General">
                        <c:v>-26.874472727272732</c:v>
                      </c:pt>
                      <c:pt idx="66" formatCode="General">
                        <c:v>-27.015325301204822</c:v>
                      </c:pt>
                      <c:pt idx="67" formatCode="General">
                        <c:v>-27.157636363636364</c:v>
                      </c:pt>
                      <c:pt idx="68" formatCode="General">
                        <c:v>-27.303090909090908</c:v>
                      </c:pt>
                      <c:pt idx="69" formatCode="General">
                        <c:v>-27.452090909090909</c:v>
                      </c:pt>
                      <c:pt idx="70" formatCode="General">
                        <c:v>-27.603000000000002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-23.329090909090912</c:v>
                      </c:pt>
                      <c:pt idx="25" formatCode="General">
                        <c:v>-22.965454545454548</c:v>
                      </c:pt>
                      <c:pt idx="26" formatCode="General">
                        <c:v>-22.601818181818182</c:v>
                      </c:pt>
                      <c:pt idx="27" formatCode="General">
                        <c:v>-22.238181818181818</c:v>
                      </c:pt>
                      <c:pt idx="28" formatCode="General">
                        <c:v>-21.874545454545455</c:v>
                      </c:pt>
                      <c:pt idx="29" formatCode="General">
                        <c:v>-21.510909090909092</c:v>
                      </c:pt>
                      <c:pt idx="30" formatCode="General">
                        <c:v>-21.147272727272728</c:v>
                      </c:pt>
                      <c:pt idx="31" formatCode="General">
                        <c:v>-20.848305597579426</c:v>
                      </c:pt>
                      <c:pt idx="32" formatCode="General">
                        <c:v>-20.584160363086234</c:v>
                      </c:pt>
                      <c:pt idx="33" formatCode="General">
                        <c:v>-20.320015128593042</c:v>
                      </c:pt>
                      <c:pt idx="34" formatCode="General">
                        <c:v>-20.05586989409985</c:v>
                      </c:pt>
                      <c:pt idx="35" formatCode="General">
                        <c:v>-19.791724659606658</c:v>
                      </c:pt>
                      <c:pt idx="36" formatCode="General">
                        <c:v>-19.527579425113466</c:v>
                      </c:pt>
                      <c:pt idx="37" formatCode="General">
                        <c:v>-19.267428139183057</c:v>
                      </c:pt>
                      <c:pt idx="38" formatCode="General">
                        <c:v>-19.103131618759456</c:v>
                      </c:pt>
                      <c:pt idx="39" formatCode="General">
                        <c:v>-18.938835098335854</c:v>
                      </c:pt>
                      <c:pt idx="40" formatCode="General">
                        <c:v>-18.774538577912253</c:v>
                      </c:pt>
                      <c:pt idx="41" formatCode="General">
                        <c:v>-18.610242057488655</c:v>
                      </c:pt>
                      <c:pt idx="42" formatCode="General">
                        <c:v>-18.445945537065054</c:v>
                      </c:pt>
                      <c:pt idx="43" formatCode="General">
                        <c:v>-18.281649016641452</c:v>
                      </c:pt>
                      <c:pt idx="44" formatCode="General">
                        <c:v>-18.143175757575758</c:v>
                      </c:pt>
                      <c:pt idx="45" formatCode="General">
                        <c:v>-18.038933333333333</c:v>
                      </c:pt>
                      <c:pt idx="46" formatCode="General">
                        <c:v>-17.951709090909091</c:v>
                      </c:pt>
                      <c:pt idx="47" formatCode="General">
                        <c:v>-17.871963636363635</c:v>
                      </c:pt>
                      <c:pt idx="48" formatCode="General">
                        <c:v>-17.810145454545452</c:v>
                      </c:pt>
                      <c:pt idx="49" formatCode="General">
                        <c:v>-17.756602409638553</c:v>
                      </c:pt>
                      <c:pt idx="50" formatCode="General">
                        <c:v>-17.712024096385541</c:v>
                      </c:pt>
                      <c:pt idx="51" formatCode="General">
                        <c:v>-17.680145454545453</c:v>
                      </c:pt>
                      <c:pt idx="52" formatCode="General">
                        <c:v>-17.635806060606058</c:v>
                      </c:pt>
                      <c:pt idx="53" formatCode="General">
                        <c:v>-17.51701818181818</c:v>
                      </c:pt>
                      <c:pt idx="54" formatCode="General">
                        <c:v>-17.430375757575757</c:v>
                      </c:pt>
                      <c:pt idx="55" formatCode="General">
                        <c:v>-17.373406060606062</c:v>
                      </c:pt>
                      <c:pt idx="56" formatCode="General">
                        <c:v>-17.347018181818182</c:v>
                      </c:pt>
                      <c:pt idx="57" formatCode="General">
                        <c:v>-17.331325301204817</c:v>
                      </c:pt>
                      <c:pt idx="58" formatCode="General">
                        <c:v>-17.337349397590362</c:v>
                      </c:pt>
                      <c:pt idx="59" formatCode="General">
                        <c:v>-17.385478787878789</c:v>
                      </c:pt>
                      <c:pt idx="60" formatCode="General">
                        <c:v>-17.466690909090911</c:v>
                      </c:pt>
                      <c:pt idx="61" formatCode="General">
                        <c:v>-17.554521212121212</c:v>
                      </c:pt>
                      <c:pt idx="62" formatCode="General">
                        <c:v>-17.643321212121212</c:v>
                      </c:pt>
                      <c:pt idx="63" formatCode="General">
                        <c:v>-17.733018181818181</c:v>
                      </c:pt>
                      <c:pt idx="64" formatCode="General">
                        <c:v>-17.82419393939394</c:v>
                      </c:pt>
                      <c:pt idx="65" formatCode="General">
                        <c:v>-17.916315151515153</c:v>
                      </c:pt>
                      <c:pt idx="66" formatCode="General">
                        <c:v>-18.010216867469882</c:v>
                      </c:pt>
                      <c:pt idx="67" formatCode="General">
                        <c:v>-18.105090909090908</c:v>
                      </c:pt>
                      <c:pt idx="68" formatCode="General">
                        <c:v>-18.202060606060606</c:v>
                      </c:pt>
                      <c:pt idx="69" formatCode="General">
                        <c:v>-18.30139393939394</c:v>
                      </c:pt>
                      <c:pt idx="70" formatCode="General">
                        <c:v>-18.402000000000001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-60.398181818181811</c:v>
                      </c:pt>
                      <c:pt idx="1">
                        <c:v>-58.921818181818175</c:v>
                      </c:pt>
                      <c:pt idx="2" formatCode="General">
                        <c:v>-57.558181818181815</c:v>
                      </c:pt>
                      <c:pt idx="3" formatCode="General">
                        <c:v>-56.291878787878787</c:v>
                      </c:pt>
                      <c:pt idx="4" formatCode="General">
                        <c:v>-55.106868381240538</c:v>
                      </c:pt>
                      <c:pt idx="5" formatCode="General">
                        <c:v>-54.442723146747348</c:v>
                      </c:pt>
                      <c:pt idx="6" formatCode="General">
                        <c:v>-53.778577912254157</c:v>
                      </c:pt>
                      <c:pt idx="7" formatCode="General">
                        <c:v>-53.114432677760966</c:v>
                      </c:pt>
                      <c:pt idx="8" formatCode="General">
                        <c:v>-52.450287443267776</c:v>
                      </c:pt>
                      <c:pt idx="9" formatCode="General">
                        <c:v>-51.786142208774578</c:v>
                      </c:pt>
                      <c:pt idx="10" formatCode="General">
                        <c:v>-51.121996974281387</c:v>
                      </c:pt>
                      <c:pt idx="11" formatCode="General">
                        <c:v>-50.140726172465961</c:v>
                      </c:pt>
                      <c:pt idx="12" formatCode="General">
                        <c:v>-48.80184568835098</c:v>
                      </c:pt>
                      <c:pt idx="13" formatCode="General">
                        <c:v>-47.462965204236006</c:v>
                      </c:pt>
                      <c:pt idx="14" formatCode="General">
                        <c:v>-46.124084720121026</c:v>
                      </c:pt>
                      <c:pt idx="15" formatCode="General">
                        <c:v>-44.785204236006052</c:v>
                      </c:pt>
                      <c:pt idx="16" formatCode="General">
                        <c:v>-43.446323751891072</c:v>
                      </c:pt>
                      <c:pt idx="17" formatCode="General">
                        <c:v>-42.107443267776098</c:v>
                      </c:pt>
                      <c:pt idx="18" formatCode="General">
                        <c:v>-41.47894099848714</c:v>
                      </c:pt>
                      <c:pt idx="19" formatCode="General">
                        <c:v>-40.966081694402419</c:v>
                      </c:pt>
                      <c:pt idx="20" formatCode="General">
                        <c:v>-40.453222390317698</c:v>
                      </c:pt>
                      <c:pt idx="21" formatCode="General">
                        <c:v>-39.940363086232978</c:v>
                      </c:pt>
                      <c:pt idx="22" formatCode="General">
                        <c:v>-39.427503782148264</c:v>
                      </c:pt>
                      <c:pt idx="23" formatCode="General">
                        <c:v>-38.914644478063543</c:v>
                      </c:pt>
                      <c:pt idx="24" formatCode="General">
                        <c:v>-38.433030303030307</c:v>
                      </c:pt>
                      <c:pt idx="25" formatCode="General">
                        <c:v>-38.045151515151517</c:v>
                      </c:pt>
                      <c:pt idx="26" formatCode="General">
                        <c:v>-37.657272727272726</c:v>
                      </c:pt>
                      <c:pt idx="27" formatCode="General">
                        <c:v>-37.269393939393936</c:v>
                      </c:pt>
                      <c:pt idx="28" formatCode="General">
                        <c:v>-36.881515151515153</c:v>
                      </c:pt>
                      <c:pt idx="29" formatCode="General">
                        <c:v>-36.493636363636362</c:v>
                      </c:pt>
                      <c:pt idx="30" formatCode="General">
                        <c:v>-36.105757575757572</c:v>
                      </c:pt>
                      <c:pt idx="31" formatCode="General">
                        <c:v>-35.781588502269287</c:v>
                      </c:pt>
                      <c:pt idx="32" formatCode="General">
                        <c:v>-35.491724659606653</c:v>
                      </c:pt>
                      <c:pt idx="33" formatCode="General">
                        <c:v>-35.201860816944027</c:v>
                      </c:pt>
                      <c:pt idx="34" formatCode="General">
                        <c:v>-34.911996974281394</c:v>
                      </c:pt>
                      <c:pt idx="35" formatCode="General">
                        <c:v>-34.62213313161876</c:v>
                      </c:pt>
                      <c:pt idx="36" formatCode="General">
                        <c:v>-34.332269288956127</c:v>
                      </c:pt>
                      <c:pt idx="37" formatCode="General">
                        <c:v>-34.045552193645996</c:v>
                      </c:pt>
                      <c:pt idx="38" formatCode="General">
                        <c:v>-33.834357034795765</c:v>
                      </c:pt>
                      <c:pt idx="39" formatCode="General">
                        <c:v>-33.623161875945542</c:v>
                      </c:pt>
                      <c:pt idx="40" formatCode="General">
                        <c:v>-33.411966717095311</c:v>
                      </c:pt>
                      <c:pt idx="41" formatCode="General">
                        <c:v>-33.200771558245087</c:v>
                      </c:pt>
                      <c:pt idx="42" formatCode="General">
                        <c:v>-32.989576399394856</c:v>
                      </c:pt>
                      <c:pt idx="43" formatCode="General">
                        <c:v>-32.778381240544633</c:v>
                      </c:pt>
                      <c:pt idx="44" formatCode="General">
                        <c:v>-32.58711515151515</c:v>
                      </c:pt>
                      <c:pt idx="45" formatCode="General">
                        <c:v>-32.422266666666665</c:v>
                      </c:pt>
                      <c:pt idx="46" formatCode="General">
                        <c:v>-32.269709090909089</c:v>
                      </c:pt>
                      <c:pt idx="47" formatCode="General">
                        <c:v>-32.123296969696973</c:v>
                      </c:pt>
                      <c:pt idx="48" formatCode="General">
                        <c:v>-31.994812121212121</c:v>
                      </c:pt>
                      <c:pt idx="49" formatCode="General">
                        <c:v>-31.871903614457832</c:v>
                      </c:pt>
                      <c:pt idx="50" formatCode="General">
                        <c:v>-31.755036144578312</c:v>
                      </c:pt>
                      <c:pt idx="51" formatCode="General">
                        <c:v>-31.645539393939394</c:v>
                      </c:pt>
                      <c:pt idx="52" formatCode="General">
                        <c:v>-31.514169696969692</c:v>
                      </c:pt>
                      <c:pt idx="53" formatCode="General">
                        <c:v>-31.268109090909089</c:v>
                      </c:pt>
                      <c:pt idx="54" formatCode="General">
                        <c:v>-31.069951515151512</c:v>
                      </c:pt>
                      <c:pt idx="55" formatCode="General">
                        <c:v>-30.91601212121212</c:v>
                      </c:pt>
                      <c:pt idx="56" formatCode="General">
                        <c:v>-30.808472727272726</c:v>
                      </c:pt>
                      <c:pt idx="57" formatCode="General">
                        <c:v>-30.715421686746986</c:v>
                      </c:pt>
                      <c:pt idx="58" formatCode="General">
                        <c:v>-30.64915662650602</c:v>
                      </c:pt>
                      <c:pt idx="59" formatCode="General">
                        <c:v>-30.628145454545454</c:v>
                      </c:pt>
                      <c:pt idx="60" formatCode="General">
                        <c:v>-30.642690909090909</c:v>
                      </c:pt>
                      <c:pt idx="61" formatCode="General">
                        <c:v>-30.669369696969696</c:v>
                      </c:pt>
                      <c:pt idx="62" formatCode="General">
                        <c:v>-30.697563636363636</c:v>
                      </c:pt>
                      <c:pt idx="63" formatCode="General">
                        <c:v>-30.726654545454547</c:v>
                      </c:pt>
                      <c:pt idx="64" formatCode="General">
                        <c:v>-30.757224242424243</c:v>
                      </c:pt>
                      <c:pt idx="65" formatCode="General">
                        <c:v>-30.788739393939395</c:v>
                      </c:pt>
                      <c:pt idx="66" formatCode="General">
                        <c:v>-30.822385542168675</c:v>
                      </c:pt>
                      <c:pt idx="67" formatCode="General">
                        <c:v>-30.856909090909092</c:v>
                      </c:pt>
                      <c:pt idx="68" formatCode="General">
                        <c:v>-30.893272727272727</c:v>
                      </c:pt>
                      <c:pt idx="69" formatCode="General">
                        <c:v>-30.931999999999999</c:v>
                      </c:pt>
                      <c:pt idx="70" formatCode="General">
                        <c:v>-30.972000000000001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-82.276848484848472</c:v>
                      </c:pt>
                      <c:pt idx="1">
                        <c:v>-79.901696969696957</c:v>
                      </c:pt>
                      <c:pt idx="2" formatCode="General">
                        <c:v>-77.695636363636353</c:v>
                      </c:pt>
                      <c:pt idx="3" formatCode="General">
                        <c:v>-75.644424242424236</c:v>
                      </c:pt>
                      <c:pt idx="4" formatCode="General">
                        <c:v>-73.673963691376699</c:v>
                      </c:pt>
                      <c:pt idx="5" formatCode="General">
                        <c:v>-71.973509833585481</c:v>
                      </c:pt>
                      <c:pt idx="6" formatCode="General">
                        <c:v>-70.27305597579425</c:v>
                      </c:pt>
                      <c:pt idx="7" formatCode="General">
                        <c:v>-68.572602118003019</c:v>
                      </c:pt>
                      <c:pt idx="8" formatCode="General">
                        <c:v>-66.872148260211802</c:v>
                      </c:pt>
                      <c:pt idx="9" formatCode="General">
                        <c:v>-65.17169440242057</c:v>
                      </c:pt>
                      <c:pt idx="10" formatCode="General">
                        <c:v>-63.471240544629346</c:v>
                      </c:pt>
                      <c:pt idx="11" formatCode="General">
                        <c:v>-62.211633888048404</c:v>
                      </c:pt>
                      <c:pt idx="12" formatCode="General">
                        <c:v>-61.449152798789711</c:v>
                      </c:pt>
                      <c:pt idx="13" formatCode="General">
                        <c:v>-60.686671709531012</c:v>
                      </c:pt>
                      <c:pt idx="14" formatCode="General">
                        <c:v>-59.924190620272313</c:v>
                      </c:pt>
                      <c:pt idx="15" formatCode="General">
                        <c:v>-59.161709531013614</c:v>
                      </c:pt>
                      <c:pt idx="16" formatCode="General">
                        <c:v>-58.399228441754914</c:v>
                      </c:pt>
                      <c:pt idx="17" formatCode="General">
                        <c:v>-57.636747352496215</c:v>
                      </c:pt>
                      <c:pt idx="18" formatCode="General">
                        <c:v>-56.846944024205747</c:v>
                      </c:pt>
                      <c:pt idx="19" formatCode="General">
                        <c:v>-56.052692889561271</c:v>
                      </c:pt>
                      <c:pt idx="20" formatCode="General">
                        <c:v>-55.258441754916795</c:v>
                      </c:pt>
                      <c:pt idx="21" formatCode="General">
                        <c:v>-54.464190620272312</c:v>
                      </c:pt>
                      <c:pt idx="22" formatCode="General">
                        <c:v>-53.669939485627836</c:v>
                      </c:pt>
                      <c:pt idx="23" formatCode="General">
                        <c:v>-52.87568835098336</c:v>
                      </c:pt>
                      <c:pt idx="24" formatCode="General">
                        <c:v>-52.128484848484852</c:v>
                      </c:pt>
                      <c:pt idx="25" formatCode="General">
                        <c:v>-51.522424242424243</c:v>
                      </c:pt>
                      <c:pt idx="26" formatCode="General">
                        <c:v>-50.916363636363634</c:v>
                      </c:pt>
                      <c:pt idx="27" formatCode="General">
                        <c:v>-50.310303030303032</c:v>
                      </c:pt>
                      <c:pt idx="28" formatCode="General">
                        <c:v>-49.704242424242423</c:v>
                      </c:pt>
                      <c:pt idx="29" formatCode="General">
                        <c:v>-49.098181818181821</c:v>
                      </c:pt>
                      <c:pt idx="30" formatCode="General">
                        <c:v>-48.492121212121212</c:v>
                      </c:pt>
                      <c:pt idx="31" formatCode="General">
                        <c:v>-47.9689636913767</c:v>
                      </c:pt>
                      <c:pt idx="32" formatCode="General">
                        <c:v>-47.490446293494706</c:v>
                      </c:pt>
                      <c:pt idx="33" formatCode="General">
                        <c:v>-47.011928895612705</c:v>
                      </c:pt>
                      <c:pt idx="34" formatCode="General">
                        <c:v>-46.533411497730711</c:v>
                      </c:pt>
                      <c:pt idx="35" formatCode="General">
                        <c:v>-46.05489409984871</c:v>
                      </c:pt>
                      <c:pt idx="36" formatCode="General">
                        <c:v>-45.576376701966716</c:v>
                      </c:pt>
                      <c:pt idx="37" formatCode="General">
                        <c:v>-45.101308623298031</c:v>
                      </c:pt>
                      <c:pt idx="38" formatCode="General">
                        <c:v>-44.709024205748861</c:v>
                      </c:pt>
                      <c:pt idx="39" formatCode="General">
                        <c:v>-44.316739788199698</c:v>
                      </c:pt>
                      <c:pt idx="40" formatCode="General">
                        <c:v>-43.924455370650527</c:v>
                      </c:pt>
                      <c:pt idx="41" formatCode="General">
                        <c:v>-43.532170953101364</c:v>
                      </c:pt>
                      <c:pt idx="42" formatCode="General">
                        <c:v>-43.139886535552193</c:v>
                      </c:pt>
                      <c:pt idx="43" formatCode="General">
                        <c:v>-42.74760211800303</c:v>
                      </c:pt>
                      <c:pt idx="44" formatCode="General">
                        <c:v>-42.371284848484848</c:v>
                      </c:pt>
                      <c:pt idx="45" formatCode="General">
                        <c:v>-42.016133333333336</c:v>
                      </c:pt>
                      <c:pt idx="46" formatCode="General">
                        <c:v>-41.674218181818183</c:v>
                      </c:pt>
                      <c:pt idx="47" formatCode="General">
                        <c:v>-41.337375757575757</c:v>
                      </c:pt>
                      <c:pt idx="48" formatCode="General">
                        <c:v>-41.009496969696968</c:v>
                      </c:pt>
                      <c:pt idx="49" formatCode="General">
                        <c:v>-40.686614457831325</c:v>
                      </c:pt>
                      <c:pt idx="50" formatCode="General">
                        <c:v>-40.369144578313247</c:v>
                      </c:pt>
                      <c:pt idx="51" formatCode="General">
                        <c:v>-40.066496969696964</c:v>
                      </c:pt>
                      <c:pt idx="52" formatCode="General">
                        <c:v>-39.806872727272726</c:v>
                      </c:pt>
                      <c:pt idx="53" formatCode="General">
                        <c:v>-39.741418181818183</c:v>
                      </c:pt>
                      <c:pt idx="54" formatCode="General">
                        <c:v>-39.673127272727271</c:v>
                      </c:pt>
                      <c:pt idx="55" formatCode="General">
                        <c:v>-39.602218181818188</c:v>
                      </c:pt>
                      <c:pt idx="56" formatCode="General">
                        <c:v>-39.525509090909097</c:v>
                      </c:pt>
                      <c:pt idx="57" formatCode="General">
                        <c:v>-39.44710843373494</c:v>
                      </c:pt>
                      <c:pt idx="58" formatCode="General">
                        <c:v>-39.365783132530119</c:v>
                      </c:pt>
                      <c:pt idx="59" formatCode="General">
                        <c:v>-39.247527272727275</c:v>
                      </c:pt>
                      <c:pt idx="60" formatCode="General">
                        <c:v>-39.100254545454547</c:v>
                      </c:pt>
                      <c:pt idx="61" formatCode="General">
                        <c:v>-38.950775757575762</c:v>
                      </c:pt>
                      <c:pt idx="62" formatCode="General">
                        <c:v>-38.802812121212121</c:v>
                      </c:pt>
                      <c:pt idx="63" formatCode="General">
                        <c:v>-38.65978181818182</c:v>
                      </c:pt>
                      <c:pt idx="64" formatCode="General">
                        <c:v>-38.51749090909091</c:v>
                      </c:pt>
                      <c:pt idx="65" formatCode="General">
                        <c:v>-38.375672727272729</c:v>
                      </c:pt>
                      <c:pt idx="66" formatCode="General">
                        <c:v>-38.235831325301213</c:v>
                      </c:pt>
                      <c:pt idx="67" formatCode="General">
                        <c:v>-38.096181818181826</c:v>
                      </c:pt>
                      <c:pt idx="68" formatCode="General">
                        <c:v>-37.956787878787878</c:v>
                      </c:pt>
                      <c:pt idx="69" formatCode="General">
                        <c:v>-37.822515151515155</c:v>
                      </c:pt>
                      <c:pt idx="70" formatCode="General">
                        <c:v>-37.691000000000003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-38.192424242424238</c:v>
                      </c:pt>
                      <c:pt idx="1">
                        <c:v>-37.294484848484849</c:v>
                      </c:pt>
                      <c:pt idx="2" formatCode="General">
                        <c:v>-36.464181818181814</c:v>
                      </c:pt>
                      <c:pt idx="3" formatCode="General">
                        <c:v>-35.695818181818176</c:v>
                      </c:pt>
                      <c:pt idx="4" formatCode="General">
                        <c:v>-34.964493192133126</c:v>
                      </c:pt>
                      <c:pt idx="5" formatCode="General">
                        <c:v>-34.395658093797273</c:v>
                      </c:pt>
                      <c:pt idx="6" formatCode="General">
                        <c:v>-33.82682299546142</c:v>
                      </c:pt>
                      <c:pt idx="7" formatCode="General">
                        <c:v>-33.257987897125567</c:v>
                      </c:pt>
                      <c:pt idx="8" formatCode="General">
                        <c:v>-32.689152798789713</c:v>
                      </c:pt>
                      <c:pt idx="9" formatCode="General">
                        <c:v>-32.12031770045386</c:v>
                      </c:pt>
                      <c:pt idx="10" formatCode="General">
                        <c:v>-31.551482602118003</c:v>
                      </c:pt>
                      <c:pt idx="11" formatCode="General">
                        <c:v>-31.065839636913768</c:v>
                      </c:pt>
                      <c:pt idx="12" formatCode="General">
                        <c:v>-30.674009077155823</c:v>
                      </c:pt>
                      <c:pt idx="13" formatCode="General">
                        <c:v>-30.282178517397881</c:v>
                      </c:pt>
                      <c:pt idx="14" formatCode="General">
                        <c:v>-29.890347957639939</c:v>
                      </c:pt>
                      <c:pt idx="15" formatCode="General">
                        <c:v>-29.498517397881997</c:v>
                      </c:pt>
                      <c:pt idx="16" formatCode="General">
                        <c:v>-29.106686838124055</c:v>
                      </c:pt>
                      <c:pt idx="17" formatCode="General">
                        <c:v>-28.71485627836611</c:v>
                      </c:pt>
                      <c:pt idx="18" formatCode="General">
                        <c:v>-28.420605143721634</c:v>
                      </c:pt>
                      <c:pt idx="19" formatCode="General">
                        <c:v>-28.142239031770046</c:v>
                      </c:pt>
                      <c:pt idx="20" formatCode="General">
                        <c:v>-27.863872919818455</c:v>
                      </c:pt>
                      <c:pt idx="21" formatCode="General">
                        <c:v>-27.585506807866867</c:v>
                      </c:pt>
                      <c:pt idx="22" formatCode="General">
                        <c:v>-27.30714069591528</c:v>
                      </c:pt>
                      <c:pt idx="23" formatCode="General">
                        <c:v>-27.028774583963692</c:v>
                      </c:pt>
                      <c:pt idx="24" formatCode="General">
                        <c:v>-26.768484848484849</c:v>
                      </c:pt>
                      <c:pt idx="25" formatCode="General">
                        <c:v>-26.562424242424242</c:v>
                      </c:pt>
                      <c:pt idx="26" formatCode="General">
                        <c:v>-26.356363636363636</c:v>
                      </c:pt>
                      <c:pt idx="27" formatCode="General">
                        <c:v>-26.150303030303032</c:v>
                      </c:pt>
                      <c:pt idx="28" formatCode="General">
                        <c:v>-25.944242424242425</c:v>
                      </c:pt>
                      <c:pt idx="29" formatCode="General">
                        <c:v>-25.738181818181818</c:v>
                      </c:pt>
                      <c:pt idx="30" formatCode="General">
                        <c:v>-25.532121212121211</c:v>
                      </c:pt>
                      <c:pt idx="31" formatCode="General">
                        <c:v>-25.357435703479577</c:v>
                      </c:pt>
                      <c:pt idx="32" formatCode="General">
                        <c:v>-25.19964447806354</c:v>
                      </c:pt>
                      <c:pt idx="33" formatCode="General">
                        <c:v>-25.041853252647506</c:v>
                      </c:pt>
                      <c:pt idx="34" formatCode="General">
                        <c:v>-24.884062027231469</c:v>
                      </c:pt>
                      <c:pt idx="35" formatCode="General">
                        <c:v>-24.726270801815431</c:v>
                      </c:pt>
                      <c:pt idx="36" formatCode="General">
                        <c:v>-24.568479576399398</c:v>
                      </c:pt>
                      <c:pt idx="37" formatCode="General">
                        <c:v>-24.411838124054466</c:v>
                      </c:pt>
                      <c:pt idx="38" formatCode="General">
                        <c:v>-24.282791225416037</c:v>
                      </c:pt>
                      <c:pt idx="39" formatCode="General">
                        <c:v>-24.153744326777613</c:v>
                      </c:pt>
                      <c:pt idx="40" formatCode="General">
                        <c:v>-24.024697428139184</c:v>
                      </c:pt>
                      <c:pt idx="41" formatCode="General">
                        <c:v>-23.895650529500756</c:v>
                      </c:pt>
                      <c:pt idx="42" formatCode="General">
                        <c:v>-23.766603630862331</c:v>
                      </c:pt>
                      <c:pt idx="43" formatCode="General">
                        <c:v>-23.637556732223903</c:v>
                      </c:pt>
                      <c:pt idx="44" formatCode="General">
                        <c:v>-23.515527272727272</c:v>
                      </c:pt>
                      <c:pt idx="45" formatCode="General">
                        <c:v>-23.402799999999999</c:v>
                      </c:pt>
                      <c:pt idx="46" formatCode="General">
                        <c:v>-23.293854545454547</c:v>
                      </c:pt>
                      <c:pt idx="47" formatCode="General">
                        <c:v>-23.187315151515151</c:v>
                      </c:pt>
                      <c:pt idx="48" formatCode="General">
                        <c:v>-23.089739393939396</c:v>
                      </c:pt>
                      <c:pt idx="49" formatCode="General">
                        <c:v>-22.993602409638555</c:v>
                      </c:pt>
                      <c:pt idx="50" formatCode="General">
                        <c:v>-22.899024096385538</c:v>
                      </c:pt>
                      <c:pt idx="51" formatCode="General">
                        <c:v>-22.805466666666668</c:v>
                      </c:pt>
                      <c:pt idx="52" formatCode="General">
                        <c:v>-22.696266666666666</c:v>
                      </c:pt>
                      <c:pt idx="53" formatCode="General">
                        <c:v>-22.509600000000002</c:v>
                      </c:pt>
                      <c:pt idx="54" formatCode="General">
                        <c:v>-22.354763636363636</c:v>
                      </c:pt>
                      <c:pt idx="55" formatCode="General">
                        <c:v>-22.229309090909091</c:v>
                      </c:pt>
                      <c:pt idx="56" formatCode="General">
                        <c:v>-22.134963636363636</c:v>
                      </c:pt>
                      <c:pt idx="57" formatCode="General">
                        <c:v>-22.049759036144575</c:v>
                      </c:pt>
                      <c:pt idx="58" formatCode="General">
                        <c:v>-21.980481927710841</c:v>
                      </c:pt>
                      <c:pt idx="59" formatCode="General">
                        <c:v>-21.935406060606059</c:v>
                      </c:pt>
                      <c:pt idx="60" formatCode="General">
                        <c:v>-21.909345454545456</c:v>
                      </c:pt>
                      <c:pt idx="61" formatCode="General">
                        <c:v>-21.892109090909091</c:v>
                      </c:pt>
                      <c:pt idx="62" formatCode="General">
                        <c:v>-21.875903030303032</c:v>
                      </c:pt>
                      <c:pt idx="63" formatCode="General">
                        <c:v>-21.860145454545453</c:v>
                      </c:pt>
                      <c:pt idx="64" formatCode="General">
                        <c:v>-21.845127272727272</c:v>
                      </c:pt>
                      <c:pt idx="65" formatCode="General">
                        <c:v>-21.830581818181816</c:v>
                      </c:pt>
                      <c:pt idx="66" formatCode="General">
                        <c:v>-21.817277108433736</c:v>
                      </c:pt>
                      <c:pt idx="67" formatCode="General">
                        <c:v>-21.804363636363636</c:v>
                      </c:pt>
                      <c:pt idx="68" formatCode="General">
                        <c:v>-21.792242424242424</c:v>
                      </c:pt>
                      <c:pt idx="69" formatCode="General">
                        <c:v>-21.781303030303032</c:v>
                      </c:pt>
                      <c:pt idx="70" formatCode="General">
                        <c:v>-21.771000000000001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-186.75945454545453</c:v>
                      </c:pt>
                      <c:pt idx="1">
                        <c:v>-181.43072727272727</c:v>
                      </c:pt>
                      <c:pt idx="2" formatCode="General">
                        <c:v>-176.4852727272727</c:v>
                      </c:pt>
                      <c:pt idx="3" formatCode="General">
                        <c:v>-171.88490909090908</c:v>
                      </c:pt>
                      <c:pt idx="4" formatCode="General">
                        <c:v>-167.49030257186081</c:v>
                      </c:pt>
                      <c:pt idx="5" formatCode="General">
                        <c:v>-163.99408472012101</c:v>
                      </c:pt>
                      <c:pt idx="6" formatCode="General">
                        <c:v>-160.49786686838124</c:v>
                      </c:pt>
                      <c:pt idx="7" formatCode="General">
                        <c:v>-157.00164901664144</c:v>
                      </c:pt>
                      <c:pt idx="8" formatCode="General">
                        <c:v>-153.50543116490167</c:v>
                      </c:pt>
                      <c:pt idx="9" formatCode="General">
                        <c:v>-150.00921331316187</c:v>
                      </c:pt>
                      <c:pt idx="10" formatCode="General">
                        <c:v>-146.51299546142209</c:v>
                      </c:pt>
                      <c:pt idx="11" formatCode="General">
                        <c:v>-143.49815431164902</c:v>
                      </c:pt>
                      <c:pt idx="12" formatCode="General">
                        <c:v>-141.02614220877459</c:v>
                      </c:pt>
                      <c:pt idx="13" formatCode="General">
                        <c:v>-138.55413010590016</c:v>
                      </c:pt>
                      <c:pt idx="14" formatCode="General">
                        <c:v>-136.0821180030257</c:v>
                      </c:pt>
                      <c:pt idx="15" formatCode="General">
                        <c:v>-133.61010590015127</c:v>
                      </c:pt>
                      <c:pt idx="16" formatCode="General">
                        <c:v>-131.13809379727684</c:v>
                      </c:pt>
                      <c:pt idx="17" formatCode="General">
                        <c:v>-128.66608169440241</c:v>
                      </c:pt>
                      <c:pt idx="18" formatCode="General">
                        <c:v>-126.752223903177</c:v>
                      </c:pt>
                      <c:pt idx="19" formatCode="General">
                        <c:v>-124.92922844175492</c:v>
                      </c:pt>
                      <c:pt idx="20" formatCode="General">
                        <c:v>-123.10623298033283</c:v>
                      </c:pt>
                      <c:pt idx="21" formatCode="General">
                        <c:v>-121.28323751891074</c:v>
                      </c:pt>
                      <c:pt idx="22" formatCode="General">
                        <c:v>-119.46024205748866</c:v>
                      </c:pt>
                      <c:pt idx="23" formatCode="General">
                        <c:v>-117.63724659606657</c:v>
                      </c:pt>
                      <c:pt idx="24" formatCode="General">
                        <c:v>-115.92151515151517</c:v>
                      </c:pt>
                      <c:pt idx="25" formatCode="General">
                        <c:v>-114.52757575757576</c:v>
                      </c:pt>
                      <c:pt idx="26" formatCode="General">
                        <c:v>-113.13363636363637</c:v>
                      </c:pt>
                      <c:pt idx="27" formatCode="General">
                        <c:v>-111.73969696969698</c:v>
                      </c:pt>
                      <c:pt idx="28" formatCode="General">
                        <c:v>-110.34575757575759</c:v>
                      </c:pt>
                      <c:pt idx="29" formatCode="General">
                        <c:v>-108.9518181818182</c:v>
                      </c:pt>
                      <c:pt idx="30" formatCode="General">
                        <c:v>-107.55787878787879</c:v>
                      </c:pt>
                      <c:pt idx="31" formatCode="General">
                        <c:v>-106.36208018154312</c:v>
                      </c:pt>
                      <c:pt idx="32" formatCode="General">
                        <c:v>-105.27297276853253</c:v>
                      </c:pt>
                      <c:pt idx="33" formatCode="General">
                        <c:v>-104.18386535552195</c:v>
                      </c:pt>
                      <c:pt idx="34" formatCode="General">
                        <c:v>-103.09475794251135</c:v>
                      </c:pt>
                      <c:pt idx="35" formatCode="General">
                        <c:v>-102.00565052950076</c:v>
                      </c:pt>
                      <c:pt idx="36" formatCode="General">
                        <c:v>-100.91654311649016</c:v>
                      </c:pt>
                      <c:pt idx="37" formatCode="General">
                        <c:v>-99.836331316187596</c:v>
                      </c:pt>
                      <c:pt idx="38" formatCode="General">
                        <c:v>-98.96961422087746</c:v>
                      </c:pt>
                      <c:pt idx="39" formatCode="General">
                        <c:v>-98.102897125567324</c:v>
                      </c:pt>
                      <c:pt idx="40" formatCode="General">
                        <c:v>-97.236180030257188</c:v>
                      </c:pt>
                      <c:pt idx="41" formatCode="General">
                        <c:v>-96.369462934947052</c:v>
                      </c:pt>
                      <c:pt idx="42" formatCode="General">
                        <c:v>-95.502745839636916</c:v>
                      </c:pt>
                      <c:pt idx="43" formatCode="General">
                        <c:v>-94.636028744326779</c:v>
                      </c:pt>
                      <c:pt idx="44" formatCode="General">
                        <c:v>-93.814157575757577</c:v>
                      </c:pt>
                      <c:pt idx="45" formatCode="General">
                        <c:v>-93.051733333333331</c:v>
                      </c:pt>
                      <c:pt idx="46" formatCode="General">
                        <c:v>-92.324290909090905</c:v>
                      </c:pt>
                      <c:pt idx="47" formatCode="General">
                        <c:v>-91.610733333333329</c:v>
                      </c:pt>
                      <c:pt idx="48" formatCode="General">
                        <c:v>-90.924066666666661</c:v>
                      </c:pt>
                      <c:pt idx="49" formatCode="General">
                        <c:v>-90.251530120481931</c:v>
                      </c:pt>
                      <c:pt idx="50" formatCode="General">
                        <c:v>-89.594301204819274</c:v>
                      </c:pt>
                      <c:pt idx="51" formatCode="General">
                        <c:v>-88.973066666666668</c:v>
                      </c:pt>
                      <c:pt idx="52" formatCode="General">
                        <c:v>-88.431648484848481</c:v>
                      </c:pt>
                      <c:pt idx="53" formatCode="General">
                        <c:v>-88.241345454545453</c:v>
                      </c:pt>
                      <c:pt idx="54" formatCode="General">
                        <c:v>-88.061442424242429</c:v>
                      </c:pt>
                      <c:pt idx="55" formatCode="General">
                        <c:v>-87.891139393939397</c:v>
                      </c:pt>
                      <c:pt idx="56" formatCode="General">
                        <c:v>-87.724527272727272</c:v>
                      </c:pt>
                      <c:pt idx="57" formatCode="General">
                        <c:v>-87.559879518072293</c:v>
                      </c:pt>
                      <c:pt idx="58" formatCode="General">
                        <c:v>-87.400240963855424</c:v>
                      </c:pt>
                      <c:pt idx="59" formatCode="General">
                        <c:v>-87.187793939393941</c:v>
                      </c:pt>
                      <c:pt idx="60" formatCode="General">
                        <c:v>-86.933854545454551</c:v>
                      </c:pt>
                      <c:pt idx="61" formatCode="General">
                        <c:v>-86.678812121212133</c:v>
                      </c:pt>
                      <c:pt idx="62" formatCode="General">
                        <c:v>-86.427284848484859</c:v>
                      </c:pt>
                      <c:pt idx="63" formatCode="General">
                        <c:v>-86.18607272727273</c:v>
                      </c:pt>
                      <c:pt idx="64" formatCode="General">
                        <c:v>-85.947078787878795</c:v>
                      </c:pt>
                      <c:pt idx="65" formatCode="General">
                        <c:v>-85.709503030303026</c:v>
                      </c:pt>
                      <c:pt idx="66" formatCode="General">
                        <c:v>-85.476771084337358</c:v>
                      </c:pt>
                      <c:pt idx="67" formatCode="General">
                        <c:v>-85.24490909090909</c:v>
                      </c:pt>
                      <c:pt idx="68" formatCode="General">
                        <c:v>-85.014606060606056</c:v>
                      </c:pt>
                      <c:pt idx="69" formatCode="General">
                        <c:v>-84.795727272727277</c:v>
                      </c:pt>
                      <c:pt idx="70" formatCode="General">
                        <c:v>-84.582999999999998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-19.631090909090908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-19.746303030303029</c:v>
                      </c:pt>
                      <c:pt idx="63" formatCode="General">
                        <c:v>-19.770545454545456</c:v>
                      </c:pt>
                      <c:pt idx="64" formatCode="General">
                        <c:v>-19.791090909090908</c:v>
                      </c:pt>
                      <c:pt idx="65" formatCode="General">
                        <c:v>-19.809272727272727</c:v>
                      </c:pt>
                      <c:pt idx="66" formatCode="General">
                        <c:v>-19.827349397590361</c:v>
                      </c:pt>
                      <c:pt idx="67" formatCode="General">
                        <c:v>-19.847272727272728</c:v>
                      </c:pt>
                      <c:pt idx="68" formatCode="General">
                        <c:v>-19.871515151515151</c:v>
                      </c:pt>
                      <c:pt idx="69" formatCode="General">
                        <c:v>-19.891818181818181</c:v>
                      </c:pt>
                      <c:pt idx="70" formatCode="General">
                        <c:v>-19.91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-60.071090909090906</c:v>
                      </c:pt>
                      <c:pt idx="1">
                        <c:v>-58.274363636363631</c:v>
                      </c:pt>
                      <c:pt idx="2" formatCode="General">
                        <c:v>-56.601636363636359</c:v>
                      </c:pt>
                      <c:pt idx="3" formatCode="General">
                        <c:v>-55.048363636363632</c:v>
                      </c:pt>
                      <c:pt idx="4" formatCode="General">
                        <c:v>-53.531588502269287</c:v>
                      </c:pt>
                      <c:pt idx="5" formatCode="General">
                        <c:v>-51.926444780635393</c:v>
                      </c:pt>
                      <c:pt idx="6" formatCode="General">
                        <c:v>-50.321301059001506</c:v>
                      </c:pt>
                      <c:pt idx="7" formatCode="General">
                        <c:v>-48.716157337367619</c:v>
                      </c:pt>
                      <c:pt idx="8" formatCode="General">
                        <c:v>-47.111013615733732</c:v>
                      </c:pt>
                      <c:pt idx="9" formatCode="General">
                        <c:v>-45.505869894099845</c:v>
                      </c:pt>
                      <c:pt idx="10" formatCode="General">
                        <c:v>-43.900726172465959</c:v>
                      </c:pt>
                      <c:pt idx="11" formatCode="General">
                        <c:v>-43.136747352496215</c:v>
                      </c:pt>
                      <c:pt idx="12" formatCode="General">
                        <c:v>-43.321316187594554</c:v>
                      </c:pt>
                      <c:pt idx="13" formatCode="General">
                        <c:v>-43.505885022692887</c:v>
                      </c:pt>
                      <c:pt idx="14" formatCode="General">
                        <c:v>-43.690453857791226</c:v>
                      </c:pt>
                      <c:pt idx="15" formatCode="General">
                        <c:v>-43.875022692889566</c:v>
                      </c:pt>
                      <c:pt idx="16" formatCode="General">
                        <c:v>-44.059591527987898</c:v>
                      </c:pt>
                      <c:pt idx="17" formatCode="General">
                        <c:v>-44.244160363086237</c:v>
                      </c:pt>
                      <c:pt idx="18" formatCode="General">
                        <c:v>-43.788608169440245</c:v>
                      </c:pt>
                      <c:pt idx="19" formatCode="General">
                        <c:v>-43.228850226928898</c:v>
                      </c:pt>
                      <c:pt idx="20" formatCode="General">
                        <c:v>-42.669092284417552</c:v>
                      </c:pt>
                      <c:pt idx="21" formatCode="General">
                        <c:v>-42.109334341906205</c:v>
                      </c:pt>
                      <c:pt idx="22" formatCode="General">
                        <c:v>-41.549576399394859</c:v>
                      </c:pt>
                      <c:pt idx="23" formatCode="General">
                        <c:v>-40.989818456883512</c:v>
                      </c:pt>
                      <c:pt idx="24" formatCode="General">
                        <c:v>-40.463939393939391</c:v>
                      </c:pt>
                      <c:pt idx="25" formatCode="General">
                        <c:v>-40.039696969696969</c:v>
                      </c:pt>
                      <c:pt idx="26" formatCode="General">
                        <c:v>-39.615454545454547</c:v>
                      </c:pt>
                      <c:pt idx="27" formatCode="General">
                        <c:v>-39.191212121212125</c:v>
                      </c:pt>
                      <c:pt idx="28" formatCode="General">
                        <c:v>-38.766969696969696</c:v>
                      </c:pt>
                      <c:pt idx="29" formatCode="General">
                        <c:v>-38.342727272727274</c:v>
                      </c:pt>
                      <c:pt idx="30" formatCode="General">
                        <c:v>-37.918484848484852</c:v>
                      </c:pt>
                      <c:pt idx="31" formatCode="General">
                        <c:v>-37.544810892586995</c:v>
                      </c:pt>
                      <c:pt idx="32" formatCode="General">
                        <c:v>-37.198366111951593</c:v>
                      </c:pt>
                      <c:pt idx="33" formatCode="General">
                        <c:v>-36.851921331316191</c:v>
                      </c:pt>
                      <c:pt idx="34" formatCode="General">
                        <c:v>-36.50547655068079</c:v>
                      </c:pt>
                      <c:pt idx="35" formatCode="General">
                        <c:v>-36.159031770045388</c:v>
                      </c:pt>
                      <c:pt idx="36" formatCode="General">
                        <c:v>-35.812586989409986</c:v>
                      </c:pt>
                      <c:pt idx="37" formatCode="General">
                        <c:v>-35.467594553706505</c:v>
                      </c:pt>
                      <c:pt idx="38" formatCode="General">
                        <c:v>-35.157458396369137</c:v>
                      </c:pt>
                      <c:pt idx="39" formatCode="General">
                        <c:v>-34.847322239031769</c:v>
                      </c:pt>
                      <c:pt idx="40" formatCode="General">
                        <c:v>-34.537186081694401</c:v>
                      </c:pt>
                      <c:pt idx="41" formatCode="General">
                        <c:v>-34.227049924357033</c:v>
                      </c:pt>
                      <c:pt idx="42" formatCode="General">
                        <c:v>-33.916913767019665</c:v>
                      </c:pt>
                      <c:pt idx="43" formatCode="General">
                        <c:v>-33.606777609682297</c:v>
                      </c:pt>
                      <c:pt idx="44" formatCode="General">
                        <c:v>-33.299696969696974</c:v>
                      </c:pt>
                      <c:pt idx="45" formatCode="General">
                        <c:v>-32.99666666666667</c:v>
                      </c:pt>
                      <c:pt idx="46" formatCode="General">
                        <c:v>-32.698363636363638</c:v>
                      </c:pt>
                      <c:pt idx="47" formatCode="General">
                        <c:v>-32.401393939393941</c:v>
                      </c:pt>
                      <c:pt idx="48" formatCode="General">
                        <c:v>-32.104424242424244</c:v>
                      </c:pt>
                      <c:pt idx="49" formatCode="General">
                        <c:v>-31.808313253012049</c:v>
                      </c:pt>
                      <c:pt idx="50" formatCode="General">
                        <c:v>-31.513132530120483</c:v>
                      </c:pt>
                      <c:pt idx="51" formatCode="General">
                        <c:v>-31.22642424242424</c:v>
                      </c:pt>
                      <c:pt idx="52" formatCode="General">
                        <c:v>-30.988969696969697</c:v>
                      </c:pt>
                      <c:pt idx="53" formatCode="General">
                        <c:v>-30.982909090909089</c:v>
                      </c:pt>
                      <c:pt idx="54" formatCode="General">
                        <c:v>-30.957939393939395</c:v>
                      </c:pt>
                      <c:pt idx="55" formatCode="General">
                        <c:v>-30.915515151515152</c:v>
                      </c:pt>
                      <c:pt idx="56" formatCode="General">
                        <c:v>-30.852</c:v>
                      </c:pt>
                      <c:pt idx="57" formatCode="General">
                        <c:v>-30.781445783132529</c:v>
                      </c:pt>
                      <c:pt idx="58" formatCode="General">
                        <c:v>-30.69710843373494</c:v>
                      </c:pt>
                      <c:pt idx="59" formatCode="General">
                        <c:v>-30.554787878787877</c:v>
                      </c:pt>
                      <c:pt idx="60" formatCode="General">
                        <c:v>-30.366909090909093</c:v>
                      </c:pt>
                      <c:pt idx="61" formatCode="General">
                        <c:v>-30.173515151515151</c:v>
                      </c:pt>
                      <c:pt idx="62" formatCode="General">
                        <c:v>-29.981151515151517</c:v>
                      </c:pt>
                      <c:pt idx="63" formatCode="General">
                        <c:v>-29.793272727272726</c:v>
                      </c:pt>
                      <c:pt idx="64" formatCode="General">
                        <c:v>-29.605393939393938</c:v>
                      </c:pt>
                      <c:pt idx="65" formatCode="General">
                        <c:v>-29.417515151515151</c:v>
                      </c:pt>
                      <c:pt idx="66" formatCode="General">
                        <c:v>-29.230722891566266</c:v>
                      </c:pt>
                      <c:pt idx="67" formatCode="General">
                        <c:v>-29.043636363636363</c:v>
                      </c:pt>
                      <c:pt idx="68" formatCode="General">
                        <c:v>-28.855757575757575</c:v>
                      </c:pt>
                      <c:pt idx="69" formatCode="General">
                        <c:v>-28.671818181818182</c:v>
                      </c:pt>
                      <c:pt idx="70" formatCode="General">
                        <c:v>-28.49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-15.986666666666665</c:v>
                      </c:pt>
                      <c:pt idx="1">
                        <c:v>-15.667151515151515</c:v>
                      </c:pt>
                      <c:pt idx="2" formatCode="General">
                        <c:v>-15.370181818181816</c:v>
                      </c:pt>
                      <c:pt idx="3" formatCode="General">
                        <c:v>-15.099757575757575</c:v>
                      </c:pt>
                      <c:pt idx="4" formatCode="General">
                        <c:v>-14.822118003025718</c:v>
                      </c:pt>
                      <c:pt idx="5" formatCode="General">
                        <c:v>-14.3485930408472</c:v>
                      </c:pt>
                      <c:pt idx="6" formatCode="General">
                        <c:v>-13.875068078668683</c:v>
                      </c:pt>
                      <c:pt idx="7" formatCode="General">
                        <c:v>-13.401543116490167</c:v>
                      </c:pt>
                      <c:pt idx="8" formatCode="General">
                        <c:v>-12.928018154311649</c:v>
                      </c:pt>
                      <c:pt idx="9" formatCode="General">
                        <c:v>-12.454493192133132</c:v>
                      </c:pt>
                      <c:pt idx="10" formatCode="General">
                        <c:v>-11.980968229954614</c:v>
                      </c:pt>
                      <c:pt idx="11" formatCode="General">
                        <c:v>-11.990953101361573</c:v>
                      </c:pt>
                      <c:pt idx="12" formatCode="General">
                        <c:v>-12.546172465960666</c:v>
                      </c:pt>
                      <c:pt idx="13" formatCode="General">
                        <c:v>-13.101391830559759</c:v>
                      </c:pt>
                      <c:pt idx="14" formatCode="General">
                        <c:v>-13.656611195158851</c:v>
                      </c:pt>
                      <c:pt idx="15" formatCode="General">
                        <c:v>-14.211830559757944</c:v>
                      </c:pt>
                      <c:pt idx="16" formatCode="General">
                        <c:v>-14.767049924357035</c:v>
                      </c:pt>
                      <c:pt idx="17" formatCode="General">
                        <c:v>-15.322269288956129</c:v>
                      </c:pt>
                      <c:pt idx="18" formatCode="General">
                        <c:v>-15.362269288956128</c:v>
                      </c:pt>
                      <c:pt idx="19" formatCode="General">
                        <c:v>-15.31839636913767</c:v>
                      </c:pt>
                      <c:pt idx="20" formatCode="General">
                        <c:v>-15.274523449319213</c:v>
                      </c:pt>
                      <c:pt idx="21" formatCode="General">
                        <c:v>-15.230650529500757</c:v>
                      </c:pt>
                      <c:pt idx="22" formatCode="General">
                        <c:v>-15.186777609682299</c:v>
                      </c:pt>
                      <c:pt idx="23" formatCode="General">
                        <c:v>-15.142904689863842</c:v>
                      </c:pt>
                      <c:pt idx="24" formatCode="General">
                        <c:v>-15.103939393939394</c:v>
                      </c:pt>
                      <c:pt idx="25" formatCode="General">
                        <c:v>-15.079696969696968</c:v>
                      </c:pt>
                      <c:pt idx="26" formatCode="General">
                        <c:v>-15.055454545454545</c:v>
                      </c:pt>
                      <c:pt idx="27" formatCode="General">
                        <c:v>-15.031212121212121</c:v>
                      </c:pt>
                      <c:pt idx="28" formatCode="General">
                        <c:v>-15.006969696969696</c:v>
                      </c:pt>
                      <c:pt idx="29" formatCode="General">
                        <c:v>-14.982727272727272</c:v>
                      </c:pt>
                      <c:pt idx="30" formatCode="General">
                        <c:v>-14.958484848484847</c:v>
                      </c:pt>
                      <c:pt idx="31" formatCode="General">
                        <c:v>-14.933282904689863</c:v>
                      </c:pt>
                      <c:pt idx="32" formatCode="General">
                        <c:v>-14.907564296520423</c:v>
                      </c:pt>
                      <c:pt idx="33" formatCode="General">
                        <c:v>-14.881845688350984</c:v>
                      </c:pt>
                      <c:pt idx="34" formatCode="General">
                        <c:v>-14.856127080181542</c:v>
                      </c:pt>
                      <c:pt idx="35" formatCode="General">
                        <c:v>-14.830408472012103</c:v>
                      </c:pt>
                      <c:pt idx="36" formatCode="General">
                        <c:v>-14.804689863842661</c:v>
                      </c:pt>
                      <c:pt idx="37" formatCode="General">
                        <c:v>-14.778124054462934</c:v>
                      </c:pt>
                      <c:pt idx="38" formatCode="General">
                        <c:v>-14.731225416036308</c:v>
                      </c:pt>
                      <c:pt idx="39" formatCode="General">
                        <c:v>-14.684326777609682</c:v>
                      </c:pt>
                      <c:pt idx="40" formatCode="General">
                        <c:v>-14.637428139183056</c:v>
                      </c:pt>
                      <c:pt idx="41" formatCode="General">
                        <c:v>-14.59052950075643</c:v>
                      </c:pt>
                      <c:pt idx="42" formatCode="General">
                        <c:v>-14.543630862329804</c:v>
                      </c:pt>
                      <c:pt idx="43" formatCode="General">
                        <c:v>-14.496732223903178</c:v>
                      </c:pt>
                      <c:pt idx="44" formatCode="General">
                        <c:v>-14.443939393939395</c:v>
                      </c:pt>
                      <c:pt idx="45" formatCode="General">
                        <c:v>-14.383333333333333</c:v>
                      </c:pt>
                      <c:pt idx="46" formatCode="General">
                        <c:v>-14.318</c:v>
                      </c:pt>
                      <c:pt idx="47" formatCode="General">
                        <c:v>-14.251333333333333</c:v>
                      </c:pt>
                      <c:pt idx="48" formatCode="General">
                        <c:v>-14.184666666666667</c:v>
                      </c:pt>
                      <c:pt idx="49" formatCode="General">
                        <c:v>-14.115301204819277</c:v>
                      </c:pt>
                      <c:pt idx="50" formatCode="General">
                        <c:v>-14.04301204819277</c:v>
                      </c:pt>
                      <c:pt idx="51" formatCode="General">
                        <c:v>-13.965393939393939</c:v>
                      </c:pt>
                      <c:pt idx="52" formatCode="General">
                        <c:v>-13.878363636363636</c:v>
                      </c:pt>
                      <c:pt idx="53" formatCode="General">
                        <c:v>-13.751090909090909</c:v>
                      </c:pt>
                      <c:pt idx="54" formatCode="General">
                        <c:v>-13.639575757575757</c:v>
                      </c:pt>
                      <c:pt idx="55" formatCode="General">
                        <c:v>-13.54260606060606</c:v>
                      </c:pt>
                      <c:pt idx="56" formatCode="General">
                        <c:v>-13.461454545454545</c:v>
                      </c:pt>
                      <c:pt idx="57" formatCode="General">
                        <c:v>-13.384096385542168</c:v>
                      </c:pt>
                      <c:pt idx="58" formatCode="General">
                        <c:v>-13.311807228915661</c:v>
                      </c:pt>
                      <c:pt idx="59" formatCode="General">
                        <c:v>-13.242666666666667</c:v>
                      </c:pt>
                      <c:pt idx="60" formatCode="General">
                        <c:v>-13.176</c:v>
                      </c:pt>
                      <c:pt idx="61" formatCode="General">
                        <c:v>-13.114848484848485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-12.812168674698794</c:v>
                      </c:pt>
                      <c:pt idx="67" formatCode="General">
                        <c:v>-12.751818181818182</c:v>
                      </c:pt>
                      <c:pt idx="68" formatCode="General">
                        <c:v>-12.691212121212121</c:v>
                      </c:pt>
                      <c:pt idx="69" formatCode="General">
                        <c:v>-12.630606060606061</c:v>
                      </c:pt>
                      <c:pt idx="70" formatCode="General">
                        <c:v>-12.57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-11.664545454545456</c:v>
                      </c:pt>
                      <c:pt idx="25" formatCode="General">
                        <c:v>-11.482727272727274</c:v>
                      </c:pt>
                      <c:pt idx="26" formatCode="General">
                        <c:v>-11.300909090909091</c:v>
                      </c:pt>
                      <c:pt idx="27" formatCode="General">
                        <c:v>-11.119090909090909</c:v>
                      </c:pt>
                      <c:pt idx="28" formatCode="General">
                        <c:v>-10.937272727272727</c:v>
                      </c:pt>
                      <c:pt idx="29" formatCode="General">
                        <c:v>-10.755454545454546</c:v>
                      </c:pt>
                      <c:pt idx="30" formatCode="General">
                        <c:v>-10.573636363636364</c:v>
                      </c:pt>
                      <c:pt idx="31" formatCode="General">
                        <c:v>-10.424152798789713</c:v>
                      </c:pt>
                      <c:pt idx="32" formatCode="General">
                        <c:v>-10.292080181543117</c:v>
                      </c:pt>
                      <c:pt idx="33" formatCode="General">
                        <c:v>-10.160007564296521</c:v>
                      </c:pt>
                      <c:pt idx="34" formatCode="General">
                        <c:v>-10.027934947049925</c:v>
                      </c:pt>
                      <c:pt idx="35" formatCode="General">
                        <c:v>-9.8958623298033288</c:v>
                      </c:pt>
                      <c:pt idx="36" formatCode="General">
                        <c:v>-9.7637897125567328</c:v>
                      </c:pt>
                      <c:pt idx="37" formatCode="General">
                        <c:v>-9.6337140695915284</c:v>
                      </c:pt>
                      <c:pt idx="38" formatCode="General">
                        <c:v>-9.5515658093797278</c:v>
                      </c:pt>
                      <c:pt idx="39" formatCode="General">
                        <c:v>-9.4694175491679271</c:v>
                      </c:pt>
                      <c:pt idx="40" formatCode="General">
                        <c:v>-9.3872692889561264</c:v>
                      </c:pt>
                      <c:pt idx="41" formatCode="General">
                        <c:v>-9.3051210287443276</c:v>
                      </c:pt>
                      <c:pt idx="42" formatCode="General">
                        <c:v>-9.2229727685325269</c:v>
                      </c:pt>
                      <c:pt idx="43" formatCode="General">
                        <c:v>-9.1408245083207262</c:v>
                      </c:pt>
                      <c:pt idx="44" formatCode="General">
                        <c:v>-9.071587878787879</c:v>
                      </c:pt>
                      <c:pt idx="45" formatCode="General">
                        <c:v>-9.0194666666666663</c:v>
                      </c:pt>
                      <c:pt idx="46" formatCode="General">
                        <c:v>-8.9758545454545455</c:v>
                      </c:pt>
                      <c:pt idx="47" formatCode="General">
                        <c:v>-8.9359818181818174</c:v>
                      </c:pt>
                      <c:pt idx="48" formatCode="General">
                        <c:v>-8.9050727272727261</c:v>
                      </c:pt>
                      <c:pt idx="49" formatCode="General">
                        <c:v>-8.8783012048192766</c:v>
                      </c:pt>
                      <c:pt idx="50" formatCode="General">
                        <c:v>-8.8560120481927704</c:v>
                      </c:pt>
                      <c:pt idx="51" formatCode="General">
                        <c:v>-8.8400727272727266</c:v>
                      </c:pt>
                      <c:pt idx="52" formatCode="General">
                        <c:v>-8.8179030303030288</c:v>
                      </c:pt>
                      <c:pt idx="53" formatCode="General">
                        <c:v>-8.7585090909090901</c:v>
                      </c:pt>
                      <c:pt idx="54" formatCode="General">
                        <c:v>-8.7151878787878783</c:v>
                      </c:pt>
                      <c:pt idx="55" formatCode="General">
                        <c:v>-8.6867030303030308</c:v>
                      </c:pt>
                      <c:pt idx="56" formatCode="General">
                        <c:v>-8.6735090909090911</c:v>
                      </c:pt>
                      <c:pt idx="57" formatCode="General">
                        <c:v>-8.6656626506024086</c:v>
                      </c:pt>
                      <c:pt idx="58" formatCode="General">
                        <c:v>-8.668674698795181</c:v>
                      </c:pt>
                      <c:pt idx="59" formatCode="General">
                        <c:v>-8.6927393939393944</c:v>
                      </c:pt>
                      <c:pt idx="60" formatCode="General">
                        <c:v>-8.7333454545454554</c:v>
                      </c:pt>
                      <c:pt idx="61" formatCode="General">
                        <c:v>-8.7772606060606062</c:v>
                      </c:pt>
                      <c:pt idx="62" formatCode="General">
                        <c:v>-8.8216606060606058</c:v>
                      </c:pt>
                      <c:pt idx="63" formatCode="General">
                        <c:v>-8.8665090909090907</c:v>
                      </c:pt>
                      <c:pt idx="64" formatCode="General">
                        <c:v>-8.9120969696969699</c:v>
                      </c:pt>
                      <c:pt idx="65" formatCode="General">
                        <c:v>-8.9581575757575767</c:v>
                      </c:pt>
                      <c:pt idx="66" formatCode="General">
                        <c:v>-9.0051084337349412</c:v>
                      </c:pt>
                      <c:pt idx="67" formatCode="General">
                        <c:v>-9.052545454545454</c:v>
                      </c:pt>
                      <c:pt idx="68" formatCode="General">
                        <c:v>-9.1010303030303028</c:v>
                      </c:pt>
                      <c:pt idx="69" formatCode="General">
                        <c:v>-9.1506969696969698</c:v>
                      </c:pt>
                      <c:pt idx="70" formatCode="General">
                        <c:v>-9.2010000000000005</c:v>
                      </c:pt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4419091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11144"/>
        <c:crosses val="autoZero"/>
        <c:crossBetween val="midCat"/>
        <c:majorUnit val="100"/>
      </c:valAx>
      <c:valAx>
        <c:axId val="441911144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1909184"/>
        <c:crosses val="autoZero"/>
        <c:crossBetween val="midCat"/>
      </c:valAx>
    </c:plotArea>
    <c:plotVisOnly val="0"/>
    <c:dispBlanksAs val="gap"/>
    <c:showDLblsOverMax val="0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0"/>
  </sheetPr>
  <dimension ref="A1:G6"/>
  <sheetViews>
    <sheetView zoomScale="115" zoomScaleNormal="115" workbookViewId="0">
      <selection activeCell="G14" sqref="G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17" t="s">
        <v>37</v>
      </c>
      <c r="E1" s="118"/>
      <c r="F1" s="118"/>
      <c r="G1" s="118"/>
    </row>
    <row r="2" spans="1:7" ht="21.75" thickTop="1" x14ac:dyDescent="0.35">
      <c r="A2" s="47"/>
      <c r="B2" s="47"/>
      <c r="D2" s="7" t="s">
        <v>1</v>
      </c>
      <c r="E2" s="60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2" t="s">
        <v>42</v>
      </c>
      <c r="B5" t="s">
        <v>45</v>
      </c>
    </row>
    <row r="6" spans="1:7" x14ac:dyDescent="0.35">
      <c r="A6" s="82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CI137"/>
  <sheetViews>
    <sheetView zoomScale="85" zoomScaleNormal="85" zoomScaleSheetLayoutView="25" workbookViewId="0">
      <selection activeCell="E3" sqref="E3:BR2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3" t="s">
        <v>23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  <c r="CB1" s="93"/>
      <c r="CC1" s="93"/>
      <c r="CD1" s="93"/>
      <c r="CE1" s="93"/>
      <c r="CF1" s="93"/>
      <c r="CG1" s="93"/>
      <c r="CH1" s="93"/>
      <c r="CI1" s="93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48"/>
      <c r="U3" s="51"/>
      <c r="V3" s="3"/>
      <c r="W3" s="1"/>
      <c r="X3" s="49"/>
      <c r="Y3" s="3"/>
      <c r="Z3" s="3"/>
      <c r="AA3" s="3"/>
      <c r="AB3" s="3"/>
      <c r="AC3" s="3"/>
      <c r="AD3" s="3"/>
      <c r="AE3" s="3"/>
      <c r="AF3" s="3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18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18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18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18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18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18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18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18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18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18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18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18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18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18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13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79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79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79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79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79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47"/>
      <c r="BS32" s="94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0">
        <v>1</v>
      </c>
      <c r="F33" s="102">
        <f>IF(G3&gt;F3,1,0)</f>
        <v>0</v>
      </c>
      <c r="G33" s="102">
        <f t="shared" ref="G33:BR33" si="4">IF(H3&gt;G3,1,0)</f>
        <v>0</v>
      </c>
      <c r="H33" s="102">
        <f t="shared" si="4"/>
        <v>0</v>
      </c>
      <c r="I33" s="102">
        <f t="shared" si="4"/>
        <v>0</v>
      </c>
      <c r="J33" s="102">
        <f t="shared" si="4"/>
        <v>0</v>
      </c>
      <c r="K33" s="102">
        <f t="shared" si="4"/>
        <v>0</v>
      </c>
      <c r="L33" s="102">
        <f t="shared" si="4"/>
        <v>0</v>
      </c>
      <c r="M33" s="102">
        <f t="shared" si="4"/>
        <v>0</v>
      </c>
      <c r="N33" s="102">
        <f t="shared" si="4"/>
        <v>0</v>
      </c>
      <c r="O33" s="102">
        <f t="shared" si="4"/>
        <v>0</v>
      </c>
      <c r="P33" s="102">
        <f t="shared" si="4"/>
        <v>0</v>
      </c>
      <c r="Q33" s="102">
        <f t="shared" si="4"/>
        <v>0</v>
      </c>
      <c r="R33" s="102">
        <f t="shared" si="4"/>
        <v>0</v>
      </c>
      <c r="S33" s="102">
        <f t="shared" si="4"/>
        <v>0</v>
      </c>
      <c r="T33" s="102">
        <f t="shared" si="4"/>
        <v>0</v>
      </c>
      <c r="U33" s="102">
        <f t="shared" si="4"/>
        <v>0</v>
      </c>
      <c r="V33" s="102">
        <f t="shared" si="4"/>
        <v>0</v>
      </c>
      <c r="W33" s="102">
        <f t="shared" si="4"/>
        <v>0</v>
      </c>
      <c r="X33" s="102">
        <f t="shared" si="4"/>
        <v>0</v>
      </c>
      <c r="Y33" s="102">
        <f t="shared" si="4"/>
        <v>0</v>
      </c>
      <c r="Z33" s="102">
        <f t="shared" si="4"/>
        <v>0</v>
      </c>
      <c r="AA33" s="102">
        <f t="shared" si="4"/>
        <v>0</v>
      </c>
      <c r="AB33" s="102">
        <f t="shared" si="4"/>
        <v>0</v>
      </c>
      <c r="AC33" s="102">
        <f t="shared" si="4"/>
        <v>0</v>
      </c>
      <c r="AD33" s="102">
        <f t="shared" si="4"/>
        <v>0</v>
      </c>
      <c r="AE33" s="102">
        <f t="shared" si="4"/>
        <v>0</v>
      </c>
      <c r="AF33" s="102">
        <f t="shared" si="4"/>
        <v>0</v>
      </c>
      <c r="AG33" s="102">
        <f t="shared" si="4"/>
        <v>0</v>
      </c>
      <c r="AH33" s="102">
        <f t="shared" si="4"/>
        <v>0</v>
      </c>
      <c r="AI33" s="102">
        <f t="shared" si="4"/>
        <v>0</v>
      </c>
      <c r="AJ33" s="102">
        <f t="shared" si="4"/>
        <v>0</v>
      </c>
      <c r="AK33" s="102">
        <f t="shared" si="4"/>
        <v>0</v>
      </c>
      <c r="AL33" s="102">
        <f t="shared" si="4"/>
        <v>0</v>
      </c>
      <c r="AM33" s="102">
        <f t="shared" si="4"/>
        <v>0</v>
      </c>
      <c r="AN33" s="102">
        <f t="shared" si="4"/>
        <v>0</v>
      </c>
      <c r="AO33" s="102">
        <f t="shared" si="4"/>
        <v>0</v>
      </c>
      <c r="AP33" s="102">
        <f t="shared" si="4"/>
        <v>0</v>
      </c>
      <c r="AQ33" s="102">
        <f t="shared" si="4"/>
        <v>0</v>
      </c>
      <c r="AR33" s="102">
        <f t="shared" si="4"/>
        <v>0</v>
      </c>
      <c r="AS33" s="102">
        <f t="shared" si="4"/>
        <v>0</v>
      </c>
      <c r="AT33" s="102">
        <f t="shared" si="4"/>
        <v>0</v>
      </c>
      <c r="AU33" s="102">
        <f t="shared" si="4"/>
        <v>0</v>
      </c>
      <c r="AV33" s="102">
        <f t="shared" si="4"/>
        <v>0</v>
      </c>
      <c r="AW33" s="102">
        <f t="shared" si="4"/>
        <v>0</v>
      </c>
      <c r="AX33" s="102">
        <f t="shared" si="4"/>
        <v>0</v>
      </c>
      <c r="AY33" s="102">
        <f t="shared" si="4"/>
        <v>0</v>
      </c>
      <c r="AZ33" s="102">
        <f t="shared" si="4"/>
        <v>0</v>
      </c>
      <c r="BA33" s="102">
        <f t="shared" si="4"/>
        <v>0</v>
      </c>
      <c r="BB33" s="102">
        <f t="shared" si="4"/>
        <v>0</v>
      </c>
      <c r="BC33" s="102">
        <f t="shared" si="4"/>
        <v>0</v>
      </c>
      <c r="BD33" s="102">
        <f t="shared" si="4"/>
        <v>0</v>
      </c>
      <c r="BE33" s="102">
        <f t="shared" si="4"/>
        <v>0</v>
      </c>
      <c r="BF33" s="102">
        <f t="shared" si="4"/>
        <v>0</v>
      </c>
      <c r="BG33" s="102">
        <f t="shared" si="4"/>
        <v>0</v>
      </c>
      <c r="BH33" s="102">
        <f t="shared" si="4"/>
        <v>0</v>
      </c>
      <c r="BI33" s="102">
        <f t="shared" si="4"/>
        <v>0</v>
      </c>
      <c r="BJ33" s="102">
        <f t="shared" si="4"/>
        <v>0</v>
      </c>
      <c r="BK33" s="102">
        <f t="shared" si="4"/>
        <v>0</v>
      </c>
      <c r="BL33" s="102">
        <f t="shared" si="4"/>
        <v>0</v>
      </c>
      <c r="BM33" s="102">
        <f t="shared" si="4"/>
        <v>0</v>
      </c>
      <c r="BN33" s="102">
        <f t="shared" si="4"/>
        <v>0</v>
      </c>
      <c r="BO33" s="102">
        <f t="shared" si="4"/>
        <v>0</v>
      </c>
      <c r="BP33" s="102">
        <f t="shared" si="4"/>
        <v>0</v>
      </c>
      <c r="BQ33" s="102">
        <f t="shared" si="4"/>
        <v>0</v>
      </c>
      <c r="BR33" s="102">
        <f t="shared" si="4"/>
        <v>0</v>
      </c>
      <c r="BS33" s="94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4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 t="e">
        <f t="shared" ref="B35:B37" ca="1" si="6">IF(E35=C35,1,0)</f>
        <v>#N/A</v>
      </c>
      <c r="C35" s="11" t="s">
        <v>5</v>
      </c>
      <c r="D35" s="44" t="e">
        <f t="shared" ref="D35:D37" si="7">MATCH(C35,$E$4:$E$33)</f>
        <v>#N/A</v>
      </c>
      <c r="E35" s="11" t="e">
        <f t="shared" ref="E35:E37" ca="1" si="8">OFFSET($E$3:$AL$3,$D35,0)</f>
        <v>#N/A</v>
      </c>
      <c r="F35" s="14" t="e">
        <f t="shared" ref="F35:U37" ca="1" si="9">OFFSET($E$3:$BR$3,$D35,0)</f>
        <v>#N/A</v>
      </c>
      <c r="G35" s="14" t="e">
        <f t="shared" ca="1" si="9"/>
        <v>#N/A</v>
      </c>
      <c r="H35" s="14" t="e">
        <f t="shared" ca="1" si="9"/>
        <v>#N/A</v>
      </c>
      <c r="I35" s="14" t="e">
        <f t="shared" ca="1" si="9"/>
        <v>#N/A</v>
      </c>
      <c r="J35" s="14" t="e">
        <f t="shared" ca="1" si="9"/>
        <v>#N/A</v>
      </c>
      <c r="K35" s="14" t="e">
        <f t="shared" ca="1" si="9"/>
        <v>#N/A</v>
      </c>
      <c r="L35" s="14" t="e">
        <f t="shared" ca="1" si="9"/>
        <v>#N/A</v>
      </c>
      <c r="M35" s="14" t="e">
        <f t="shared" ca="1" si="9"/>
        <v>#N/A</v>
      </c>
      <c r="N35" s="14" t="e">
        <f t="shared" ca="1" si="9"/>
        <v>#N/A</v>
      </c>
      <c r="O35" s="14" t="e">
        <f t="shared" ca="1" si="9"/>
        <v>#N/A</v>
      </c>
      <c r="P35" s="14" t="e">
        <f t="shared" ca="1" si="9"/>
        <v>#N/A</v>
      </c>
      <c r="Q35" s="14" t="e">
        <f t="shared" ca="1" si="9"/>
        <v>#N/A</v>
      </c>
      <c r="R35" s="14" t="e">
        <f t="shared" ca="1" si="9"/>
        <v>#N/A</v>
      </c>
      <c r="S35" s="14" t="e">
        <f t="shared" ca="1" si="9"/>
        <v>#N/A</v>
      </c>
      <c r="T35" s="14" t="e">
        <f t="shared" ca="1" si="9"/>
        <v>#N/A</v>
      </c>
      <c r="U35" s="14" t="e">
        <f t="shared" ca="1" si="9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4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 t="e">
        <f t="shared" ca="1" si="6"/>
        <v>#N/A</v>
      </c>
      <c r="C36" s="11" t="s">
        <v>6</v>
      </c>
      <c r="D36" s="44" t="e">
        <f t="shared" si="7"/>
        <v>#N/A</v>
      </c>
      <c r="E36" s="11" t="e">
        <f t="shared" ca="1" si="8"/>
        <v>#N/A</v>
      </c>
      <c r="F36" s="14" t="e">
        <f t="shared" ca="1" si="9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4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 t="e">
        <f t="shared" ca="1" si="6"/>
        <v>#N/A</v>
      </c>
      <c r="C37" s="11" t="s">
        <v>7</v>
      </c>
      <c r="D37" s="44" t="e">
        <f t="shared" si="7"/>
        <v>#N/A</v>
      </c>
      <c r="E37" s="11" t="e">
        <f t="shared" ca="1" si="8"/>
        <v>#N/A</v>
      </c>
      <c r="F37" s="14" t="e">
        <f t="shared" ca="1" si="9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4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10">G3</f>
        <v>0</v>
      </c>
      <c r="H40" s="8">
        <f t="shared" si="10"/>
        <v>0</v>
      </c>
      <c r="I40" s="8">
        <f t="shared" si="10"/>
        <v>0</v>
      </c>
      <c r="J40" s="8">
        <f t="shared" si="10"/>
        <v>0</v>
      </c>
      <c r="K40" s="8">
        <f t="shared" si="10"/>
        <v>0</v>
      </c>
      <c r="L40" s="8">
        <f t="shared" si="10"/>
        <v>0</v>
      </c>
      <c r="M40" s="8">
        <f t="shared" si="10"/>
        <v>0</v>
      </c>
      <c r="N40" s="8">
        <f t="shared" si="10"/>
        <v>0</v>
      </c>
      <c r="O40" s="8">
        <f t="shared" si="10"/>
        <v>0</v>
      </c>
      <c r="P40" s="8">
        <f t="shared" si="10"/>
        <v>0</v>
      </c>
      <c r="Q40" s="8">
        <f t="shared" si="10"/>
        <v>0</v>
      </c>
      <c r="R40" s="8">
        <f t="shared" si="10"/>
        <v>0</v>
      </c>
      <c r="S40" s="8">
        <f t="shared" si="10"/>
        <v>0</v>
      </c>
      <c r="T40" s="8">
        <f t="shared" si="10"/>
        <v>0</v>
      </c>
      <c r="U40" s="8">
        <f t="shared" si="10"/>
        <v>0</v>
      </c>
      <c r="V40" s="8">
        <f t="shared" si="10"/>
        <v>0</v>
      </c>
      <c r="W40" s="8">
        <f t="shared" si="10"/>
        <v>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5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 t="e">
        <f t="shared" ref="F41:BQ41" ca="1" si="11">($B$41*H.Ge+$C$41*H.Ga+$D$41*H.Se)*F$40*$B$2/1000</f>
        <v>#N/A</v>
      </c>
      <c r="G41" s="10" t="e">
        <f t="shared" ca="1" si="11"/>
        <v>#N/A</v>
      </c>
      <c r="H41" s="10" t="e">
        <f t="shared" ca="1" si="11"/>
        <v>#N/A</v>
      </c>
      <c r="I41" s="10" t="e">
        <f t="shared" ca="1" si="11"/>
        <v>#N/A</v>
      </c>
      <c r="J41" s="10" t="e">
        <f t="shared" ca="1" si="11"/>
        <v>#N/A</v>
      </c>
      <c r="K41" s="10" t="e">
        <f t="shared" ca="1" si="11"/>
        <v>#N/A</v>
      </c>
      <c r="L41" s="10" t="e">
        <f t="shared" ca="1" si="11"/>
        <v>#N/A</v>
      </c>
      <c r="M41" s="10" t="e">
        <f t="shared" ca="1" si="11"/>
        <v>#N/A</v>
      </c>
      <c r="N41" s="10" t="e">
        <f t="shared" ca="1" si="11"/>
        <v>#N/A</v>
      </c>
      <c r="O41" s="10" t="e">
        <f t="shared" ca="1" si="11"/>
        <v>#N/A</v>
      </c>
      <c r="P41" s="10" t="e">
        <f t="shared" ca="1" si="11"/>
        <v>#N/A</v>
      </c>
      <c r="Q41" s="10" t="e">
        <f t="shared" ca="1" si="11"/>
        <v>#N/A</v>
      </c>
      <c r="R41" s="10" t="e">
        <f t="shared" ca="1" si="11"/>
        <v>#N/A</v>
      </c>
      <c r="S41" s="10" t="e">
        <f t="shared" ca="1" si="11"/>
        <v>#N/A</v>
      </c>
      <c r="T41" s="10" t="e">
        <f t="shared" ca="1" si="11"/>
        <v>#N/A</v>
      </c>
      <c r="U41" s="10" t="e">
        <f t="shared" ca="1" si="11"/>
        <v>#N/A</v>
      </c>
      <c r="V41" s="10" t="e">
        <f t="shared" ca="1" si="11"/>
        <v>#N/A</v>
      </c>
      <c r="W41" s="10" t="e">
        <f t="shared" ca="1" si="11"/>
        <v>#N/A</v>
      </c>
      <c r="X41" s="10" t="e">
        <f t="shared" ca="1" si="11"/>
        <v>#N/A</v>
      </c>
      <c r="Y41" s="10" t="e">
        <f t="shared" ca="1" si="11"/>
        <v>#N/A</v>
      </c>
      <c r="Z41" s="10" t="e">
        <f t="shared" ca="1" si="11"/>
        <v>#N/A</v>
      </c>
      <c r="AA41" s="10" t="e">
        <f t="shared" ca="1" si="11"/>
        <v>#N/A</v>
      </c>
      <c r="AB41" s="10" t="e">
        <f t="shared" ca="1" si="11"/>
        <v>#N/A</v>
      </c>
      <c r="AC41" s="10" t="e">
        <f t="shared" ca="1" si="11"/>
        <v>#N/A</v>
      </c>
      <c r="AD41" s="10" t="e">
        <f t="shared" ca="1" si="11"/>
        <v>#N/A</v>
      </c>
      <c r="AE41" s="10" t="e">
        <f t="shared" ca="1" si="11"/>
        <v>#N/A</v>
      </c>
      <c r="AF41" s="10" t="e">
        <f t="shared" ca="1" si="11"/>
        <v>#N/A</v>
      </c>
      <c r="AG41" s="10" t="e">
        <f t="shared" ca="1" si="11"/>
        <v>#N/A</v>
      </c>
      <c r="AH41" s="10" t="e">
        <f t="shared" ca="1" si="11"/>
        <v>#N/A</v>
      </c>
      <c r="AI41" s="10" t="e">
        <f t="shared" ca="1" si="11"/>
        <v>#N/A</v>
      </c>
      <c r="AJ41" s="10" t="e">
        <f t="shared" ca="1" si="11"/>
        <v>#N/A</v>
      </c>
      <c r="AK41" s="10" t="e">
        <f t="shared" ca="1" si="11"/>
        <v>#N/A</v>
      </c>
      <c r="AL41" s="10" t="e">
        <f t="shared" ca="1" si="11"/>
        <v>#N/A</v>
      </c>
      <c r="AM41" s="10" t="e">
        <f t="shared" ca="1" si="11"/>
        <v>#N/A</v>
      </c>
      <c r="AN41" s="10" t="e">
        <f t="shared" ca="1" si="11"/>
        <v>#N/A</v>
      </c>
      <c r="AO41" s="10" t="e">
        <f t="shared" ca="1" si="11"/>
        <v>#N/A</v>
      </c>
      <c r="AP41" s="10" t="e">
        <f t="shared" ca="1" si="11"/>
        <v>#N/A</v>
      </c>
      <c r="AQ41" s="10" t="e">
        <f t="shared" ca="1" si="11"/>
        <v>#N/A</v>
      </c>
      <c r="AR41" s="10" t="e">
        <f t="shared" ca="1" si="11"/>
        <v>#N/A</v>
      </c>
      <c r="AS41" s="10" t="e">
        <f t="shared" ca="1" si="11"/>
        <v>#N/A</v>
      </c>
      <c r="AT41" s="10" t="e">
        <f t="shared" ca="1" si="11"/>
        <v>#N/A</v>
      </c>
      <c r="AU41" s="10" t="e">
        <f t="shared" ca="1" si="11"/>
        <v>#N/A</v>
      </c>
      <c r="AV41" s="10" t="e">
        <f t="shared" ca="1" si="11"/>
        <v>#N/A</v>
      </c>
      <c r="AW41" s="10" t="e">
        <f t="shared" ca="1" si="11"/>
        <v>#N/A</v>
      </c>
      <c r="AX41" s="10" t="e">
        <f t="shared" ca="1" si="11"/>
        <v>#N/A</v>
      </c>
      <c r="AY41" s="10" t="e">
        <f t="shared" ca="1" si="11"/>
        <v>#N/A</v>
      </c>
      <c r="AZ41" s="10" t="e">
        <f t="shared" ca="1" si="11"/>
        <v>#N/A</v>
      </c>
      <c r="BA41" s="10" t="e">
        <f t="shared" ca="1" si="11"/>
        <v>#N/A</v>
      </c>
      <c r="BB41" s="10" t="e">
        <f t="shared" ca="1" si="11"/>
        <v>#N/A</v>
      </c>
      <c r="BC41" s="10" t="e">
        <f t="shared" ca="1" si="11"/>
        <v>#N/A</v>
      </c>
      <c r="BD41" s="10" t="e">
        <f t="shared" ca="1" si="11"/>
        <v>#N/A</v>
      </c>
      <c r="BE41" s="10" t="e">
        <f t="shared" ca="1" si="11"/>
        <v>#N/A</v>
      </c>
      <c r="BF41" s="10" t="e">
        <f t="shared" ca="1" si="11"/>
        <v>#N/A</v>
      </c>
      <c r="BG41" s="10" t="e">
        <f t="shared" ca="1" si="11"/>
        <v>#N/A</v>
      </c>
      <c r="BH41" s="10" t="e">
        <f t="shared" ca="1" si="11"/>
        <v>#N/A</v>
      </c>
      <c r="BI41" s="10" t="e">
        <f t="shared" ca="1" si="11"/>
        <v>#N/A</v>
      </c>
      <c r="BJ41" s="10" t="e">
        <f t="shared" ca="1" si="11"/>
        <v>#N/A</v>
      </c>
      <c r="BK41" s="10" t="e">
        <f t="shared" ca="1" si="11"/>
        <v>#N/A</v>
      </c>
      <c r="BL41" s="10" t="e">
        <f t="shared" ca="1" si="11"/>
        <v>#N/A</v>
      </c>
      <c r="BM41" s="10" t="e">
        <f t="shared" ca="1" si="11"/>
        <v>#N/A</v>
      </c>
      <c r="BN41" s="10" t="e">
        <f t="shared" ca="1" si="11"/>
        <v>#N/A</v>
      </c>
      <c r="BO41" s="10" t="e">
        <f t="shared" ca="1" si="11"/>
        <v>#N/A</v>
      </c>
      <c r="BP41" s="10" t="e">
        <f t="shared" ca="1" si="11"/>
        <v>#N/A</v>
      </c>
      <c r="BQ41" s="10" t="e">
        <f t="shared" ca="1" si="11"/>
        <v>#N/A</v>
      </c>
      <c r="BR41" s="10" t="e">
        <f t="shared" ref="BR41" ca="1" si="12">($B$41*H.Ge+$C$41*H.Ga+$D$41*H.Se)*BR$40*$B$2/1000</f>
        <v>#N/A</v>
      </c>
      <c r="BS41" s="95"/>
    </row>
    <row r="42" spans="1:87" ht="176.25" customHeight="1" outlineLevel="1" x14ac:dyDescent="0.35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 x14ac:dyDescent="0.35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0</v>
      </c>
      <c r="G45" s="3">
        <f t="shared" ref="G45:BR45" si="14">G3</f>
        <v>0</v>
      </c>
      <c r="H45" s="3">
        <f t="shared" si="14"/>
        <v>0</v>
      </c>
      <c r="I45" s="3">
        <f t="shared" si="14"/>
        <v>0</v>
      </c>
      <c r="J45" s="3">
        <f t="shared" si="14"/>
        <v>0</v>
      </c>
      <c r="K45" s="3">
        <f t="shared" si="14"/>
        <v>0</v>
      </c>
      <c r="L45" s="3">
        <f t="shared" si="14"/>
        <v>0</v>
      </c>
      <c r="M45" s="3">
        <f t="shared" si="14"/>
        <v>0</v>
      </c>
      <c r="N45" s="3">
        <f t="shared" si="14"/>
        <v>0</v>
      </c>
      <c r="O45" s="3">
        <f t="shared" si="14"/>
        <v>0</v>
      </c>
      <c r="P45" s="3">
        <f t="shared" si="14"/>
        <v>0</v>
      </c>
      <c r="Q45" s="3">
        <f t="shared" si="14"/>
        <v>0</v>
      </c>
      <c r="R45" s="3">
        <f t="shared" si="14"/>
        <v>0</v>
      </c>
      <c r="S45" s="3">
        <f t="shared" si="14"/>
        <v>0</v>
      </c>
      <c r="T45" s="3">
        <f t="shared" si="14"/>
        <v>0</v>
      </c>
      <c r="U45" s="3">
        <f t="shared" si="14"/>
        <v>0</v>
      </c>
      <c r="V45" s="3">
        <f t="shared" si="14"/>
        <v>0</v>
      </c>
      <c r="W45" s="3">
        <f t="shared" si="14"/>
        <v>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4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0</v>
      </c>
      <c r="E46" s="6">
        <f t="shared" si="15"/>
        <v>0</v>
      </c>
      <c r="F46" s="14" t="e">
        <f t="shared" ref="F46:U55" ca="1" si="16">$A46*H.Ar + $B46*H.Se + $C46*H.Ge + $D46*H.Ga</f>
        <v>#N/A</v>
      </c>
      <c r="G46" s="14" t="e">
        <f t="shared" ca="1" si="16"/>
        <v>#N/A</v>
      </c>
      <c r="H46" s="14" t="e">
        <f t="shared" ca="1" si="16"/>
        <v>#N/A</v>
      </c>
      <c r="I46" s="14" t="e">
        <f t="shared" ca="1" si="16"/>
        <v>#N/A</v>
      </c>
      <c r="J46" s="14" t="e">
        <f t="shared" ca="1" si="16"/>
        <v>#N/A</v>
      </c>
      <c r="K46" s="14" t="e">
        <f t="shared" ca="1" si="16"/>
        <v>#N/A</v>
      </c>
      <c r="L46" s="14" t="e">
        <f t="shared" ca="1" si="16"/>
        <v>#N/A</v>
      </c>
      <c r="M46" s="14" t="e">
        <f t="shared" ca="1" si="16"/>
        <v>#N/A</v>
      </c>
      <c r="N46" s="14" t="e">
        <f t="shared" ca="1" si="16"/>
        <v>#N/A</v>
      </c>
      <c r="O46" s="14" t="e">
        <f t="shared" ca="1" si="16"/>
        <v>#N/A</v>
      </c>
      <c r="P46" s="14" t="e">
        <f t="shared" ca="1" si="16"/>
        <v>#N/A</v>
      </c>
      <c r="Q46" s="14" t="e">
        <f t="shared" ca="1" si="16"/>
        <v>#N/A</v>
      </c>
      <c r="R46" s="14" t="e">
        <f t="shared" ca="1" si="16"/>
        <v>#N/A</v>
      </c>
      <c r="S46" s="14" t="e">
        <f t="shared" ca="1" si="16"/>
        <v>#N/A</v>
      </c>
      <c r="T46" s="14" t="e">
        <f t="shared" ca="1" si="16"/>
        <v>#N/A</v>
      </c>
      <c r="U46" s="14" t="e">
        <f t="shared" ca="1" si="16"/>
        <v>#N/A</v>
      </c>
      <c r="V46" s="14" t="e">
        <f t="shared" ref="G46:BR50" ca="1" si="17">$A46*H.Ar + $B46*H.Se + $C46*H.Ge + $D46*H.Ga</f>
        <v>#N/A</v>
      </c>
      <c r="W46" s="14" t="e">
        <f t="shared" ca="1" si="17"/>
        <v>#N/A</v>
      </c>
      <c r="X46" s="14" t="e">
        <f t="shared" ca="1" si="17"/>
        <v>#N/A</v>
      </c>
      <c r="Y46" s="14" t="e">
        <f t="shared" ca="1" si="17"/>
        <v>#N/A</v>
      </c>
      <c r="Z46" s="14" t="e">
        <f t="shared" ca="1" si="17"/>
        <v>#N/A</v>
      </c>
      <c r="AA46" s="14" t="e">
        <f t="shared" ca="1" si="17"/>
        <v>#N/A</v>
      </c>
      <c r="AB46" s="14" t="e">
        <f t="shared" ca="1" si="17"/>
        <v>#N/A</v>
      </c>
      <c r="AC46" s="14" t="e">
        <f t="shared" ca="1" si="17"/>
        <v>#N/A</v>
      </c>
      <c r="AD46" s="14" t="e">
        <f t="shared" ca="1" si="17"/>
        <v>#N/A</v>
      </c>
      <c r="AE46" s="14" t="e">
        <f t="shared" ca="1" si="17"/>
        <v>#N/A</v>
      </c>
      <c r="AF46" s="14" t="e">
        <f t="shared" ca="1" si="17"/>
        <v>#N/A</v>
      </c>
      <c r="AG46" s="14" t="e">
        <f t="shared" ca="1" si="17"/>
        <v>#N/A</v>
      </c>
      <c r="AH46" s="14" t="e">
        <f t="shared" ca="1" si="17"/>
        <v>#N/A</v>
      </c>
      <c r="AI46" s="14" t="e">
        <f t="shared" ca="1" si="17"/>
        <v>#N/A</v>
      </c>
      <c r="AJ46" s="14" t="e">
        <f t="shared" ca="1" si="17"/>
        <v>#N/A</v>
      </c>
      <c r="AK46" s="14" t="e">
        <f t="shared" ca="1" si="17"/>
        <v>#N/A</v>
      </c>
      <c r="AL46" s="14" t="e">
        <f t="shared" ca="1" si="17"/>
        <v>#N/A</v>
      </c>
      <c r="AM46" s="14" t="e">
        <f t="shared" ca="1" si="17"/>
        <v>#N/A</v>
      </c>
      <c r="AN46" s="14" t="e">
        <f t="shared" ca="1" si="17"/>
        <v>#N/A</v>
      </c>
      <c r="AO46" s="14" t="e">
        <f t="shared" ca="1" si="17"/>
        <v>#N/A</v>
      </c>
      <c r="AP46" s="14" t="e">
        <f t="shared" ca="1" si="17"/>
        <v>#N/A</v>
      </c>
      <c r="AQ46" s="14" t="e">
        <f t="shared" ca="1" si="17"/>
        <v>#N/A</v>
      </c>
      <c r="AR46" s="14" t="e">
        <f t="shared" ca="1" si="17"/>
        <v>#N/A</v>
      </c>
      <c r="AS46" s="14" t="e">
        <f t="shared" ca="1" si="17"/>
        <v>#N/A</v>
      </c>
      <c r="AT46" s="14" t="e">
        <f t="shared" ca="1" si="17"/>
        <v>#N/A</v>
      </c>
      <c r="AU46" s="14" t="e">
        <f t="shared" ca="1" si="17"/>
        <v>#N/A</v>
      </c>
      <c r="AV46" s="14" t="e">
        <f t="shared" ca="1" si="17"/>
        <v>#N/A</v>
      </c>
      <c r="AW46" s="14" t="e">
        <f t="shared" ca="1" si="17"/>
        <v>#N/A</v>
      </c>
      <c r="AX46" s="14" t="e">
        <f t="shared" ca="1" si="17"/>
        <v>#N/A</v>
      </c>
      <c r="AY46" s="14" t="e">
        <f t="shared" ca="1" si="17"/>
        <v>#N/A</v>
      </c>
      <c r="AZ46" s="14" t="e">
        <f t="shared" ca="1" si="17"/>
        <v>#N/A</v>
      </c>
      <c r="BA46" s="14" t="e">
        <f t="shared" ca="1" si="17"/>
        <v>#N/A</v>
      </c>
      <c r="BB46" s="14" t="e">
        <f t="shared" ca="1" si="17"/>
        <v>#N/A</v>
      </c>
      <c r="BC46" s="14" t="e">
        <f t="shared" ca="1" si="17"/>
        <v>#N/A</v>
      </c>
      <c r="BD46" s="14" t="e">
        <f t="shared" ca="1" si="17"/>
        <v>#N/A</v>
      </c>
      <c r="BE46" s="14" t="e">
        <f t="shared" ca="1" si="17"/>
        <v>#N/A</v>
      </c>
      <c r="BF46" s="14" t="e">
        <f t="shared" ca="1" si="17"/>
        <v>#N/A</v>
      </c>
      <c r="BG46" s="14" t="e">
        <f t="shared" ca="1" si="17"/>
        <v>#N/A</v>
      </c>
      <c r="BH46" s="14" t="e">
        <f t="shared" ca="1" si="17"/>
        <v>#N/A</v>
      </c>
      <c r="BI46" s="14" t="e">
        <f t="shared" ca="1" si="17"/>
        <v>#N/A</v>
      </c>
      <c r="BJ46" s="14" t="e">
        <f t="shared" ca="1" si="17"/>
        <v>#N/A</v>
      </c>
      <c r="BK46" s="14" t="e">
        <f t="shared" ca="1" si="17"/>
        <v>#N/A</v>
      </c>
      <c r="BL46" s="14" t="e">
        <f t="shared" ca="1" si="17"/>
        <v>#N/A</v>
      </c>
      <c r="BM46" s="14" t="e">
        <f t="shared" ca="1" si="17"/>
        <v>#N/A</v>
      </c>
      <c r="BN46" s="14" t="e">
        <f t="shared" ca="1" si="17"/>
        <v>#N/A</v>
      </c>
      <c r="BO46" s="14" t="e">
        <f t="shared" ca="1" si="17"/>
        <v>#N/A</v>
      </c>
      <c r="BP46" s="14" t="e">
        <f t="shared" ca="1" si="17"/>
        <v>#N/A</v>
      </c>
      <c r="BQ46" s="14" t="e">
        <f t="shared" ca="1" si="17"/>
        <v>#N/A</v>
      </c>
      <c r="BR46" s="14" t="e">
        <f t="shared" ca="1" si="17"/>
        <v>#N/A</v>
      </c>
      <c r="BS46" s="94"/>
    </row>
    <row r="47" spans="1:87" ht="2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>
        <f t="shared" si="15"/>
        <v>0</v>
      </c>
      <c r="F47" s="14" t="e">
        <f t="shared" ca="1" si="16"/>
        <v>#N/A</v>
      </c>
      <c r="G47" s="14" t="e">
        <f t="shared" ca="1" si="17"/>
        <v>#N/A</v>
      </c>
      <c r="H47" s="14" t="e">
        <f t="shared" ca="1" si="17"/>
        <v>#N/A</v>
      </c>
      <c r="I47" s="14" t="e">
        <f t="shared" ca="1" si="17"/>
        <v>#N/A</v>
      </c>
      <c r="J47" s="14" t="e">
        <f t="shared" ca="1" si="17"/>
        <v>#N/A</v>
      </c>
      <c r="K47" s="14" t="e">
        <f t="shared" ca="1" si="17"/>
        <v>#N/A</v>
      </c>
      <c r="L47" s="14" t="e">
        <f t="shared" ca="1" si="17"/>
        <v>#N/A</v>
      </c>
      <c r="M47" s="14" t="e">
        <f t="shared" ca="1" si="17"/>
        <v>#N/A</v>
      </c>
      <c r="N47" s="14" t="e">
        <f t="shared" ca="1" si="17"/>
        <v>#N/A</v>
      </c>
      <c r="O47" s="14" t="e">
        <f t="shared" ca="1" si="17"/>
        <v>#N/A</v>
      </c>
      <c r="P47" s="14" t="e">
        <f t="shared" ca="1" si="17"/>
        <v>#N/A</v>
      </c>
      <c r="Q47" s="14" t="e">
        <f t="shared" ca="1" si="17"/>
        <v>#N/A</v>
      </c>
      <c r="R47" s="14" t="e">
        <f t="shared" ca="1" si="17"/>
        <v>#N/A</v>
      </c>
      <c r="S47" s="14" t="e">
        <f t="shared" ca="1" si="17"/>
        <v>#N/A</v>
      </c>
      <c r="T47" s="14" t="e">
        <f t="shared" ca="1" si="17"/>
        <v>#N/A</v>
      </c>
      <c r="U47" s="14" t="e">
        <f t="shared" ca="1" si="17"/>
        <v>#N/A</v>
      </c>
      <c r="V47" s="14" t="e">
        <f t="shared" ca="1" si="17"/>
        <v>#N/A</v>
      </c>
      <c r="W47" s="14" t="e">
        <f t="shared" ca="1" si="17"/>
        <v>#N/A</v>
      </c>
      <c r="X47" s="14" t="e">
        <f t="shared" ca="1" si="17"/>
        <v>#N/A</v>
      </c>
      <c r="Y47" s="14" t="e">
        <f t="shared" ca="1" si="17"/>
        <v>#N/A</v>
      </c>
      <c r="Z47" s="14" t="e">
        <f t="shared" ca="1" si="17"/>
        <v>#N/A</v>
      </c>
      <c r="AA47" s="14" t="e">
        <f t="shared" ca="1" si="17"/>
        <v>#N/A</v>
      </c>
      <c r="AB47" s="14" t="e">
        <f t="shared" ca="1" si="17"/>
        <v>#N/A</v>
      </c>
      <c r="AC47" s="14" t="e">
        <f t="shared" ca="1" si="17"/>
        <v>#N/A</v>
      </c>
      <c r="AD47" s="14" t="e">
        <f t="shared" ca="1" si="17"/>
        <v>#N/A</v>
      </c>
      <c r="AE47" s="14" t="e">
        <f t="shared" ca="1" si="17"/>
        <v>#N/A</v>
      </c>
      <c r="AF47" s="14" t="e">
        <f t="shared" ca="1" si="17"/>
        <v>#N/A</v>
      </c>
      <c r="AG47" s="14" t="e">
        <f t="shared" ca="1" si="17"/>
        <v>#N/A</v>
      </c>
      <c r="AH47" s="14" t="e">
        <f t="shared" ca="1" si="17"/>
        <v>#N/A</v>
      </c>
      <c r="AI47" s="14" t="e">
        <f t="shared" ca="1" si="17"/>
        <v>#N/A</v>
      </c>
      <c r="AJ47" s="14" t="e">
        <f t="shared" ca="1" si="17"/>
        <v>#N/A</v>
      </c>
      <c r="AK47" s="14" t="e">
        <f t="shared" ca="1" si="17"/>
        <v>#N/A</v>
      </c>
      <c r="AL47" s="14" t="e">
        <f t="shared" ca="1" si="17"/>
        <v>#N/A</v>
      </c>
      <c r="AM47" s="14" t="e">
        <f t="shared" ca="1" si="17"/>
        <v>#N/A</v>
      </c>
      <c r="AN47" s="14" t="e">
        <f t="shared" ca="1" si="17"/>
        <v>#N/A</v>
      </c>
      <c r="AO47" s="14" t="e">
        <f t="shared" ca="1" si="17"/>
        <v>#N/A</v>
      </c>
      <c r="AP47" s="14" t="e">
        <f t="shared" ca="1" si="17"/>
        <v>#N/A</v>
      </c>
      <c r="AQ47" s="14" t="e">
        <f t="shared" ca="1" si="17"/>
        <v>#N/A</v>
      </c>
      <c r="AR47" s="14" t="e">
        <f t="shared" ca="1" si="17"/>
        <v>#N/A</v>
      </c>
      <c r="AS47" s="14" t="e">
        <f t="shared" ca="1" si="17"/>
        <v>#N/A</v>
      </c>
      <c r="AT47" s="14" t="e">
        <f t="shared" ca="1" si="17"/>
        <v>#N/A</v>
      </c>
      <c r="AU47" s="14" t="e">
        <f t="shared" ca="1" si="17"/>
        <v>#N/A</v>
      </c>
      <c r="AV47" s="14" t="e">
        <f t="shared" ca="1" si="17"/>
        <v>#N/A</v>
      </c>
      <c r="AW47" s="14" t="e">
        <f t="shared" ca="1" si="17"/>
        <v>#N/A</v>
      </c>
      <c r="AX47" s="14" t="e">
        <f t="shared" ca="1" si="17"/>
        <v>#N/A</v>
      </c>
      <c r="AY47" s="14" t="e">
        <f t="shared" ca="1" si="17"/>
        <v>#N/A</v>
      </c>
      <c r="AZ47" s="14" t="e">
        <f t="shared" ca="1" si="17"/>
        <v>#N/A</v>
      </c>
      <c r="BA47" s="14" t="e">
        <f t="shared" ca="1" si="17"/>
        <v>#N/A</v>
      </c>
      <c r="BB47" s="14" t="e">
        <f t="shared" ca="1" si="17"/>
        <v>#N/A</v>
      </c>
      <c r="BC47" s="14" t="e">
        <f t="shared" ca="1" si="17"/>
        <v>#N/A</v>
      </c>
      <c r="BD47" s="14" t="e">
        <f t="shared" ca="1" si="17"/>
        <v>#N/A</v>
      </c>
      <c r="BE47" s="14" t="e">
        <f t="shared" ca="1" si="17"/>
        <v>#N/A</v>
      </c>
      <c r="BF47" s="14" t="e">
        <f t="shared" ca="1" si="17"/>
        <v>#N/A</v>
      </c>
      <c r="BG47" s="14" t="e">
        <f t="shared" ca="1" si="17"/>
        <v>#N/A</v>
      </c>
      <c r="BH47" s="14" t="e">
        <f t="shared" ca="1" si="17"/>
        <v>#N/A</v>
      </c>
      <c r="BI47" s="14" t="e">
        <f t="shared" ca="1" si="17"/>
        <v>#N/A</v>
      </c>
      <c r="BJ47" s="14" t="e">
        <f t="shared" ca="1" si="17"/>
        <v>#N/A</v>
      </c>
      <c r="BK47" s="14" t="e">
        <f t="shared" ca="1" si="17"/>
        <v>#N/A</v>
      </c>
      <c r="BL47" s="14" t="e">
        <f t="shared" ca="1" si="17"/>
        <v>#N/A</v>
      </c>
      <c r="BM47" s="14" t="e">
        <f t="shared" ca="1" si="17"/>
        <v>#N/A</v>
      </c>
      <c r="BN47" s="14" t="e">
        <f t="shared" ca="1" si="17"/>
        <v>#N/A</v>
      </c>
      <c r="BO47" s="14" t="e">
        <f t="shared" ca="1" si="17"/>
        <v>#N/A</v>
      </c>
      <c r="BP47" s="14" t="e">
        <f t="shared" ca="1" si="17"/>
        <v>#N/A</v>
      </c>
      <c r="BQ47" s="14" t="e">
        <f t="shared" ca="1" si="17"/>
        <v>#N/A</v>
      </c>
      <c r="BR47" s="14" t="e">
        <f t="shared" ca="1" si="17"/>
        <v>#N/A</v>
      </c>
      <c r="BS47" s="94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>
        <f t="shared" si="15"/>
        <v>0</v>
      </c>
      <c r="F48" s="14" t="e">
        <f t="shared" ca="1" si="16"/>
        <v>#N/A</v>
      </c>
      <c r="G48" s="14" t="e">
        <f t="shared" ca="1" si="17"/>
        <v>#N/A</v>
      </c>
      <c r="H48" s="14" t="e">
        <f t="shared" ca="1" si="17"/>
        <v>#N/A</v>
      </c>
      <c r="I48" s="14" t="e">
        <f t="shared" ca="1" si="17"/>
        <v>#N/A</v>
      </c>
      <c r="J48" s="14" t="e">
        <f t="shared" ca="1" si="17"/>
        <v>#N/A</v>
      </c>
      <c r="K48" s="14" t="e">
        <f t="shared" ca="1" si="17"/>
        <v>#N/A</v>
      </c>
      <c r="L48" s="14" t="e">
        <f t="shared" ca="1" si="17"/>
        <v>#N/A</v>
      </c>
      <c r="M48" s="14" t="e">
        <f t="shared" ca="1" si="17"/>
        <v>#N/A</v>
      </c>
      <c r="N48" s="14" t="e">
        <f t="shared" ca="1" si="17"/>
        <v>#N/A</v>
      </c>
      <c r="O48" s="14" t="e">
        <f t="shared" ca="1" si="17"/>
        <v>#N/A</v>
      </c>
      <c r="P48" s="14" t="e">
        <f t="shared" ca="1" si="17"/>
        <v>#N/A</v>
      </c>
      <c r="Q48" s="14" t="e">
        <f t="shared" ca="1" si="17"/>
        <v>#N/A</v>
      </c>
      <c r="R48" s="14" t="e">
        <f t="shared" ca="1" si="17"/>
        <v>#N/A</v>
      </c>
      <c r="S48" s="14" t="e">
        <f t="shared" ca="1" si="17"/>
        <v>#N/A</v>
      </c>
      <c r="T48" s="14" t="e">
        <f t="shared" ca="1" si="17"/>
        <v>#N/A</v>
      </c>
      <c r="U48" s="14" t="e">
        <f t="shared" ca="1" si="17"/>
        <v>#N/A</v>
      </c>
      <c r="V48" s="14" t="e">
        <f t="shared" ca="1" si="17"/>
        <v>#N/A</v>
      </c>
      <c r="W48" s="14" t="e">
        <f t="shared" ca="1" si="17"/>
        <v>#N/A</v>
      </c>
      <c r="X48" s="14" t="e">
        <f t="shared" ca="1" si="17"/>
        <v>#N/A</v>
      </c>
      <c r="Y48" s="14" t="e">
        <f t="shared" ca="1" si="17"/>
        <v>#N/A</v>
      </c>
      <c r="Z48" s="14" t="e">
        <f t="shared" ca="1" si="17"/>
        <v>#N/A</v>
      </c>
      <c r="AA48" s="14" t="e">
        <f t="shared" ca="1" si="17"/>
        <v>#N/A</v>
      </c>
      <c r="AB48" s="14" t="e">
        <f t="shared" ca="1" si="17"/>
        <v>#N/A</v>
      </c>
      <c r="AC48" s="14" t="e">
        <f t="shared" ca="1" si="17"/>
        <v>#N/A</v>
      </c>
      <c r="AD48" s="14" t="e">
        <f t="shared" ca="1" si="17"/>
        <v>#N/A</v>
      </c>
      <c r="AE48" s="14" t="e">
        <f t="shared" ca="1" si="17"/>
        <v>#N/A</v>
      </c>
      <c r="AF48" s="14" t="e">
        <f t="shared" ca="1" si="17"/>
        <v>#N/A</v>
      </c>
      <c r="AG48" s="14" t="e">
        <f t="shared" ca="1" si="17"/>
        <v>#N/A</v>
      </c>
      <c r="AH48" s="14" t="e">
        <f t="shared" ca="1" si="17"/>
        <v>#N/A</v>
      </c>
      <c r="AI48" s="14" t="e">
        <f t="shared" ca="1" si="17"/>
        <v>#N/A</v>
      </c>
      <c r="AJ48" s="14" t="e">
        <f t="shared" ca="1" si="17"/>
        <v>#N/A</v>
      </c>
      <c r="AK48" s="14" t="e">
        <f t="shared" ca="1" si="17"/>
        <v>#N/A</v>
      </c>
      <c r="AL48" s="14" t="e">
        <f t="shared" ca="1" si="17"/>
        <v>#N/A</v>
      </c>
      <c r="AM48" s="14" t="e">
        <f t="shared" ca="1" si="17"/>
        <v>#N/A</v>
      </c>
      <c r="AN48" s="14" t="e">
        <f t="shared" ca="1" si="17"/>
        <v>#N/A</v>
      </c>
      <c r="AO48" s="14" t="e">
        <f t="shared" ca="1" si="17"/>
        <v>#N/A</v>
      </c>
      <c r="AP48" s="14" t="e">
        <f t="shared" ca="1" si="17"/>
        <v>#N/A</v>
      </c>
      <c r="AQ48" s="14" t="e">
        <f t="shared" ca="1" si="17"/>
        <v>#N/A</v>
      </c>
      <c r="AR48" s="14" t="e">
        <f t="shared" ca="1" si="17"/>
        <v>#N/A</v>
      </c>
      <c r="AS48" s="14" t="e">
        <f t="shared" ca="1" si="17"/>
        <v>#N/A</v>
      </c>
      <c r="AT48" s="14" t="e">
        <f t="shared" ca="1" si="17"/>
        <v>#N/A</v>
      </c>
      <c r="AU48" s="14" t="e">
        <f t="shared" ca="1" si="17"/>
        <v>#N/A</v>
      </c>
      <c r="AV48" s="14" t="e">
        <f t="shared" ca="1" si="17"/>
        <v>#N/A</v>
      </c>
      <c r="AW48" s="14" t="e">
        <f t="shared" ca="1" si="17"/>
        <v>#N/A</v>
      </c>
      <c r="AX48" s="14" t="e">
        <f t="shared" ca="1" si="17"/>
        <v>#N/A</v>
      </c>
      <c r="AY48" s="14" t="e">
        <f t="shared" ca="1" si="17"/>
        <v>#N/A</v>
      </c>
      <c r="AZ48" s="14" t="e">
        <f t="shared" ca="1" si="17"/>
        <v>#N/A</v>
      </c>
      <c r="BA48" s="14" t="e">
        <f t="shared" ca="1" si="17"/>
        <v>#N/A</v>
      </c>
      <c r="BB48" s="14" t="e">
        <f t="shared" ca="1" si="17"/>
        <v>#N/A</v>
      </c>
      <c r="BC48" s="14" t="e">
        <f t="shared" ca="1" si="17"/>
        <v>#N/A</v>
      </c>
      <c r="BD48" s="14" t="e">
        <f t="shared" ca="1" si="17"/>
        <v>#N/A</v>
      </c>
      <c r="BE48" s="14" t="e">
        <f t="shared" ca="1" si="17"/>
        <v>#N/A</v>
      </c>
      <c r="BF48" s="14" t="e">
        <f t="shared" ca="1" si="17"/>
        <v>#N/A</v>
      </c>
      <c r="BG48" s="14" t="e">
        <f t="shared" ca="1" si="17"/>
        <v>#N/A</v>
      </c>
      <c r="BH48" s="14" t="e">
        <f t="shared" ca="1" si="17"/>
        <v>#N/A</v>
      </c>
      <c r="BI48" s="14" t="e">
        <f t="shared" ca="1" si="17"/>
        <v>#N/A</v>
      </c>
      <c r="BJ48" s="14" t="e">
        <f t="shared" ca="1" si="17"/>
        <v>#N/A</v>
      </c>
      <c r="BK48" s="14" t="e">
        <f t="shared" ca="1" si="17"/>
        <v>#N/A</v>
      </c>
      <c r="BL48" s="14" t="e">
        <f t="shared" ca="1" si="17"/>
        <v>#N/A</v>
      </c>
      <c r="BM48" s="14" t="e">
        <f t="shared" ca="1" si="17"/>
        <v>#N/A</v>
      </c>
      <c r="BN48" s="14" t="e">
        <f t="shared" ca="1" si="17"/>
        <v>#N/A</v>
      </c>
      <c r="BO48" s="14" t="e">
        <f t="shared" ca="1" si="17"/>
        <v>#N/A</v>
      </c>
      <c r="BP48" s="14" t="e">
        <f t="shared" ca="1" si="17"/>
        <v>#N/A</v>
      </c>
      <c r="BQ48" s="14" t="e">
        <f t="shared" ca="1" si="17"/>
        <v>#N/A</v>
      </c>
      <c r="BR48" s="14" t="e">
        <f t="shared" ca="1" si="17"/>
        <v>#N/A</v>
      </c>
      <c r="BS48" s="94"/>
    </row>
    <row r="49" spans="1:71" ht="21" customHeight="1" outlineLevel="1" thickBot="1" x14ac:dyDescent="0.4">
      <c r="A49" s="5">
        <f t="shared" si="15"/>
        <v>0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>
        <f t="shared" si="15"/>
        <v>0</v>
      </c>
      <c r="F49" s="14" t="e">
        <f t="shared" ca="1" si="16"/>
        <v>#N/A</v>
      </c>
      <c r="G49" s="14" t="e">
        <f t="shared" ca="1" si="17"/>
        <v>#N/A</v>
      </c>
      <c r="H49" s="14" t="e">
        <f t="shared" ca="1" si="17"/>
        <v>#N/A</v>
      </c>
      <c r="I49" s="14" t="e">
        <f t="shared" ca="1" si="17"/>
        <v>#N/A</v>
      </c>
      <c r="J49" s="14" t="e">
        <f t="shared" ca="1" si="17"/>
        <v>#N/A</v>
      </c>
      <c r="K49" s="14" t="e">
        <f t="shared" ca="1" si="17"/>
        <v>#N/A</v>
      </c>
      <c r="L49" s="14" t="e">
        <f t="shared" ca="1" si="17"/>
        <v>#N/A</v>
      </c>
      <c r="M49" s="14" t="e">
        <f t="shared" ca="1" si="17"/>
        <v>#N/A</v>
      </c>
      <c r="N49" s="14" t="e">
        <f t="shared" ca="1" si="17"/>
        <v>#N/A</v>
      </c>
      <c r="O49" s="14" t="e">
        <f t="shared" ca="1" si="17"/>
        <v>#N/A</v>
      </c>
      <c r="P49" s="14" t="e">
        <f t="shared" ca="1" si="17"/>
        <v>#N/A</v>
      </c>
      <c r="Q49" s="14" t="e">
        <f t="shared" ca="1" si="17"/>
        <v>#N/A</v>
      </c>
      <c r="R49" s="14" t="e">
        <f t="shared" ca="1" si="17"/>
        <v>#N/A</v>
      </c>
      <c r="S49" s="14" t="e">
        <f t="shared" ca="1" si="17"/>
        <v>#N/A</v>
      </c>
      <c r="T49" s="14" t="e">
        <f t="shared" ca="1" si="17"/>
        <v>#N/A</v>
      </c>
      <c r="U49" s="14" t="e">
        <f t="shared" ca="1" si="17"/>
        <v>#N/A</v>
      </c>
      <c r="V49" s="14" t="e">
        <f t="shared" ca="1" si="17"/>
        <v>#N/A</v>
      </c>
      <c r="W49" s="14" t="e">
        <f t="shared" ca="1" si="17"/>
        <v>#N/A</v>
      </c>
      <c r="X49" s="14" t="e">
        <f t="shared" ca="1" si="17"/>
        <v>#N/A</v>
      </c>
      <c r="Y49" s="14" t="e">
        <f t="shared" ca="1" si="17"/>
        <v>#N/A</v>
      </c>
      <c r="Z49" s="14" t="e">
        <f t="shared" ca="1" si="17"/>
        <v>#N/A</v>
      </c>
      <c r="AA49" s="14" t="e">
        <f t="shared" ca="1" si="17"/>
        <v>#N/A</v>
      </c>
      <c r="AB49" s="14" t="e">
        <f t="shared" ca="1" si="17"/>
        <v>#N/A</v>
      </c>
      <c r="AC49" s="14" t="e">
        <f t="shared" ca="1" si="17"/>
        <v>#N/A</v>
      </c>
      <c r="AD49" s="14" t="e">
        <f t="shared" ca="1" si="17"/>
        <v>#N/A</v>
      </c>
      <c r="AE49" s="14" t="e">
        <f t="shared" ca="1" si="17"/>
        <v>#N/A</v>
      </c>
      <c r="AF49" s="14" t="e">
        <f t="shared" ca="1" si="17"/>
        <v>#N/A</v>
      </c>
      <c r="AG49" s="14" t="e">
        <f t="shared" ca="1" si="17"/>
        <v>#N/A</v>
      </c>
      <c r="AH49" s="14" t="e">
        <f t="shared" ca="1" si="17"/>
        <v>#N/A</v>
      </c>
      <c r="AI49" s="14" t="e">
        <f t="shared" ca="1" si="17"/>
        <v>#N/A</v>
      </c>
      <c r="AJ49" s="14" t="e">
        <f t="shared" ca="1" si="17"/>
        <v>#N/A</v>
      </c>
      <c r="AK49" s="14" t="e">
        <f t="shared" ca="1" si="17"/>
        <v>#N/A</v>
      </c>
      <c r="AL49" s="14" t="e">
        <f t="shared" ca="1" si="17"/>
        <v>#N/A</v>
      </c>
      <c r="AM49" s="14" t="e">
        <f t="shared" ca="1" si="17"/>
        <v>#N/A</v>
      </c>
      <c r="AN49" s="14" t="e">
        <f t="shared" ca="1" si="17"/>
        <v>#N/A</v>
      </c>
      <c r="AO49" s="14" t="e">
        <f t="shared" ca="1" si="17"/>
        <v>#N/A</v>
      </c>
      <c r="AP49" s="14" t="e">
        <f t="shared" ca="1" si="17"/>
        <v>#N/A</v>
      </c>
      <c r="AQ49" s="14" t="e">
        <f t="shared" ca="1" si="17"/>
        <v>#N/A</v>
      </c>
      <c r="AR49" s="14" t="e">
        <f t="shared" ca="1" si="17"/>
        <v>#N/A</v>
      </c>
      <c r="AS49" s="14" t="e">
        <f t="shared" ca="1" si="17"/>
        <v>#N/A</v>
      </c>
      <c r="AT49" s="14" t="e">
        <f t="shared" ca="1" si="17"/>
        <v>#N/A</v>
      </c>
      <c r="AU49" s="14" t="e">
        <f t="shared" ca="1" si="17"/>
        <v>#N/A</v>
      </c>
      <c r="AV49" s="14" t="e">
        <f t="shared" ca="1" si="17"/>
        <v>#N/A</v>
      </c>
      <c r="AW49" s="14" t="e">
        <f t="shared" ca="1" si="17"/>
        <v>#N/A</v>
      </c>
      <c r="AX49" s="14" t="e">
        <f t="shared" ca="1" si="17"/>
        <v>#N/A</v>
      </c>
      <c r="AY49" s="14" t="e">
        <f t="shared" ca="1" si="17"/>
        <v>#N/A</v>
      </c>
      <c r="AZ49" s="14" t="e">
        <f t="shared" ca="1" si="17"/>
        <v>#N/A</v>
      </c>
      <c r="BA49" s="14" t="e">
        <f t="shared" ca="1" si="17"/>
        <v>#N/A</v>
      </c>
      <c r="BB49" s="14" t="e">
        <f t="shared" ca="1" si="17"/>
        <v>#N/A</v>
      </c>
      <c r="BC49" s="14" t="e">
        <f t="shared" ca="1" si="17"/>
        <v>#N/A</v>
      </c>
      <c r="BD49" s="14" t="e">
        <f t="shared" ca="1" si="17"/>
        <v>#N/A</v>
      </c>
      <c r="BE49" s="14" t="e">
        <f t="shared" ca="1" si="17"/>
        <v>#N/A</v>
      </c>
      <c r="BF49" s="14" t="e">
        <f t="shared" ca="1" si="17"/>
        <v>#N/A</v>
      </c>
      <c r="BG49" s="14" t="e">
        <f t="shared" ca="1" si="17"/>
        <v>#N/A</v>
      </c>
      <c r="BH49" s="14" t="e">
        <f t="shared" ca="1" si="17"/>
        <v>#N/A</v>
      </c>
      <c r="BI49" s="14" t="e">
        <f t="shared" ca="1" si="17"/>
        <v>#N/A</v>
      </c>
      <c r="BJ49" s="14" t="e">
        <f t="shared" ca="1" si="17"/>
        <v>#N/A</v>
      </c>
      <c r="BK49" s="14" t="e">
        <f t="shared" ca="1" si="17"/>
        <v>#N/A</v>
      </c>
      <c r="BL49" s="14" t="e">
        <f t="shared" ca="1" si="17"/>
        <v>#N/A</v>
      </c>
      <c r="BM49" s="14" t="e">
        <f t="shared" ca="1" si="17"/>
        <v>#N/A</v>
      </c>
      <c r="BN49" s="14" t="e">
        <f t="shared" ca="1" si="17"/>
        <v>#N/A</v>
      </c>
      <c r="BO49" s="14" t="e">
        <f t="shared" ca="1" si="17"/>
        <v>#N/A</v>
      </c>
      <c r="BP49" s="14" t="e">
        <f t="shared" ca="1" si="17"/>
        <v>#N/A</v>
      </c>
      <c r="BQ49" s="14" t="e">
        <f t="shared" ca="1" si="17"/>
        <v>#N/A</v>
      </c>
      <c r="BR49" s="14" t="e">
        <f t="shared" ca="1" si="17"/>
        <v>#N/A</v>
      </c>
      <c r="BS49" s="94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>
        <f t="shared" si="15"/>
        <v>0</v>
      </c>
      <c r="F50" s="14" t="e">
        <f t="shared" ca="1" si="16"/>
        <v>#N/A</v>
      </c>
      <c r="G50" s="14" t="e">
        <f t="shared" ca="1" si="17"/>
        <v>#N/A</v>
      </c>
      <c r="H50" s="14" t="e">
        <f t="shared" ca="1" si="17"/>
        <v>#N/A</v>
      </c>
      <c r="I50" s="14" t="e">
        <f t="shared" ca="1" si="17"/>
        <v>#N/A</v>
      </c>
      <c r="J50" s="14" t="e">
        <f t="shared" ca="1" si="17"/>
        <v>#N/A</v>
      </c>
      <c r="K50" s="14" t="e">
        <f t="shared" ca="1" si="17"/>
        <v>#N/A</v>
      </c>
      <c r="L50" s="14" t="e">
        <f t="shared" ca="1" si="17"/>
        <v>#N/A</v>
      </c>
      <c r="M50" s="14" t="e">
        <f t="shared" ca="1" si="17"/>
        <v>#N/A</v>
      </c>
      <c r="N50" s="14" t="e">
        <f t="shared" ca="1" si="17"/>
        <v>#N/A</v>
      </c>
      <c r="O50" s="14" t="e">
        <f t="shared" ca="1" si="17"/>
        <v>#N/A</v>
      </c>
      <c r="P50" s="14" t="e">
        <f t="shared" ca="1" si="17"/>
        <v>#N/A</v>
      </c>
      <c r="Q50" s="14" t="e">
        <f t="shared" ca="1" si="17"/>
        <v>#N/A</v>
      </c>
      <c r="R50" s="14" t="e">
        <f t="shared" ca="1" si="17"/>
        <v>#N/A</v>
      </c>
      <c r="S50" s="14" t="e">
        <f t="shared" ca="1" si="17"/>
        <v>#N/A</v>
      </c>
      <c r="T50" s="14" t="e">
        <f t="shared" ca="1" si="17"/>
        <v>#N/A</v>
      </c>
      <c r="U50" s="14" t="e">
        <f t="shared" ref="G50:BR54" ca="1" si="18">$A50*H.Ar + $B50*H.Se + $C50*H.Ge + $D50*H.Ga</f>
        <v>#N/A</v>
      </c>
      <c r="V50" s="14" t="e">
        <f t="shared" ca="1" si="18"/>
        <v>#N/A</v>
      </c>
      <c r="W50" s="14" t="e">
        <f t="shared" ca="1" si="18"/>
        <v>#N/A</v>
      </c>
      <c r="X50" s="14" t="e">
        <f t="shared" ca="1" si="18"/>
        <v>#N/A</v>
      </c>
      <c r="Y50" s="14" t="e">
        <f t="shared" ca="1" si="18"/>
        <v>#N/A</v>
      </c>
      <c r="Z50" s="14" t="e">
        <f t="shared" ca="1" si="18"/>
        <v>#N/A</v>
      </c>
      <c r="AA50" s="14" t="e">
        <f t="shared" ca="1" si="18"/>
        <v>#N/A</v>
      </c>
      <c r="AB50" s="14" t="e">
        <f t="shared" ca="1" si="18"/>
        <v>#N/A</v>
      </c>
      <c r="AC50" s="14" t="e">
        <f t="shared" ca="1" si="18"/>
        <v>#N/A</v>
      </c>
      <c r="AD50" s="14" t="e">
        <f t="shared" ca="1" si="18"/>
        <v>#N/A</v>
      </c>
      <c r="AE50" s="14" t="e">
        <f t="shared" ca="1" si="18"/>
        <v>#N/A</v>
      </c>
      <c r="AF50" s="14" t="e">
        <f t="shared" ca="1" si="18"/>
        <v>#N/A</v>
      </c>
      <c r="AG50" s="14" t="e">
        <f t="shared" ca="1" si="18"/>
        <v>#N/A</v>
      </c>
      <c r="AH50" s="14" t="e">
        <f t="shared" ca="1" si="18"/>
        <v>#N/A</v>
      </c>
      <c r="AI50" s="14" t="e">
        <f t="shared" ca="1" si="18"/>
        <v>#N/A</v>
      </c>
      <c r="AJ50" s="14" t="e">
        <f t="shared" ca="1" si="18"/>
        <v>#N/A</v>
      </c>
      <c r="AK50" s="14" t="e">
        <f t="shared" ca="1" si="18"/>
        <v>#N/A</v>
      </c>
      <c r="AL50" s="14" t="e">
        <f t="shared" ca="1" si="18"/>
        <v>#N/A</v>
      </c>
      <c r="AM50" s="14" t="e">
        <f t="shared" ca="1" si="18"/>
        <v>#N/A</v>
      </c>
      <c r="AN50" s="14" t="e">
        <f t="shared" ca="1" si="18"/>
        <v>#N/A</v>
      </c>
      <c r="AO50" s="14" t="e">
        <f t="shared" ca="1" si="18"/>
        <v>#N/A</v>
      </c>
      <c r="AP50" s="14" t="e">
        <f t="shared" ca="1" si="18"/>
        <v>#N/A</v>
      </c>
      <c r="AQ50" s="14" t="e">
        <f t="shared" ca="1" si="18"/>
        <v>#N/A</v>
      </c>
      <c r="AR50" s="14" t="e">
        <f t="shared" ca="1" si="18"/>
        <v>#N/A</v>
      </c>
      <c r="AS50" s="14" t="e">
        <f t="shared" ca="1" si="18"/>
        <v>#N/A</v>
      </c>
      <c r="AT50" s="14" t="e">
        <f t="shared" ca="1" si="18"/>
        <v>#N/A</v>
      </c>
      <c r="AU50" s="14" t="e">
        <f t="shared" ca="1" si="18"/>
        <v>#N/A</v>
      </c>
      <c r="AV50" s="14" t="e">
        <f t="shared" ca="1" si="18"/>
        <v>#N/A</v>
      </c>
      <c r="AW50" s="14" t="e">
        <f t="shared" ca="1" si="18"/>
        <v>#N/A</v>
      </c>
      <c r="AX50" s="14" t="e">
        <f t="shared" ca="1" si="18"/>
        <v>#N/A</v>
      </c>
      <c r="AY50" s="14" t="e">
        <f t="shared" ca="1" si="18"/>
        <v>#N/A</v>
      </c>
      <c r="AZ50" s="14" t="e">
        <f t="shared" ca="1" si="18"/>
        <v>#N/A</v>
      </c>
      <c r="BA50" s="14" t="e">
        <f t="shared" ca="1" si="18"/>
        <v>#N/A</v>
      </c>
      <c r="BB50" s="14" t="e">
        <f t="shared" ca="1" si="18"/>
        <v>#N/A</v>
      </c>
      <c r="BC50" s="14" t="e">
        <f t="shared" ca="1" si="18"/>
        <v>#N/A</v>
      </c>
      <c r="BD50" s="14" t="e">
        <f t="shared" ca="1" si="18"/>
        <v>#N/A</v>
      </c>
      <c r="BE50" s="14" t="e">
        <f t="shared" ca="1" si="18"/>
        <v>#N/A</v>
      </c>
      <c r="BF50" s="14" t="e">
        <f t="shared" ca="1" si="18"/>
        <v>#N/A</v>
      </c>
      <c r="BG50" s="14" t="e">
        <f t="shared" ca="1" si="18"/>
        <v>#N/A</v>
      </c>
      <c r="BH50" s="14" t="e">
        <f t="shared" ca="1" si="18"/>
        <v>#N/A</v>
      </c>
      <c r="BI50" s="14" t="e">
        <f t="shared" ca="1" si="18"/>
        <v>#N/A</v>
      </c>
      <c r="BJ50" s="14" t="e">
        <f t="shared" ca="1" si="18"/>
        <v>#N/A</v>
      </c>
      <c r="BK50" s="14" t="e">
        <f t="shared" ca="1" si="18"/>
        <v>#N/A</v>
      </c>
      <c r="BL50" s="14" t="e">
        <f t="shared" ca="1" si="18"/>
        <v>#N/A</v>
      </c>
      <c r="BM50" s="14" t="e">
        <f t="shared" ca="1" si="18"/>
        <v>#N/A</v>
      </c>
      <c r="BN50" s="14" t="e">
        <f t="shared" ca="1" si="18"/>
        <v>#N/A</v>
      </c>
      <c r="BO50" s="14" t="e">
        <f t="shared" ca="1" si="18"/>
        <v>#N/A</v>
      </c>
      <c r="BP50" s="14" t="e">
        <f t="shared" ca="1" si="18"/>
        <v>#N/A</v>
      </c>
      <c r="BQ50" s="14" t="e">
        <f t="shared" ca="1" si="18"/>
        <v>#N/A</v>
      </c>
      <c r="BR50" s="14" t="e">
        <f t="shared" ca="1" si="18"/>
        <v>#N/A</v>
      </c>
      <c r="BS50" s="94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>
        <f t="shared" si="15"/>
        <v>0</v>
      </c>
      <c r="F51" s="14" t="e">
        <f t="shared" ca="1" si="16"/>
        <v>#N/A</v>
      </c>
      <c r="G51" s="14" t="e">
        <f t="shared" ca="1" si="18"/>
        <v>#N/A</v>
      </c>
      <c r="H51" s="14" t="e">
        <f t="shared" ca="1" si="18"/>
        <v>#N/A</v>
      </c>
      <c r="I51" s="14" t="e">
        <f t="shared" ca="1" si="18"/>
        <v>#N/A</v>
      </c>
      <c r="J51" s="14" t="e">
        <f t="shared" ca="1" si="18"/>
        <v>#N/A</v>
      </c>
      <c r="K51" s="14" t="e">
        <f t="shared" ca="1" si="18"/>
        <v>#N/A</v>
      </c>
      <c r="L51" s="14" t="e">
        <f t="shared" ca="1" si="18"/>
        <v>#N/A</v>
      </c>
      <c r="M51" s="14" t="e">
        <f t="shared" ca="1" si="18"/>
        <v>#N/A</v>
      </c>
      <c r="N51" s="14" t="e">
        <f t="shared" ca="1" si="18"/>
        <v>#N/A</v>
      </c>
      <c r="O51" s="14" t="e">
        <f t="shared" ca="1" si="18"/>
        <v>#N/A</v>
      </c>
      <c r="P51" s="14" t="e">
        <f t="shared" ca="1" si="18"/>
        <v>#N/A</v>
      </c>
      <c r="Q51" s="14" t="e">
        <f t="shared" ca="1" si="18"/>
        <v>#N/A</v>
      </c>
      <c r="R51" s="14" t="e">
        <f t="shared" ca="1" si="18"/>
        <v>#N/A</v>
      </c>
      <c r="S51" s="14" t="e">
        <f t="shared" ca="1" si="18"/>
        <v>#N/A</v>
      </c>
      <c r="T51" s="14" t="e">
        <f t="shared" ca="1" si="18"/>
        <v>#N/A</v>
      </c>
      <c r="U51" s="14" t="e">
        <f t="shared" ca="1" si="18"/>
        <v>#N/A</v>
      </c>
      <c r="V51" s="14" t="e">
        <f t="shared" ca="1" si="18"/>
        <v>#N/A</v>
      </c>
      <c r="W51" s="14" t="e">
        <f t="shared" ca="1" si="18"/>
        <v>#N/A</v>
      </c>
      <c r="X51" s="14" t="e">
        <f t="shared" ca="1" si="18"/>
        <v>#N/A</v>
      </c>
      <c r="Y51" s="14" t="e">
        <f t="shared" ca="1" si="18"/>
        <v>#N/A</v>
      </c>
      <c r="Z51" s="14" t="e">
        <f t="shared" ca="1" si="18"/>
        <v>#N/A</v>
      </c>
      <c r="AA51" s="14" t="e">
        <f t="shared" ca="1" si="18"/>
        <v>#N/A</v>
      </c>
      <c r="AB51" s="14" t="e">
        <f t="shared" ca="1" si="18"/>
        <v>#N/A</v>
      </c>
      <c r="AC51" s="14" t="e">
        <f t="shared" ca="1" si="18"/>
        <v>#N/A</v>
      </c>
      <c r="AD51" s="14" t="e">
        <f t="shared" ca="1" si="18"/>
        <v>#N/A</v>
      </c>
      <c r="AE51" s="14" t="e">
        <f t="shared" ca="1" si="18"/>
        <v>#N/A</v>
      </c>
      <c r="AF51" s="14" t="e">
        <f t="shared" ca="1" si="18"/>
        <v>#N/A</v>
      </c>
      <c r="AG51" s="14" t="e">
        <f t="shared" ca="1" si="18"/>
        <v>#N/A</v>
      </c>
      <c r="AH51" s="14" t="e">
        <f t="shared" ca="1" si="18"/>
        <v>#N/A</v>
      </c>
      <c r="AI51" s="14" t="e">
        <f t="shared" ca="1" si="18"/>
        <v>#N/A</v>
      </c>
      <c r="AJ51" s="14" t="e">
        <f t="shared" ca="1" si="18"/>
        <v>#N/A</v>
      </c>
      <c r="AK51" s="14" t="e">
        <f t="shared" ca="1" si="18"/>
        <v>#N/A</v>
      </c>
      <c r="AL51" s="14" t="e">
        <f t="shared" ca="1" si="18"/>
        <v>#N/A</v>
      </c>
      <c r="AM51" s="14" t="e">
        <f t="shared" ca="1" si="18"/>
        <v>#N/A</v>
      </c>
      <c r="AN51" s="14" t="e">
        <f t="shared" ca="1" si="18"/>
        <v>#N/A</v>
      </c>
      <c r="AO51" s="14" t="e">
        <f t="shared" ca="1" si="18"/>
        <v>#N/A</v>
      </c>
      <c r="AP51" s="14" t="e">
        <f t="shared" ca="1" si="18"/>
        <v>#N/A</v>
      </c>
      <c r="AQ51" s="14" t="e">
        <f t="shared" ca="1" si="18"/>
        <v>#N/A</v>
      </c>
      <c r="AR51" s="14" t="e">
        <f t="shared" ca="1" si="18"/>
        <v>#N/A</v>
      </c>
      <c r="AS51" s="14" t="e">
        <f t="shared" ca="1" si="18"/>
        <v>#N/A</v>
      </c>
      <c r="AT51" s="14" t="e">
        <f t="shared" ca="1" si="18"/>
        <v>#N/A</v>
      </c>
      <c r="AU51" s="14" t="e">
        <f t="shared" ca="1" si="18"/>
        <v>#N/A</v>
      </c>
      <c r="AV51" s="14" t="e">
        <f t="shared" ca="1" si="18"/>
        <v>#N/A</v>
      </c>
      <c r="AW51" s="14" t="e">
        <f t="shared" ca="1" si="18"/>
        <v>#N/A</v>
      </c>
      <c r="AX51" s="14" t="e">
        <f t="shared" ca="1" si="18"/>
        <v>#N/A</v>
      </c>
      <c r="AY51" s="14" t="e">
        <f t="shared" ca="1" si="18"/>
        <v>#N/A</v>
      </c>
      <c r="AZ51" s="14" t="e">
        <f t="shared" ca="1" si="18"/>
        <v>#N/A</v>
      </c>
      <c r="BA51" s="14" t="e">
        <f t="shared" ca="1" si="18"/>
        <v>#N/A</v>
      </c>
      <c r="BB51" s="14" t="e">
        <f t="shared" ca="1" si="18"/>
        <v>#N/A</v>
      </c>
      <c r="BC51" s="14" t="e">
        <f t="shared" ca="1" si="18"/>
        <v>#N/A</v>
      </c>
      <c r="BD51" s="14" t="e">
        <f t="shared" ca="1" si="18"/>
        <v>#N/A</v>
      </c>
      <c r="BE51" s="14" t="e">
        <f t="shared" ca="1" si="18"/>
        <v>#N/A</v>
      </c>
      <c r="BF51" s="14" t="e">
        <f t="shared" ca="1" si="18"/>
        <v>#N/A</v>
      </c>
      <c r="BG51" s="14" t="e">
        <f t="shared" ca="1" si="18"/>
        <v>#N/A</v>
      </c>
      <c r="BH51" s="14" t="e">
        <f t="shared" ca="1" si="18"/>
        <v>#N/A</v>
      </c>
      <c r="BI51" s="14" t="e">
        <f t="shared" ca="1" si="18"/>
        <v>#N/A</v>
      </c>
      <c r="BJ51" s="14" t="e">
        <f t="shared" ca="1" si="18"/>
        <v>#N/A</v>
      </c>
      <c r="BK51" s="14" t="e">
        <f t="shared" ca="1" si="18"/>
        <v>#N/A</v>
      </c>
      <c r="BL51" s="14" t="e">
        <f t="shared" ca="1" si="18"/>
        <v>#N/A</v>
      </c>
      <c r="BM51" s="14" t="e">
        <f t="shared" ca="1" si="18"/>
        <v>#N/A</v>
      </c>
      <c r="BN51" s="14" t="e">
        <f t="shared" ca="1" si="18"/>
        <v>#N/A</v>
      </c>
      <c r="BO51" s="14" t="e">
        <f t="shared" ca="1" si="18"/>
        <v>#N/A</v>
      </c>
      <c r="BP51" s="14" t="e">
        <f t="shared" ca="1" si="18"/>
        <v>#N/A</v>
      </c>
      <c r="BQ51" s="14" t="e">
        <f t="shared" ca="1" si="18"/>
        <v>#N/A</v>
      </c>
      <c r="BR51" s="14" t="e">
        <f t="shared" ca="1" si="18"/>
        <v>#N/A</v>
      </c>
      <c r="BS51" s="94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>
        <f t="shared" si="15"/>
        <v>0</v>
      </c>
      <c r="F52" s="14" t="e">
        <f t="shared" ca="1" si="16"/>
        <v>#N/A</v>
      </c>
      <c r="G52" s="14" t="e">
        <f t="shared" ca="1" si="18"/>
        <v>#N/A</v>
      </c>
      <c r="H52" s="14" t="e">
        <f t="shared" ca="1" si="18"/>
        <v>#N/A</v>
      </c>
      <c r="I52" s="14" t="e">
        <f t="shared" ca="1" si="18"/>
        <v>#N/A</v>
      </c>
      <c r="J52" s="14" t="e">
        <f t="shared" ca="1" si="18"/>
        <v>#N/A</v>
      </c>
      <c r="K52" s="14" t="e">
        <f t="shared" ca="1" si="18"/>
        <v>#N/A</v>
      </c>
      <c r="L52" s="14" t="e">
        <f t="shared" ca="1" si="18"/>
        <v>#N/A</v>
      </c>
      <c r="M52" s="14" t="e">
        <f t="shared" ca="1" si="18"/>
        <v>#N/A</v>
      </c>
      <c r="N52" s="14" t="e">
        <f t="shared" ca="1" si="18"/>
        <v>#N/A</v>
      </c>
      <c r="O52" s="14" t="e">
        <f t="shared" ca="1" si="18"/>
        <v>#N/A</v>
      </c>
      <c r="P52" s="14" t="e">
        <f t="shared" ca="1" si="18"/>
        <v>#N/A</v>
      </c>
      <c r="Q52" s="14" t="e">
        <f t="shared" ca="1" si="18"/>
        <v>#N/A</v>
      </c>
      <c r="R52" s="14" t="e">
        <f t="shared" ca="1" si="18"/>
        <v>#N/A</v>
      </c>
      <c r="S52" s="14" t="e">
        <f t="shared" ca="1" si="18"/>
        <v>#N/A</v>
      </c>
      <c r="T52" s="14" t="e">
        <f t="shared" ca="1" si="18"/>
        <v>#N/A</v>
      </c>
      <c r="U52" s="14" t="e">
        <f t="shared" ca="1" si="18"/>
        <v>#N/A</v>
      </c>
      <c r="V52" s="14" t="e">
        <f t="shared" ca="1" si="18"/>
        <v>#N/A</v>
      </c>
      <c r="W52" s="14" t="e">
        <f t="shared" ca="1" si="18"/>
        <v>#N/A</v>
      </c>
      <c r="X52" s="14" t="e">
        <f t="shared" ca="1" si="18"/>
        <v>#N/A</v>
      </c>
      <c r="Y52" s="14" t="e">
        <f t="shared" ca="1" si="18"/>
        <v>#N/A</v>
      </c>
      <c r="Z52" s="14" t="e">
        <f t="shared" ca="1" si="18"/>
        <v>#N/A</v>
      </c>
      <c r="AA52" s="14" t="e">
        <f t="shared" ca="1" si="18"/>
        <v>#N/A</v>
      </c>
      <c r="AB52" s="14" t="e">
        <f t="shared" ca="1" si="18"/>
        <v>#N/A</v>
      </c>
      <c r="AC52" s="14" t="e">
        <f t="shared" ca="1" si="18"/>
        <v>#N/A</v>
      </c>
      <c r="AD52" s="14" t="e">
        <f t="shared" ca="1" si="18"/>
        <v>#N/A</v>
      </c>
      <c r="AE52" s="14" t="e">
        <f t="shared" ca="1" si="18"/>
        <v>#N/A</v>
      </c>
      <c r="AF52" s="14" t="e">
        <f t="shared" ca="1" si="18"/>
        <v>#N/A</v>
      </c>
      <c r="AG52" s="14" t="e">
        <f t="shared" ca="1" si="18"/>
        <v>#N/A</v>
      </c>
      <c r="AH52" s="14" t="e">
        <f t="shared" ca="1" si="18"/>
        <v>#N/A</v>
      </c>
      <c r="AI52" s="14" t="e">
        <f t="shared" ca="1" si="18"/>
        <v>#N/A</v>
      </c>
      <c r="AJ52" s="14" t="e">
        <f t="shared" ca="1" si="18"/>
        <v>#N/A</v>
      </c>
      <c r="AK52" s="14" t="e">
        <f t="shared" ca="1" si="18"/>
        <v>#N/A</v>
      </c>
      <c r="AL52" s="14" t="e">
        <f t="shared" ca="1" si="18"/>
        <v>#N/A</v>
      </c>
      <c r="AM52" s="14" t="e">
        <f t="shared" ca="1" si="18"/>
        <v>#N/A</v>
      </c>
      <c r="AN52" s="14" t="e">
        <f t="shared" ca="1" si="18"/>
        <v>#N/A</v>
      </c>
      <c r="AO52" s="14" t="e">
        <f t="shared" ca="1" si="18"/>
        <v>#N/A</v>
      </c>
      <c r="AP52" s="14" t="e">
        <f t="shared" ca="1" si="18"/>
        <v>#N/A</v>
      </c>
      <c r="AQ52" s="14" t="e">
        <f t="shared" ca="1" si="18"/>
        <v>#N/A</v>
      </c>
      <c r="AR52" s="14" t="e">
        <f t="shared" ca="1" si="18"/>
        <v>#N/A</v>
      </c>
      <c r="AS52" s="14" t="e">
        <f t="shared" ca="1" si="18"/>
        <v>#N/A</v>
      </c>
      <c r="AT52" s="14" t="e">
        <f t="shared" ca="1" si="18"/>
        <v>#N/A</v>
      </c>
      <c r="AU52" s="14" t="e">
        <f t="shared" ca="1" si="18"/>
        <v>#N/A</v>
      </c>
      <c r="AV52" s="14" t="e">
        <f t="shared" ca="1" si="18"/>
        <v>#N/A</v>
      </c>
      <c r="AW52" s="14" t="e">
        <f t="shared" ca="1" si="18"/>
        <v>#N/A</v>
      </c>
      <c r="AX52" s="14" t="e">
        <f t="shared" ca="1" si="18"/>
        <v>#N/A</v>
      </c>
      <c r="AY52" s="14" t="e">
        <f t="shared" ca="1" si="18"/>
        <v>#N/A</v>
      </c>
      <c r="AZ52" s="14" t="e">
        <f t="shared" ca="1" si="18"/>
        <v>#N/A</v>
      </c>
      <c r="BA52" s="14" t="e">
        <f t="shared" ca="1" si="18"/>
        <v>#N/A</v>
      </c>
      <c r="BB52" s="14" t="e">
        <f t="shared" ca="1" si="18"/>
        <v>#N/A</v>
      </c>
      <c r="BC52" s="14" t="e">
        <f t="shared" ca="1" si="18"/>
        <v>#N/A</v>
      </c>
      <c r="BD52" s="14" t="e">
        <f t="shared" ca="1" si="18"/>
        <v>#N/A</v>
      </c>
      <c r="BE52" s="14" t="e">
        <f t="shared" ca="1" si="18"/>
        <v>#N/A</v>
      </c>
      <c r="BF52" s="14" t="e">
        <f t="shared" ca="1" si="18"/>
        <v>#N/A</v>
      </c>
      <c r="BG52" s="14" t="e">
        <f t="shared" ca="1" si="18"/>
        <v>#N/A</v>
      </c>
      <c r="BH52" s="14" t="e">
        <f t="shared" ca="1" si="18"/>
        <v>#N/A</v>
      </c>
      <c r="BI52" s="14" t="e">
        <f t="shared" ca="1" si="18"/>
        <v>#N/A</v>
      </c>
      <c r="BJ52" s="14" t="e">
        <f t="shared" ca="1" si="18"/>
        <v>#N/A</v>
      </c>
      <c r="BK52" s="14" t="e">
        <f t="shared" ca="1" si="18"/>
        <v>#N/A</v>
      </c>
      <c r="BL52" s="14" t="e">
        <f t="shared" ca="1" si="18"/>
        <v>#N/A</v>
      </c>
      <c r="BM52" s="14" t="e">
        <f t="shared" ca="1" si="18"/>
        <v>#N/A</v>
      </c>
      <c r="BN52" s="14" t="e">
        <f t="shared" ca="1" si="18"/>
        <v>#N/A</v>
      </c>
      <c r="BO52" s="14" t="e">
        <f t="shared" ca="1" si="18"/>
        <v>#N/A</v>
      </c>
      <c r="BP52" s="14" t="e">
        <f t="shared" ca="1" si="18"/>
        <v>#N/A</v>
      </c>
      <c r="BQ52" s="14" t="e">
        <f t="shared" ca="1" si="18"/>
        <v>#N/A</v>
      </c>
      <c r="BR52" s="14" t="e">
        <f t="shared" ca="1" si="18"/>
        <v>#N/A</v>
      </c>
      <c r="BS52" s="94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0</v>
      </c>
      <c r="D53" s="5">
        <f t="shared" si="15"/>
        <v>0</v>
      </c>
      <c r="E53" s="6">
        <f t="shared" si="15"/>
        <v>0</v>
      </c>
      <c r="F53" s="14" t="e">
        <f t="shared" ca="1" si="16"/>
        <v>#N/A</v>
      </c>
      <c r="G53" s="14" t="e">
        <f t="shared" ca="1" si="18"/>
        <v>#N/A</v>
      </c>
      <c r="H53" s="14" t="e">
        <f t="shared" ca="1" si="18"/>
        <v>#N/A</v>
      </c>
      <c r="I53" s="14" t="e">
        <f t="shared" ca="1" si="18"/>
        <v>#N/A</v>
      </c>
      <c r="J53" s="14" t="e">
        <f t="shared" ca="1" si="18"/>
        <v>#N/A</v>
      </c>
      <c r="K53" s="14" t="e">
        <f t="shared" ca="1" si="18"/>
        <v>#N/A</v>
      </c>
      <c r="L53" s="14" t="e">
        <f t="shared" ca="1" si="18"/>
        <v>#N/A</v>
      </c>
      <c r="M53" s="14" t="e">
        <f t="shared" ca="1" si="18"/>
        <v>#N/A</v>
      </c>
      <c r="N53" s="14" t="e">
        <f t="shared" ca="1" si="18"/>
        <v>#N/A</v>
      </c>
      <c r="O53" s="14" t="e">
        <f t="shared" ca="1" si="18"/>
        <v>#N/A</v>
      </c>
      <c r="P53" s="14" t="e">
        <f t="shared" ca="1" si="18"/>
        <v>#N/A</v>
      </c>
      <c r="Q53" s="14" t="e">
        <f t="shared" ca="1" si="18"/>
        <v>#N/A</v>
      </c>
      <c r="R53" s="14" t="e">
        <f t="shared" ca="1" si="18"/>
        <v>#N/A</v>
      </c>
      <c r="S53" s="14" t="e">
        <f t="shared" ca="1" si="18"/>
        <v>#N/A</v>
      </c>
      <c r="T53" s="14" t="e">
        <f t="shared" ca="1" si="18"/>
        <v>#N/A</v>
      </c>
      <c r="U53" s="14" t="e">
        <f t="shared" ca="1" si="18"/>
        <v>#N/A</v>
      </c>
      <c r="V53" s="14" t="e">
        <f t="shared" ca="1" si="18"/>
        <v>#N/A</v>
      </c>
      <c r="W53" s="14" t="e">
        <f t="shared" ca="1" si="18"/>
        <v>#N/A</v>
      </c>
      <c r="X53" s="14" t="e">
        <f t="shared" ca="1" si="18"/>
        <v>#N/A</v>
      </c>
      <c r="Y53" s="14" t="e">
        <f t="shared" ca="1" si="18"/>
        <v>#N/A</v>
      </c>
      <c r="Z53" s="14" t="e">
        <f t="shared" ca="1" si="18"/>
        <v>#N/A</v>
      </c>
      <c r="AA53" s="14" t="e">
        <f t="shared" ca="1" si="18"/>
        <v>#N/A</v>
      </c>
      <c r="AB53" s="14" t="e">
        <f t="shared" ca="1" si="18"/>
        <v>#N/A</v>
      </c>
      <c r="AC53" s="14" t="e">
        <f t="shared" ca="1" si="18"/>
        <v>#N/A</v>
      </c>
      <c r="AD53" s="14" t="e">
        <f t="shared" ca="1" si="18"/>
        <v>#N/A</v>
      </c>
      <c r="AE53" s="14" t="e">
        <f t="shared" ca="1" si="18"/>
        <v>#N/A</v>
      </c>
      <c r="AF53" s="14" t="e">
        <f t="shared" ca="1" si="18"/>
        <v>#N/A</v>
      </c>
      <c r="AG53" s="14" t="e">
        <f t="shared" ca="1" si="18"/>
        <v>#N/A</v>
      </c>
      <c r="AH53" s="14" t="e">
        <f t="shared" ca="1" si="18"/>
        <v>#N/A</v>
      </c>
      <c r="AI53" s="14" t="e">
        <f t="shared" ca="1" si="18"/>
        <v>#N/A</v>
      </c>
      <c r="AJ53" s="14" t="e">
        <f t="shared" ca="1" si="18"/>
        <v>#N/A</v>
      </c>
      <c r="AK53" s="14" t="e">
        <f t="shared" ca="1" si="18"/>
        <v>#N/A</v>
      </c>
      <c r="AL53" s="14" t="e">
        <f t="shared" ca="1" si="18"/>
        <v>#N/A</v>
      </c>
      <c r="AM53" s="14" t="e">
        <f t="shared" ca="1" si="18"/>
        <v>#N/A</v>
      </c>
      <c r="AN53" s="14" t="e">
        <f t="shared" ca="1" si="18"/>
        <v>#N/A</v>
      </c>
      <c r="AO53" s="14" t="e">
        <f t="shared" ca="1" si="18"/>
        <v>#N/A</v>
      </c>
      <c r="AP53" s="14" t="e">
        <f t="shared" ca="1" si="18"/>
        <v>#N/A</v>
      </c>
      <c r="AQ53" s="14" t="e">
        <f t="shared" ca="1" si="18"/>
        <v>#N/A</v>
      </c>
      <c r="AR53" s="14" t="e">
        <f t="shared" ca="1" si="18"/>
        <v>#N/A</v>
      </c>
      <c r="AS53" s="14" t="e">
        <f t="shared" ca="1" si="18"/>
        <v>#N/A</v>
      </c>
      <c r="AT53" s="14" t="e">
        <f t="shared" ca="1" si="18"/>
        <v>#N/A</v>
      </c>
      <c r="AU53" s="14" t="e">
        <f t="shared" ca="1" si="18"/>
        <v>#N/A</v>
      </c>
      <c r="AV53" s="14" t="e">
        <f t="shared" ca="1" si="18"/>
        <v>#N/A</v>
      </c>
      <c r="AW53" s="14" t="e">
        <f t="shared" ca="1" si="18"/>
        <v>#N/A</v>
      </c>
      <c r="AX53" s="14" t="e">
        <f t="shared" ca="1" si="18"/>
        <v>#N/A</v>
      </c>
      <c r="AY53" s="14" t="e">
        <f t="shared" ca="1" si="18"/>
        <v>#N/A</v>
      </c>
      <c r="AZ53" s="14" t="e">
        <f t="shared" ca="1" si="18"/>
        <v>#N/A</v>
      </c>
      <c r="BA53" s="14" t="e">
        <f t="shared" ca="1" si="18"/>
        <v>#N/A</v>
      </c>
      <c r="BB53" s="14" t="e">
        <f t="shared" ca="1" si="18"/>
        <v>#N/A</v>
      </c>
      <c r="BC53" s="14" t="e">
        <f t="shared" ca="1" si="18"/>
        <v>#N/A</v>
      </c>
      <c r="BD53" s="14" t="e">
        <f t="shared" ca="1" si="18"/>
        <v>#N/A</v>
      </c>
      <c r="BE53" s="14" t="e">
        <f t="shared" ca="1" si="18"/>
        <v>#N/A</v>
      </c>
      <c r="BF53" s="14" t="e">
        <f t="shared" ca="1" si="18"/>
        <v>#N/A</v>
      </c>
      <c r="BG53" s="14" t="e">
        <f t="shared" ca="1" si="18"/>
        <v>#N/A</v>
      </c>
      <c r="BH53" s="14" t="e">
        <f t="shared" ca="1" si="18"/>
        <v>#N/A</v>
      </c>
      <c r="BI53" s="14" t="e">
        <f t="shared" ca="1" si="18"/>
        <v>#N/A</v>
      </c>
      <c r="BJ53" s="14" t="e">
        <f t="shared" ca="1" si="18"/>
        <v>#N/A</v>
      </c>
      <c r="BK53" s="14" t="e">
        <f t="shared" ca="1" si="18"/>
        <v>#N/A</v>
      </c>
      <c r="BL53" s="14" t="e">
        <f t="shared" ca="1" si="18"/>
        <v>#N/A</v>
      </c>
      <c r="BM53" s="14" t="e">
        <f t="shared" ca="1" si="18"/>
        <v>#N/A</v>
      </c>
      <c r="BN53" s="14" t="e">
        <f t="shared" ca="1" si="18"/>
        <v>#N/A</v>
      </c>
      <c r="BO53" s="14" t="e">
        <f t="shared" ca="1" si="18"/>
        <v>#N/A</v>
      </c>
      <c r="BP53" s="14" t="e">
        <f t="shared" ca="1" si="18"/>
        <v>#N/A</v>
      </c>
      <c r="BQ53" s="14" t="e">
        <f t="shared" ca="1" si="18"/>
        <v>#N/A</v>
      </c>
      <c r="BR53" s="14" t="e">
        <f t="shared" ca="1" si="18"/>
        <v>#N/A</v>
      </c>
      <c r="BS53" s="94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0</v>
      </c>
      <c r="E54" s="6">
        <f t="shared" si="15"/>
        <v>0</v>
      </c>
      <c r="F54" s="14" t="e">
        <f t="shared" ca="1" si="16"/>
        <v>#N/A</v>
      </c>
      <c r="G54" s="14" t="e">
        <f t="shared" ca="1" si="18"/>
        <v>#N/A</v>
      </c>
      <c r="H54" s="14" t="e">
        <f t="shared" ca="1" si="18"/>
        <v>#N/A</v>
      </c>
      <c r="I54" s="14" t="e">
        <f t="shared" ca="1" si="18"/>
        <v>#N/A</v>
      </c>
      <c r="J54" s="14" t="e">
        <f t="shared" ca="1" si="18"/>
        <v>#N/A</v>
      </c>
      <c r="K54" s="14" t="e">
        <f t="shared" ca="1" si="18"/>
        <v>#N/A</v>
      </c>
      <c r="L54" s="14" t="e">
        <f t="shared" ca="1" si="18"/>
        <v>#N/A</v>
      </c>
      <c r="M54" s="14" t="e">
        <f t="shared" ca="1" si="18"/>
        <v>#N/A</v>
      </c>
      <c r="N54" s="14" t="e">
        <f t="shared" ca="1" si="18"/>
        <v>#N/A</v>
      </c>
      <c r="O54" s="14" t="e">
        <f t="shared" ca="1" si="18"/>
        <v>#N/A</v>
      </c>
      <c r="P54" s="14" t="e">
        <f t="shared" ca="1" si="18"/>
        <v>#N/A</v>
      </c>
      <c r="Q54" s="14" t="e">
        <f t="shared" ca="1" si="18"/>
        <v>#N/A</v>
      </c>
      <c r="R54" s="14" t="e">
        <f t="shared" ca="1" si="18"/>
        <v>#N/A</v>
      </c>
      <c r="S54" s="14" t="e">
        <f t="shared" ca="1" si="18"/>
        <v>#N/A</v>
      </c>
      <c r="T54" s="14" t="e">
        <f t="shared" ref="G54:BR58" ca="1" si="19">$A54*H.Ar + $B54*H.Se + $C54*H.Ge + $D54*H.Ga</f>
        <v>#N/A</v>
      </c>
      <c r="U54" s="14" t="e">
        <f t="shared" ca="1" si="19"/>
        <v>#N/A</v>
      </c>
      <c r="V54" s="14" t="e">
        <f t="shared" ca="1" si="19"/>
        <v>#N/A</v>
      </c>
      <c r="W54" s="14" t="e">
        <f t="shared" ca="1" si="19"/>
        <v>#N/A</v>
      </c>
      <c r="X54" s="14" t="e">
        <f t="shared" ca="1" si="19"/>
        <v>#N/A</v>
      </c>
      <c r="Y54" s="14" t="e">
        <f t="shared" ca="1" si="19"/>
        <v>#N/A</v>
      </c>
      <c r="Z54" s="14" t="e">
        <f t="shared" ca="1" si="19"/>
        <v>#N/A</v>
      </c>
      <c r="AA54" s="14" t="e">
        <f t="shared" ca="1" si="19"/>
        <v>#N/A</v>
      </c>
      <c r="AB54" s="14" t="e">
        <f t="shared" ca="1" si="19"/>
        <v>#N/A</v>
      </c>
      <c r="AC54" s="14" t="e">
        <f t="shared" ca="1" si="19"/>
        <v>#N/A</v>
      </c>
      <c r="AD54" s="14" t="e">
        <f t="shared" ca="1" si="19"/>
        <v>#N/A</v>
      </c>
      <c r="AE54" s="14" t="e">
        <f t="shared" ca="1" si="19"/>
        <v>#N/A</v>
      </c>
      <c r="AF54" s="14" t="e">
        <f t="shared" ca="1" si="19"/>
        <v>#N/A</v>
      </c>
      <c r="AG54" s="14" t="e">
        <f t="shared" ca="1" si="19"/>
        <v>#N/A</v>
      </c>
      <c r="AH54" s="14" t="e">
        <f t="shared" ca="1" si="19"/>
        <v>#N/A</v>
      </c>
      <c r="AI54" s="14" t="e">
        <f t="shared" ca="1" si="19"/>
        <v>#N/A</v>
      </c>
      <c r="AJ54" s="14" t="e">
        <f t="shared" ca="1" si="19"/>
        <v>#N/A</v>
      </c>
      <c r="AK54" s="14" t="e">
        <f t="shared" ca="1" si="19"/>
        <v>#N/A</v>
      </c>
      <c r="AL54" s="14" t="e">
        <f t="shared" ca="1" si="19"/>
        <v>#N/A</v>
      </c>
      <c r="AM54" s="14" t="e">
        <f t="shared" ca="1" si="19"/>
        <v>#N/A</v>
      </c>
      <c r="AN54" s="14" t="e">
        <f t="shared" ca="1" si="19"/>
        <v>#N/A</v>
      </c>
      <c r="AO54" s="14" t="e">
        <f t="shared" ca="1" si="19"/>
        <v>#N/A</v>
      </c>
      <c r="AP54" s="14" t="e">
        <f t="shared" ca="1" si="19"/>
        <v>#N/A</v>
      </c>
      <c r="AQ54" s="14" t="e">
        <f t="shared" ca="1" si="19"/>
        <v>#N/A</v>
      </c>
      <c r="AR54" s="14" t="e">
        <f t="shared" ca="1" si="19"/>
        <v>#N/A</v>
      </c>
      <c r="AS54" s="14" t="e">
        <f t="shared" ca="1" si="19"/>
        <v>#N/A</v>
      </c>
      <c r="AT54" s="14" t="e">
        <f t="shared" ca="1" si="19"/>
        <v>#N/A</v>
      </c>
      <c r="AU54" s="14" t="e">
        <f t="shared" ca="1" si="19"/>
        <v>#N/A</v>
      </c>
      <c r="AV54" s="14" t="e">
        <f t="shared" ca="1" si="19"/>
        <v>#N/A</v>
      </c>
      <c r="AW54" s="14" t="e">
        <f t="shared" ca="1" si="19"/>
        <v>#N/A</v>
      </c>
      <c r="AX54" s="14" t="e">
        <f t="shared" ca="1" si="19"/>
        <v>#N/A</v>
      </c>
      <c r="AY54" s="14" t="e">
        <f t="shared" ca="1" si="19"/>
        <v>#N/A</v>
      </c>
      <c r="AZ54" s="14" t="e">
        <f t="shared" ca="1" si="19"/>
        <v>#N/A</v>
      </c>
      <c r="BA54" s="14" t="e">
        <f t="shared" ca="1" si="19"/>
        <v>#N/A</v>
      </c>
      <c r="BB54" s="14" t="e">
        <f t="shared" ca="1" si="19"/>
        <v>#N/A</v>
      </c>
      <c r="BC54" s="14" t="e">
        <f t="shared" ca="1" si="19"/>
        <v>#N/A</v>
      </c>
      <c r="BD54" s="14" t="e">
        <f t="shared" ca="1" si="19"/>
        <v>#N/A</v>
      </c>
      <c r="BE54" s="14" t="e">
        <f t="shared" ca="1" si="19"/>
        <v>#N/A</v>
      </c>
      <c r="BF54" s="14" t="e">
        <f t="shared" ca="1" si="19"/>
        <v>#N/A</v>
      </c>
      <c r="BG54" s="14" t="e">
        <f t="shared" ca="1" si="19"/>
        <v>#N/A</v>
      </c>
      <c r="BH54" s="14" t="e">
        <f t="shared" ca="1" si="19"/>
        <v>#N/A</v>
      </c>
      <c r="BI54" s="14" t="e">
        <f t="shared" ca="1" si="19"/>
        <v>#N/A</v>
      </c>
      <c r="BJ54" s="14" t="e">
        <f t="shared" ca="1" si="19"/>
        <v>#N/A</v>
      </c>
      <c r="BK54" s="14" t="e">
        <f t="shared" ca="1" si="19"/>
        <v>#N/A</v>
      </c>
      <c r="BL54" s="14" t="e">
        <f t="shared" ca="1" si="19"/>
        <v>#N/A</v>
      </c>
      <c r="BM54" s="14" t="e">
        <f t="shared" ca="1" si="19"/>
        <v>#N/A</v>
      </c>
      <c r="BN54" s="14" t="e">
        <f t="shared" ca="1" si="19"/>
        <v>#N/A</v>
      </c>
      <c r="BO54" s="14" t="e">
        <f t="shared" ca="1" si="19"/>
        <v>#N/A</v>
      </c>
      <c r="BP54" s="14" t="e">
        <f t="shared" ca="1" si="19"/>
        <v>#N/A</v>
      </c>
      <c r="BQ54" s="14" t="e">
        <f t="shared" ca="1" si="19"/>
        <v>#N/A</v>
      </c>
      <c r="BR54" s="14" t="e">
        <f t="shared" ca="1" si="19"/>
        <v>#N/A</v>
      </c>
      <c r="BS54" s="94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>
        <f t="shared" si="15"/>
        <v>0</v>
      </c>
      <c r="F55" s="14" t="e">
        <f t="shared" ca="1" si="16"/>
        <v>#N/A</v>
      </c>
      <c r="G55" s="14" t="e">
        <f t="shared" ca="1" si="19"/>
        <v>#N/A</v>
      </c>
      <c r="H55" s="14" t="e">
        <f t="shared" ca="1" si="19"/>
        <v>#N/A</v>
      </c>
      <c r="I55" s="14" t="e">
        <f t="shared" ca="1" si="19"/>
        <v>#N/A</v>
      </c>
      <c r="J55" s="14" t="e">
        <f t="shared" ca="1" si="19"/>
        <v>#N/A</v>
      </c>
      <c r="K55" s="14" t="e">
        <f t="shared" ca="1" si="19"/>
        <v>#N/A</v>
      </c>
      <c r="L55" s="14" t="e">
        <f t="shared" ca="1" si="19"/>
        <v>#N/A</v>
      </c>
      <c r="M55" s="14" t="e">
        <f t="shared" ca="1" si="19"/>
        <v>#N/A</v>
      </c>
      <c r="N55" s="14" t="e">
        <f t="shared" ca="1" si="19"/>
        <v>#N/A</v>
      </c>
      <c r="O55" s="14" t="e">
        <f t="shared" ca="1" si="19"/>
        <v>#N/A</v>
      </c>
      <c r="P55" s="14" t="e">
        <f t="shared" ca="1" si="19"/>
        <v>#N/A</v>
      </c>
      <c r="Q55" s="14" t="e">
        <f t="shared" ca="1" si="19"/>
        <v>#N/A</v>
      </c>
      <c r="R55" s="14" t="e">
        <f t="shared" ca="1" si="19"/>
        <v>#N/A</v>
      </c>
      <c r="S55" s="14" t="e">
        <f t="shared" ca="1" si="19"/>
        <v>#N/A</v>
      </c>
      <c r="T55" s="14" t="e">
        <f t="shared" ca="1" si="19"/>
        <v>#N/A</v>
      </c>
      <c r="U55" s="14" t="e">
        <f t="shared" ca="1" si="19"/>
        <v>#N/A</v>
      </c>
      <c r="V55" s="14" t="e">
        <f t="shared" ca="1" si="19"/>
        <v>#N/A</v>
      </c>
      <c r="W55" s="14" t="e">
        <f t="shared" ca="1" si="19"/>
        <v>#N/A</v>
      </c>
      <c r="X55" s="14" t="e">
        <f t="shared" ca="1" si="19"/>
        <v>#N/A</v>
      </c>
      <c r="Y55" s="14" t="e">
        <f t="shared" ca="1" si="19"/>
        <v>#N/A</v>
      </c>
      <c r="Z55" s="14" t="e">
        <f t="shared" ca="1" si="19"/>
        <v>#N/A</v>
      </c>
      <c r="AA55" s="14" t="e">
        <f t="shared" ca="1" si="19"/>
        <v>#N/A</v>
      </c>
      <c r="AB55" s="14" t="e">
        <f t="shared" ca="1" si="19"/>
        <v>#N/A</v>
      </c>
      <c r="AC55" s="14" t="e">
        <f t="shared" ca="1" si="19"/>
        <v>#N/A</v>
      </c>
      <c r="AD55" s="14" t="e">
        <f t="shared" ca="1" si="19"/>
        <v>#N/A</v>
      </c>
      <c r="AE55" s="14" t="e">
        <f t="shared" ca="1" si="19"/>
        <v>#N/A</v>
      </c>
      <c r="AF55" s="14" t="e">
        <f t="shared" ca="1" si="19"/>
        <v>#N/A</v>
      </c>
      <c r="AG55" s="14" t="e">
        <f t="shared" ca="1" si="19"/>
        <v>#N/A</v>
      </c>
      <c r="AH55" s="14" t="e">
        <f t="shared" ca="1" si="19"/>
        <v>#N/A</v>
      </c>
      <c r="AI55" s="14" t="e">
        <f t="shared" ca="1" si="19"/>
        <v>#N/A</v>
      </c>
      <c r="AJ55" s="14" t="e">
        <f t="shared" ca="1" si="19"/>
        <v>#N/A</v>
      </c>
      <c r="AK55" s="14" t="e">
        <f t="shared" ca="1" si="19"/>
        <v>#N/A</v>
      </c>
      <c r="AL55" s="14" t="e">
        <f t="shared" ca="1" si="19"/>
        <v>#N/A</v>
      </c>
      <c r="AM55" s="14" t="e">
        <f t="shared" ca="1" si="19"/>
        <v>#N/A</v>
      </c>
      <c r="AN55" s="14" t="e">
        <f t="shared" ca="1" si="19"/>
        <v>#N/A</v>
      </c>
      <c r="AO55" s="14" t="e">
        <f t="shared" ca="1" si="19"/>
        <v>#N/A</v>
      </c>
      <c r="AP55" s="14" t="e">
        <f t="shared" ca="1" si="19"/>
        <v>#N/A</v>
      </c>
      <c r="AQ55" s="14" t="e">
        <f t="shared" ca="1" si="19"/>
        <v>#N/A</v>
      </c>
      <c r="AR55" s="14" t="e">
        <f t="shared" ca="1" si="19"/>
        <v>#N/A</v>
      </c>
      <c r="AS55" s="14" t="e">
        <f t="shared" ca="1" si="19"/>
        <v>#N/A</v>
      </c>
      <c r="AT55" s="14" t="e">
        <f t="shared" ca="1" si="19"/>
        <v>#N/A</v>
      </c>
      <c r="AU55" s="14" t="e">
        <f t="shared" ca="1" si="19"/>
        <v>#N/A</v>
      </c>
      <c r="AV55" s="14" t="e">
        <f t="shared" ca="1" si="19"/>
        <v>#N/A</v>
      </c>
      <c r="AW55" s="14" t="e">
        <f t="shared" ca="1" si="19"/>
        <v>#N/A</v>
      </c>
      <c r="AX55" s="14" t="e">
        <f t="shared" ca="1" si="19"/>
        <v>#N/A</v>
      </c>
      <c r="AY55" s="14" t="e">
        <f t="shared" ca="1" si="19"/>
        <v>#N/A</v>
      </c>
      <c r="AZ55" s="14" t="e">
        <f t="shared" ca="1" si="19"/>
        <v>#N/A</v>
      </c>
      <c r="BA55" s="14" t="e">
        <f t="shared" ca="1" si="19"/>
        <v>#N/A</v>
      </c>
      <c r="BB55" s="14" t="e">
        <f t="shared" ca="1" si="19"/>
        <v>#N/A</v>
      </c>
      <c r="BC55" s="14" t="e">
        <f t="shared" ca="1" si="19"/>
        <v>#N/A</v>
      </c>
      <c r="BD55" s="14" t="e">
        <f t="shared" ca="1" si="19"/>
        <v>#N/A</v>
      </c>
      <c r="BE55" s="14" t="e">
        <f t="shared" ca="1" si="19"/>
        <v>#N/A</v>
      </c>
      <c r="BF55" s="14" t="e">
        <f t="shared" ca="1" si="19"/>
        <v>#N/A</v>
      </c>
      <c r="BG55" s="14" t="e">
        <f t="shared" ca="1" si="19"/>
        <v>#N/A</v>
      </c>
      <c r="BH55" s="14" t="e">
        <f t="shared" ca="1" si="19"/>
        <v>#N/A</v>
      </c>
      <c r="BI55" s="14" t="e">
        <f t="shared" ca="1" si="19"/>
        <v>#N/A</v>
      </c>
      <c r="BJ55" s="14" t="e">
        <f t="shared" ca="1" si="19"/>
        <v>#N/A</v>
      </c>
      <c r="BK55" s="14" t="e">
        <f t="shared" ca="1" si="19"/>
        <v>#N/A</v>
      </c>
      <c r="BL55" s="14" t="e">
        <f t="shared" ca="1" si="19"/>
        <v>#N/A</v>
      </c>
      <c r="BM55" s="14" t="e">
        <f t="shared" ca="1" si="19"/>
        <v>#N/A</v>
      </c>
      <c r="BN55" s="14" t="e">
        <f t="shared" ca="1" si="19"/>
        <v>#N/A</v>
      </c>
      <c r="BO55" s="14" t="e">
        <f t="shared" ca="1" si="19"/>
        <v>#N/A</v>
      </c>
      <c r="BP55" s="14" t="e">
        <f t="shared" ca="1" si="19"/>
        <v>#N/A</v>
      </c>
      <c r="BQ55" s="14" t="e">
        <f t="shared" ca="1" si="19"/>
        <v>#N/A</v>
      </c>
      <c r="BR55" s="14" t="e">
        <f t="shared" ca="1" si="19"/>
        <v>#N/A</v>
      </c>
      <c r="BS55" s="94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>
        <f t="shared" si="20"/>
        <v>0</v>
      </c>
      <c r="F56" s="14" t="e">
        <f t="shared" ref="F56:U65" ca="1" si="21">$A56*H.Ar + $B56*H.Se + $C56*H.Ge + $D56*H.Ga</f>
        <v>#N/A</v>
      </c>
      <c r="G56" s="14" t="e">
        <f t="shared" ca="1" si="21"/>
        <v>#N/A</v>
      </c>
      <c r="H56" s="14" t="e">
        <f t="shared" ca="1" si="21"/>
        <v>#N/A</v>
      </c>
      <c r="I56" s="14" t="e">
        <f t="shared" ca="1" si="21"/>
        <v>#N/A</v>
      </c>
      <c r="J56" s="14" t="e">
        <f t="shared" ca="1" si="21"/>
        <v>#N/A</v>
      </c>
      <c r="K56" s="14" t="e">
        <f t="shared" ca="1" si="21"/>
        <v>#N/A</v>
      </c>
      <c r="L56" s="14" t="e">
        <f t="shared" ca="1" si="21"/>
        <v>#N/A</v>
      </c>
      <c r="M56" s="14" t="e">
        <f t="shared" ca="1" si="21"/>
        <v>#N/A</v>
      </c>
      <c r="N56" s="14" t="e">
        <f t="shared" ca="1" si="21"/>
        <v>#N/A</v>
      </c>
      <c r="O56" s="14" t="e">
        <f t="shared" ca="1" si="21"/>
        <v>#N/A</v>
      </c>
      <c r="P56" s="14" t="e">
        <f t="shared" ca="1" si="21"/>
        <v>#N/A</v>
      </c>
      <c r="Q56" s="14" t="e">
        <f t="shared" ca="1" si="21"/>
        <v>#N/A</v>
      </c>
      <c r="R56" s="14" t="e">
        <f t="shared" ca="1" si="21"/>
        <v>#N/A</v>
      </c>
      <c r="S56" s="14" t="e">
        <f t="shared" ca="1" si="21"/>
        <v>#N/A</v>
      </c>
      <c r="T56" s="14" t="e">
        <f t="shared" ca="1" si="21"/>
        <v>#N/A</v>
      </c>
      <c r="U56" s="14" t="e">
        <f t="shared" ca="1" si="21"/>
        <v>#N/A</v>
      </c>
      <c r="V56" s="14" t="e">
        <f t="shared" ca="1" si="19"/>
        <v>#N/A</v>
      </c>
      <c r="W56" s="14" t="e">
        <f t="shared" ca="1" si="19"/>
        <v>#N/A</v>
      </c>
      <c r="X56" s="14" t="e">
        <f t="shared" ca="1" si="19"/>
        <v>#N/A</v>
      </c>
      <c r="Y56" s="14" t="e">
        <f t="shared" ca="1" si="19"/>
        <v>#N/A</v>
      </c>
      <c r="Z56" s="14" t="e">
        <f t="shared" ca="1" si="19"/>
        <v>#N/A</v>
      </c>
      <c r="AA56" s="14" t="e">
        <f t="shared" ca="1" si="19"/>
        <v>#N/A</v>
      </c>
      <c r="AB56" s="14" t="e">
        <f t="shared" ca="1" si="19"/>
        <v>#N/A</v>
      </c>
      <c r="AC56" s="14" t="e">
        <f t="shared" ca="1" si="19"/>
        <v>#N/A</v>
      </c>
      <c r="AD56" s="14" t="e">
        <f t="shared" ca="1" si="19"/>
        <v>#N/A</v>
      </c>
      <c r="AE56" s="14" t="e">
        <f t="shared" ca="1" si="19"/>
        <v>#N/A</v>
      </c>
      <c r="AF56" s="14" t="e">
        <f t="shared" ca="1" si="19"/>
        <v>#N/A</v>
      </c>
      <c r="AG56" s="14" t="e">
        <f t="shared" ca="1" si="19"/>
        <v>#N/A</v>
      </c>
      <c r="AH56" s="14" t="e">
        <f t="shared" ca="1" si="19"/>
        <v>#N/A</v>
      </c>
      <c r="AI56" s="14" t="e">
        <f t="shared" ca="1" si="19"/>
        <v>#N/A</v>
      </c>
      <c r="AJ56" s="14" t="e">
        <f t="shared" ca="1" si="19"/>
        <v>#N/A</v>
      </c>
      <c r="AK56" s="14" t="e">
        <f t="shared" ca="1" si="19"/>
        <v>#N/A</v>
      </c>
      <c r="AL56" s="14" t="e">
        <f t="shared" ca="1" si="19"/>
        <v>#N/A</v>
      </c>
      <c r="AM56" s="14" t="e">
        <f t="shared" ca="1" si="19"/>
        <v>#N/A</v>
      </c>
      <c r="AN56" s="14" t="e">
        <f t="shared" ca="1" si="19"/>
        <v>#N/A</v>
      </c>
      <c r="AO56" s="14" t="e">
        <f t="shared" ca="1" si="19"/>
        <v>#N/A</v>
      </c>
      <c r="AP56" s="14" t="e">
        <f t="shared" ca="1" si="19"/>
        <v>#N/A</v>
      </c>
      <c r="AQ56" s="14" t="e">
        <f t="shared" ca="1" si="19"/>
        <v>#N/A</v>
      </c>
      <c r="AR56" s="14" t="e">
        <f t="shared" ca="1" si="19"/>
        <v>#N/A</v>
      </c>
      <c r="AS56" s="14" t="e">
        <f t="shared" ca="1" si="19"/>
        <v>#N/A</v>
      </c>
      <c r="AT56" s="14" t="e">
        <f t="shared" ca="1" si="19"/>
        <v>#N/A</v>
      </c>
      <c r="AU56" s="14" t="e">
        <f t="shared" ca="1" si="19"/>
        <v>#N/A</v>
      </c>
      <c r="AV56" s="14" t="e">
        <f t="shared" ca="1" si="19"/>
        <v>#N/A</v>
      </c>
      <c r="AW56" s="14" t="e">
        <f t="shared" ca="1" si="19"/>
        <v>#N/A</v>
      </c>
      <c r="AX56" s="14" t="e">
        <f t="shared" ca="1" si="19"/>
        <v>#N/A</v>
      </c>
      <c r="AY56" s="14" t="e">
        <f t="shared" ca="1" si="19"/>
        <v>#N/A</v>
      </c>
      <c r="AZ56" s="14" t="e">
        <f t="shared" ca="1" si="19"/>
        <v>#N/A</v>
      </c>
      <c r="BA56" s="14" t="e">
        <f t="shared" ca="1" si="19"/>
        <v>#N/A</v>
      </c>
      <c r="BB56" s="14" t="e">
        <f t="shared" ca="1" si="19"/>
        <v>#N/A</v>
      </c>
      <c r="BC56" s="14" t="e">
        <f t="shared" ca="1" si="19"/>
        <v>#N/A</v>
      </c>
      <c r="BD56" s="14" t="e">
        <f t="shared" ca="1" si="19"/>
        <v>#N/A</v>
      </c>
      <c r="BE56" s="14" t="e">
        <f t="shared" ca="1" si="19"/>
        <v>#N/A</v>
      </c>
      <c r="BF56" s="14" t="e">
        <f t="shared" ca="1" si="19"/>
        <v>#N/A</v>
      </c>
      <c r="BG56" s="14" t="e">
        <f t="shared" ca="1" si="19"/>
        <v>#N/A</v>
      </c>
      <c r="BH56" s="14" t="e">
        <f t="shared" ca="1" si="19"/>
        <v>#N/A</v>
      </c>
      <c r="BI56" s="14" t="e">
        <f t="shared" ca="1" si="19"/>
        <v>#N/A</v>
      </c>
      <c r="BJ56" s="14" t="e">
        <f t="shared" ca="1" si="19"/>
        <v>#N/A</v>
      </c>
      <c r="BK56" s="14" t="e">
        <f t="shared" ca="1" si="19"/>
        <v>#N/A</v>
      </c>
      <c r="BL56" s="14" t="e">
        <f t="shared" ca="1" si="19"/>
        <v>#N/A</v>
      </c>
      <c r="BM56" s="14" t="e">
        <f t="shared" ca="1" si="19"/>
        <v>#N/A</v>
      </c>
      <c r="BN56" s="14" t="e">
        <f t="shared" ca="1" si="19"/>
        <v>#N/A</v>
      </c>
      <c r="BO56" s="14" t="e">
        <f t="shared" ca="1" si="19"/>
        <v>#N/A</v>
      </c>
      <c r="BP56" s="14" t="e">
        <f t="shared" ca="1" si="19"/>
        <v>#N/A</v>
      </c>
      <c r="BQ56" s="14" t="e">
        <f t="shared" ca="1" si="19"/>
        <v>#N/A</v>
      </c>
      <c r="BR56" s="14" t="e">
        <f t="shared" ca="1" si="19"/>
        <v>#N/A</v>
      </c>
      <c r="BS56" s="94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>
        <f t="shared" si="20"/>
        <v>0</v>
      </c>
      <c r="F57" s="14" t="e">
        <f t="shared" ca="1" si="21"/>
        <v>#N/A</v>
      </c>
      <c r="G57" s="14" t="e">
        <f t="shared" ca="1" si="19"/>
        <v>#N/A</v>
      </c>
      <c r="H57" s="14" t="e">
        <f t="shared" ca="1" si="19"/>
        <v>#N/A</v>
      </c>
      <c r="I57" s="14" t="e">
        <f t="shared" ca="1" si="19"/>
        <v>#N/A</v>
      </c>
      <c r="J57" s="14" t="e">
        <f t="shared" ca="1" si="19"/>
        <v>#N/A</v>
      </c>
      <c r="K57" s="14" t="e">
        <f t="shared" ca="1" si="19"/>
        <v>#N/A</v>
      </c>
      <c r="L57" s="14" t="e">
        <f t="shared" ca="1" si="19"/>
        <v>#N/A</v>
      </c>
      <c r="M57" s="14" t="e">
        <f t="shared" ca="1" si="19"/>
        <v>#N/A</v>
      </c>
      <c r="N57" s="14" t="e">
        <f t="shared" ca="1" si="19"/>
        <v>#N/A</v>
      </c>
      <c r="O57" s="14" t="e">
        <f t="shared" ca="1" si="19"/>
        <v>#N/A</v>
      </c>
      <c r="P57" s="14" t="e">
        <f t="shared" ca="1" si="19"/>
        <v>#N/A</v>
      </c>
      <c r="Q57" s="14" t="e">
        <f t="shared" ca="1" si="19"/>
        <v>#N/A</v>
      </c>
      <c r="R57" s="14" t="e">
        <f t="shared" ca="1" si="19"/>
        <v>#N/A</v>
      </c>
      <c r="S57" s="14" t="e">
        <f t="shared" ca="1" si="19"/>
        <v>#N/A</v>
      </c>
      <c r="T57" s="14" t="e">
        <f t="shared" ca="1" si="19"/>
        <v>#N/A</v>
      </c>
      <c r="U57" s="14" t="e">
        <f t="shared" ca="1" si="19"/>
        <v>#N/A</v>
      </c>
      <c r="V57" s="14" t="e">
        <f t="shared" ca="1" si="19"/>
        <v>#N/A</v>
      </c>
      <c r="W57" s="14" t="e">
        <f t="shared" ca="1" si="19"/>
        <v>#N/A</v>
      </c>
      <c r="X57" s="14" t="e">
        <f t="shared" ca="1" si="19"/>
        <v>#N/A</v>
      </c>
      <c r="Y57" s="14" t="e">
        <f t="shared" ca="1" si="19"/>
        <v>#N/A</v>
      </c>
      <c r="Z57" s="14" t="e">
        <f t="shared" ca="1" si="19"/>
        <v>#N/A</v>
      </c>
      <c r="AA57" s="14" t="e">
        <f t="shared" ca="1" si="19"/>
        <v>#N/A</v>
      </c>
      <c r="AB57" s="14" t="e">
        <f t="shared" ca="1" si="19"/>
        <v>#N/A</v>
      </c>
      <c r="AC57" s="14" t="e">
        <f t="shared" ca="1" si="19"/>
        <v>#N/A</v>
      </c>
      <c r="AD57" s="14" t="e">
        <f t="shared" ca="1" si="19"/>
        <v>#N/A</v>
      </c>
      <c r="AE57" s="14" t="e">
        <f t="shared" ca="1" si="19"/>
        <v>#N/A</v>
      </c>
      <c r="AF57" s="14" t="e">
        <f t="shared" ca="1" si="19"/>
        <v>#N/A</v>
      </c>
      <c r="AG57" s="14" t="e">
        <f t="shared" ca="1" si="19"/>
        <v>#N/A</v>
      </c>
      <c r="AH57" s="14" t="e">
        <f t="shared" ca="1" si="19"/>
        <v>#N/A</v>
      </c>
      <c r="AI57" s="14" t="e">
        <f t="shared" ca="1" si="19"/>
        <v>#N/A</v>
      </c>
      <c r="AJ57" s="14" t="e">
        <f t="shared" ca="1" si="19"/>
        <v>#N/A</v>
      </c>
      <c r="AK57" s="14" t="e">
        <f t="shared" ca="1" si="19"/>
        <v>#N/A</v>
      </c>
      <c r="AL57" s="14" t="e">
        <f t="shared" ca="1" si="19"/>
        <v>#N/A</v>
      </c>
      <c r="AM57" s="14" t="e">
        <f t="shared" ca="1" si="19"/>
        <v>#N/A</v>
      </c>
      <c r="AN57" s="14" t="e">
        <f t="shared" ca="1" si="19"/>
        <v>#N/A</v>
      </c>
      <c r="AO57" s="14" t="e">
        <f t="shared" ca="1" si="19"/>
        <v>#N/A</v>
      </c>
      <c r="AP57" s="14" t="e">
        <f t="shared" ca="1" si="19"/>
        <v>#N/A</v>
      </c>
      <c r="AQ57" s="14" t="e">
        <f t="shared" ca="1" si="19"/>
        <v>#N/A</v>
      </c>
      <c r="AR57" s="14" t="e">
        <f t="shared" ca="1" si="19"/>
        <v>#N/A</v>
      </c>
      <c r="AS57" s="14" t="e">
        <f t="shared" ca="1" si="19"/>
        <v>#N/A</v>
      </c>
      <c r="AT57" s="14" t="e">
        <f t="shared" ca="1" si="19"/>
        <v>#N/A</v>
      </c>
      <c r="AU57" s="14" t="e">
        <f t="shared" ca="1" si="19"/>
        <v>#N/A</v>
      </c>
      <c r="AV57" s="14" t="e">
        <f t="shared" ca="1" si="19"/>
        <v>#N/A</v>
      </c>
      <c r="AW57" s="14" t="e">
        <f t="shared" ca="1" si="19"/>
        <v>#N/A</v>
      </c>
      <c r="AX57" s="14" t="e">
        <f t="shared" ca="1" si="19"/>
        <v>#N/A</v>
      </c>
      <c r="AY57" s="14" t="e">
        <f t="shared" ca="1" si="19"/>
        <v>#N/A</v>
      </c>
      <c r="AZ57" s="14" t="e">
        <f t="shared" ca="1" si="19"/>
        <v>#N/A</v>
      </c>
      <c r="BA57" s="14" t="e">
        <f t="shared" ca="1" si="19"/>
        <v>#N/A</v>
      </c>
      <c r="BB57" s="14" t="e">
        <f t="shared" ca="1" si="19"/>
        <v>#N/A</v>
      </c>
      <c r="BC57" s="14" t="e">
        <f t="shared" ca="1" si="19"/>
        <v>#N/A</v>
      </c>
      <c r="BD57" s="14" t="e">
        <f t="shared" ca="1" si="19"/>
        <v>#N/A</v>
      </c>
      <c r="BE57" s="14" t="e">
        <f t="shared" ca="1" si="19"/>
        <v>#N/A</v>
      </c>
      <c r="BF57" s="14" t="e">
        <f t="shared" ca="1" si="19"/>
        <v>#N/A</v>
      </c>
      <c r="BG57" s="14" t="e">
        <f t="shared" ca="1" si="19"/>
        <v>#N/A</v>
      </c>
      <c r="BH57" s="14" t="e">
        <f t="shared" ca="1" si="19"/>
        <v>#N/A</v>
      </c>
      <c r="BI57" s="14" t="e">
        <f t="shared" ca="1" si="19"/>
        <v>#N/A</v>
      </c>
      <c r="BJ57" s="14" t="e">
        <f t="shared" ca="1" si="19"/>
        <v>#N/A</v>
      </c>
      <c r="BK57" s="14" t="e">
        <f t="shared" ca="1" si="19"/>
        <v>#N/A</v>
      </c>
      <c r="BL57" s="14" t="e">
        <f t="shared" ca="1" si="19"/>
        <v>#N/A</v>
      </c>
      <c r="BM57" s="14" t="e">
        <f t="shared" ca="1" si="19"/>
        <v>#N/A</v>
      </c>
      <c r="BN57" s="14" t="e">
        <f t="shared" ca="1" si="19"/>
        <v>#N/A</v>
      </c>
      <c r="BO57" s="14" t="e">
        <f t="shared" ca="1" si="19"/>
        <v>#N/A</v>
      </c>
      <c r="BP57" s="14" t="e">
        <f t="shared" ca="1" si="19"/>
        <v>#N/A</v>
      </c>
      <c r="BQ57" s="14" t="e">
        <f t="shared" ca="1" si="19"/>
        <v>#N/A</v>
      </c>
      <c r="BR57" s="14" t="e">
        <f t="shared" ca="1" si="19"/>
        <v>#N/A</v>
      </c>
      <c r="BS57" s="94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>
        <f t="shared" si="20"/>
        <v>0</v>
      </c>
      <c r="F58" s="14" t="e">
        <f t="shared" ca="1" si="21"/>
        <v>#N/A</v>
      </c>
      <c r="G58" s="14" t="e">
        <f t="shared" ca="1" si="19"/>
        <v>#N/A</v>
      </c>
      <c r="H58" s="14" t="e">
        <f t="shared" ca="1" si="19"/>
        <v>#N/A</v>
      </c>
      <c r="I58" s="14" t="e">
        <f t="shared" ca="1" si="19"/>
        <v>#N/A</v>
      </c>
      <c r="J58" s="14" t="e">
        <f t="shared" ca="1" si="19"/>
        <v>#N/A</v>
      </c>
      <c r="K58" s="14" t="e">
        <f t="shared" ca="1" si="19"/>
        <v>#N/A</v>
      </c>
      <c r="L58" s="14" t="e">
        <f t="shared" ca="1" si="19"/>
        <v>#N/A</v>
      </c>
      <c r="M58" s="14" t="e">
        <f t="shared" ca="1" si="19"/>
        <v>#N/A</v>
      </c>
      <c r="N58" s="14" t="e">
        <f t="shared" ca="1" si="19"/>
        <v>#N/A</v>
      </c>
      <c r="O58" s="14" t="e">
        <f t="shared" ca="1" si="19"/>
        <v>#N/A</v>
      </c>
      <c r="P58" s="14" t="e">
        <f t="shared" ca="1" si="19"/>
        <v>#N/A</v>
      </c>
      <c r="Q58" s="14" t="e">
        <f t="shared" ca="1" si="19"/>
        <v>#N/A</v>
      </c>
      <c r="R58" s="14" t="e">
        <f t="shared" ca="1" si="19"/>
        <v>#N/A</v>
      </c>
      <c r="S58" s="14" t="e">
        <f t="shared" ca="1" si="19"/>
        <v>#N/A</v>
      </c>
      <c r="T58" s="14" t="e">
        <f t="shared" ca="1" si="19"/>
        <v>#N/A</v>
      </c>
      <c r="U58" s="14" t="e">
        <f t="shared" ca="1" si="19"/>
        <v>#N/A</v>
      </c>
      <c r="V58" s="14" t="e">
        <f t="shared" ca="1" si="19"/>
        <v>#N/A</v>
      </c>
      <c r="W58" s="14" t="e">
        <f t="shared" ca="1" si="19"/>
        <v>#N/A</v>
      </c>
      <c r="X58" s="14" t="e">
        <f t="shared" ca="1" si="19"/>
        <v>#N/A</v>
      </c>
      <c r="Y58" s="14" t="e">
        <f t="shared" ca="1" si="19"/>
        <v>#N/A</v>
      </c>
      <c r="Z58" s="14" t="e">
        <f t="shared" ca="1" si="19"/>
        <v>#N/A</v>
      </c>
      <c r="AA58" s="14" t="e">
        <f t="shared" ca="1" si="19"/>
        <v>#N/A</v>
      </c>
      <c r="AB58" s="14" t="e">
        <f t="shared" ca="1" si="19"/>
        <v>#N/A</v>
      </c>
      <c r="AC58" s="14" t="e">
        <f t="shared" ca="1" si="19"/>
        <v>#N/A</v>
      </c>
      <c r="AD58" s="14" t="e">
        <f t="shared" ca="1" si="19"/>
        <v>#N/A</v>
      </c>
      <c r="AE58" s="14" t="e">
        <f t="shared" ca="1" si="19"/>
        <v>#N/A</v>
      </c>
      <c r="AF58" s="14" t="e">
        <f t="shared" ca="1" si="19"/>
        <v>#N/A</v>
      </c>
      <c r="AG58" s="14" t="e">
        <f t="shared" ca="1" si="19"/>
        <v>#N/A</v>
      </c>
      <c r="AH58" s="14" t="e">
        <f t="shared" ref="G58:BR62" ca="1" si="22">$A58*H.Ar + $B58*H.Se + $C58*H.Ge + $D58*H.Ga</f>
        <v>#N/A</v>
      </c>
      <c r="AI58" s="14" t="e">
        <f t="shared" ca="1" si="22"/>
        <v>#N/A</v>
      </c>
      <c r="AJ58" s="14" t="e">
        <f t="shared" ca="1" si="22"/>
        <v>#N/A</v>
      </c>
      <c r="AK58" s="14" t="e">
        <f t="shared" ca="1" si="22"/>
        <v>#N/A</v>
      </c>
      <c r="AL58" s="14" t="e">
        <f t="shared" ca="1" si="22"/>
        <v>#N/A</v>
      </c>
      <c r="AM58" s="14" t="e">
        <f t="shared" ca="1" si="22"/>
        <v>#N/A</v>
      </c>
      <c r="AN58" s="14" t="e">
        <f t="shared" ca="1" si="22"/>
        <v>#N/A</v>
      </c>
      <c r="AO58" s="14" t="e">
        <f t="shared" ca="1" si="22"/>
        <v>#N/A</v>
      </c>
      <c r="AP58" s="14" t="e">
        <f t="shared" ca="1" si="22"/>
        <v>#N/A</v>
      </c>
      <c r="AQ58" s="14" t="e">
        <f t="shared" ca="1" si="22"/>
        <v>#N/A</v>
      </c>
      <c r="AR58" s="14" t="e">
        <f t="shared" ca="1" si="22"/>
        <v>#N/A</v>
      </c>
      <c r="AS58" s="14" t="e">
        <f t="shared" ca="1" si="22"/>
        <v>#N/A</v>
      </c>
      <c r="AT58" s="14" t="e">
        <f t="shared" ca="1" si="22"/>
        <v>#N/A</v>
      </c>
      <c r="AU58" s="14" t="e">
        <f t="shared" ca="1" si="22"/>
        <v>#N/A</v>
      </c>
      <c r="AV58" s="14" t="e">
        <f t="shared" ca="1" si="22"/>
        <v>#N/A</v>
      </c>
      <c r="AW58" s="14" t="e">
        <f t="shared" ca="1" si="22"/>
        <v>#N/A</v>
      </c>
      <c r="AX58" s="14" t="e">
        <f t="shared" ca="1" si="22"/>
        <v>#N/A</v>
      </c>
      <c r="AY58" s="14" t="e">
        <f t="shared" ca="1" si="22"/>
        <v>#N/A</v>
      </c>
      <c r="AZ58" s="14" t="e">
        <f t="shared" ca="1" si="22"/>
        <v>#N/A</v>
      </c>
      <c r="BA58" s="14" t="e">
        <f t="shared" ca="1" si="22"/>
        <v>#N/A</v>
      </c>
      <c r="BB58" s="14" t="e">
        <f t="shared" ca="1" si="22"/>
        <v>#N/A</v>
      </c>
      <c r="BC58" s="14" t="e">
        <f t="shared" ca="1" si="22"/>
        <v>#N/A</v>
      </c>
      <c r="BD58" s="14" t="e">
        <f t="shared" ca="1" si="22"/>
        <v>#N/A</v>
      </c>
      <c r="BE58" s="14" t="e">
        <f t="shared" ca="1" si="22"/>
        <v>#N/A</v>
      </c>
      <c r="BF58" s="14" t="e">
        <f t="shared" ca="1" si="22"/>
        <v>#N/A</v>
      </c>
      <c r="BG58" s="14" t="e">
        <f t="shared" ca="1" si="22"/>
        <v>#N/A</v>
      </c>
      <c r="BH58" s="14" t="e">
        <f t="shared" ca="1" si="22"/>
        <v>#N/A</v>
      </c>
      <c r="BI58" s="14" t="e">
        <f t="shared" ca="1" si="22"/>
        <v>#N/A</v>
      </c>
      <c r="BJ58" s="14" t="e">
        <f t="shared" ca="1" si="22"/>
        <v>#N/A</v>
      </c>
      <c r="BK58" s="14" t="e">
        <f t="shared" ca="1" si="22"/>
        <v>#N/A</v>
      </c>
      <c r="BL58" s="14" t="e">
        <f t="shared" ca="1" si="22"/>
        <v>#N/A</v>
      </c>
      <c r="BM58" s="14" t="e">
        <f t="shared" ca="1" si="22"/>
        <v>#N/A</v>
      </c>
      <c r="BN58" s="14" t="e">
        <f t="shared" ca="1" si="22"/>
        <v>#N/A</v>
      </c>
      <c r="BO58" s="14" t="e">
        <f t="shared" ca="1" si="22"/>
        <v>#N/A</v>
      </c>
      <c r="BP58" s="14" t="e">
        <f t="shared" ca="1" si="22"/>
        <v>#N/A</v>
      </c>
      <c r="BQ58" s="14" t="e">
        <f t="shared" ca="1" si="22"/>
        <v>#N/A</v>
      </c>
      <c r="BR58" s="14" t="e">
        <f t="shared" ca="1" si="22"/>
        <v>#N/A</v>
      </c>
      <c r="BS58" s="94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>
        <f t="shared" si="20"/>
        <v>0</v>
      </c>
      <c r="F59" s="14" t="e">
        <f t="shared" ca="1" si="21"/>
        <v>#N/A</v>
      </c>
      <c r="G59" s="14" t="e">
        <f t="shared" ca="1" si="22"/>
        <v>#N/A</v>
      </c>
      <c r="H59" s="14" t="e">
        <f t="shared" ca="1" si="22"/>
        <v>#N/A</v>
      </c>
      <c r="I59" s="14" t="e">
        <f t="shared" ca="1" si="22"/>
        <v>#N/A</v>
      </c>
      <c r="J59" s="14" t="e">
        <f t="shared" ca="1" si="22"/>
        <v>#N/A</v>
      </c>
      <c r="K59" s="14" t="e">
        <f t="shared" ca="1" si="22"/>
        <v>#N/A</v>
      </c>
      <c r="L59" s="14" t="e">
        <f t="shared" ca="1" si="22"/>
        <v>#N/A</v>
      </c>
      <c r="M59" s="14" t="e">
        <f t="shared" ca="1" si="22"/>
        <v>#N/A</v>
      </c>
      <c r="N59" s="14" t="e">
        <f t="shared" ca="1" si="22"/>
        <v>#N/A</v>
      </c>
      <c r="O59" s="14" t="e">
        <f t="shared" ca="1" si="22"/>
        <v>#N/A</v>
      </c>
      <c r="P59" s="14" t="e">
        <f t="shared" ca="1" si="22"/>
        <v>#N/A</v>
      </c>
      <c r="Q59" s="14" t="e">
        <f t="shared" ca="1" si="22"/>
        <v>#N/A</v>
      </c>
      <c r="R59" s="14" t="e">
        <f t="shared" ca="1" si="22"/>
        <v>#N/A</v>
      </c>
      <c r="S59" s="14" t="e">
        <f t="shared" ca="1" si="22"/>
        <v>#N/A</v>
      </c>
      <c r="T59" s="14" t="e">
        <f t="shared" ca="1" si="22"/>
        <v>#N/A</v>
      </c>
      <c r="U59" s="14" t="e">
        <f t="shared" ca="1" si="22"/>
        <v>#N/A</v>
      </c>
      <c r="V59" s="14" t="e">
        <f t="shared" ca="1" si="22"/>
        <v>#N/A</v>
      </c>
      <c r="W59" s="14" t="e">
        <f t="shared" ca="1" si="22"/>
        <v>#N/A</v>
      </c>
      <c r="X59" s="14" t="e">
        <f t="shared" ca="1" si="22"/>
        <v>#N/A</v>
      </c>
      <c r="Y59" s="14" t="e">
        <f t="shared" ca="1" si="22"/>
        <v>#N/A</v>
      </c>
      <c r="Z59" s="14" t="e">
        <f t="shared" ca="1" si="22"/>
        <v>#N/A</v>
      </c>
      <c r="AA59" s="14" t="e">
        <f t="shared" ca="1" si="22"/>
        <v>#N/A</v>
      </c>
      <c r="AB59" s="14" t="e">
        <f t="shared" ca="1" si="22"/>
        <v>#N/A</v>
      </c>
      <c r="AC59" s="14" t="e">
        <f t="shared" ca="1" si="22"/>
        <v>#N/A</v>
      </c>
      <c r="AD59" s="14" t="e">
        <f t="shared" ca="1" si="22"/>
        <v>#N/A</v>
      </c>
      <c r="AE59" s="14" t="e">
        <f t="shared" ca="1" si="22"/>
        <v>#N/A</v>
      </c>
      <c r="AF59" s="14" t="e">
        <f t="shared" ca="1" si="22"/>
        <v>#N/A</v>
      </c>
      <c r="AG59" s="14" t="e">
        <f t="shared" ca="1" si="22"/>
        <v>#N/A</v>
      </c>
      <c r="AH59" s="14" t="e">
        <f t="shared" ca="1" si="22"/>
        <v>#N/A</v>
      </c>
      <c r="AI59" s="14" t="e">
        <f t="shared" ca="1" si="22"/>
        <v>#N/A</v>
      </c>
      <c r="AJ59" s="14" t="e">
        <f t="shared" ca="1" si="22"/>
        <v>#N/A</v>
      </c>
      <c r="AK59" s="14" t="e">
        <f t="shared" ca="1" si="22"/>
        <v>#N/A</v>
      </c>
      <c r="AL59" s="14" t="e">
        <f t="shared" ca="1" si="22"/>
        <v>#N/A</v>
      </c>
      <c r="AM59" s="14" t="e">
        <f t="shared" ca="1" si="22"/>
        <v>#N/A</v>
      </c>
      <c r="AN59" s="14" t="e">
        <f t="shared" ca="1" si="22"/>
        <v>#N/A</v>
      </c>
      <c r="AO59" s="14" t="e">
        <f t="shared" ca="1" si="22"/>
        <v>#N/A</v>
      </c>
      <c r="AP59" s="14" t="e">
        <f t="shared" ca="1" si="22"/>
        <v>#N/A</v>
      </c>
      <c r="AQ59" s="14" t="e">
        <f t="shared" ca="1" si="22"/>
        <v>#N/A</v>
      </c>
      <c r="AR59" s="14" t="e">
        <f t="shared" ca="1" si="22"/>
        <v>#N/A</v>
      </c>
      <c r="AS59" s="14" t="e">
        <f t="shared" ca="1" si="22"/>
        <v>#N/A</v>
      </c>
      <c r="AT59" s="14" t="e">
        <f t="shared" ca="1" si="22"/>
        <v>#N/A</v>
      </c>
      <c r="AU59" s="14" t="e">
        <f t="shared" ca="1" si="22"/>
        <v>#N/A</v>
      </c>
      <c r="AV59" s="14" t="e">
        <f t="shared" ca="1" si="22"/>
        <v>#N/A</v>
      </c>
      <c r="AW59" s="14" t="e">
        <f t="shared" ca="1" si="22"/>
        <v>#N/A</v>
      </c>
      <c r="AX59" s="14" t="e">
        <f t="shared" ca="1" si="22"/>
        <v>#N/A</v>
      </c>
      <c r="AY59" s="14" t="e">
        <f t="shared" ca="1" si="22"/>
        <v>#N/A</v>
      </c>
      <c r="AZ59" s="14" t="e">
        <f t="shared" ca="1" si="22"/>
        <v>#N/A</v>
      </c>
      <c r="BA59" s="14" t="e">
        <f t="shared" ca="1" si="22"/>
        <v>#N/A</v>
      </c>
      <c r="BB59" s="14" t="e">
        <f t="shared" ca="1" si="22"/>
        <v>#N/A</v>
      </c>
      <c r="BC59" s="14" t="e">
        <f t="shared" ca="1" si="22"/>
        <v>#N/A</v>
      </c>
      <c r="BD59" s="14" t="e">
        <f t="shared" ca="1" si="22"/>
        <v>#N/A</v>
      </c>
      <c r="BE59" s="14" t="e">
        <f t="shared" ca="1" si="22"/>
        <v>#N/A</v>
      </c>
      <c r="BF59" s="14" t="e">
        <f t="shared" ca="1" si="22"/>
        <v>#N/A</v>
      </c>
      <c r="BG59" s="14" t="e">
        <f t="shared" ca="1" si="22"/>
        <v>#N/A</v>
      </c>
      <c r="BH59" s="14" t="e">
        <f t="shared" ca="1" si="22"/>
        <v>#N/A</v>
      </c>
      <c r="BI59" s="14" t="e">
        <f t="shared" ca="1" si="22"/>
        <v>#N/A</v>
      </c>
      <c r="BJ59" s="14" t="e">
        <f t="shared" ca="1" si="22"/>
        <v>#N/A</v>
      </c>
      <c r="BK59" s="14" t="e">
        <f t="shared" ca="1" si="22"/>
        <v>#N/A</v>
      </c>
      <c r="BL59" s="14" t="e">
        <f t="shared" ca="1" si="22"/>
        <v>#N/A</v>
      </c>
      <c r="BM59" s="14" t="e">
        <f t="shared" ca="1" si="22"/>
        <v>#N/A</v>
      </c>
      <c r="BN59" s="14" t="e">
        <f t="shared" ca="1" si="22"/>
        <v>#N/A</v>
      </c>
      <c r="BO59" s="14" t="e">
        <f t="shared" ca="1" si="22"/>
        <v>#N/A</v>
      </c>
      <c r="BP59" s="14" t="e">
        <f t="shared" ca="1" si="22"/>
        <v>#N/A</v>
      </c>
      <c r="BQ59" s="14" t="e">
        <f t="shared" ca="1" si="22"/>
        <v>#N/A</v>
      </c>
      <c r="BR59" s="14" t="e">
        <f t="shared" ca="1" si="22"/>
        <v>#N/A</v>
      </c>
      <c r="BS59" s="94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>
        <f t="shared" si="20"/>
        <v>0</v>
      </c>
      <c r="F60" s="14" t="e">
        <f t="shared" ca="1" si="21"/>
        <v>#N/A</v>
      </c>
      <c r="G60" s="14" t="e">
        <f t="shared" ca="1" si="22"/>
        <v>#N/A</v>
      </c>
      <c r="H60" s="14" t="e">
        <f t="shared" ca="1" si="22"/>
        <v>#N/A</v>
      </c>
      <c r="I60" s="14" t="e">
        <f t="shared" ca="1" si="22"/>
        <v>#N/A</v>
      </c>
      <c r="J60" s="14" t="e">
        <f t="shared" ca="1" si="22"/>
        <v>#N/A</v>
      </c>
      <c r="K60" s="14" t="e">
        <f t="shared" ca="1" si="22"/>
        <v>#N/A</v>
      </c>
      <c r="L60" s="14" t="e">
        <f t="shared" ca="1" si="22"/>
        <v>#N/A</v>
      </c>
      <c r="M60" s="14" t="e">
        <f t="shared" ca="1" si="22"/>
        <v>#N/A</v>
      </c>
      <c r="N60" s="14" t="e">
        <f t="shared" ca="1" si="22"/>
        <v>#N/A</v>
      </c>
      <c r="O60" s="14" t="e">
        <f t="shared" ca="1" si="22"/>
        <v>#N/A</v>
      </c>
      <c r="P60" s="14" t="e">
        <f t="shared" ca="1" si="22"/>
        <v>#N/A</v>
      </c>
      <c r="Q60" s="14" t="e">
        <f t="shared" ca="1" si="22"/>
        <v>#N/A</v>
      </c>
      <c r="R60" s="14" t="e">
        <f t="shared" ca="1" si="22"/>
        <v>#N/A</v>
      </c>
      <c r="S60" s="14" t="e">
        <f t="shared" ca="1" si="22"/>
        <v>#N/A</v>
      </c>
      <c r="T60" s="14" t="e">
        <f t="shared" ca="1" si="22"/>
        <v>#N/A</v>
      </c>
      <c r="U60" s="14" t="e">
        <f t="shared" ca="1" si="22"/>
        <v>#N/A</v>
      </c>
      <c r="V60" s="14" t="e">
        <f t="shared" ca="1" si="22"/>
        <v>#N/A</v>
      </c>
      <c r="W60" s="14" t="e">
        <f t="shared" ca="1" si="22"/>
        <v>#N/A</v>
      </c>
      <c r="X60" s="14" t="e">
        <f t="shared" ca="1" si="22"/>
        <v>#N/A</v>
      </c>
      <c r="Y60" s="14" t="e">
        <f t="shared" ca="1" si="22"/>
        <v>#N/A</v>
      </c>
      <c r="Z60" s="14" t="e">
        <f t="shared" ca="1" si="22"/>
        <v>#N/A</v>
      </c>
      <c r="AA60" s="14" t="e">
        <f t="shared" ca="1" si="22"/>
        <v>#N/A</v>
      </c>
      <c r="AB60" s="14" t="e">
        <f t="shared" ca="1" si="22"/>
        <v>#N/A</v>
      </c>
      <c r="AC60" s="14" t="e">
        <f t="shared" ca="1" si="22"/>
        <v>#N/A</v>
      </c>
      <c r="AD60" s="14" t="e">
        <f t="shared" ca="1" si="22"/>
        <v>#N/A</v>
      </c>
      <c r="AE60" s="14" t="e">
        <f t="shared" ca="1" si="22"/>
        <v>#N/A</v>
      </c>
      <c r="AF60" s="14" t="e">
        <f t="shared" ca="1" si="22"/>
        <v>#N/A</v>
      </c>
      <c r="AG60" s="14" t="e">
        <f t="shared" ca="1" si="22"/>
        <v>#N/A</v>
      </c>
      <c r="AH60" s="14" t="e">
        <f t="shared" ca="1" si="22"/>
        <v>#N/A</v>
      </c>
      <c r="AI60" s="14" t="e">
        <f t="shared" ca="1" si="22"/>
        <v>#N/A</v>
      </c>
      <c r="AJ60" s="14" t="e">
        <f t="shared" ca="1" si="22"/>
        <v>#N/A</v>
      </c>
      <c r="AK60" s="14" t="e">
        <f t="shared" ca="1" si="22"/>
        <v>#N/A</v>
      </c>
      <c r="AL60" s="14" t="e">
        <f t="shared" ca="1" si="22"/>
        <v>#N/A</v>
      </c>
      <c r="AM60" s="14" t="e">
        <f t="shared" ca="1" si="22"/>
        <v>#N/A</v>
      </c>
      <c r="AN60" s="14" t="e">
        <f t="shared" ca="1" si="22"/>
        <v>#N/A</v>
      </c>
      <c r="AO60" s="14" t="e">
        <f t="shared" ca="1" si="22"/>
        <v>#N/A</v>
      </c>
      <c r="AP60" s="14" t="e">
        <f t="shared" ca="1" si="22"/>
        <v>#N/A</v>
      </c>
      <c r="AQ60" s="14" t="e">
        <f t="shared" ca="1" si="22"/>
        <v>#N/A</v>
      </c>
      <c r="AR60" s="14" t="e">
        <f t="shared" ca="1" si="22"/>
        <v>#N/A</v>
      </c>
      <c r="AS60" s="14" t="e">
        <f t="shared" ca="1" si="22"/>
        <v>#N/A</v>
      </c>
      <c r="AT60" s="14" t="e">
        <f t="shared" ca="1" si="22"/>
        <v>#N/A</v>
      </c>
      <c r="AU60" s="14" t="e">
        <f t="shared" ca="1" si="22"/>
        <v>#N/A</v>
      </c>
      <c r="AV60" s="14" t="e">
        <f t="shared" ca="1" si="22"/>
        <v>#N/A</v>
      </c>
      <c r="AW60" s="14" t="e">
        <f t="shared" ca="1" si="22"/>
        <v>#N/A</v>
      </c>
      <c r="AX60" s="14" t="e">
        <f t="shared" ca="1" si="22"/>
        <v>#N/A</v>
      </c>
      <c r="AY60" s="14" t="e">
        <f t="shared" ca="1" si="22"/>
        <v>#N/A</v>
      </c>
      <c r="AZ60" s="14" t="e">
        <f t="shared" ca="1" si="22"/>
        <v>#N/A</v>
      </c>
      <c r="BA60" s="14" t="e">
        <f t="shared" ca="1" si="22"/>
        <v>#N/A</v>
      </c>
      <c r="BB60" s="14" t="e">
        <f t="shared" ca="1" si="22"/>
        <v>#N/A</v>
      </c>
      <c r="BC60" s="14" t="e">
        <f t="shared" ca="1" si="22"/>
        <v>#N/A</v>
      </c>
      <c r="BD60" s="14" t="e">
        <f t="shared" ca="1" si="22"/>
        <v>#N/A</v>
      </c>
      <c r="BE60" s="14" t="e">
        <f t="shared" ca="1" si="22"/>
        <v>#N/A</v>
      </c>
      <c r="BF60" s="14" t="e">
        <f t="shared" ca="1" si="22"/>
        <v>#N/A</v>
      </c>
      <c r="BG60" s="14" t="e">
        <f t="shared" ca="1" si="22"/>
        <v>#N/A</v>
      </c>
      <c r="BH60" s="14" t="e">
        <f t="shared" ca="1" si="22"/>
        <v>#N/A</v>
      </c>
      <c r="BI60" s="14" t="e">
        <f t="shared" ca="1" si="22"/>
        <v>#N/A</v>
      </c>
      <c r="BJ60" s="14" t="e">
        <f t="shared" ca="1" si="22"/>
        <v>#N/A</v>
      </c>
      <c r="BK60" s="14" t="e">
        <f t="shared" ca="1" si="22"/>
        <v>#N/A</v>
      </c>
      <c r="BL60" s="14" t="e">
        <f t="shared" ca="1" si="22"/>
        <v>#N/A</v>
      </c>
      <c r="BM60" s="14" t="e">
        <f t="shared" ca="1" si="22"/>
        <v>#N/A</v>
      </c>
      <c r="BN60" s="14" t="e">
        <f t="shared" ca="1" si="22"/>
        <v>#N/A</v>
      </c>
      <c r="BO60" s="14" t="e">
        <f t="shared" ca="1" si="22"/>
        <v>#N/A</v>
      </c>
      <c r="BP60" s="14" t="e">
        <f t="shared" ca="1" si="22"/>
        <v>#N/A</v>
      </c>
      <c r="BQ60" s="14" t="e">
        <f t="shared" ca="1" si="22"/>
        <v>#N/A</v>
      </c>
      <c r="BR60" s="14" t="e">
        <f t="shared" ca="1" si="22"/>
        <v>#N/A</v>
      </c>
      <c r="BS60" s="94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>
        <f t="shared" si="20"/>
        <v>0</v>
      </c>
      <c r="F61" s="14" t="e">
        <f t="shared" ca="1" si="21"/>
        <v>#N/A</v>
      </c>
      <c r="G61" s="14" t="e">
        <f t="shared" ca="1" si="22"/>
        <v>#N/A</v>
      </c>
      <c r="H61" s="14" t="e">
        <f t="shared" ca="1" si="22"/>
        <v>#N/A</v>
      </c>
      <c r="I61" s="14" t="e">
        <f t="shared" ca="1" si="22"/>
        <v>#N/A</v>
      </c>
      <c r="J61" s="14" t="e">
        <f t="shared" ca="1" si="22"/>
        <v>#N/A</v>
      </c>
      <c r="K61" s="14" t="e">
        <f t="shared" ca="1" si="22"/>
        <v>#N/A</v>
      </c>
      <c r="L61" s="14" t="e">
        <f t="shared" ca="1" si="22"/>
        <v>#N/A</v>
      </c>
      <c r="M61" s="14" t="e">
        <f t="shared" ca="1" si="22"/>
        <v>#N/A</v>
      </c>
      <c r="N61" s="14" t="e">
        <f t="shared" ca="1" si="22"/>
        <v>#N/A</v>
      </c>
      <c r="O61" s="14" t="e">
        <f t="shared" ca="1" si="22"/>
        <v>#N/A</v>
      </c>
      <c r="P61" s="14" t="e">
        <f t="shared" ca="1" si="22"/>
        <v>#N/A</v>
      </c>
      <c r="Q61" s="14" t="e">
        <f t="shared" ca="1" si="22"/>
        <v>#N/A</v>
      </c>
      <c r="R61" s="14" t="e">
        <f t="shared" ca="1" si="22"/>
        <v>#N/A</v>
      </c>
      <c r="S61" s="14" t="e">
        <f t="shared" ca="1" si="22"/>
        <v>#N/A</v>
      </c>
      <c r="T61" s="14" t="e">
        <f t="shared" ca="1" si="22"/>
        <v>#N/A</v>
      </c>
      <c r="U61" s="14" t="e">
        <f t="shared" ca="1" si="22"/>
        <v>#N/A</v>
      </c>
      <c r="V61" s="14" t="e">
        <f t="shared" ca="1" si="22"/>
        <v>#N/A</v>
      </c>
      <c r="W61" s="14" t="e">
        <f t="shared" ca="1" si="22"/>
        <v>#N/A</v>
      </c>
      <c r="X61" s="14" t="e">
        <f t="shared" ca="1" si="22"/>
        <v>#N/A</v>
      </c>
      <c r="Y61" s="14" t="e">
        <f t="shared" ca="1" si="22"/>
        <v>#N/A</v>
      </c>
      <c r="Z61" s="14" t="e">
        <f t="shared" ca="1" si="22"/>
        <v>#N/A</v>
      </c>
      <c r="AA61" s="14" t="e">
        <f t="shared" ca="1" si="22"/>
        <v>#N/A</v>
      </c>
      <c r="AB61" s="14" t="e">
        <f t="shared" ca="1" si="22"/>
        <v>#N/A</v>
      </c>
      <c r="AC61" s="14" t="e">
        <f t="shared" ca="1" si="22"/>
        <v>#N/A</v>
      </c>
      <c r="AD61" s="14" t="e">
        <f t="shared" ca="1" si="22"/>
        <v>#N/A</v>
      </c>
      <c r="AE61" s="14" t="e">
        <f t="shared" ca="1" si="22"/>
        <v>#N/A</v>
      </c>
      <c r="AF61" s="14" t="e">
        <f t="shared" ca="1" si="22"/>
        <v>#N/A</v>
      </c>
      <c r="AG61" s="14" t="e">
        <f t="shared" ca="1" si="22"/>
        <v>#N/A</v>
      </c>
      <c r="AH61" s="14" t="e">
        <f t="shared" ca="1" si="22"/>
        <v>#N/A</v>
      </c>
      <c r="AI61" s="14" t="e">
        <f t="shared" ca="1" si="22"/>
        <v>#N/A</v>
      </c>
      <c r="AJ61" s="14" t="e">
        <f t="shared" ca="1" si="22"/>
        <v>#N/A</v>
      </c>
      <c r="AK61" s="14" t="e">
        <f t="shared" ca="1" si="22"/>
        <v>#N/A</v>
      </c>
      <c r="AL61" s="14" t="e">
        <f t="shared" ca="1" si="22"/>
        <v>#N/A</v>
      </c>
      <c r="AM61" s="14" t="e">
        <f t="shared" ca="1" si="22"/>
        <v>#N/A</v>
      </c>
      <c r="AN61" s="14" t="e">
        <f t="shared" ca="1" si="22"/>
        <v>#N/A</v>
      </c>
      <c r="AO61" s="14" t="e">
        <f t="shared" ca="1" si="22"/>
        <v>#N/A</v>
      </c>
      <c r="AP61" s="14" t="e">
        <f t="shared" ca="1" si="22"/>
        <v>#N/A</v>
      </c>
      <c r="AQ61" s="14" t="e">
        <f t="shared" ca="1" si="22"/>
        <v>#N/A</v>
      </c>
      <c r="AR61" s="14" t="e">
        <f t="shared" ca="1" si="22"/>
        <v>#N/A</v>
      </c>
      <c r="AS61" s="14" t="e">
        <f t="shared" ca="1" si="22"/>
        <v>#N/A</v>
      </c>
      <c r="AT61" s="14" t="e">
        <f t="shared" ca="1" si="22"/>
        <v>#N/A</v>
      </c>
      <c r="AU61" s="14" t="e">
        <f t="shared" ca="1" si="22"/>
        <v>#N/A</v>
      </c>
      <c r="AV61" s="14" t="e">
        <f t="shared" ca="1" si="22"/>
        <v>#N/A</v>
      </c>
      <c r="AW61" s="14" t="e">
        <f t="shared" ca="1" si="22"/>
        <v>#N/A</v>
      </c>
      <c r="AX61" s="14" t="e">
        <f t="shared" ca="1" si="22"/>
        <v>#N/A</v>
      </c>
      <c r="AY61" s="14" t="e">
        <f t="shared" ca="1" si="22"/>
        <v>#N/A</v>
      </c>
      <c r="AZ61" s="14" t="e">
        <f t="shared" ca="1" si="22"/>
        <v>#N/A</v>
      </c>
      <c r="BA61" s="14" t="e">
        <f t="shared" ca="1" si="22"/>
        <v>#N/A</v>
      </c>
      <c r="BB61" s="14" t="e">
        <f t="shared" ca="1" si="22"/>
        <v>#N/A</v>
      </c>
      <c r="BC61" s="14" t="e">
        <f t="shared" ca="1" si="22"/>
        <v>#N/A</v>
      </c>
      <c r="BD61" s="14" t="e">
        <f t="shared" ca="1" si="22"/>
        <v>#N/A</v>
      </c>
      <c r="BE61" s="14" t="e">
        <f t="shared" ca="1" si="22"/>
        <v>#N/A</v>
      </c>
      <c r="BF61" s="14" t="e">
        <f t="shared" ca="1" si="22"/>
        <v>#N/A</v>
      </c>
      <c r="BG61" s="14" t="e">
        <f t="shared" ca="1" si="22"/>
        <v>#N/A</v>
      </c>
      <c r="BH61" s="14" t="e">
        <f t="shared" ca="1" si="22"/>
        <v>#N/A</v>
      </c>
      <c r="BI61" s="14" t="e">
        <f t="shared" ca="1" si="22"/>
        <v>#N/A</v>
      </c>
      <c r="BJ61" s="14" t="e">
        <f t="shared" ca="1" si="22"/>
        <v>#N/A</v>
      </c>
      <c r="BK61" s="14" t="e">
        <f t="shared" ca="1" si="22"/>
        <v>#N/A</v>
      </c>
      <c r="BL61" s="14" t="e">
        <f t="shared" ca="1" si="22"/>
        <v>#N/A</v>
      </c>
      <c r="BM61" s="14" t="e">
        <f t="shared" ca="1" si="22"/>
        <v>#N/A</v>
      </c>
      <c r="BN61" s="14" t="e">
        <f t="shared" ca="1" si="22"/>
        <v>#N/A</v>
      </c>
      <c r="BO61" s="14" t="e">
        <f t="shared" ca="1" si="22"/>
        <v>#N/A</v>
      </c>
      <c r="BP61" s="14" t="e">
        <f t="shared" ca="1" si="22"/>
        <v>#N/A</v>
      </c>
      <c r="BQ61" s="14" t="e">
        <f t="shared" ca="1" si="22"/>
        <v>#N/A</v>
      </c>
      <c r="BR61" s="14" t="e">
        <f t="shared" ca="1" si="22"/>
        <v>#N/A</v>
      </c>
      <c r="BS61" s="94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 t="e">
        <f t="shared" ca="1" si="21"/>
        <v>#N/A</v>
      </c>
      <c r="G62" s="14" t="e">
        <f t="shared" ca="1" si="22"/>
        <v>#N/A</v>
      </c>
      <c r="H62" s="14" t="e">
        <f t="shared" ca="1" si="22"/>
        <v>#N/A</v>
      </c>
      <c r="I62" s="14" t="e">
        <f t="shared" ca="1" si="22"/>
        <v>#N/A</v>
      </c>
      <c r="J62" s="14" t="e">
        <f t="shared" ca="1" si="22"/>
        <v>#N/A</v>
      </c>
      <c r="K62" s="14" t="e">
        <f t="shared" ca="1" si="22"/>
        <v>#N/A</v>
      </c>
      <c r="L62" s="14" t="e">
        <f t="shared" ca="1" si="22"/>
        <v>#N/A</v>
      </c>
      <c r="M62" s="14" t="e">
        <f t="shared" ca="1" si="22"/>
        <v>#N/A</v>
      </c>
      <c r="N62" s="14" t="e">
        <f t="shared" ca="1" si="22"/>
        <v>#N/A</v>
      </c>
      <c r="O62" s="14" t="e">
        <f t="shared" ca="1" si="22"/>
        <v>#N/A</v>
      </c>
      <c r="P62" s="14" t="e">
        <f t="shared" ca="1" si="22"/>
        <v>#N/A</v>
      </c>
      <c r="Q62" s="14" t="e">
        <f t="shared" ca="1" si="22"/>
        <v>#N/A</v>
      </c>
      <c r="R62" s="14" t="e">
        <f t="shared" ca="1" si="22"/>
        <v>#N/A</v>
      </c>
      <c r="S62" s="14" t="e">
        <f t="shared" ca="1" si="22"/>
        <v>#N/A</v>
      </c>
      <c r="T62" s="14" t="e">
        <f t="shared" ca="1" si="22"/>
        <v>#N/A</v>
      </c>
      <c r="U62" s="14" t="e">
        <f t="shared" ca="1" si="22"/>
        <v>#N/A</v>
      </c>
      <c r="V62" s="14" t="e">
        <f t="shared" ca="1" si="22"/>
        <v>#N/A</v>
      </c>
      <c r="W62" s="14" t="e">
        <f t="shared" ca="1" si="22"/>
        <v>#N/A</v>
      </c>
      <c r="X62" s="14" t="e">
        <f t="shared" ca="1" si="22"/>
        <v>#N/A</v>
      </c>
      <c r="Y62" s="14" t="e">
        <f t="shared" ca="1" si="22"/>
        <v>#N/A</v>
      </c>
      <c r="Z62" s="14" t="e">
        <f t="shared" ca="1" si="22"/>
        <v>#N/A</v>
      </c>
      <c r="AA62" s="14" t="e">
        <f t="shared" ca="1" si="22"/>
        <v>#N/A</v>
      </c>
      <c r="AB62" s="14" t="e">
        <f t="shared" ca="1" si="22"/>
        <v>#N/A</v>
      </c>
      <c r="AC62" s="14" t="e">
        <f t="shared" ca="1" si="22"/>
        <v>#N/A</v>
      </c>
      <c r="AD62" s="14" t="e">
        <f t="shared" ca="1" si="22"/>
        <v>#N/A</v>
      </c>
      <c r="AE62" s="14" t="e">
        <f t="shared" ca="1" si="22"/>
        <v>#N/A</v>
      </c>
      <c r="AF62" s="14" t="e">
        <f t="shared" ca="1" si="22"/>
        <v>#N/A</v>
      </c>
      <c r="AG62" s="14" t="e">
        <f t="shared" ref="G62:BR66" ca="1" si="23">$A62*H.Ar + $B62*H.Se + $C62*H.Ge + $D62*H.Ga</f>
        <v>#N/A</v>
      </c>
      <c r="AH62" s="14" t="e">
        <f t="shared" ca="1" si="23"/>
        <v>#N/A</v>
      </c>
      <c r="AI62" s="14" t="e">
        <f t="shared" ca="1" si="23"/>
        <v>#N/A</v>
      </c>
      <c r="AJ62" s="14" t="e">
        <f t="shared" ca="1" si="23"/>
        <v>#N/A</v>
      </c>
      <c r="AK62" s="14" t="e">
        <f t="shared" ca="1" si="23"/>
        <v>#N/A</v>
      </c>
      <c r="AL62" s="14" t="e">
        <f t="shared" ca="1" si="23"/>
        <v>#N/A</v>
      </c>
      <c r="AM62" s="14" t="e">
        <f t="shared" ca="1" si="23"/>
        <v>#N/A</v>
      </c>
      <c r="AN62" s="14" t="e">
        <f t="shared" ca="1" si="23"/>
        <v>#N/A</v>
      </c>
      <c r="AO62" s="14" t="e">
        <f t="shared" ca="1" si="23"/>
        <v>#N/A</v>
      </c>
      <c r="AP62" s="14" t="e">
        <f t="shared" ca="1" si="23"/>
        <v>#N/A</v>
      </c>
      <c r="AQ62" s="14" t="e">
        <f t="shared" ca="1" si="23"/>
        <v>#N/A</v>
      </c>
      <c r="AR62" s="14" t="e">
        <f t="shared" ca="1" si="23"/>
        <v>#N/A</v>
      </c>
      <c r="AS62" s="14" t="e">
        <f t="shared" ca="1" si="23"/>
        <v>#N/A</v>
      </c>
      <c r="AT62" s="14" t="e">
        <f t="shared" ca="1" si="23"/>
        <v>#N/A</v>
      </c>
      <c r="AU62" s="14" t="e">
        <f t="shared" ca="1" si="23"/>
        <v>#N/A</v>
      </c>
      <c r="AV62" s="14" t="e">
        <f t="shared" ca="1" si="23"/>
        <v>#N/A</v>
      </c>
      <c r="AW62" s="14" t="e">
        <f t="shared" ca="1" si="23"/>
        <v>#N/A</v>
      </c>
      <c r="AX62" s="14" t="e">
        <f t="shared" ca="1" si="23"/>
        <v>#N/A</v>
      </c>
      <c r="AY62" s="14" t="e">
        <f t="shared" ca="1" si="23"/>
        <v>#N/A</v>
      </c>
      <c r="AZ62" s="14" t="e">
        <f t="shared" ca="1" si="23"/>
        <v>#N/A</v>
      </c>
      <c r="BA62" s="14" t="e">
        <f t="shared" ca="1" si="23"/>
        <v>#N/A</v>
      </c>
      <c r="BB62" s="14" t="e">
        <f t="shared" ca="1" si="23"/>
        <v>#N/A</v>
      </c>
      <c r="BC62" s="14" t="e">
        <f t="shared" ca="1" si="23"/>
        <v>#N/A</v>
      </c>
      <c r="BD62" s="14" t="e">
        <f t="shared" ca="1" si="23"/>
        <v>#N/A</v>
      </c>
      <c r="BE62" s="14" t="e">
        <f t="shared" ca="1" si="23"/>
        <v>#N/A</v>
      </c>
      <c r="BF62" s="14" t="e">
        <f t="shared" ca="1" si="23"/>
        <v>#N/A</v>
      </c>
      <c r="BG62" s="14" t="e">
        <f t="shared" ca="1" si="23"/>
        <v>#N/A</v>
      </c>
      <c r="BH62" s="14" t="e">
        <f t="shared" ca="1" si="23"/>
        <v>#N/A</v>
      </c>
      <c r="BI62" s="14" t="e">
        <f t="shared" ca="1" si="23"/>
        <v>#N/A</v>
      </c>
      <c r="BJ62" s="14" t="e">
        <f t="shared" ca="1" si="23"/>
        <v>#N/A</v>
      </c>
      <c r="BK62" s="14" t="e">
        <f t="shared" ca="1" si="23"/>
        <v>#N/A</v>
      </c>
      <c r="BL62" s="14" t="e">
        <f t="shared" ca="1" si="23"/>
        <v>#N/A</v>
      </c>
      <c r="BM62" s="14" t="e">
        <f t="shared" ca="1" si="23"/>
        <v>#N/A</v>
      </c>
      <c r="BN62" s="14" t="e">
        <f t="shared" ca="1" si="23"/>
        <v>#N/A</v>
      </c>
      <c r="BO62" s="14" t="e">
        <f t="shared" ca="1" si="23"/>
        <v>#N/A</v>
      </c>
      <c r="BP62" s="14" t="e">
        <f t="shared" ca="1" si="23"/>
        <v>#N/A</v>
      </c>
      <c r="BQ62" s="14" t="e">
        <f t="shared" ca="1" si="23"/>
        <v>#N/A</v>
      </c>
      <c r="BR62" s="14" t="e">
        <f t="shared" ca="1" si="23"/>
        <v>#N/A</v>
      </c>
      <c r="BS62" s="94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 t="e">
        <f t="shared" ca="1" si="21"/>
        <v>#N/A</v>
      </c>
      <c r="G63" s="14" t="e">
        <f t="shared" ca="1" si="23"/>
        <v>#N/A</v>
      </c>
      <c r="H63" s="14" t="e">
        <f t="shared" ca="1" si="23"/>
        <v>#N/A</v>
      </c>
      <c r="I63" s="14" t="e">
        <f t="shared" ca="1" si="23"/>
        <v>#N/A</v>
      </c>
      <c r="J63" s="14" t="e">
        <f t="shared" ca="1" si="23"/>
        <v>#N/A</v>
      </c>
      <c r="K63" s="14" t="e">
        <f t="shared" ca="1" si="23"/>
        <v>#N/A</v>
      </c>
      <c r="L63" s="14" t="e">
        <f t="shared" ca="1" si="23"/>
        <v>#N/A</v>
      </c>
      <c r="M63" s="14" t="e">
        <f t="shared" ca="1" si="23"/>
        <v>#N/A</v>
      </c>
      <c r="N63" s="14" t="e">
        <f t="shared" ca="1" si="23"/>
        <v>#N/A</v>
      </c>
      <c r="O63" s="14" t="e">
        <f t="shared" ca="1" si="23"/>
        <v>#N/A</v>
      </c>
      <c r="P63" s="14" t="e">
        <f t="shared" ca="1" si="23"/>
        <v>#N/A</v>
      </c>
      <c r="Q63" s="14" t="e">
        <f t="shared" ca="1" si="23"/>
        <v>#N/A</v>
      </c>
      <c r="R63" s="14" t="e">
        <f t="shared" ca="1" si="23"/>
        <v>#N/A</v>
      </c>
      <c r="S63" s="14" t="e">
        <f t="shared" ca="1" si="23"/>
        <v>#N/A</v>
      </c>
      <c r="T63" s="14" t="e">
        <f t="shared" ca="1" si="23"/>
        <v>#N/A</v>
      </c>
      <c r="U63" s="14" t="e">
        <f t="shared" ca="1" si="23"/>
        <v>#N/A</v>
      </c>
      <c r="V63" s="14" t="e">
        <f t="shared" ca="1" si="23"/>
        <v>#N/A</v>
      </c>
      <c r="W63" s="14" t="e">
        <f t="shared" ca="1" si="23"/>
        <v>#N/A</v>
      </c>
      <c r="X63" s="14" t="e">
        <f t="shared" ca="1" si="23"/>
        <v>#N/A</v>
      </c>
      <c r="Y63" s="14" t="e">
        <f t="shared" ca="1" si="23"/>
        <v>#N/A</v>
      </c>
      <c r="Z63" s="14" t="e">
        <f t="shared" ca="1" si="23"/>
        <v>#N/A</v>
      </c>
      <c r="AA63" s="14" t="e">
        <f t="shared" ca="1" si="23"/>
        <v>#N/A</v>
      </c>
      <c r="AB63" s="14" t="e">
        <f t="shared" ca="1" si="23"/>
        <v>#N/A</v>
      </c>
      <c r="AC63" s="14" t="e">
        <f t="shared" ca="1" si="23"/>
        <v>#N/A</v>
      </c>
      <c r="AD63" s="14" t="e">
        <f t="shared" ca="1" si="23"/>
        <v>#N/A</v>
      </c>
      <c r="AE63" s="14" t="e">
        <f t="shared" ca="1" si="23"/>
        <v>#N/A</v>
      </c>
      <c r="AF63" s="14" t="e">
        <f t="shared" ca="1" si="23"/>
        <v>#N/A</v>
      </c>
      <c r="AG63" s="14" t="e">
        <f t="shared" ca="1" si="23"/>
        <v>#N/A</v>
      </c>
      <c r="AH63" s="14" t="e">
        <f t="shared" ca="1" si="23"/>
        <v>#N/A</v>
      </c>
      <c r="AI63" s="14" t="e">
        <f t="shared" ca="1" si="23"/>
        <v>#N/A</v>
      </c>
      <c r="AJ63" s="14" t="e">
        <f t="shared" ca="1" si="23"/>
        <v>#N/A</v>
      </c>
      <c r="AK63" s="14" t="e">
        <f t="shared" ca="1" si="23"/>
        <v>#N/A</v>
      </c>
      <c r="AL63" s="14" t="e">
        <f t="shared" ca="1" si="23"/>
        <v>#N/A</v>
      </c>
      <c r="AM63" s="14" t="e">
        <f t="shared" ca="1" si="23"/>
        <v>#N/A</v>
      </c>
      <c r="AN63" s="14" t="e">
        <f t="shared" ca="1" si="23"/>
        <v>#N/A</v>
      </c>
      <c r="AO63" s="14" t="e">
        <f t="shared" ca="1" si="23"/>
        <v>#N/A</v>
      </c>
      <c r="AP63" s="14" t="e">
        <f t="shared" ca="1" si="23"/>
        <v>#N/A</v>
      </c>
      <c r="AQ63" s="14" t="e">
        <f t="shared" ca="1" si="23"/>
        <v>#N/A</v>
      </c>
      <c r="AR63" s="14" t="e">
        <f t="shared" ca="1" si="23"/>
        <v>#N/A</v>
      </c>
      <c r="AS63" s="14" t="e">
        <f t="shared" ca="1" si="23"/>
        <v>#N/A</v>
      </c>
      <c r="AT63" s="14" t="e">
        <f t="shared" ca="1" si="23"/>
        <v>#N/A</v>
      </c>
      <c r="AU63" s="14" t="e">
        <f t="shared" ca="1" si="23"/>
        <v>#N/A</v>
      </c>
      <c r="AV63" s="14" t="e">
        <f t="shared" ca="1" si="23"/>
        <v>#N/A</v>
      </c>
      <c r="AW63" s="14" t="e">
        <f t="shared" ca="1" si="23"/>
        <v>#N/A</v>
      </c>
      <c r="AX63" s="14" t="e">
        <f t="shared" ca="1" si="23"/>
        <v>#N/A</v>
      </c>
      <c r="AY63" s="14" t="e">
        <f t="shared" ca="1" si="23"/>
        <v>#N/A</v>
      </c>
      <c r="AZ63" s="14" t="e">
        <f t="shared" ca="1" si="23"/>
        <v>#N/A</v>
      </c>
      <c r="BA63" s="14" t="e">
        <f t="shared" ca="1" si="23"/>
        <v>#N/A</v>
      </c>
      <c r="BB63" s="14" t="e">
        <f t="shared" ca="1" si="23"/>
        <v>#N/A</v>
      </c>
      <c r="BC63" s="14" t="e">
        <f t="shared" ca="1" si="23"/>
        <v>#N/A</v>
      </c>
      <c r="BD63" s="14" t="e">
        <f t="shared" ca="1" si="23"/>
        <v>#N/A</v>
      </c>
      <c r="BE63" s="14" t="e">
        <f t="shared" ca="1" si="23"/>
        <v>#N/A</v>
      </c>
      <c r="BF63" s="14" t="e">
        <f t="shared" ca="1" si="23"/>
        <v>#N/A</v>
      </c>
      <c r="BG63" s="14" t="e">
        <f t="shared" ca="1" si="23"/>
        <v>#N/A</v>
      </c>
      <c r="BH63" s="14" t="e">
        <f t="shared" ca="1" si="23"/>
        <v>#N/A</v>
      </c>
      <c r="BI63" s="14" t="e">
        <f t="shared" ca="1" si="23"/>
        <v>#N/A</v>
      </c>
      <c r="BJ63" s="14" t="e">
        <f t="shared" ca="1" si="23"/>
        <v>#N/A</v>
      </c>
      <c r="BK63" s="14" t="e">
        <f t="shared" ca="1" si="23"/>
        <v>#N/A</v>
      </c>
      <c r="BL63" s="14" t="e">
        <f t="shared" ca="1" si="23"/>
        <v>#N/A</v>
      </c>
      <c r="BM63" s="14" t="e">
        <f t="shared" ca="1" si="23"/>
        <v>#N/A</v>
      </c>
      <c r="BN63" s="14" t="e">
        <f t="shared" ca="1" si="23"/>
        <v>#N/A</v>
      </c>
      <c r="BO63" s="14" t="e">
        <f t="shared" ca="1" si="23"/>
        <v>#N/A</v>
      </c>
      <c r="BP63" s="14" t="e">
        <f t="shared" ca="1" si="23"/>
        <v>#N/A</v>
      </c>
      <c r="BQ63" s="14" t="e">
        <f t="shared" ca="1" si="23"/>
        <v>#N/A</v>
      </c>
      <c r="BR63" s="14" t="e">
        <f t="shared" ca="1" si="23"/>
        <v>#N/A</v>
      </c>
      <c r="BS63" s="94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 t="e">
        <f t="shared" ca="1" si="21"/>
        <v>#N/A</v>
      </c>
      <c r="G64" s="14" t="e">
        <f t="shared" ca="1" si="23"/>
        <v>#N/A</v>
      </c>
      <c r="H64" s="14" t="e">
        <f t="shared" ca="1" si="23"/>
        <v>#N/A</v>
      </c>
      <c r="I64" s="14" t="e">
        <f t="shared" ca="1" si="23"/>
        <v>#N/A</v>
      </c>
      <c r="J64" s="14" t="e">
        <f t="shared" ca="1" si="23"/>
        <v>#N/A</v>
      </c>
      <c r="K64" s="14" t="e">
        <f t="shared" ca="1" si="23"/>
        <v>#N/A</v>
      </c>
      <c r="L64" s="14" t="e">
        <f t="shared" ca="1" si="23"/>
        <v>#N/A</v>
      </c>
      <c r="M64" s="14" t="e">
        <f t="shared" ca="1" si="23"/>
        <v>#N/A</v>
      </c>
      <c r="N64" s="14" t="e">
        <f t="shared" ca="1" si="23"/>
        <v>#N/A</v>
      </c>
      <c r="O64" s="14" t="e">
        <f t="shared" ca="1" si="23"/>
        <v>#N/A</v>
      </c>
      <c r="P64" s="14" t="e">
        <f t="shared" ca="1" si="23"/>
        <v>#N/A</v>
      </c>
      <c r="Q64" s="14" t="e">
        <f t="shared" ca="1" si="23"/>
        <v>#N/A</v>
      </c>
      <c r="R64" s="14" t="e">
        <f t="shared" ca="1" si="23"/>
        <v>#N/A</v>
      </c>
      <c r="S64" s="14" t="e">
        <f t="shared" ca="1" si="23"/>
        <v>#N/A</v>
      </c>
      <c r="T64" s="14" t="e">
        <f t="shared" ca="1" si="23"/>
        <v>#N/A</v>
      </c>
      <c r="U64" s="14" t="e">
        <f t="shared" ca="1" si="23"/>
        <v>#N/A</v>
      </c>
      <c r="V64" s="14" t="e">
        <f t="shared" ca="1" si="23"/>
        <v>#N/A</v>
      </c>
      <c r="W64" s="14" t="e">
        <f t="shared" ca="1" si="23"/>
        <v>#N/A</v>
      </c>
      <c r="X64" s="14" t="e">
        <f t="shared" ca="1" si="23"/>
        <v>#N/A</v>
      </c>
      <c r="Y64" s="14" t="e">
        <f t="shared" ca="1" si="23"/>
        <v>#N/A</v>
      </c>
      <c r="Z64" s="14" t="e">
        <f t="shared" ca="1" si="23"/>
        <v>#N/A</v>
      </c>
      <c r="AA64" s="14" t="e">
        <f t="shared" ca="1" si="23"/>
        <v>#N/A</v>
      </c>
      <c r="AB64" s="14" t="e">
        <f t="shared" ca="1" si="23"/>
        <v>#N/A</v>
      </c>
      <c r="AC64" s="14" t="e">
        <f t="shared" ca="1" si="23"/>
        <v>#N/A</v>
      </c>
      <c r="AD64" s="14" t="e">
        <f t="shared" ca="1" si="23"/>
        <v>#N/A</v>
      </c>
      <c r="AE64" s="14" t="e">
        <f t="shared" ca="1" si="23"/>
        <v>#N/A</v>
      </c>
      <c r="AF64" s="14" t="e">
        <f t="shared" ca="1" si="23"/>
        <v>#N/A</v>
      </c>
      <c r="AG64" s="14" t="e">
        <f t="shared" ca="1" si="23"/>
        <v>#N/A</v>
      </c>
      <c r="AH64" s="14" t="e">
        <f t="shared" ca="1" si="23"/>
        <v>#N/A</v>
      </c>
      <c r="AI64" s="14" t="e">
        <f t="shared" ca="1" si="23"/>
        <v>#N/A</v>
      </c>
      <c r="AJ64" s="14" t="e">
        <f t="shared" ca="1" si="23"/>
        <v>#N/A</v>
      </c>
      <c r="AK64" s="14" t="e">
        <f t="shared" ca="1" si="23"/>
        <v>#N/A</v>
      </c>
      <c r="AL64" s="14" t="e">
        <f t="shared" ca="1" si="23"/>
        <v>#N/A</v>
      </c>
      <c r="AM64" s="14" t="e">
        <f t="shared" ca="1" si="23"/>
        <v>#N/A</v>
      </c>
      <c r="AN64" s="14" t="e">
        <f t="shared" ca="1" si="23"/>
        <v>#N/A</v>
      </c>
      <c r="AO64" s="14" t="e">
        <f t="shared" ca="1" si="23"/>
        <v>#N/A</v>
      </c>
      <c r="AP64" s="14" t="e">
        <f t="shared" ca="1" si="23"/>
        <v>#N/A</v>
      </c>
      <c r="AQ64" s="14" t="e">
        <f t="shared" ca="1" si="23"/>
        <v>#N/A</v>
      </c>
      <c r="AR64" s="14" t="e">
        <f t="shared" ca="1" si="23"/>
        <v>#N/A</v>
      </c>
      <c r="AS64" s="14" t="e">
        <f t="shared" ca="1" si="23"/>
        <v>#N/A</v>
      </c>
      <c r="AT64" s="14" t="e">
        <f t="shared" ca="1" si="23"/>
        <v>#N/A</v>
      </c>
      <c r="AU64" s="14" t="e">
        <f t="shared" ca="1" si="23"/>
        <v>#N/A</v>
      </c>
      <c r="AV64" s="14" t="e">
        <f t="shared" ca="1" si="23"/>
        <v>#N/A</v>
      </c>
      <c r="AW64" s="14" t="e">
        <f t="shared" ca="1" si="23"/>
        <v>#N/A</v>
      </c>
      <c r="AX64" s="14" t="e">
        <f t="shared" ca="1" si="23"/>
        <v>#N/A</v>
      </c>
      <c r="AY64" s="14" t="e">
        <f t="shared" ca="1" si="23"/>
        <v>#N/A</v>
      </c>
      <c r="AZ64" s="14" t="e">
        <f t="shared" ca="1" si="23"/>
        <v>#N/A</v>
      </c>
      <c r="BA64" s="14" t="e">
        <f t="shared" ca="1" si="23"/>
        <v>#N/A</v>
      </c>
      <c r="BB64" s="14" t="e">
        <f t="shared" ca="1" si="23"/>
        <v>#N/A</v>
      </c>
      <c r="BC64" s="14" t="e">
        <f t="shared" ca="1" si="23"/>
        <v>#N/A</v>
      </c>
      <c r="BD64" s="14" t="e">
        <f t="shared" ca="1" si="23"/>
        <v>#N/A</v>
      </c>
      <c r="BE64" s="14" t="e">
        <f t="shared" ca="1" si="23"/>
        <v>#N/A</v>
      </c>
      <c r="BF64" s="14" t="e">
        <f t="shared" ca="1" si="23"/>
        <v>#N/A</v>
      </c>
      <c r="BG64" s="14" t="e">
        <f t="shared" ca="1" si="23"/>
        <v>#N/A</v>
      </c>
      <c r="BH64" s="14" t="e">
        <f t="shared" ca="1" si="23"/>
        <v>#N/A</v>
      </c>
      <c r="BI64" s="14" t="e">
        <f t="shared" ca="1" si="23"/>
        <v>#N/A</v>
      </c>
      <c r="BJ64" s="14" t="e">
        <f t="shared" ca="1" si="23"/>
        <v>#N/A</v>
      </c>
      <c r="BK64" s="14" t="e">
        <f t="shared" ca="1" si="23"/>
        <v>#N/A</v>
      </c>
      <c r="BL64" s="14" t="e">
        <f t="shared" ca="1" si="23"/>
        <v>#N/A</v>
      </c>
      <c r="BM64" s="14" t="e">
        <f t="shared" ca="1" si="23"/>
        <v>#N/A</v>
      </c>
      <c r="BN64" s="14" t="e">
        <f t="shared" ca="1" si="23"/>
        <v>#N/A</v>
      </c>
      <c r="BO64" s="14" t="e">
        <f t="shared" ca="1" si="23"/>
        <v>#N/A</v>
      </c>
      <c r="BP64" s="14" t="e">
        <f t="shared" ca="1" si="23"/>
        <v>#N/A</v>
      </c>
      <c r="BQ64" s="14" t="e">
        <f t="shared" ca="1" si="23"/>
        <v>#N/A</v>
      </c>
      <c r="BR64" s="14" t="e">
        <f t="shared" ca="1" si="23"/>
        <v>#N/A</v>
      </c>
      <c r="BS64" s="94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 t="e">
        <f t="shared" ca="1" si="21"/>
        <v>#N/A</v>
      </c>
      <c r="G65" s="14" t="e">
        <f t="shared" ca="1" si="23"/>
        <v>#N/A</v>
      </c>
      <c r="H65" s="14" t="e">
        <f t="shared" ca="1" si="23"/>
        <v>#N/A</v>
      </c>
      <c r="I65" s="14" t="e">
        <f t="shared" ca="1" si="23"/>
        <v>#N/A</v>
      </c>
      <c r="J65" s="14" t="e">
        <f t="shared" ca="1" si="23"/>
        <v>#N/A</v>
      </c>
      <c r="K65" s="14" t="e">
        <f t="shared" ca="1" si="23"/>
        <v>#N/A</v>
      </c>
      <c r="L65" s="14" t="e">
        <f t="shared" ca="1" si="23"/>
        <v>#N/A</v>
      </c>
      <c r="M65" s="14" t="e">
        <f t="shared" ca="1" si="23"/>
        <v>#N/A</v>
      </c>
      <c r="N65" s="14" t="e">
        <f t="shared" ca="1" si="23"/>
        <v>#N/A</v>
      </c>
      <c r="O65" s="14" t="e">
        <f t="shared" ca="1" si="23"/>
        <v>#N/A</v>
      </c>
      <c r="P65" s="14" t="e">
        <f t="shared" ca="1" si="23"/>
        <v>#N/A</v>
      </c>
      <c r="Q65" s="14" t="e">
        <f t="shared" ca="1" si="23"/>
        <v>#N/A</v>
      </c>
      <c r="R65" s="14" t="e">
        <f t="shared" ca="1" si="23"/>
        <v>#N/A</v>
      </c>
      <c r="S65" s="14" t="e">
        <f t="shared" ca="1" si="23"/>
        <v>#N/A</v>
      </c>
      <c r="T65" s="14" t="e">
        <f t="shared" ca="1" si="23"/>
        <v>#N/A</v>
      </c>
      <c r="U65" s="14" t="e">
        <f t="shared" ca="1" si="23"/>
        <v>#N/A</v>
      </c>
      <c r="V65" s="14" t="e">
        <f t="shared" ca="1" si="23"/>
        <v>#N/A</v>
      </c>
      <c r="W65" s="14" t="e">
        <f t="shared" ca="1" si="23"/>
        <v>#N/A</v>
      </c>
      <c r="X65" s="14" t="e">
        <f t="shared" ca="1" si="23"/>
        <v>#N/A</v>
      </c>
      <c r="Y65" s="14" t="e">
        <f t="shared" ca="1" si="23"/>
        <v>#N/A</v>
      </c>
      <c r="Z65" s="14" t="e">
        <f t="shared" ca="1" si="23"/>
        <v>#N/A</v>
      </c>
      <c r="AA65" s="14" t="e">
        <f t="shared" ca="1" si="23"/>
        <v>#N/A</v>
      </c>
      <c r="AB65" s="14" t="e">
        <f t="shared" ca="1" si="23"/>
        <v>#N/A</v>
      </c>
      <c r="AC65" s="14" t="e">
        <f t="shared" ca="1" si="23"/>
        <v>#N/A</v>
      </c>
      <c r="AD65" s="14" t="e">
        <f t="shared" ca="1" si="23"/>
        <v>#N/A</v>
      </c>
      <c r="AE65" s="14" t="e">
        <f t="shared" ca="1" si="23"/>
        <v>#N/A</v>
      </c>
      <c r="AF65" s="14" t="e">
        <f t="shared" ca="1" si="23"/>
        <v>#N/A</v>
      </c>
      <c r="AG65" s="14" t="e">
        <f t="shared" ca="1" si="23"/>
        <v>#N/A</v>
      </c>
      <c r="AH65" s="14" t="e">
        <f t="shared" ca="1" si="23"/>
        <v>#N/A</v>
      </c>
      <c r="AI65" s="14" t="e">
        <f t="shared" ca="1" si="23"/>
        <v>#N/A</v>
      </c>
      <c r="AJ65" s="14" t="e">
        <f t="shared" ca="1" si="23"/>
        <v>#N/A</v>
      </c>
      <c r="AK65" s="14" t="e">
        <f t="shared" ca="1" si="23"/>
        <v>#N/A</v>
      </c>
      <c r="AL65" s="14" t="e">
        <f t="shared" ca="1" si="23"/>
        <v>#N/A</v>
      </c>
      <c r="AM65" s="14" t="e">
        <f t="shared" ca="1" si="23"/>
        <v>#N/A</v>
      </c>
      <c r="AN65" s="14" t="e">
        <f t="shared" ca="1" si="23"/>
        <v>#N/A</v>
      </c>
      <c r="AO65" s="14" t="e">
        <f t="shared" ca="1" si="23"/>
        <v>#N/A</v>
      </c>
      <c r="AP65" s="14" t="e">
        <f t="shared" ca="1" si="23"/>
        <v>#N/A</v>
      </c>
      <c r="AQ65" s="14" t="e">
        <f t="shared" ca="1" si="23"/>
        <v>#N/A</v>
      </c>
      <c r="AR65" s="14" t="e">
        <f t="shared" ca="1" si="23"/>
        <v>#N/A</v>
      </c>
      <c r="AS65" s="14" t="e">
        <f t="shared" ca="1" si="23"/>
        <v>#N/A</v>
      </c>
      <c r="AT65" s="14" t="e">
        <f t="shared" ca="1" si="23"/>
        <v>#N/A</v>
      </c>
      <c r="AU65" s="14" t="e">
        <f t="shared" ca="1" si="23"/>
        <v>#N/A</v>
      </c>
      <c r="AV65" s="14" t="e">
        <f t="shared" ca="1" si="23"/>
        <v>#N/A</v>
      </c>
      <c r="AW65" s="14" t="e">
        <f t="shared" ca="1" si="23"/>
        <v>#N/A</v>
      </c>
      <c r="AX65" s="14" t="e">
        <f t="shared" ca="1" si="23"/>
        <v>#N/A</v>
      </c>
      <c r="AY65" s="14" t="e">
        <f t="shared" ca="1" si="23"/>
        <v>#N/A</v>
      </c>
      <c r="AZ65" s="14" t="e">
        <f t="shared" ca="1" si="23"/>
        <v>#N/A</v>
      </c>
      <c r="BA65" s="14" t="e">
        <f t="shared" ca="1" si="23"/>
        <v>#N/A</v>
      </c>
      <c r="BB65" s="14" t="e">
        <f t="shared" ca="1" si="23"/>
        <v>#N/A</v>
      </c>
      <c r="BC65" s="14" t="e">
        <f t="shared" ca="1" si="23"/>
        <v>#N/A</v>
      </c>
      <c r="BD65" s="14" t="e">
        <f t="shared" ca="1" si="23"/>
        <v>#N/A</v>
      </c>
      <c r="BE65" s="14" t="e">
        <f t="shared" ca="1" si="23"/>
        <v>#N/A</v>
      </c>
      <c r="BF65" s="14" t="e">
        <f t="shared" ca="1" si="23"/>
        <v>#N/A</v>
      </c>
      <c r="BG65" s="14" t="e">
        <f t="shared" ca="1" si="23"/>
        <v>#N/A</v>
      </c>
      <c r="BH65" s="14" t="e">
        <f t="shared" ca="1" si="23"/>
        <v>#N/A</v>
      </c>
      <c r="BI65" s="14" t="e">
        <f t="shared" ca="1" si="23"/>
        <v>#N/A</v>
      </c>
      <c r="BJ65" s="14" t="e">
        <f t="shared" ca="1" si="23"/>
        <v>#N/A</v>
      </c>
      <c r="BK65" s="14" t="e">
        <f t="shared" ca="1" si="23"/>
        <v>#N/A</v>
      </c>
      <c r="BL65" s="14" t="e">
        <f t="shared" ca="1" si="23"/>
        <v>#N/A</v>
      </c>
      <c r="BM65" s="14" t="e">
        <f t="shared" ca="1" si="23"/>
        <v>#N/A</v>
      </c>
      <c r="BN65" s="14" t="e">
        <f t="shared" ca="1" si="23"/>
        <v>#N/A</v>
      </c>
      <c r="BO65" s="14" t="e">
        <f t="shared" ca="1" si="23"/>
        <v>#N/A</v>
      </c>
      <c r="BP65" s="14" t="e">
        <f t="shared" ca="1" si="23"/>
        <v>#N/A</v>
      </c>
      <c r="BQ65" s="14" t="e">
        <f t="shared" ca="1" si="23"/>
        <v>#N/A</v>
      </c>
      <c r="BR65" s="14" t="e">
        <f t="shared" ca="1" si="23"/>
        <v>#N/A</v>
      </c>
      <c r="BS65" s="94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 t="e">
        <f t="shared" ref="F66:U74" ca="1" si="25">$A66*H.Ar + $B66*H.Se + $C66*H.Ge + $D66*H.Ga</f>
        <v>#N/A</v>
      </c>
      <c r="G66" s="14" t="e">
        <f t="shared" ca="1" si="25"/>
        <v>#N/A</v>
      </c>
      <c r="H66" s="14" t="e">
        <f t="shared" ca="1" si="25"/>
        <v>#N/A</v>
      </c>
      <c r="I66" s="14" t="e">
        <f t="shared" ca="1" si="25"/>
        <v>#N/A</v>
      </c>
      <c r="J66" s="14" t="e">
        <f t="shared" ca="1" si="25"/>
        <v>#N/A</v>
      </c>
      <c r="K66" s="14" t="e">
        <f t="shared" ca="1" si="25"/>
        <v>#N/A</v>
      </c>
      <c r="L66" s="14" t="e">
        <f t="shared" ca="1" si="25"/>
        <v>#N/A</v>
      </c>
      <c r="M66" s="14" t="e">
        <f t="shared" ca="1" si="25"/>
        <v>#N/A</v>
      </c>
      <c r="N66" s="14" t="e">
        <f t="shared" ca="1" si="25"/>
        <v>#N/A</v>
      </c>
      <c r="O66" s="14" t="e">
        <f t="shared" ca="1" si="25"/>
        <v>#N/A</v>
      </c>
      <c r="P66" s="14" t="e">
        <f t="shared" ca="1" si="25"/>
        <v>#N/A</v>
      </c>
      <c r="Q66" s="14" t="e">
        <f t="shared" ca="1" si="25"/>
        <v>#N/A</v>
      </c>
      <c r="R66" s="14" t="e">
        <f t="shared" ca="1" si="25"/>
        <v>#N/A</v>
      </c>
      <c r="S66" s="14" t="e">
        <f t="shared" ca="1" si="25"/>
        <v>#N/A</v>
      </c>
      <c r="T66" s="14" t="e">
        <f t="shared" ca="1" si="25"/>
        <v>#N/A</v>
      </c>
      <c r="U66" s="14" t="e">
        <f t="shared" ca="1" si="25"/>
        <v>#N/A</v>
      </c>
      <c r="V66" s="14" t="e">
        <f t="shared" ca="1" si="23"/>
        <v>#N/A</v>
      </c>
      <c r="W66" s="14" t="e">
        <f t="shared" ca="1" si="23"/>
        <v>#N/A</v>
      </c>
      <c r="X66" s="14" t="e">
        <f t="shared" ca="1" si="23"/>
        <v>#N/A</v>
      </c>
      <c r="Y66" s="14" t="e">
        <f t="shared" ca="1" si="23"/>
        <v>#N/A</v>
      </c>
      <c r="Z66" s="14" t="e">
        <f t="shared" ca="1" si="23"/>
        <v>#N/A</v>
      </c>
      <c r="AA66" s="14" t="e">
        <f t="shared" ca="1" si="23"/>
        <v>#N/A</v>
      </c>
      <c r="AB66" s="14" t="e">
        <f t="shared" ca="1" si="23"/>
        <v>#N/A</v>
      </c>
      <c r="AC66" s="14" t="e">
        <f t="shared" ca="1" si="23"/>
        <v>#N/A</v>
      </c>
      <c r="AD66" s="14" t="e">
        <f t="shared" ca="1" si="23"/>
        <v>#N/A</v>
      </c>
      <c r="AE66" s="14" t="e">
        <f t="shared" ca="1" si="23"/>
        <v>#N/A</v>
      </c>
      <c r="AF66" s="14" t="e">
        <f t="shared" ca="1" si="23"/>
        <v>#N/A</v>
      </c>
      <c r="AG66" s="14" t="e">
        <f t="shared" ca="1" si="23"/>
        <v>#N/A</v>
      </c>
      <c r="AH66" s="14" t="e">
        <f t="shared" ca="1" si="23"/>
        <v>#N/A</v>
      </c>
      <c r="AI66" s="14" t="e">
        <f t="shared" ca="1" si="23"/>
        <v>#N/A</v>
      </c>
      <c r="AJ66" s="14" t="e">
        <f t="shared" ca="1" si="23"/>
        <v>#N/A</v>
      </c>
      <c r="AK66" s="14" t="e">
        <f t="shared" ca="1" si="23"/>
        <v>#N/A</v>
      </c>
      <c r="AL66" s="14" t="e">
        <f t="shared" ca="1" si="23"/>
        <v>#N/A</v>
      </c>
      <c r="AM66" s="14" t="e">
        <f t="shared" ca="1" si="23"/>
        <v>#N/A</v>
      </c>
      <c r="AN66" s="14" t="e">
        <f t="shared" ca="1" si="23"/>
        <v>#N/A</v>
      </c>
      <c r="AO66" s="14" t="e">
        <f t="shared" ca="1" si="23"/>
        <v>#N/A</v>
      </c>
      <c r="AP66" s="14" t="e">
        <f t="shared" ca="1" si="23"/>
        <v>#N/A</v>
      </c>
      <c r="AQ66" s="14" t="e">
        <f t="shared" ca="1" si="23"/>
        <v>#N/A</v>
      </c>
      <c r="AR66" s="14" t="e">
        <f t="shared" ca="1" si="23"/>
        <v>#N/A</v>
      </c>
      <c r="AS66" s="14" t="e">
        <f t="shared" ca="1" si="23"/>
        <v>#N/A</v>
      </c>
      <c r="AT66" s="14" t="e">
        <f t="shared" ca="1" si="23"/>
        <v>#N/A</v>
      </c>
      <c r="AU66" s="14" t="e">
        <f t="shared" ref="G66:BR70" ca="1" si="26">$A66*H.Ar + $B66*H.Se + $C66*H.Ge + $D66*H.Ga</f>
        <v>#N/A</v>
      </c>
      <c r="AV66" s="14" t="e">
        <f t="shared" ca="1" si="26"/>
        <v>#N/A</v>
      </c>
      <c r="AW66" s="14" t="e">
        <f t="shared" ca="1" si="26"/>
        <v>#N/A</v>
      </c>
      <c r="AX66" s="14" t="e">
        <f t="shared" ca="1" si="26"/>
        <v>#N/A</v>
      </c>
      <c r="AY66" s="14" t="e">
        <f t="shared" ca="1" si="26"/>
        <v>#N/A</v>
      </c>
      <c r="AZ66" s="14" t="e">
        <f t="shared" ca="1" si="26"/>
        <v>#N/A</v>
      </c>
      <c r="BA66" s="14" t="e">
        <f t="shared" ca="1" si="26"/>
        <v>#N/A</v>
      </c>
      <c r="BB66" s="14" t="e">
        <f t="shared" ca="1" si="26"/>
        <v>#N/A</v>
      </c>
      <c r="BC66" s="14" t="e">
        <f t="shared" ca="1" si="26"/>
        <v>#N/A</v>
      </c>
      <c r="BD66" s="14" t="e">
        <f t="shared" ca="1" si="26"/>
        <v>#N/A</v>
      </c>
      <c r="BE66" s="14" t="e">
        <f t="shared" ca="1" si="26"/>
        <v>#N/A</v>
      </c>
      <c r="BF66" s="14" t="e">
        <f t="shared" ca="1" si="26"/>
        <v>#N/A</v>
      </c>
      <c r="BG66" s="14" t="e">
        <f t="shared" ca="1" si="26"/>
        <v>#N/A</v>
      </c>
      <c r="BH66" s="14" t="e">
        <f t="shared" ca="1" si="26"/>
        <v>#N/A</v>
      </c>
      <c r="BI66" s="14" t="e">
        <f t="shared" ca="1" si="26"/>
        <v>#N/A</v>
      </c>
      <c r="BJ66" s="14" t="e">
        <f t="shared" ca="1" si="26"/>
        <v>#N/A</v>
      </c>
      <c r="BK66" s="14" t="e">
        <f t="shared" ca="1" si="26"/>
        <v>#N/A</v>
      </c>
      <c r="BL66" s="14" t="e">
        <f t="shared" ca="1" si="26"/>
        <v>#N/A</v>
      </c>
      <c r="BM66" s="14" t="e">
        <f t="shared" ca="1" si="26"/>
        <v>#N/A</v>
      </c>
      <c r="BN66" s="14" t="e">
        <f t="shared" ca="1" si="26"/>
        <v>#N/A</v>
      </c>
      <c r="BO66" s="14" t="e">
        <f t="shared" ca="1" si="26"/>
        <v>#N/A</v>
      </c>
      <c r="BP66" s="14" t="e">
        <f t="shared" ca="1" si="26"/>
        <v>#N/A</v>
      </c>
      <c r="BQ66" s="14" t="e">
        <f t="shared" ca="1" si="26"/>
        <v>#N/A</v>
      </c>
      <c r="BR66" s="14" t="e">
        <f t="shared" ca="1" si="26"/>
        <v>#N/A</v>
      </c>
      <c r="BS66" s="94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 t="e">
        <f t="shared" ca="1" si="25"/>
        <v>#N/A</v>
      </c>
      <c r="G67" s="14" t="e">
        <f t="shared" ca="1" si="26"/>
        <v>#N/A</v>
      </c>
      <c r="H67" s="14" t="e">
        <f t="shared" ca="1" si="26"/>
        <v>#N/A</v>
      </c>
      <c r="I67" s="14" t="e">
        <f t="shared" ca="1" si="26"/>
        <v>#N/A</v>
      </c>
      <c r="J67" s="14" t="e">
        <f t="shared" ca="1" si="26"/>
        <v>#N/A</v>
      </c>
      <c r="K67" s="14" t="e">
        <f t="shared" ca="1" si="26"/>
        <v>#N/A</v>
      </c>
      <c r="L67" s="14" t="e">
        <f t="shared" ca="1" si="26"/>
        <v>#N/A</v>
      </c>
      <c r="M67" s="14" t="e">
        <f t="shared" ca="1" si="26"/>
        <v>#N/A</v>
      </c>
      <c r="N67" s="14" t="e">
        <f t="shared" ca="1" si="26"/>
        <v>#N/A</v>
      </c>
      <c r="O67" s="14" t="e">
        <f t="shared" ca="1" si="26"/>
        <v>#N/A</v>
      </c>
      <c r="P67" s="14" t="e">
        <f t="shared" ca="1" si="26"/>
        <v>#N/A</v>
      </c>
      <c r="Q67" s="14" t="e">
        <f t="shared" ca="1" si="26"/>
        <v>#N/A</v>
      </c>
      <c r="R67" s="14" t="e">
        <f t="shared" ca="1" si="26"/>
        <v>#N/A</v>
      </c>
      <c r="S67" s="14" t="e">
        <f t="shared" ca="1" si="26"/>
        <v>#N/A</v>
      </c>
      <c r="T67" s="14" t="e">
        <f t="shared" ca="1" si="26"/>
        <v>#N/A</v>
      </c>
      <c r="U67" s="14" t="e">
        <f t="shared" ca="1" si="26"/>
        <v>#N/A</v>
      </c>
      <c r="V67" s="14" t="e">
        <f t="shared" ca="1" si="26"/>
        <v>#N/A</v>
      </c>
      <c r="W67" s="14" t="e">
        <f t="shared" ca="1" si="26"/>
        <v>#N/A</v>
      </c>
      <c r="X67" s="14" t="e">
        <f t="shared" ca="1" si="26"/>
        <v>#N/A</v>
      </c>
      <c r="Y67" s="14" t="e">
        <f t="shared" ca="1" si="26"/>
        <v>#N/A</v>
      </c>
      <c r="Z67" s="14" t="e">
        <f t="shared" ca="1" si="26"/>
        <v>#N/A</v>
      </c>
      <c r="AA67" s="14" t="e">
        <f t="shared" ca="1" si="26"/>
        <v>#N/A</v>
      </c>
      <c r="AB67" s="14" t="e">
        <f t="shared" ca="1" si="26"/>
        <v>#N/A</v>
      </c>
      <c r="AC67" s="14" t="e">
        <f t="shared" ca="1" si="26"/>
        <v>#N/A</v>
      </c>
      <c r="AD67" s="14" t="e">
        <f t="shared" ca="1" si="26"/>
        <v>#N/A</v>
      </c>
      <c r="AE67" s="14" t="e">
        <f t="shared" ca="1" si="26"/>
        <v>#N/A</v>
      </c>
      <c r="AF67" s="14" t="e">
        <f t="shared" ca="1" si="26"/>
        <v>#N/A</v>
      </c>
      <c r="AG67" s="14" t="e">
        <f t="shared" ca="1" si="26"/>
        <v>#N/A</v>
      </c>
      <c r="AH67" s="14" t="e">
        <f t="shared" ca="1" si="26"/>
        <v>#N/A</v>
      </c>
      <c r="AI67" s="14" t="e">
        <f t="shared" ca="1" si="26"/>
        <v>#N/A</v>
      </c>
      <c r="AJ67" s="14" t="e">
        <f t="shared" ca="1" si="26"/>
        <v>#N/A</v>
      </c>
      <c r="AK67" s="14" t="e">
        <f t="shared" ca="1" si="26"/>
        <v>#N/A</v>
      </c>
      <c r="AL67" s="14" t="e">
        <f t="shared" ca="1" si="26"/>
        <v>#N/A</v>
      </c>
      <c r="AM67" s="14" t="e">
        <f t="shared" ca="1" si="26"/>
        <v>#N/A</v>
      </c>
      <c r="AN67" s="14" t="e">
        <f t="shared" ca="1" si="26"/>
        <v>#N/A</v>
      </c>
      <c r="AO67" s="14" t="e">
        <f t="shared" ca="1" si="26"/>
        <v>#N/A</v>
      </c>
      <c r="AP67" s="14" t="e">
        <f t="shared" ca="1" si="26"/>
        <v>#N/A</v>
      </c>
      <c r="AQ67" s="14" t="e">
        <f t="shared" ca="1" si="26"/>
        <v>#N/A</v>
      </c>
      <c r="AR67" s="14" t="e">
        <f t="shared" ca="1" si="26"/>
        <v>#N/A</v>
      </c>
      <c r="AS67" s="14" t="e">
        <f t="shared" ca="1" si="26"/>
        <v>#N/A</v>
      </c>
      <c r="AT67" s="14" t="e">
        <f t="shared" ca="1" si="26"/>
        <v>#N/A</v>
      </c>
      <c r="AU67" s="14" t="e">
        <f t="shared" ca="1" si="26"/>
        <v>#N/A</v>
      </c>
      <c r="AV67" s="14" t="e">
        <f t="shared" ca="1" si="26"/>
        <v>#N/A</v>
      </c>
      <c r="AW67" s="14" t="e">
        <f t="shared" ca="1" si="26"/>
        <v>#N/A</v>
      </c>
      <c r="AX67" s="14" t="e">
        <f t="shared" ca="1" si="26"/>
        <v>#N/A</v>
      </c>
      <c r="AY67" s="14" t="e">
        <f t="shared" ca="1" si="26"/>
        <v>#N/A</v>
      </c>
      <c r="AZ67" s="14" t="e">
        <f t="shared" ca="1" si="26"/>
        <v>#N/A</v>
      </c>
      <c r="BA67" s="14" t="e">
        <f t="shared" ca="1" si="26"/>
        <v>#N/A</v>
      </c>
      <c r="BB67" s="14" t="e">
        <f t="shared" ca="1" si="26"/>
        <v>#N/A</v>
      </c>
      <c r="BC67" s="14" t="e">
        <f t="shared" ca="1" si="26"/>
        <v>#N/A</v>
      </c>
      <c r="BD67" s="14" t="e">
        <f t="shared" ca="1" si="26"/>
        <v>#N/A</v>
      </c>
      <c r="BE67" s="14" t="e">
        <f t="shared" ca="1" si="26"/>
        <v>#N/A</v>
      </c>
      <c r="BF67" s="14" t="e">
        <f t="shared" ca="1" si="26"/>
        <v>#N/A</v>
      </c>
      <c r="BG67" s="14" t="e">
        <f t="shared" ca="1" si="26"/>
        <v>#N/A</v>
      </c>
      <c r="BH67" s="14" t="e">
        <f t="shared" ca="1" si="26"/>
        <v>#N/A</v>
      </c>
      <c r="BI67" s="14" t="e">
        <f t="shared" ca="1" si="26"/>
        <v>#N/A</v>
      </c>
      <c r="BJ67" s="14" t="e">
        <f t="shared" ca="1" si="26"/>
        <v>#N/A</v>
      </c>
      <c r="BK67" s="14" t="e">
        <f t="shared" ca="1" si="26"/>
        <v>#N/A</v>
      </c>
      <c r="BL67" s="14" t="e">
        <f t="shared" ca="1" si="26"/>
        <v>#N/A</v>
      </c>
      <c r="BM67" s="14" t="e">
        <f t="shared" ca="1" si="26"/>
        <v>#N/A</v>
      </c>
      <c r="BN67" s="14" t="e">
        <f t="shared" ca="1" si="26"/>
        <v>#N/A</v>
      </c>
      <c r="BO67" s="14" t="e">
        <f t="shared" ca="1" si="26"/>
        <v>#N/A</v>
      </c>
      <c r="BP67" s="14" t="e">
        <f t="shared" ca="1" si="26"/>
        <v>#N/A</v>
      </c>
      <c r="BQ67" s="14" t="e">
        <f t="shared" ca="1" si="26"/>
        <v>#N/A</v>
      </c>
      <c r="BR67" s="14" t="e">
        <f t="shared" ca="1" si="26"/>
        <v>#N/A</v>
      </c>
      <c r="BS67" s="94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 t="e">
        <f t="shared" ca="1" si="25"/>
        <v>#N/A</v>
      </c>
      <c r="G68" s="14" t="e">
        <f t="shared" ca="1" si="26"/>
        <v>#N/A</v>
      </c>
      <c r="H68" s="14" t="e">
        <f t="shared" ca="1" si="26"/>
        <v>#N/A</v>
      </c>
      <c r="I68" s="14" t="e">
        <f t="shared" ca="1" si="26"/>
        <v>#N/A</v>
      </c>
      <c r="J68" s="14" t="e">
        <f t="shared" ca="1" si="26"/>
        <v>#N/A</v>
      </c>
      <c r="K68" s="14" t="e">
        <f t="shared" ca="1" si="26"/>
        <v>#N/A</v>
      </c>
      <c r="L68" s="14" t="e">
        <f t="shared" ca="1" si="26"/>
        <v>#N/A</v>
      </c>
      <c r="M68" s="14" t="e">
        <f t="shared" ca="1" si="26"/>
        <v>#N/A</v>
      </c>
      <c r="N68" s="14" t="e">
        <f t="shared" ca="1" si="26"/>
        <v>#N/A</v>
      </c>
      <c r="O68" s="14" t="e">
        <f t="shared" ca="1" si="26"/>
        <v>#N/A</v>
      </c>
      <c r="P68" s="14" t="e">
        <f t="shared" ca="1" si="26"/>
        <v>#N/A</v>
      </c>
      <c r="Q68" s="14" t="e">
        <f t="shared" ca="1" si="26"/>
        <v>#N/A</v>
      </c>
      <c r="R68" s="14" t="e">
        <f t="shared" ca="1" si="26"/>
        <v>#N/A</v>
      </c>
      <c r="S68" s="14" t="e">
        <f t="shared" ca="1" si="26"/>
        <v>#N/A</v>
      </c>
      <c r="T68" s="14" t="e">
        <f t="shared" ca="1" si="26"/>
        <v>#N/A</v>
      </c>
      <c r="U68" s="14" t="e">
        <f t="shared" ca="1" si="26"/>
        <v>#N/A</v>
      </c>
      <c r="V68" s="14" t="e">
        <f t="shared" ca="1" si="26"/>
        <v>#N/A</v>
      </c>
      <c r="W68" s="14" t="e">
        <f t="shared" ca="1" si="26"/>
        <v>#N/A</v>
      </c>
      <c r="X68" s="14" t="e">
        <f t="shared" ca="1" si="26"/>
        <v>#N/A</v>
      </c>
      <c r="Y68" s="14" t="e">
        <f t="shared" ca="1" si="26"/>
        <v>#N/A</v>
      </c>
      <c r="Z68" s="14" t="e">
        <f t="shared" ca="1" si="26"/>
        <v>#N/A</v>
      </c>
      <c r="AA68" s="14" t="e">
        <f t="shared" ca="1" si="26"/>
        <v>#N/A</v>
      </c>
      <c r="AB68" s="14" t="e">
        <f t="shared" ca="1" si="26"/>
        <v>#N/A</v>
      </c>
      <c r="AC68" s="14" t="e">
        <f t="shared" ca="1" si="26"/>
        <v>#N/A</v>
      </c>
      <c r="AD68" s="14" t="e">
        <f t="shared" ca="1" si="26"/>
        <v>#N/A</v>
      </c>
      <c r="AE68" s="14" t="e">
        <f t="shared" ca="1" si="26"/>
        <v>#N/A</v>
      </c>
      <c r="AF68" s="14" t="e">
        <f t="shared" ca="1" si="26"/>
        <v>#N/A</v>
      </c>
      <c r="AG68" s="14" t="e">
        <f t="shared" ca="1" si="26"/>
        <v>#N/A</v>
      </c>
      <c r="AH68" s="14" t="e">
        <f t="shared" ca="1" si="26"/>
        <v>#N/A</v>
      </c>
      <c r="AI68" s="14" t="e">
        <f t="shared" ca="1" si="26"/>
        <v>#N/A</v>
      </c>
      <c r="AJ68" s="14" t="e">
        <f t="shared" ca="1" si="26"/>
        <v>#N/A</v>
      </c>
      <c r="AK68" s="14" t="e">
        <f t="shared" ca="1" si="26"/>
        <v>#N/A</v>
      </c>
      <c r="AL68" s="14" t="e">
        <f t="shared" ca="1" si="26"/>
        <v>#N/A</v>
      </c>
      <c r="AM68" s="14" t="e">
        <f t="shared" ca="1" si="26"/>
        <v>#N/A</v>
      </c>
      <c r="AN68" s="14" t="e">
        <f t="shared" ca="1" si="26"/>
        <v>#N/A</v>
      </c>
      <c r="AO68" s="14" t="e">
        <f t="shared" ca="1" si="26"/>
        <v>#N/A</v>
      </c>
      <c r="AP68" s="14" t="e">
        <f t="shared" ca="1" si="26"/>
        <v>#N/A</v>
      </c>
      <c r="AQ68" s="14" t="e">
        <f t="shared" ca="1" si="26"/>
        <v>#N/A</v>
      </c>
      <c r="AR68" s="14" t="e">
        <f t="shared" ca="1" si="26"/>
        <v>#N/A</v>
      </c>
      <c r="AS68" s="14" t="e">
        <f t="shared" ca="1" si="26"/>
        <v>#N/A</v>
      </c>
      <c r="AT68" s="14" t="e">
        <f t="shared" ca="1" si="26"/>
        <v>#N/A</v>
      </c>
      <c r="AU68" s="14" t="e">
        <f t="shared" ca="1" si="26"/>
        <v>#N/A</v>
      </c>
      <c r="AV68" s="14" t="e">
        <f t="shared" ca="1" si="26"/>
        <v>#N/A</v>
      </c>
      <c r="AW68" s="14" t="e">
        <f t="shared" ca="1" si="26"/>
        <v>#N/A</v>
      </c>
      <c r="AX68" s="14" t="e">
        <f t="shared" ca="1" si="26"/>
        <v>#N/A</v>
      </c>
      <c r="AY68" s="14" t="e">
        <f t="shared" ca="1" si="26"/>
        <v>#N/A</v>
      </c>
      <c r="AZ68" s="14" t="e">
        <f t="shared" ca="1" si="26"/>
        <v>#N/A</v>
      </c>
      <c r="BA68" s="14" t="e">
        <f t="shared" ca="1" si="26"/>
        <v>#N/A</v>
      </c>
      <c r="BB68" s="14" t="e">
        <f t="shared" ca="1" si="26"/>
        <v>#N/A</v>
      </c>
      <c r="BC68" s="14" t="e">
        <f t="shared" ca="1" si="26"/>
        <v>#N/A</v>
      </c>
      <c r="BD68" s="14" t="e">
        <f t="shared" ca="1" si="26"/>
        <v>#N/A</v>
      </c>
      <c r="BE68" s="14" t="e">
        <f t="shared" ca="1" si="26"/>
        <v>#N/A</v>
      </c>
      <c r="BF68" s="14" t="e">
        <f t="shared" ca="1" si="26"/>
        <v>#N/A</v>
      </c>
      <c r="BG68" s="14" t="e">
        <f t="shared" ca="1" si="26"/>
        <v>#N/A</v>
      </c>
      <c r="BH68" s="14" t="e">
        <f t="shared" ca="1" si="26"/>
        <v>#N/A</v>
      </c>
      <c r="BI68" s="14" t="e">
        <f t="shared" ca="1" si="26"/>
        <v>#N/A</v>
      </c>
      <c r="BJ68" s="14" t="e">
        <f t="shared" ca="1" si="26"/>
        <v>#N/A</v>
      </c>
      <c r="BK68" s="14" t="e">
        <f t="shared" ca="1" si="26"/>
        <v>#N/A</v>
      </c>
      <c r="BL68" s="14" t="e">
        <f t="shared" ca="1" si="26"/>
        <v>#N/A</v>
      </c>
      <c r="BM68" s="14" t="e">
        <f t="shared" ca="1" si="26"/>
        <v>#N/A</v>
      </c>
      <c r="BN68" s="14" t="e">
        <f t="shared" ca="1" si="26"/>
        <v>#N/A</v>
      </c>
      <c r="BO68" s="14" t="e">
        <f t="shared" ca="1" si="26"/>
        <v>#N/A</v>
      </c>
      <c r="BP68" s="14" t="e">
        <f t="shared" ca="1" si="26"/>
        <v>#N/A</v>
      </c>
      <c r="BQ68" s="14" t="e">
        <f t="shared" ca="1" si="26"/>
        <v>#N/A</v>
      </c>
      <c r="BR68" s="14" t="e">
        <f t="shared" ca="1" si="26"/>
        <v>#N/A</v>
      </c>
      <c r="BS68" s="94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 t="e">
        <f t="shared" ca="1" si="25"/>
        <v>#N/A</v>
      </c>
      <c r="G69" s="14" t="e">
        <f t="shared" ca="1" si="26"/>
        <v>#N/A</v>
      </c>
      <c r="H69" s="14" t="e">
        <f t="shared" ca="1" si="26"/>
        <v>#N/A</v>
      </c>
      <c r="I69" s="14" t="e">
        <f t="shared" ca="1" si="26"/>
        <v>#N/A</v>
      </c>
      <c r="J69" s="14" t="e">
        <f t="shared" ca="1" si="26"/>
        <v>#N/A</v>
      </c>
      <c r="K69" s="14" t="e">
        <f t="shared" ca="1" si="26"/>
        <v>#N/A</v>
      </c>
      <c r="L69" s="14" t="e">
        <f t="shared" ca="1" si="26"/>
        <v>#N/A</v>
      </c>
      <c r="M69" s="14" t="e">
        <f t="shared" ca="1" si="26"/>
        <v>#N/A</v>
      </c>
      <c r="N69" s="14" t="e">
        <f t="shared" ca="1" si="26"/>
        <v>#N/A</v>
      </c>
      <c r="O69" s="14" t="e">
        <f t="shared" ca="1" si="26"/>
        <v>#N/A</v>
      </c>
      <c r="P69" s="14" t="e">
        <f t="shared" ca="1" si="26"/>
        <v>#N/A</v>
      </c>
      <c r="Q69" s="14" t="e">
        <f t="shared" ca="1" si="26"/>
        <v>#N/A</v>
      </c>
      <c r="R69" s="14" t="e">
        <f t="shared" ca="1" si="26"/>
        <v>#N/A</v>
      </c>
      <c r="S69" s="14" t="e">
        <f t="shared" ca="1" si="26"/>
        <v>#N/A</v>
      </c>
      <c r="T69" s="14" t="e">
        <f t="shared" ca="1" si="26"/>
        <v>#N/A</v>
      </c>
      <c r="U69" s="14" t="e">
        <f t="shared" ca="1" si="26"/>
        <v>#N/A</v>
      </c>
      <c r="V69" s="14" t="e">
        <f t="shared" ca="1" si="26"/>
        <v>#N/A</v>
      </c>
      <c r="W69" s="14" t="e">
        <f t="shared" ca="1" si="26"/>
        <v>#N/A</v>
      </c>
      <c r="X69" s="14" t="e">
        <f t="shared" ca="1" si="26"/>
        <v>#N/A</v>
      </c>
      <c r="Y69" s="14" t="e">
        <f t="shared" ca="1" si="26"/>
        <v>#N/A</v>
      </c>
      <c r="Z69" s="14" t="e">
        <f t="shared" ca="1" si="26"/>
        <v>#N/A</v>
      </c>
      <c r="AA69" s="14" t="e">
        <f t="shared" ca="1" si="26"/>
        <v>#N/A</v>
      </c>
      <c r="AB69" s="14" t="e">
        <f t="shared" ca="1" si="26"/>
        <v>#N/A</v>
      </c>
      <c r="AC69" s="14" t="e">
        <f t="shared" ca="1" si="26"/>
        <v>#N/A</v>
      </c>
      <c r="AD69" s="14" t="e">
        <f t="shared" ca="1" si="26"/>
        <v>#N/A</v>
      </c>
      <c r="AE69" s="14" t="e">
        <f t="shared" ca="1" si="26"/>
        <v>#N/A</v>
      </c>
      <c r="AF69" s="14" t="e">
        <f t="shared" ca="1" si="26"/>
        <v>#N/A</v>
      </c>
      <c r="AG69" s="14" t="e">
        <f t="shared" ca="1" si="26"/>
        <v>#N/A</v>
      </c>
      <c r="AH69" s="14" t="e">
        <f t="shared" ca="1" si="26"/>
        <v>#N/A</v>
      </c>
      <c r="AI69" s="14" t="e">
        <f t="shared" ca="1" si="26"/>
        <v>#N/A</v>
      </c>
      <c r="AJ69" s="14" t="e">
        <f t="shared" ca="1" si="26"/>
        <v>#N/A</v>
      </c>
      <c r="AK69" s="14" t="e">
        <f t="shared" ca="1" si="26"/>
        <v>#N/A</v>
      </c>
      <c r="AL69" s="14" t="e">
        <f t="shared" ca="1" si="26"/>
        <v>#N/A</v>
      </c>
      <c r="AM69" s="14" t="e">
        <f t="shared" ca="1" si="26"/>
        <v>#N/A</v>
      </c>
      <c r="AN69" s="14" t="e">
        <f t="shared" ca="1" si="26"/>
        <v>#N/A</v>
      </c>
      <c r="AO69" s="14" t="e">
        <f t="shared" ca="1" si="26"/>
        <v>#N/A</v>
      </c>
      <c r="AP69" s="14" t="e">
        <f t="shared" ca="1" si="26"/>
        <v>#N/A</v>
      </c>
      <c r="AQ69" s="14" t="e">
        <f t="shared" ca="1" si="26"/>
        <v>#N/A</v>
      </c>
      <c r="AR69" s="14" t="e">
        <f t="shared" ca="1" si="26"/>
        <v>#N/A</v>
      </c>
      <c r="AS69" s="14" t="e">
        <f t="shared" ca="1" si="26"/>
        <v>#N/A</v>
      </c>
      <c r="AT69" s="14" t="e">
        <f t="shared" ca="1" si="26"/>
        <v>#N/A</v>
      </c>
      <c r="AU69" s="14" t="e">
        <f t="shared" ca="1" si="26"/>
        <v>#N/A</v>
      </c>
      <c r="AV69" s="14" t="e">
        <f t="shared" ca="1" si="26"/>
        <v>#N/A</v>
      </c>
      <c r="AW69" s="14" t="e">
        <f t="shared" ca="1" si="26"/>
        <v>#N/A</v>
      </c>
      <c r="AX69" s="14" t="e">
        <f t="shared" ca="1" si="26"/>
        <v>#N/A</v>
      </c>
      <c r="AY69" s="14" t="e">
        <f t="shared" ca="1" si="26"/>
        <v>#N/A</v>
      </c>
      <c r="AZ69" s="14" t="e">
        <f t="shared" ca="1" si="26"/>
        <v>#N/A</v>
      </c>
      <c r="BA69" s="14" t="e">
        <f t="shared" ca="1" si="26"/>
        <v>#N/A</v>
      </c>
      <c r="BB69" s="14" t="e">
        <f t="shared" ca="1" si="26"/>
        <v>#N/A</v>
      </c>
      <c r="BC69" s="14" t="e">
        <f t="shared" ca="1" si="26"/>
        <v>#N/A</v>
      </c>
      <c r="BD69" s="14" t="e">
        <f t="shared" ca="1" si="26"/>
        <v>#N/A</v>
      </c>
      <c r="BE69" s="14" t="e">
        <f t="shared" ca="1" si="26"/>
        <v>#N/A</v>
      </c>
      <c r="BF69" s="14" t="e">
        <f t="shared" ca="1" si="26"/>
        <v>#N/A</v>
      </c>
      <c r="BG69" s="14" t="e">
        <f t="shared" ca="1" si="26"/>
        <v>#N/A</v>
      </c>
      <c r="BH69" s="14" t="e">
        <f t="shared" ca="1" si="26"/>
        <v>#N/A</v>
      </c>
      <c r="BI69" s="14" t="e">
        <f t="shared" ca="1" si="26"/>
        <v>#N/A</v>
      </c>
      <c r="BJ69" s="14" t="e">
        <f t="shared" ca="1" si="26"/>
        <v>#N/A</v>
      </c>
      <c r="BK69" s="14" t="e">
        <f t="shared" ca="1" si="26"/>
        <v>#N/A</v>
      </c>
      <c r="BL69" s="14" t="e">
        <f t="shared" ca="1" si="26"/>
        <v>#N/A</v>
      </c>
      <c r="BM69" s="14" t="e">
        <f t="shared" ca="1" si="26"/>
        <v>#N/A</v>
      </c>
      <c r="BN69" s="14" t="e">
        <f t="shared" ca="1" si="26"/>
        <v>#N/A</v>
      </c>
      <c r="BO69" s="14" t="e">
        <f t="shared" ca="1" si="26"/>
        <v>#N/A</v>
      </c>
      <c r="BP69" s="14" t="e">
        <f t="shared" ca="1" si="26"/>
        <v>#N/A</v>
      </c>
      <c r="BQ69" s="14" t="e">
        <f t="shared" ca="1" si="26"/>
        <v>#N/A</v>
      </c>
      <c r="BR69" s="14" t="e">
        <f t="shared" ca="1" si="26"/>
        <v>#N/A</v>
      </c>
      <c r="BS69" s="94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 t="e">
        <f t="shared" ca="1" si="25"/>
        <v>#N/A</v>
      </c>
      <c r="G70" s="14" t="e">
        <f t="shared" ca="1" si="26"/>
        <v>#N/A</v>
      </c>
      <c r="H70" s="14" t="e">
        <f t="shared" ca="1" si="26"/>
        <v>#N/A</v>
      </c>
      <c r="I70" s="14" t="e">
        <f t="shared" ca="1" si="26"/>
        <v>#N/A</v>
      </c>
      <c r="J70" s="14" t="e">
        <f t="shared" ca="1" si="26"/>
        <v>#N/A</v>
      </c>
      <c r="K70" s="14" t="e">
        <f t="shared" ca="1" si="26"/>
        <v>#N/A</v>
      </c>
      <c r="L70" s="14" t="e">
        <f t="shared" ca="1" si="26"/>
        <v>#N/A</v>
      </c>
      <c r="M70" s="14" t="e">
        <f t="shared" ca="1" si="26"/>
        <v>#N/A</v>
      </c>
      <c r="N70" s="14" t="e">
        <f t="shared" ca="1" si="26"/>
        <v>#N/A</v>
      </c>
      <c r="O70" s="14" t="e">
        <f t="shared" ca="1" si="26"/>
        <v>#N/A</v>
      </c>
      <c r="P70" s="14" t="e">
        <f t="shared" ca="1" si="26"/>
        <v>#N/A</v>
      </c>
      <c r="Q70" s="14" t="e">
        <f t="shared" ca="1" si="26"/>
        <v>#N/A</v>
      </c>
      <c r="R70" s="14" t="e">
        <f t="shared" ca="1" si="26"/>
        <v>#N/A</v>
      </c>
      <c r="S70" s="14" t="e">
        <f t="shared" ca="1" si="26"/>
        <v>#N/A</v>
      </c>
      <c r="T70" s="14" t="e">
        <f t="shared" ca="1" si="26"/>
        <v>#N/A</v>
      </c>
      <c r="U70" s="14" t="e">
        <f t="shared" ca="1" si="26"/>
        <v>#N/A</v>
      </c>
      <c r="V70" s="14" t="e">
        <f t="shared" ca="1" si="26"/>
        <v>#N/A</v>
      </c>
      <c r="W70" s="14" t="e">
        <f t="shared" ca="1" si="26"/>
        <v>#N/A</v>
      </c>
      <c r="X70" s="14" t="e">
        <f t="shared" ca="1" si="26"/>
        <v>#N/A</v>
      </c>
      <c r="Y70" s="14" t="e">
        <f t="shared" ca="1" si="26"/>
        <v>#N/A</v>
      </c>
      <c r="Z70" s="14" t="e">
        <f t="shared" ca="1" si="26"/>
        <v>#N/A</v>
      </c>
      <c r="AA70" s="14" t="e">
        <f t="shared" ca="1" si="26"/>
        <v>#N/A</v>
      </c>
      <c r="AB70" s="14" t="e">
        <f t="shared" ca="1" si="26"/>
        <v>#N/A</v>
      </c>
      <c r="AC70" s="14" t="e">
        <f t="shared" ca="1" si="26"/>
        <v>#N/A</v>
      </c>
      <c r="AD70" s="14" t="e">
        <f t="shared" ca="1" si="26"/>
        <v>#N/A</v>
      </c>
      <c r="AE70" s="14" t="e">
        <f t="shared" ca="1" si="26"/>
        <v>#N/A</v>
      </c>
      <c r="AF70" s="14" t="e">
        <f t="shared" ca="1" si="26"/>
        <v>#N/A</v>
      </c>
      <c r="AG70" s="14" t="e">
        <f t="shared" ca="1" si="26"/>
        <v>#N/A</v>
      </c>
      <c r="AH70" s="14" t="e">
        <f t="shared" ca="1" si="26"/>
        <v>#N/A</v>
      </c>
      <c r="AI70" s="14" t="e">
        <f t="shared" ca="1" si="26"/>
        <v>#N/A</v>
      </c>
      <c r="AJ70" s="14" t="e">
        <f t="shared" ca="1" si="26"/>
        <v>#N/A</v>
      </c>
      <c r="AK70" s="14" t="e">
        <f t="shared" ca="1" si="26"/>
        <v>#N/A</v>
      </c>
      <c r="AL70" s="14" t="e">
        <f t="shared" ca="1" si="26"/>
        <v>#N/A</v>
      </c>
      <c r="AM70" s="14" t="e">
        <f t="shared" ca="1" si="26"/>
        <v>#N/A</v>
      </c>
      <c r="AN70" s="14" t="e">
        <f t="shared" ca="1" si="26"/>
        <v>#N/A</v>
      </c>
      <c r="AO70" s="14" t="e">
        <f t="shared" ca="1" si="26"/>
        <v>#N/A</v>
      </c>
      <c r="AP70" s="14" t="e">
        <f t="shared" ca="1" si="26"/>
        <v>#N/A</v>
      </c>
      <c r="AQ70" s="14" t="e">
        <f t="shared" ca="1" si="26"/>
        <v>#N/A</v>
      </c>
      <c r="AR70" s="14" t="e">
        <f t="shared" ca="1" si="26"/>
        <v>#N/A</v>
      </c>
      <c r="AS70" s="14" t="e">
        <f t="shared" ca="1" si="26"/>
        <v>#N/A</v>
      </c>
      <c r="AT70" s="14" t="e">
        <f t="shared" ref="G70:BR74" ca="1" si="27">$A70*H.Ar + $B70*H.Se + $C70*H.Ge + $D70*H.Ga</f>
        <v>#N/A</v>
      </c>
      <c r="AU70" s="14" t="e">
        <f t="shared" ca="1" si="27"/>
        <v>#N/A</v>
      </c>
      <c r="AV70" s="14" t="e">
        <f t="shared" ca="1" si="27"/>
        <v>#N/A</v>
      </c>
      <c r="AW70" s="14" t="e">
        <f t="shared" ca="1" si="27"/>
        <v>#N/A</v>
      </c>
      <c r="AX70" s="14" t="e">
        <f t="shared" ca="1" si="27"/>
        <v>#N/A</v>
      </c>
      <c r="AY70" s="14" t="e">
        <f t="shared" ca="1" si="27"/>
        <v>#N/A</v>
      </c>
      <c r="AZ70" s="14" t="e">
        <f t="shared" ca="1" si="27"/>
        <v>#N/A</v>
      </c>
      <c r="BA70" s="14" t="e">
        <f t="shared" ca="1" si="27"/>
        <v>#N/A</v>
      </c>
      <c r="BB70" s="14" t="e">
        <f t="shared" ca="1" si="27"/>
        <v>#N/A</v>
      </c>
      <c r="BC70" s="14" t="e">
        <f t="shared" ca="1" si="27"/>
        <v>#N/A</v>
      </c>
      <c r="BD70" s="14" t="e">
        <f t="shared" ca="1" si="27"/>
        <v>#N/A</v>
      </c>
      <c r="BE70" s="14" t="e">
        <f t="shared" ca="1" si="27"/>
        <v>#N/A</v>
      </c>
      <c r="BF70" s="14" t="e">
        <f t="shared" ca="1" si="27"/>
        <v>#N/A</v>
      </c>
      <c r="BG70" s="14" t="e">
        <f t="shared" ca="1" si="27"/>
        <v>#N/A</v>
      </c>
      <c r="BH70" s="14" t="e">
        <f t="shared" ca="1" si="27"/>
        <v>#N/A</v>
      </c>
      <c r="BI70" s="14" t="e">
        <f t="shared" ca="1" si="27"/>
        <v>#N/A</v>
      </c>
      <c r="BJ70" s="14" t="e">
        <f t="shared" ca="1" si="27"/>
        <v>#N/A</v>
      </c>
      <c r="BK70" s="14" t="e">
        <f t="shared" ca="1" si="27"/>
        <v>#N/A</v>
      </c>
      <c r="BL70" s="14" t="e">
        <f t="shared" ca="1" si="27"/>
        <v>#N/A</v>
      </c>
      <c r="BM70" s="14" t="e">
        <f t="shared" ca="1" si="27"/>
        <v>#N/A</v>
      </c>
      <c r="BN70" s="14" t="e">
        <f t="shared" ca="1" si="27"/>
        <v>#N/A</v>
      </c>
      <c r="BO70" s="14" t="e">
        <f t="shared" ca="1" si="27"/>
        <v>#N/A</v>
      </c>
      <c r="BP70" s="14" t="e">
        <f t="shared" ca="1" si="27"/>
        <v>#N/A</v>
      </c>
      <c r="BQ70" s="14" t="e">
        <f t="shared" ca="1" si="27"/>
        <v>#N/A</v>
      </c>
      <c r="BR70" s="14" t="e">
        <f t="shared" ca="1" si="27"/>
        <v>#N/A</v>
      </c>
      <c r="BS70" s="94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 t="e">
        <f t="shared" ca="1" si="25"/>
        <v>#N/A</v>
      </c>
      <c r="G71" s="14" t="e">
        <f t="shared" ca="1" si="27"/>
        <v>#N/A</v>
      </c>
      <c r="H71" s="14" t="e">
        <f t="shared" ca="1" si="27"/>
        <v>#N/A</v>
      </c>
      <c r="I71" s="14" t="e">
        <f t="shared" ca="1" si="27"/>
        <v>#N/A</v>
      </c>
      <c r="J71" s="14" t="e">
        <f t="shared" ca="1" si="27"/>
        <v>#N/A</v>
      </c>
      <c r="K71" s="14" t="e">
        <f t="shared" ca="1" si="27"/>
        <v>#N/A</v>
      </c>
      <c r="L71" s="14" t="e">
        <f t="shared" ca="1" si="27"/>
        <v>#N/A</v>
      </c>
      <c r="M71" s="14" t="e">
        <f t="shared" ca="1" si="27"/>
        <v>#N/A</v>
      </c>
      <c r="N71" s="14" t="e">
        <f t="shared" ca="1" si="27"/>
        <v>#N/A</v>
      </c>
      <c r="O71" s="14" t="e">
        <f t="shared" ca="1" si="27"/>
        <v>#N/A</v>
      </c>
      <c r="P71" s="14" t="e">
        <f t="shared" ca="1" si="27"/>
        <v>#N/A</v>
      </c>
      <c r="Q71" s="14" t="e">
        <f t="shared" ca="1" si="27"/>
        <v>#N/A</v>
      </c>
      <c r="R71" s="14" t="e">
        <f t="shared" ca="1" si="27"/>
        <v>#N/A</v>
      </c>
      <c r="S71" s="14" t="e">
        <f t="shared" ca="1" si="27"/>
        <v>#N/A</v>
      </c>
      <c r="T71" s="14" t="e">
        <f t="shared" ca="1" si="27"/>
        <v>#N/A</v>
      </c>
      <c r="U71" s="14" t="e">
        <f t="shared" ca="1" si="27"/>
        <v>#N/A</v>
      </c>
      <c r="V71" s="14" t="e">
        <f t="shared" ca="1" si="27"/>
        <v>#N/A</v>
      </c>
      <c r="W71" s="14" t="e">
        <f t="shared" ca="1" si="27"/>
        <v>#N/A</v>
      </c>
      <c r="X71" s="14" t="e">
        <f t="shared" ca="1" si="27"/>
        <v>#N/A</v>
      </c>
      <c r="Y71" s="14" t="e">
        <f t="shared" ca="1" si="27"/>
        <v>#N/A</v>
      </c>
      <c r="Z71" s="14" t="e">
        <f t="shared" ca="1" si="27"/>
        <v>#N/A</v>
      </c>
      <c r="AA71" s="14" t="e">
        <f t="shared" ca="1" si="27"/>
        <v>#N/A</v>
      </c>
      <c r="AB71" s="14" t="e">
        <f t="shared" ca="1" si="27"/>
        <v>#N/A</v>
      </c>
      <c r="AC71" s="14" t="e">
        <f t="shared" ca="1" si="27"/>
        <v>#N/A</v>
      </c>
      <c r="AD71" s="14" t="e">
        <f t="shared" ca="1" si="27"/>
        <v>#N/A</v>
      </c>
      <c r="AE71" s="14" t="e">
        <f t="shared" ca="1" si="27"/>
        <v>#N/A</v>
      </c>
      <c r="AF71" s="14" t="e">
        <f t="shared" ca="1" si="27"/>
        <v>#N/A</v>
      </c>
      <c r="AG71" s="14" t="e">
        <f t="shared" ca="1" si="27"/>
        <v>#N/A</v>
      </c>
      <c r="AH71" s="14" t="e">
        <f t="shared" ca="1" si="27"/>
        <v>#N/A</v>
      </c>
      <c r="AI71" s="14" t="e">
        <f t="shared" ca="1" si="27"/>
        <v>#N/A</v>
      </c>
      <c r="AJ71" s="14" t="e">
        <f t="shared" ca="1" si="27"/>
        <v>#N/A</v>
      </c>
      <c r="AK71" s="14" t="e">
        <f t="shared" ca="1" si="27"/>
        <v>#N/A</v>
      </c>
      <c r="AL71" s="14" t="e">
        <f t="shared" ca="1" si="27"/>
        <v>#N/A</v>
      </c>
      <c r="AM71" s="14" t="e">
        <f t="shared" ca="1" si="27"/>
        <v>#N/A</v>
      </c>
      <c r="AN71" s="14" t="e">
        <f t="shared" ca="1" si="27"/>
        <v>#N/A</v>
      </c>
      <c r="AO71" s="14" t="e">
        <f t="shared" ca="1" si="27"/>
        <v>#N/A</v>
      </c>
      <c r="AP71" s="14" t="e">
        <f t="shared" ca="1" si="27"/>
        <v>#N/A</v>
      </c>
      <c r="AQ71" s="14" t="e">
        <f t="shared" ca="1" si="27"/>
        <v>#N/A</v>
      </c>
      <c r="AR71" s="14" t="e">
        <f t="shared" ca="1" si="27"/>
        <v>#N/A</v>
      </c>
      <c r="AS71" s="14" t="e">
        <f t="shared" ca="1" si="27"/>
        <v>#N/A</v>
      </c>
      <c r="AT71" s="14" t="e">
        <f t="shared" ca="1" si="27"/>
        <v>#N/A</v>
      </c>
      <c r="AU71" s="14" t="e">
        <f t="shared" ca="1" si="27"/>
        <v>#N/A</v>
      </c>
      <c r="AV71" s="14" t="e">
        <f t="shared" ca="1" si="27"/>
        <v>#N/A</v>
      </c>
      <c r="AW71" s="14" t="e">
        <f t="shared" ca="1" si="27"/>
        <v>#N/A</v>
      </c>
      <c r="AX71" s="14" t="e">
        <f t="shared" ca="1" si="27"/>
        <v>#N/A</v>
      </c>
      <c r="AY71" s="14" t="e">
        <f t="shared" ca="1" si="27"/>
        <v>#N/A</v>
      </c>
      <c r="AZ71" s="14" t="e">
        <f t="shared" ca="1" si="27"/>
        <v>#N/A</v>
      </c>
      <c r="BA71" s="14" t="e">
        <f t="shared" ca="1" si="27"/>
        <v>#N/A</v>
      </c>
      <c r="BB71" s="14" t="e">
        <f t="shared" ca="1" si="27"/>
        <v>#N/A</v>
      </c>
      <c r="BC71" s="14" t="e">
        <f t="shared" ca="1" si="27"/>
        <v>#N/A</v>
      </c>
      <c r="BD71" s="14" t="e">
        <f t="shared" ca="1" si="27"/>
        <v>#N/A</v>
      </c>
      <c r="BE71" s="14" t="e">
        <f t="shared" ca="1" si="27"/>
        <v>#N/A</v>
      </c>
      <c r="BF71" s="14" t="e">
        <f t="shared" ca="1" si="27"/>
        <v>#N/A</v>
      </c>
      <c r="BG71" s="14" t="e">
        <f t="shared" ca="1" si="27"/>
        <v>#N/A</v>
      </c>
      <c r="BH71" s="14" t="e">
        <f t="shared" ca="1" si="27"/>
        <v>#N/A</v>
      </c>
      <c r="BI71" s="14" t="e">
        <f t="shared" ca="1" si="27"/>
        <v>#N/A</v>
      </c>
      <c r="BJ71" s="14" t="e">
        <f t="shared" ca="1" si="27"/>
        <v>#N/A</v>
      </c>
      <c r="BK71" s="14" t="e">
        <f t="shared" ca="1" si="27"/>
        <v>#N/A</v>
      </c>
      <c r="BL71" s="14" t="e">
        <f t="shared" ca="1" si="27"/>
        <v>#N/A</v>
      </c>
      <c r="BM71" s="14" t="e">
        <f t="shared" ca="1" si="27"/>
        <v>#N/A</v>
      </c>
      <c r="BN71" s="14" t="e">
        <f t="shared" ca="1" si="27"/>
        <v>#N/A</v>
      </c>
      <c r="BO71" s="14" t="e">
        <f t="shared" ca="1" si="27"/>
        <v>#N/A</v>
      </c>
      <c r="BP71" s="14" t="e">
        <f t="shared" ca="1" si="27"/>
        <v>#N/A</v>
      </c>
      <c r="BQ71" s="14" t="e">
        <f t="shared" ca="1" si="27"/>
        <v>#N/A</v>
      </c>
      <c r="BR71" s="14" t="e">
        <f t="shared" ca="1" si="27"/>
        <v>#N/A</v>
      </c>
      <c r="BS71" s="94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 t="e">
        <f t="shared" ca="1" si="25"/>
        <v>#N/A</v>
      </c>
      <c r="G72" s="14" t="e">
        <f t="shared" ca="1" si="27"/>
        <v>#N/A</v>
      </c>
      <c r="H72" s="14" t="e">
        <f t="shared" ca="1" si="27"/>
        <v>#N/A</v>
      </c>
      <c r="I72" s="14" t="e">
        <f t="shared" ca="1" si="27"/>
        <v>#N/A</v>
      </c>
      <c r="J72" s="14" t="e">
        <f t="shared" ca="1" si="27"/>
        <v>#N/A</v>
      </c>
      <c r="K72" s="14" t="e">
        <f t="shared" ca="1" si="27"/>
        <v>#N/A</v>
      </c>
      <c r="L72" s="14" t="e">
        <f t="shared" ca="1" si="27"/>
        <v>#N/A</v>
      </c>
      <c r="M72" s="14" t="e">
        <f t="shared" ca="1" si="27"/>
        <v>#N/A</v>
      </c>
      <c r="N72" s="14" t="e">
        <f t="shared" ca="1" si="27"/>
        <v>#N/A</v>
      </c>
      <c r="O72" s="14" t="e">
        <f t="shared" ca="1" si="27"/>
        <v>#N/A</v>
      </c>
      <c r="P72" s="14" t="e">
        <f t="shared" ca="1" si="27"/>
        <v>#N/A</v>
      </c>
      <c r="Q72" s="14" t="e">
        <f t="shared" ca="1" si="27"/>
        <v>#N/A</v>
      </c>
      <c r="R72" s="14" t="e">
        <f t="shared" ca="1" si="27"/>
        <v>#N/A</v>
      </c>
      <c r="S72" s="14" t="e">
        <f t="shared" ca="1" si="27"/>
        <v>#N/A</v>
      </c>
      <c r="T72" s="14" t="e">
        <f t="shared" ca="1" si="27"/>
        <v>#N/A</v>
      </c>
      <c r="U72" s="14" t="e">
        <f t="shared" ca="1" si="27"/>
        <v>#N/A</v>
      </c>
      <c r="V72" s="14" t="e">
        <f t="shared" ca="1" si="27"/>
        <v>#N/A</v>
      </c>
      <c r="W72" s="14" t="e">
        <f t="shared" ca="1" si="27"/>
        <v>#N/A</v>
      </c>
      <c r="X72" s="14" t="e">
        <f t="shared" ca="1" si="27"/>
        <v>#N/A</v>
      </c>
      <c r="Y72" s="14" t="e">
        <f t="shared" ca="1" si="27"/>
        <v>#N/A</v>
      </c>
      <c r="Z72" s="14" t="e">
        <f t="shared" ca="1" si="27"/>
        <v>#N/A</v>
      </c>
      <c r="AA72" s="14" t="e">
        <f t="shared" ca="1" si="27"/>
        <v>#N/A</v>
      </c>
      <c r="AB72" s="14" t="e">
        <f t="shared" ca="1" si="27"/>
        <v>#N/A</v>
      </c>
      <c r="AC72" s="14" t="e">
        <f t="shared" ca="1" si="27"/>
        <v>#N/A</v>
      </c>
      <c r="AD72" s="14" t="e">
        <f t="shared" ca="1" si="27"/>
        <v>#N/A</v>
      </c>
      <c r="AE72" s="14" t="e">
        <f t="shared" ca="1" si="27"/>
        <v>#N/A</v>
      </c>
      <c r="AF72" s="14" t="e">
        <f t="shared" ca="1" si="27"/>
        <v>#N/A</v>
      </c>
      <c r="AG72" s="14" t="e">
        <f t="shared" ca="1" si="27"/>
        <v>#N/A</v>
      </c>
      <c r="AH72" s="14" t="e">
        <f t="shared" ca="1" si="27"/>
        <v>#N/A</v>
      </c>
      <c r="AI72" s="14" t="e">
        <f t="shared" ca="1" si="27"/>
        <v>#N/A</v>
      </c>
      <c r="AJ72" s="14" t="e">
        <f t="shared" ca="1" si="27"/>
        <v>#N/A</v>
      </c>
      <c r="AK72" s="14" t="e">
        <f t="shared" ca="1" si="27"/>
        <v>#N/A</v>
      </c>
      <c r="AL72" s="14" t="e">
        <f t="shared" ca="1" si="27"/>
        <v>#N/A</v>
      </c>
      <c r="AM72" s="14" t="e">
        <f t="shared" ca="1" si="27"/>
        <v>#N/A</v>
      </c>
      <c r="AN72" s="14" t="e">
        <f t="shared" ca="1" si="27"/>
        <v>#N/A</v>
      </c>
      <c r="AO72" s="14" t="e">
        <f t="shared" ca="1" si="27"/>
        <v>#N/A</v>
      </c>
      <c r="AP72" s="14" t="e">
        <f t="shared" ca="1" si="27"/>
        <v>#N/A</v>
      </c>
      <c r="AQ72" s="14" t="e">
        <f t="shared" ca="1" si="27"/>
        <v>#N/A</v>
      </c>
      <c r="AR72" s="14" t="e">
        <f t="shared" ca="1" si="27"/>
        <v>#N/A</v>
      </c>
      <c r="AS72" s="14" t="e">
        <f t="shared" ca="1" si="27"/>
        <v>#N/A</v>
      </c>
      <c r="AT72" s="14" t="e">
        <f t="shared" ca="1" si="27"/>
        <v>#N/A</v>
      </c>
      <c r="AU72" s="14" t="e">
        <f t="shared" ca="1" si="27"/>
        <v>#N/A</v>
      </c>
      <c r="AV72" s="14" t="e">
        <f t="shared" ca="1" si="27"/>
        <v>#N/A</v>
      </c>
      <c r="AW72" s="14" t="e">
        <f t="shared" ca="1" si="27"/>
        <v>#N/A</v>
      </c>
      <c r="AX72" s="14" t="e">
        <f t="shared" ca="1" si="27"/>
        <v>#N/A</v>
      </c>
      <c r="AY72" s="14" t="e">
        <f t="shared" ca="1" si="27"/>
        <v>#N/A</v>
      </c>
      <c r="AZ72" s="14" t="e">
        <f t="shared" ca="1" si="27"/>
        <v>#N/A</v>
      </c>
      <c r="BA72" s="14" t="e">
        <f t="shared" ca="1" si="27"/>
        <v>#N/A</v>
      </c>
      <c r="BB72" s="14" t="e">
        <f t="shared" ca="1" si="27"/>
        <v>#N/A</v>
      </c>
      <c r="BC72" s="14" t="e">
        <f t="shared" ca="1" si="27"/>
        <v>#N/A</v>
      </c>
      <c r="BD72" s="14" t="e">
        <f t="shared" ca="1" si="27"/>
        <v>#N/A</v>
      </c>
      <c r="BE72" s="14" t="e">
        <f t="shared" ca="1" si="27"/>
        <v>#N/A</v>
      </c>
      <c r="BF72" s="14" t="e">
        <f t="shared" ca="1" si="27"/>
        <v>#N/A</v>
      </c>
      <c r="BG72" s="14" t="e">
        <f t="shared" ca="1" si="27"/>
        <v>#N/A</v>
      </c>
      <c r="BH72" s="14" t="e">
        <f t="shared" ca="1" si="27"/>
        <v>#N/A</v>
      </c>
      <c r="BI72" s="14" t="e">
        <f t="shared" ca="1" si="27"/>
        <v>#N/A</v>
      </c>
      <c r="BJ72" s="14" t="e">
        <f t="shared" ca="1" si="27"/>
        <v>#N/A</v>
      </c>
      <c r="BK72" s="14" t="e">
        <f t="shared" ca="1" si="27"/>
        <v>#N/A</v>
      </c>
      <c r="BL72" s="14" t="e">
        <f t="shared" ca="1" si="27"/>
        <v>#N/A</v>
      </c>
      <c r="BM72" s="14" t="e">
        <f t="shared" ca="1" si="27"/>
        <v>#N/A</v>
      </c>
      <c r="BN72" s="14" t="e">
        <f t="shared" ca="1" si="27"/>
        <v>#N/A</v>
      </c>
      <c r="BO72" s="14" t="e">
        <f t="shared" ca="1" si="27"/>
        <v>#N/A</v>
      </c>
      <c r="BP72" s="14" t="e">
        <f t="shared" ca="1" si="27"/>
        <v>#N/A</v>
      </c>
      <c r="BQ72" s="14" t="e">
        <f t="shared" ca="1" si="27"/>
        <v>#N/A</v>
      </c>
      <c r="BR72" s="14" t="e">
        <f t="shared" ca="1" si="27"/>
        <v>#N/A</v>
      </c>
      <c r="BS72" s="94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 t="e">
        <f t="shared" ca="1" si="25"/>
        <v>#N/A</v>
      </c>
      <c r="G73" s="14" t="e">
        <f t="shared" ca="1" si="27"/>
        <v>#N/A</v>
      </c>
      <c r="H73" s="14" t="e">
        <f t="shared" ca="1" si="27"/>
        <v>#N/A</v>
      </c>
      <c r="I73" s="14" t="e">
        <f t="shared" ca="1" si="27"/>
        <v>#N/A</v>
      </c>
      <c r="J73" s="14" t="e">
        <f t="shared" ca="1" si="27"/>
        <v>#N/A</v>
      </c>
      <c r="K73" s="14" t="e">
        <f t="shared" ca="1" si="27"/>
        <v>#N/A</v>
      </c>
      <c r="L73" s="14" t="e">
        <f t="shared" ca="1" si="27"/>
        <v>#N/A</v>
      </c>
      <c r="M73" s="14" t="e">
        <f t="shared" ca="1" si="27"/>
        <v>#N/A</v>
      </c>
      <c r="N73" s="14" t="e">
        <f t="shared" ca="1" si="27"/>
        <v>#N/A</v>
      </c>
      <c r="O73" s="14" t="e">
        <f t="shared" ca="1" si="27"/>
        <v>#N/A</v>
      </c>
      <c r="P73" s="14" t="e">
        <f t="shared" ca="1" si="27"/>
        <v>#N/A</v>
      </c>
      <c r="Q73" s="14" t="e">
        <f t="shared" ca="1" si="27"/>
        <v>#N/A</v>
      </c>
      <c r="R73" s="14" t="e">
        <f t="shared" ca="1" si="27"/>
        <v>#N/A</v>
      </c>
      <c r="S73" s="14" t="e">
        <f t="shared" ca="1" si="27"/>
        <v>#N/A</v>
      </c>
      <c r="T73" s="14" t="e">
        <f t="shared" ca="1" si="27"/>
        <v>#N/A</v>
      </c>
      <c r="U73" s="14" t="e">
        <f t="shared" ca="1" si="27"/>
        <v>#N/A</v>
      </c>
      <c r="V73" s="14" t="e">
        <f t="shared" ca="1" si="27"/>
        <v>#N/A</v>
      </c>
      <c r="W73" s="14" t="e">
        <f t="shared" ca="1" si="27"/>
        <v>#N/A</v>
      </c>
      <c r="X73" s="14" t="e">
        <f t="shared" ca="1" si="27"/>
        <v>#N/A</v>
      </c>
      <c r="Y73" s="14" t="e">
        <f t="shared" ca="1" si="27"/>
        <v>#N/A</v>
      </c>
      <c r="Z73" s="14" t="e">
        <f t="shared" ca="1" si="27"/>
        <v>#N/A</v>
      </c>
      <c r="AA73" s="14" t="e">
        <f t="shared" ca="1" si="27"/>
        <v>#N/A</v>
      </c>
      <c r="AB73" s="14" t="e">
        <f t="shared" ca="1" si="27"/>
        <v>#N/A</v>
      </c>
      <c r="AC73" s="14" t="e">
        <f t="shared" ca="1" si="27"/>
        <v>#N/A</v>
      </c>
      <c r="AD73" s="14" t="e">
        <f t="shared" ca="1" si="27"/>
        <v>#N/A</v>
      </c>
      <c r="AE73" s="14" t="e">
        <f t="shared" ca="1" si="27"/>
        <v>#N/A</v>
      </c>
      <c r="AF73" s="14" t="e">
        <f t="shared" ca="1" si="27"/>
        <v>#N/A</v>
      </c>
      <c r="AG73" s="14" t="e">
        <f t="shared" ca="1" si="27"/>
        <v>#N/A</v>
      </c>
      <c r="AH73" s="14" t="e">
        <f t="shared" ca="1" si="27"/>
        <v>#N/A</v>
      </c>
      <c r="AI73" s="14" t="e">
        <f t="shared" ca="1" si="27"/>
        <v>#N/A</v>
      </c>
      <c r="AJ73" s="14" t="e">
        <f t="shared" ca="1" si="27"/>
        <v>#N/A</v>
      </c>
      <c r="AK73" s="14" t="e">
        <f t="shared" ca="1" si="27"/>
        <v>#N/A</v>
      </c>
      <c r="AL73" s="14" t="e">
        <f t="shared" ca="1" si="27"/>
        <v>#N/A</v>
      </c>
      <c r="AM73" s="14" t="e">
        <f t="shared" ca="1" si="27"/>
        <v>#N/A</v>
      </c>
      <c r="AN73" s="14" t="e">
        <f t="shared" ca="1" si="27"/>
        <v>#N/A</v>
      </c>
      <c r="AO73" s="14" t="e">
        <f t="shared" ca="1" si="27"/>
        <v>#N/A</v>
      </c>
      <c r="AP73" s="14" t="e">
        <f t="shared" ca="1" si="27"/>
        <v>#N/A</v>
      </c>
      <c r="AQ73" s="14" t="e">
        <f t="shared" ca="1" si="27"/>
        <v>#N/A</v>
      </c>
      <c r="AR73" s="14" t="e">
        <f t="shared" ca="1" si="27"/>
        <v>#N/A</v>
      </c>
      <c r="AS73" s="14" t="e">
        <f t="shared" ca="1" si="27"/>
        <v>#N/A</v>
      </c>
      <c r="AT73" s="14" t="e">
        <f t="shared" ca="1" si="27"/>
        <v>#N/A</v>
      </c>
      <c r="AU73" s="14" t="e">
        <f t="shared" ca="1" si="27"/>
        <v>#N/A</v>
      </c>
      <c r="AV73" s="14" t="e">
        <f t="shared" ca="1" si="27"/>
        <v>#N/A</v>
      </c>
      <c r="AW73" s="14" t="e">
        <f t="shared" ca="1" si="27"/>
        <v>#N/A</v>
      </c>
      <c r="AX73" s="14" t="e">
        <f t="shared" ca="1" si="27"/>
        <v>#N/A</v>
      </c>
      <c r="AY73" s="14" t="e">
        <f t="shared" ca="1" si="27"/>
        <v>#N/A</v>
      </c>
      <c r="AZ73" s="14" t="e">
        <f t="shared" ca="1" si="27"/>
        <v>#N/A</v>
      </c>
      <c r="BA73" s="14" t="e">
        <f t="shared" ca="1" si="27"/>
        <v>#N/A</v>
      </c>
      <c r="BB73" s="14" t="e">
        <f t="shared" ca="1" si="27"/>
        <v>#N/A</v>
      </c>
      <c r="BC73" s="14" t="e">
        <f t="shared" ca="1" si="27"/>
        <v>#N/A</v>
      </c>
      <c r="BD73" s="14" t="e">
        <f t="shared" ca="1" si="27"/>
        <v>#N/A</v>
      </c>
      <c r="BE73" s="14" t="e">
        <f t="shared" ca="1" si="27"/>
        <v>#N/A</v>
      </c>
      <c r="BF73" s="14" t="e">
        <f t="shared" ca="1" si="27"/>
        <v>#N/A</v>
      </c>
      <c r="BG73" s="14" t="e">
        <f t="shared" ca="1" si="27"/>
        <v>#N/A</v>
      </c>
      <c r="BH73" s="14" t="e">
        <f t="shared" ca="1" si="27"/>
        <v>#N/A</v>
      </c>
      <c r="BI73" s="14" t="e">
        <f t="shared" ca="1" si="27"/>
        <v>#N/A</v>
      </c>
      <c r="BJ73" s="14" t="e">
        <f t="shared" ca="1" si="27"/>
        <v>#N/A</v>
      </c>
      <c r="BK73" s="14" t="e">
        <f t="shared" ca="1" si="27"/>
        <v>#N/A</v>
      </c>
      <c r="BL73" s="14" t="e">
        <f t="shared" ca="1" si="27"/>
        <v>#N/A</v>
      </c>
      <c r="BM73" s="14" t="e">
        <f t="shared" ca="1" si="27"/>
        <v>#N/A</v>
      </c>
      <c r="BN73" s="14" t="e">
        <f t="shared" ca="1" si="27"/>
        <v>#N/A</v>
      </c>
      <c r="BO73" s="14" t="e">
        <f t="shared" ca="1" si="27"/>
        <v>#N/A</v>
      </c>
      <c r="BP73" s="14" t="e">
        <f t="shared" ca="1" si="27"/>
        <v>#N/A</v>
      </c>
      <c r="BQ73" s="14" t="e">
        <f t="shared" ca="1" si="27"/>
        <v>#N/A</v>
      </c>
      <c r="BR73" s="14" t="e">
        <f t="shared" ca="1" si="27"/>
        <v>#N/A</v>
      </c>
      <c r="BS73" s="94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 t="e">
        <f t="shared" ca="1" si="25"/>
        <v>#N/A</v>
      </c>
      <c r="G74" s="14" t="e">
        <f t="shared" ca="1" si="27"/>
        <v>#N/A</v>
      </c>
      <c r="H74" s="14" t="e">
        <f t="shared" ca="1" si="27"/>
        <v>#N/A</v>
      </c>
      <c r="I74" s="14" t="e">
        <f t="shared" ca="1" si="27"/>
        <v>#N/A</v>
      </c>
      <c r="J74" s="14" t="e">
        <f t="shared" ca="1" si="27"/>
        <v>#N/A</v>
      </c>
      <c r="K74" s="14" t="e">
        <f t="shared" ca="1" si="27"/>
        <v>#N/A</v>
      </c>
      <c r="L74" s="14" t="e">
        <f t="shared" ca="1" si="27"/>
        <v>#N/A</v>
      </c>
      <c r="M74" s="14" t="e">
        <f t="shared" ca="1" si="27"/>
        <v>#N/A</v>
      </c>
      <c r="N74" s="14" t="e">
        <f t="shared" ca="1" si="27"/>
        <v>#N/A</v>
      </c>
      <c r="O74" s="14" t="e">
        <f t="shared" ca="1" si="27"/>
        <v>#N/A</v>
      </c>
      <c r="P74" s="14" t="e">
        <f t="shared" ca="1" si="27"/>
        <v>#N/A</v>
      </c>
      <c r="Q74" s="14" t="e">
        <f t="shared" ca="1" si="27"/>
        <v>#N/A</v>
      </c>
      <c r="R74" s="14" t="e">
        <f t="shared" ca="1" si="27"/>
        <v>#N/A</v>
      </c>
      <c r="S74" s="14" t="e">
        <f t="shared" ca="1" si="27"/>
        <v>#N/A</v>
      </c>
      <c r="T74" s="14" t="e">
        <f t="shared" ca="1" si="27"/>
        <v>#N/A</v>
      </c>
      <c r="U74" s="14" t="e">
        <f t="shared" ca="1" si="27"/>
        <v>#N/A</v>
      </c>
      <c r="V74" s="14" t="e">
        <f t="shared" ca="1" si="27"/>
        <v>#N/A</v>
      </c>
      <c r="W74" s="14" t="e">
        <f t="shared" ca="1" si="27"/>
        <v>#N/A</v>
      </c>
      <c r="X74" s="14" t="e">
        <f t="shared" ca="1" si="27"/>
        <v>#N/A</v>
      </c>
      <c r="Y74" s="14" t="e">
        <f t="shared" ca="1" si="27"/>
        <v>#N/A</v>
      </c>
      <c r="Z74" s="14" t="e">
        <f t="shared" ca="1" si="27"/>
        <v>#N/A</v>
      </c>
      <c r="AA74" s="14" t="e">
        <f t="shared" ca="1" si="27"/>
        <v>#N/A</v>
      </c>
      <c r="AB74" s="14" t="e">
        <f t="shared" ca="1" si="27"/>
        <v>#N/A</v>
      </c>
      <c r="AC74" s="14" t="e">
        <f t="shared" ca="1" si="27"/>
        <v>#N/A</v>
      </c>
      <c r="AD74" s="14" t="e">
        <f t="shared" ca="1" si="27"/>
        <v>#N/A</v>
      </c>
      <c r="AE74" s="14" t="e">
        <f t="shared" ca="1" si="27"/>
        <v>#N/A</v>
      </c>
      <c r="AF74" s="14" t="e">
        <f t="shared" ca="1" si="27"/>
        <v>#N/A</v>
      </c>
      <c r="AG74" s="14" t="e">
        <f t="shared" ca="1" si="27"/>
        <v>#N/A</v>
      </c>
      <c r="AH74" s="14" t="e">
        <f t="shared" ca="1" si="27"/>
        <v>#N/A</v>
      </c>
      <c r="AI74" s="14" t="e">
        <f t="shared" ca="1" si="27"/>
        <v>#N/A</v>
      </c>
      <c r="AJ74" s="14" t="e">
        <f t="shared" ca="1" si="27"/>
        <v>#N/A</v>
      </c>
      <c r="AK74" s="14" t="e">
        <f t="shared" ca="1" si="27"/>
        <v>#N/A</v>
      </c>
      <c r="AL74" s="14" t="e">
        <f t="shared" ca="1" si="27"/>
        <v>#N/A</v>
      </c>
      <c r="AM74" s="14" t="e">
        <f t="shared" ca="1" si="27"/>
        <v>#N/A</v>
      </c>
      <c r="AN74" s="14" t="e">
        <f t="shared" ca="1" si="27"/>
        <v>#N/A</v>
      </c>
      <c r="AO74" s="14" t="e">
        <f t="shared" ca="1" si="27"/>
        <v>#N/A</v>
      </c>
      <c r="AP74" s="14" t="e">
        <f t="shared" ca="1" si="27"/>
        <v>#N/A</v>
      </c>
      <c r="AQ74" s="14" t="e">
        <f t="shared" ca="1" si="27"/>
        <v>#N/A</v>
      </c>
      <c r="AR74" s="14" t="e">
        <f t="shared" ca="1" si="27"/>
        <v>#N/A</v>
      </c>
      <c r="AS74" s="14" t="e">
        <f t="shared" ref="AS74:BR74" ca="1" si="28">$A74*H.Ar + $B74*H.Se + $C74*H.Ge + $D74*H.Ga</f>
        <v>#N/A</v>
      </c>
      <c r="AT74" s="14" t="e">
        <f t="shared" ca="1" si="28"/>
        <v>#N/A</v>
      </c>
      <c r="AU74" s="14" t="e">
        <f t="shared" ca="1" si="28"/>
        <v>#N/A</v>
      </c>
      <c r="AV74" s="14" t="e">
        <f t="shared" ca="1" si="28"/>
        <v>#N/A</v>
      </c>
      <c r="AW74" s="14" t="e">
        <f t="shared" ca="1" si="28"/>
        <v>#N/A</v>
      </c>
      <c r="AX74" s="14" t="e">
        <f t="shared" ca="1" si="28"/>
        <v>#N/A</v>
      </c>
      <c r="AY74" s="14" t="e">
        <f t="shared" ca="1" si="28"/>
        <v>#N/A</v>
      </c>
      <c r="AZ74" s="14" t="e">
        <f t="shared" ca="1" si="28"/>
        <v>#N/A</v>
      </c>
      <c r="BA74" s="14" t="e">
        <f t="shared" ca="1" si="28"/>
        <v>#N/A</v>
      </c>
      <c r="BB74" s="14" t="e">
        <f t="shared" ca="1" si="28"/>
        <v>#N/A</v>
      </c>
      <c r="BC74" s="14" t="e">
        <f t="shared" ca="1" si="28"/>
        <v>#N/A</v>
      </c>
      <c r="BD74" s="14" t="e">
        <f t="shared" ca="1" si="28"/>
        <v>#N/A</v>
      </c>
      <c r="BE74" s="14" t="e">
        <f t="shared" ca="1" si="28"/>
        <v>#N/A</v>
      </c>
      <c r="BF74" s="14" t="e">
        <f t="shared" ca="1" si="28"/>
        <v>#N/A</v>
      </c>
      <c r="BG74" s="14" t="e">
        <f t="shared" ca="1" si="28"/>
        <v>#N/A</v>
      </c>
      <c r="BH74" s="14" t="e">
        <f t="shared" ca="1" si="28"/>
        <v>#N/A</v>
      </c>
      <c r="BI74" s="14" t="e">
        <f t="shared" ca="1" si="28"/>
        <v>#N/A</v>
      </c>
      <c r="BJ74" s="14" t="e">
        <f t="shared" ca="1" si="28"/>
        <v>#N/A</v>
      </c>
      <c r="BK74" s="14" t="e">
        <f t="shared" ca="1" si="28"/>
        <v>#N/A</v>
      </c>
      <c r="BL74" s="14" t="e">
        <f t="shared" ca="1" si="28"/>
        <v>#N/A</v>
      </c>
      <c r="BM74" s="14" t="e">
        <f t="shared" ca="1" si="28"/>
        <v>#N/A</v>
      </c>
      <c r="BN74" s="14" t="e">
        <f t="shared" ca="1" si="28"/>
        <v>#N/A</v>
      </c>
      <c r="BO74" s="14" t="e">
        <f t="shared" ca="1" si="28"/>
        <v>#N/A</v>
      </c>
      <c r="BP74" s="14" t="e">
        <f t="shared" ca="1" si="28"/>
        <v>#N/A</v>
      </c>
      <c r="BQ74" s="14" t="e">
        <f t="shared" ca="1" si="28"/>
        <v>#N/A</v>
      </c>
      <c r="BR74" s="14" t="e">
        <f t="shared" ca="1" si="28"/>
        <v>#N/A</v>
      </c>
      <c r="BS74" s="94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4"/>
    </row>
    <row r="76" spans="1:87" ht="21" customHeight="1" outlineLevel="1" thickTop="1" x14ac:dyDescent="0.35">
      <c r="A76" s="47"/>
      <c r="B76" s="47"/>
      <c r="C76" s="47"/>
      <c r="D76" s="47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 x14ac:dyDescent="0.35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40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0</v>
      </c>
      <c r="G79" s="3">
        <f t="shared" ref="G79:BR79" si="31">G3</f>
        <v>0</v>
      </c>
      <c r="H79" s="3">
        <f t="shared" si="31"/>
        <v>0</v>
      </c>
      <c r="I79" s="3">
        <f t="shared" si="31"/>
        <v>0</v>
      </c>
      <c r="J79" s="3">
        <f t="shared" si="31"/>
        <v>0</v>
      </c>
      <c r="K79" s="3">
        <f t="shared" si="31"/>
        <v>0</v>
      </c>
      <c r="L79" s="3">
        <f t="shared" si="31"/>
        <v>0</v>
      </c>
      <c r="M79" s="3">
        <f t="shared" si="31"/>
        <v>0</v>
      </c>
      <c r="N79" s="3">
        <f t="shared" si="31"/>
        <v>0</v>
      </c>
      <c r="O79" s="3">
        <f t="shared" si="31"/>
        <v>0</v>
      </c>
      <c r="P79" s="3">
        <f t="shared" si="31"/>
        <v>0</v>
      </c>
      <c r="Q79" s="3">
        <f t="shared" si="31"/>
        <v>0</v>
      </c>
      <c r="R79" s="3">
        <f t="shared" si="31"/>
        <v>0</v>
      </c>
      <c r="S79" s="3">
        <f t="shared" si="31"/>
        <v>0</v>
      </c>
      <c r="T79" s="3">
        <f t="shared" si="31"/>
        <v>0</v>
      </c>
      <c r="U79" s="3">
        <f t="shared" si="31"/>
        <v>0</v>
      </c>
      <c r="V79" s="3">
        <f t="shared" si="31"/>
        <v>0</v>
      </c>
      <c r="W79" s="3">
        <f t="shared" si="31"/>
        <v>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4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0</v>
      </c>
      <c r="E80" s="6">
        <f t="shared" si="29"/>
        <v>0</v>
      </c>
      <c r="F80" s="14">
        <f t="shared" ref="F80" si="33">F4*$C$78</f>
        <v>0</v>
      </c>
      <c r="G80" s="14">
        <f t="shared" ref="G80:BR80" si="34">G4*$C$78</f>
        <v>0</v>
      </c>
      <c r="H80" s="14">
        <f t="shared" si="34"/>
        <v>0</v>
      </c>
      <c r="I80" s="14">
        <f t="shared" si="34"/>
        <v>0</v>
      </c>
      <c r="J80" s="14">
        <f t="shared" si="34"/>
        <v>0</v>
      </c>
      <c r="K80" s="14">
        <f t="shared" si="34"/>
        <v>0</v>
      </c>
      <c r="L80" s="14">
        <f t="shared" si="34"/>
        <v>0</v>
      </c>
      <c r="M80" s="14">
        <f t="shared" si="34"/>
        <v>0</v>
      </c>
      <c r="N80" s="14">
        <f t="shared" si="34"/>
        <v>0</v>
      </c>
      <c r="O80" s="14">
        <f t="shared" si="34"/>
        <v>0</v>
      </c>
      <c r="P80" s="14">
        <f t="shared" si="34"/>
        <v>0</v>
      </c>
      <c r="Q80" s="14">
        <f t="shared" si="34"/>
        <v>0</v>
      </c>
      <c r="R80" s="14">
        <f t="shared" si="34"/>
        <v>0</v>
      </c>
      <c r="S80" s="14">
        <f t="shared" si="34"/>
        <v>0</v>
      </c>
      <c r="T80" s="14">
        <f t="shared" si="34"/>
        <v>0</v>
      </c>
      <c r="U80" s="14">
        <f t="shared" si="34"/>
        <v>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4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>
        <f t="shared" si="29"/>
        <v>0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0</v>
      </c>
      <c r="Q81" s="14">
        <f t="shared" si="37"/>
        <v>0</v>
      </c>
      <c r="R81" s="14">
        <f t="shared" si="37"/>
        <v>0</v>
      </c>
      <c r="S81" s="14">
        <f t="shared" si="37"/>
        <v>0</v>
      </c>
      <c r="T81" s="14">
        <f t="shared" si="37"/>
        <v>0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4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>
        <f t="shared" si="29"/>
        <v>0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0</v>
      </c>
      <c r="Q82" s="14">
        <f t="shared" si="39"/>
        <v>0</v>
      </c>
      <c r="R82" s="14">
        <f t="shared" si="39"/>
        <v>0</v>
      </c>
      <c r="S82" s="14">
        <f t="shared" si="39"/>
        <v>0</v>
      </c>
      <c r="T82" s="14">
        <f t="shared" si="39"/>
        <v>0</v>
      </c>
      <c r="U82" s="14">
        <f t="shared" si="39"/>
        <v>0</v>
      </c>
      <c r="V82" s="14">
        <f t="shared" si="39"/>
        <v>0</v>
      </c>
      <c r="W82" s="14">
        <f t="shared" si="39"/>
        <v>0</v>
      </c>
      <c r="X82" s="14">
        <f t="shared" si="39"/>
        <v>0</v>
      </c>
      <c r="Y82" s="14">
        <f t="shared" si="39"/>
        <v>0</v>
      </c>
      <c r="Z82" s="14">
        <f t="shared" si="39"/>
        <v>0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4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>
        <f t="shared" si="29"/>
        <v>0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0</v>
      </c>
      <c r="O83" s="14">
        <f t="shared" si="41"/>
        <v>0</v>
      </c>
      <c r="P83" s="14">
        <f t="shared" si="41"/>
        <v>0</v>
      </c>
      <c r="Q83" s="14">
        <f t="shared" si="41"/>
        <v>0</v>
      </c>
      <c r="R83" s="14">
        <f t="shared" si="41"/>
        <v>0</v>
      </c>
      <c r="S83" s="14">
        <f t="shared" si="41"/>
        <v>0</v>
      </c>
      <c r="T83" s="14">
        <f t="shared" si="41"/>
        <v>0</v>
      </c>
      <c r="U83" s="14">
        <f t="shared" si="41"/>
        <v>0</v>
      </c>
      <c r="V83" s="14">
        <f t="shared" si="41"/>
        <v>0</v>
      </c>
      <c r="W83" s="14">
        <f t="shared" si="41"/>
        <v>0</v>
      </c>
      <c r="X83" s="14">
        <f t="shared" si="41"/>
        <v>0</v>
      </c>
      <c r="Y83" s="14">
        <f t="shared" si="41"/>
        <v>0</v>
      </c>
      <c r="Z83" s="14">
        <f t="shared" si="41"/>
        <v>0</v>
      </c>
      <c r="AA83" s="14">
        <f t="shared" si="41"/>
        <v>0</v>
      </c>
      <c r="AB83" s="14">
        <f t="shared" si="41"/>
        <v>0</v>
      </c>
      <c r="AC83" s="14">
        <f t="shared" si="41"/>
        <v>0</v>
      </c>
      <c r="AD83" s="14">
        <f t="shared" si="41"/>
        <v>0</v>
      </c>
      <c r="AE83" s="14">
        <f t="shared" si="41"/>
        <v>0</v>
      </c>
      <c r="AF83" s="14">
        <f t="shared" si="41"/>
        <v>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4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>
        <f t="shared" si="29"/>
        <v>0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0</v>
      </c>
      <c r="M84" s="14">
        <f t="shared" si="43"/>
        <v>0</v>
      </c>
      <c r="N84" s="14">
        <f t="shared" si="43"/>
        <v>0</v>
      </c>
      <c r="O84" s="14">
        <f t="shared" si="43"/>
        <v>0</v>
      </c>
      <c r="P84" s="14">
        <f t="shared" si="43"/>
        <v>0</v>
      </c>
      <c r="Q84" s="14">
        <f t="shared" si="43"/>
        <v>0</v>
      </c>
      <c r="R84" s="14">
        <f t="shared" si="43"/>
        <v>0</v>
      </c>
      <c r="S84" s="14">
        <f t="shared" si="43"/>
        <v>0</v>
      </c>
      <c r="T84" s="14">
        <f t="shared" si="43"/>
        <v>0</v>
      </c>
      <c r="U84" s="14">
        <f t="shared" si="43"/>
        <v>0</v>
      </c>
      <c r="V84" s="14">
        <f t="shared" si="43"/>
        <v>0</v>
      </c>
      <c r="W84" s="14">
        <f t="shared" si="43"/>
        <v>0</v>
      </c>
      <c r="X84" s="14">
        <f t="shared" si="43"/>
        <v>0</v>
      </c>
      <c r="Y84" s="14">
        <f t="shared" si="43"/>
        <v>0</v>
      </c>
      <c r="Z84" s="14">
        <f t="shared" si="43"/>
        <v>0</v>
      </c>
      <c r="AA84" s="14">
        <f t="shared" si="43"/>
        <v>0</v>
      </c>
      <c r="AB84" s="14">
        <f t="shared" si="43"/>
        <v>0</v>
      </c>
      <c r="AC84" s="14">
        <f t="shared" si="43"/>
        <v>0</v>
      </c>
      <c r="AD84" s="14">
        <f t="shared" si="43"/>
        <v>0</v>
      </c>
      <c r="AE84" s="14">
        <f t="shared" si="43"/>
        <v>0</v>
      </c>
      <c r="AF84" s="14">
        <f t="shared" si="43"/>
        <v>0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4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>
        <f t="shared" si="29"/>
        <v>0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0</v>
      </c>
      <c r="M85" s="14">
        <f t="shared" si="45"/>
        <v>0</v>
      </c>
      <c r="N85" s="14">
        <f t="shared" si="45"/>
        <v>0</v>
      </c>
      <c r="O85" s="14">
        <f t="shared" si="45"/>
        <v>0</v>
      </c>
      <c r="P85" s="14">
        <f t="shared" si="45"/>
        <v>0</v>
      </c>
      <c r="Q85" s="14">
        <f t="shared" si="45"/>
        <v>0</v>
      </c>
      <c r="R85" s="14">
        <f t="shared" si="45"/>
        <v>0</v>
      </c>
      <c r="S85" s="14">
        <f t="shared" si="45"/>
        <v>0</v>
      </c>
      <c r="T85" s="14">
        <f t="shared" si="45"/>
        <v>0</v>
      </c>
      <c r="U85" s="14">
        <f t="shared" si="45"/>
        <v>0</v>
      </c>
      <c r="V85" s="14">
        <f t="shared" si="45"/>
        <v>0</v>
      </c>
      <c r="W85" s="14">
        <f t="shared" si="45"/>
        <v>0</v>
      </c>
      <c r="X85" s="14">
        <f t="shared" si="45"/>
        <v>0</v>
      </c>
      <c r="Y85" s="14">
        <f t="shared" si="45"/>
        <v>0</v>
      </c>
      <c r="Z85" s="14">
        <f t="shared" si="45"/>
        <v>0</v>
      </c>
      <c r="AA85" s="14">
        <f t="shared" si="45"/>
        <v>0</v>
      </c>
      <c r="AB85" s="14">
        <f t="shared" si="45"/>
        <v>0</v>
      </c>
      <c r="AC85" s="14">
        <f t="shared" si="45"/>
        <v>0</v>
      </c>
      <c r="AD85" s="14">
        <f t="shared" si="45"/>
        <v>0</v>
      </c>
      <c r="AE85" s="14">
        <f t="shared" si="45"/>
        <v>0</v>
      </c>
      <c r="AF85" s="14">
        <f t="shared" si="45"/>
        <v>0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4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>
        <f t="shared" si="29"/>
        <v>0</v>
      </c>
      <c r="F86" s="14">
        <f t="shared" ref="F86" si="46">F10*$C$78</f>
        <v>0</v>
      </c>
      <c r="G86" s="14">
        <f t="shared" ref="G86:BR86" si="47">G10*$C$78</f>
        <v>0</v>
      </c>
      <c r="H86" s="14">
        <f t="shared" si="47"/>
        <v>0</v>
      </c>
      <c r="I86" s="14">
        <f t="shared" si="47"/>
        <v>0</v>
      </c>
      <c r="J86" s="14">
        <f t="shared" si="47"/>
        <v>0</v>
      </c>
      <c r="K86" s="14">
        <f t="shared" si="47"/>
        <v>0</v>
      </c>
      <c r="L86" s="14">
        <f t="shared" si="47"/>
        <v>0</v>
      </c>
      <c r="M86" s="14">
        <f t="shared" si="47"/>
        <v>0</v>
      </c>
      <c r="N86" s="14">
        <f t="shared" si="47"/>
        <v>0</v>
      </c>
      <c r="O86" s="14">
        <f t="shared" si="47"/>
        <v>0</v>
      </c>
      <c r="P86" s="14">
        <f t="shared" si="47"/>
        <v>0</v>
      </c>
      <c r="Q86" s="14">
        <f t="shared" si="47"/>
        <v>0</v>
      </c>
      <c r="R86" s="14">
        <f t="shared" si="47"/>
        <v>0</v>
      </c>
      <c r="S86" s="14">
        <f t="shared" si="47"/>
        <v>0</v>
      </c>
      <c r="T86" s="14">
        <f t="shared" si="47"/>
        <v>0</v>
      </c>
      <c r="U86" s="14">
        <f t="shared" si="47"/>
        <v>0</v>
      </c>
      <c r="V86" s="14">
        <f t="shared" si="47"/>
        <v>0</v>
      </c>
      <c r="W86" s="14">
        <f t="shared" si="47"/>
        <v>0</v>
      </c>
      <c r="X86" s="14">
        <f t="shared" si="47"/>
        <v>0</v>
      </c>
      <c r="Y86" s="14">
        <f t="shared" si="47"/>
        <v>0</v>
      </c>
      <c r="Z86" s="14">
        <f t="shared" si="47"/>
        <v>0</v>
      </c>
      <c r="AA86" s="14">
        <f t="shared" si="47"/>
        <v>0</v>
      </c>
      <c r="AB86" s="14">
        <f t="shared" si="47"/>
        <v>0</v>
      </c>
      <c r="AC86" s="14">
        <f t="shared" si="47"/>
        <v>0</v>
      </c>
      <c r="AD86" s="14">
        <f t="shared" si="47"/>
        <v>0</v>
      </c>
      <c r="AE86" s="14">
        <f t="shared" si="47"/>
        <v>0</v>
      </c>
      <c r="AF86" s="14">
        <f t="shared" si="47"/>
        <v>0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4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0</v>
      </c>
      <c r="D87" s="5">
        <f t="shared" si="35"/>
        <v>0</v>
      </c>
      <c r="E87" s="6">
        <f t="shared" si="29"/>
        <v>0</v>
      </c>
      <c r="F87" s="14">
        <f t="shared" ref="F87" si="48">F11*$C$78</f>
        <v>0</v>
      </c>
      <c r="G87" s="14">
        <f t="shared" ref="G87:BR87" si="49">G11*$C$78</f>
        <v>0</v>
      </c>
      <c r="H87" s="14">
        <f t="shared" si="49"/>
        <v>0</v>
      </c>
      <c r="I87" s="14">
        <f t="shared" si="49"/>
        <v>0</v>
      </c>
      <c r="J87" s="14">
        <f t="shared" si="49"/>
        <v>0</v>
      </c>
      <c r="K87" s="14">
        <f t="shared" si="49"/>
        <v>0</v>
      </c>
      <c r="L87" s="14">
        <f t="shared" si="49"/>
        <v>0</v>
      </c>
      <c r="M87" s="14">
        <f t="shared" si="49"/>
        <v>0</v>
      </c>
      <c r="N87" s="14">
        <f t="shared" si="49"/>
        <v>0</v>
      </c>
      <c r="O87" s="14">
        <f t="shared" si="49"/>
        <v>0</v>
      </c>
      <c r="P87" s="14">
        <f t="shared" si="49"/>
        <v>0</v>
      </c>
      <c r="Q87" s="14">
        <f t="shared" si="49"/>
        <v>0</v>
      </c>
      <c r="R87" s="14">
        <f t="shared" si="49"/>
        <v>0</v>
      </c>
      <c r="S87" s="14">
        <f t="shared" si="49"/>
        <v>0</v>
      </c>
      <c r="T87" s="14">
        <f t="shared" si="49"/>
        <v>0</v>
      </c>
      <c r="U87" s="14">
        <f t="shared" si="49"/>
        <v>0</v>
      </c>
      <c r="V87" s="14">
        <f t="shared" si="49"/>
        <v>0</v>
      </c>
      <c r="W87" s="14">
        <f t="shared" si="49"/>
        <v>0</v>
      </c>
      <c r="X87" s="14">
        <f t="shared" si="49"/>
        <v>0</v>
      </c>
      <c r="Y87" s="14">
        <f t="shared" si="49"/>
        <v>0</v>
      </c>
      <c r="Z87" s="14">
        <f t="shared" si="49"/>
        <v>0</v>
      </c>
      <c r="AA87" s="14">
        <f t="shared" si="49"/>
        <v>0</v>
      </c>
      <c r="AB87" s="14">
        <f t="shared" si="49"/>
        <v>0</v>
      </c>
      <c r="AC87" s="14">
        <f t="shared" si="49"/>
        <v>0</v>
      </c>
      <c r="AD87" s="14">
        <f t="shared" si="49"/>
        <v>0</v>
      </c>
      <c r="AE87" s="14">
        <f t="shared" si="49"/>
        <v>0</v>
      </c>
      <c r="AF87" s="14">
        <f t="shared" si="49"/>
        <v>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4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0</v>
      </c>
      <c r="E88" s="6">
        <f t="shared" si="29"/>
        <v>0</v>
      </c>
      <c r="F88" s="14">
        <f t="shared" ref="F88" si="50">F12*$C$78</f>
        <v>0</v>
      </c>
      <c r="G88" s="14">
        <f t="shared" ref="G88:BR88" si="51">G12*$C$78</f>
        <v>0</v>
      </c>
      <c r="H88" s="14">
        <f t="shared" si="51"/>
        <v>0</v>
      </c>
      <c r="I88" s="14">
        <f t="shared" si="51"/>
        <v>0</v>
      </c>
      <c r="J88" s="14">
        <f t="shared" si="51"/>
        <v>0</v>
      </c>
      <c r="K88" s="14">
        <f t="shared" si="51"/>
        <v>0</v>
      </c>
      <c r="L88" s="14">
        <f t="shared" si="51"/>
        <v>0</v>
      </c>
      <c r="M88" s="14">
        <f t="shared" si="51"/>
        <v>0</v>
      </c>
      <c r="N88" s="14">
        <f t="shared" si="51"/>
        <v>0</v>
      </c>
      <c r="O88" s="14">
        <f t="shared" si="51"/>
        <v>0</v>
      </c>
      <c r="P88" s="14">
        <f t="shared" si="51"/>
        <v>0</v>
      </c>
      <c r="Q88" s="14">
        <f t="shared" si="51"/>
        <v>0</v>
      </c>
      <c r="R88" s="14">
        <f t="shared" si="51"/>
        <v>0</v>
      </c>
      <c r="S88" s="14">
        <f t="shared" si="51"/>
        <v>0</v>
      </c>
      <c r="T88" s="14">
        <f t="shared" si="51"/>
        <v>0</v>
      </c>
      <c r="U88" s="14">
        <f t="shared" si="51"/>
        <v>0</v>
      </c>
      <c r="V88" s="14">
        <f t="shared" si="51"/>
        <v>0</v>
      </c>
      <c r="W88" s="14">
        <f t="shared" si="51"/>
        <v>0</v>
      </c>
      <c r="X88" s="14">
        <f t="shared" si="51"/>
        <v>0</v>
      </c>
      <c r="Y88" s="14">
        <f t="shared" si="51"/>
        <v>0</v>
      </c>
      <c r="Z88" s="14">
        <f t="shared" si="51"/>
        <v>0</v>
      </c>
      <c r="AA88" s="14">
        <f t="shared" si="51"/>
        <v>0</v>
      </c>
      <c r="AB88" s="14">
        <f t="shared" si="51"/>
        <v>0</v>
      </c>
      <c r="AC88" s="14">
        <f t="shared" si="51"/>
        <v>0</v>
      </c>
      <c r="AD88" s="14">
        <f t="shared" si="51"/>
        <v>0</v>
      </c>
      <c r="AE88" s="14">
        <f t="shared" si="51"/>
        <v>0</v>
      </c>
      <c r="AF88" s="14">
        <f t="shared" si="51"/>
        <v>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4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>
        <f t="shared" si="29"/>
        <v>0</v>
      </c>
      <c r="F89" s="14">
        <f t="shared" ref="F89" si="52">F13*$C$78</f>
        <v>0</v>
      </c>
      <c r="G89" s="14">
        <f t="shared" ref="G89:BR89" si="53">G13*$C$78</f>
        <v>0</v>
      </c>
      <c r="H89" s="14">
        <f t="shared" si="53"/>
        <v>0</v>
      </c>
      <c r="I89" s="14">
        <f t="shared" si="53"/>
        <v>0</v>
      </c>
      <c r="J89" s="14">
        <f t="shared" si="53"/>
        <v>0</v>
      </c>
      <c r="K89" s="14">
        <f t="shared" si="53"/>
        <v>0</v>
      </c>
      <c r="L89" s="14">
        <f t="shared" si="53"/>
        <v>0</v>
      </c>
      <c r="M89" s="14">
        <f t="shared" si="53"/>
        <v>0</v>
      </c>
      <c r="N89" s="14">
        <f t="shared" si="53"/>
        <v>0</v>
      </c>
      <c r="O89" s="14">
        <f t="shared" si="53"/>
        <v>0</v>
      </c>
      <c r="P89" s="14">
        <f t="shared" si="53"/>
        <v>0</v>
      </c>
      <c r="Q89" s="14">
        <f t="shared" si="53"/>
        <v>0</v>
      </c>
      <c r="R89" s="14">
        <f t="shared" si="53"/>
        <v>0</v>
      </c>
      <c r="S89" s="14">
        <f t="shared" si="53"/>
        <v>0</v>
      </c>
      <c r="T89" s="14">
        <f t="shared" si="53"/>
        <v>0</v>
      </c>
      <c r="U89" s="14">
        <f t="shared" si="53"/>
        <v>0</v>
      </c>
      <c r="V89" s="14">
        <f t="shared" si="53"/>
        <v>0</v>
      </c>
      <c r="W89" s="14">
        <f t="shared" si="53"/>
        <v>0</v>
      </c>
      <c r="X89" s="14">
        <f t="shared" si="53"/>
        <v>0</v>
      </c>
      <c r="Y89" s="14">
        <f t="shared" si="53"/>
        <v>0</v>
      </c>
      <c r="Z89" s="14">
        <f t="shared" si="53"/>
        <v>0</v>
      </c>
      <c r="AA89" s="14">
        <f t="shared" si="53"/>
        <v>0</v>
      </c>
      <c r="AB89" s="14">
        <f t="shared" si="53"/>
        <v>0</v>
      </c>
      <c r="AC89" s="14">
        <f t="shared" si="53"/>
        <v>0</v>
      </c>
      <c r="AD89" s="14">
        <f t="shared" si="53"/>
        <v>0</v>
      </c>
      <c r="AE89" s="14">
        <f t="shared" si="53"/>
        <v>0</v>
      </c>
      <c r="AF89" s="14">
        <f t="shared" si="53"/>
        <v>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4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>
        <f t="shared" si="29"/>
        <v>0</v>
      </c>
      <c r="F90" s="14">
        <f t="shared" ref="F90" si="54">F14*$C$78</f>
        <v>0</v>
      </c>
      <c r="G90" s="14">
        <f t="shared" ref="G90:BR90" si="55">G14*$C$78</f>
        <v>0</v>
      </c>
      <c r="H90" s="14">
        <f t="shared" si="55"/>
        <v>0</v>
      </c>
      <c r="I90" s="14">
        <f t="shared" si="55"/>
        <v>0</v>
      </c>
      <c r="J90" s="14">
        <f t="shared" si="55"/>
        <v>0</v>
      </c>
      <c r="K90" s="14">
        <f t="shared" si="55"/>
        <v>0</v>
      </c>
      <c r="L90" s="14">
        <f t="shared" si="55"/>
        <v>0</v>
      </c>
      <c r="M90" s="14">
        <f t="shared" si="55"/>
        <v>0</v>
      </c>
      <c r="N90" s="14">
        <f t="shared" si="55"/>
        <v>0</v>
      </c>
      <c r="O90" s="14">
        <f t="shared" si="55"/>
        <v>0</v>
      </c>
      <c r="P90" s="14">
        <f t="shared" si="55"/>
        <v>0</v>
      </c>
      <c r="Q90" s="14">
        <f t="shared" si="55"/>
        <v>0</v>
      </c>
      <c r="R90" s="14">
        <f t="shared" si="55"/>
        <v>0</v>
      </c>
      <c r="S90" s="14">
        <f t="shared" si="55"/>
        <v>0</v>
      </c>
      <c r="T90" s="14">
        <f t="shared" si="55"/>
        <v>0</v>
      </c>
      <c r="U90" s="14">
        <f t="shared" si="55"/>
        <v>0</v>
      </c>
      <c r="V90" s="14">
        <f t="shared" si="55"/>
        <v>0</v>
      </c>
      <c r="W90" s="14">
        <f t="shared" si="55"/>
        <v>0</v>
      </c>
      <c r="X90" s="14">
        <f t="shared" si="55"/>
        <v>0</v>
      </c>
      <c r="Y90" s="14">
        <f t="shared" si="55"/>
        <v>0</v>
      </c>
      <c r="Z90" s="14">
        <f t="shared" si="55"/>
        <v>0</v>
      </c>
      <c r="AA90" s="14">
        <f t="shared" si="55"/>
        <v>0</v>
      </c>
      <c r="AB90" s="14">
        <f t="shared" si="55"/>
        <v>0</v>
      </c>
      <c r="AC90" s="14">
        <f t="shared" si="55"/>
        <v>0</v>
      </c>
      <c r="AD90" s="14">
        <f t="shared" si="55"/>
        <v>0</v>
      </c>
      <c r="AE90" s="14">
        <f t="shared" si="55"/>
        <v>0</v>
      </c>
      <c r="AF90" s="14">
        <f t="shared" si="55"/>
        <v>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4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>
        <f t="shared" si="29"/>
        <v>0</v>
      </c>
      <c r="F91" s="14">
        <f t="shared" ref="F91" si="56">F15*$C$78</f>
        <v>0</v>
      </c>
      <c r="G91" s="14">
        <f t="shared" ref="G91:BR91" si="57">G15*$C$78</f>
        <v>0</v>
      </c>
      <c r="H91" s="14">
        <f t="shared" si="57"/>
        <v>0</v>
      </c>
      <c r="I91" s="14">
        <f t="shared" si="57"/>
        <v>0</v>
      </c>
      <c r="J91" s="14">
        <f t="shared" si="57"/>
        <v>0</v>
      </c>
      <c r="K91" s="14">
        <f t="shared" si="57"/>
        <v>0</v>
      </c>
      <c r="L91" s="14">
        <f t="shared" si="57"/>
        <v>0</v>
      </c>
      <c r="M91" s="14">
        <f t="shared" si="57"/>
        <v>0</v>
      </c>
      <c r="N91" s="14">
        <f t="shared" si="57"/>
        <v>0</v>
      </c>
      <c r="O91" s="14">
        <f t="shared" si="57"/>
        <v>0</v>
      </c>
      <c r="P91" s="14">
        <f t="shared" si="57"/>
        <v>0</v>
      </c>
      <c r="Q91" s="14">
        <f t="shared" si="57"/>
        <v>0</v>
      </c>
      <c r="R91" s="14">
        <f t="shared" si="57"/>
        <v>0</v>
      </c>
      <c r="S91" s="14">
        <f t="shared" si="57"/>
        <v>0</v>
      </c>
      <c r="T91" s="14">
        <f t="shared" si="57"/>
        <v>0</v>
      </c>
      <c r="U91" s="14">
        <f t="shared" si="57"/>
        <v>0</v>
      </c>
      <c r="V91" s="14">
        <f t="shared" si="57"/>
        <v>0</v>
      </c>
      <c r="W91" s="14">
        <f t="shared" si="57"/>
        <v>0</v>
      </c>
      <c r="X91" s="14">
        <f t="shared" si="57"/>
        <v>0</v>
      </c>
      <c r="Y91" s="14">
        <f t="shared" si="57"/>
        <v>0</v>
      </c>
      <c r="Z91" s="14">
        <f t="shared" si="57"/>
        <v>0</v>
      </c>
      <c r="AA91" s="14">
        <f t="shared" si="57"/>
        <v>0</v>
      </c>
      <c r="AB91" s="14">
        <f t="shared" si="57"/>
        <v>0</v>
      </c>
      <c r="AC91" s="14">
        <f t="shared" si="57"/>
        <v>0</v>
      </c>
      <c r="AD91" s="14">
        <f t="shared" si="57"/>
        <v>0</v>
      </c>
      <c r="AE91" s="14">
        <f t="shared" si="57"/>
        <v>0</v>
      </c>
      <c r="AF91" s="14">
        <f t="shared" si="57"/>
        <v>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4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>
        <f t="shared" si="29"/>
        <v>0</v>
      </c>
      <c r="F92" s="14">
        <f t="shared" ref="F92" si="58">F16*$C$78</f>
        <v>0</v>
      </c>
      <c r="G92" s="14">
        <f t="shared" ref="G92:BR92" si="59">G16*$C$78</f>
        <v>0</v>
      </c>
      <c r="H92" s="14">
        <f t="shared" si="59"/>
        <v>0</v>
      </c>
      <c r="I92" s="14">
        <f t="shared" si="59"/>
        <v>0</v>
      </c>
      <c r="J92" s="14">
        <f t="shared" si="59"/>
        <v>0</v>
      </c>
      <c r="K92" s="14">
        <f t="shared" si="59"/>
        <v>0</v>
      </c>
      <c r="L92" s="14">
        <f t="shared" si="59"/>
        <v>0</v>
      </c>
      <c r="M92" s="14">
        <f t="shared" si="59"/>
        <v>0</v>
      </c>
      <c r="N92" s="14">
        <f t="shared" si="59"/>
        <v>0</v>
      </c>
      <c r="O92" s="14">
        <f t="shared" si="59"/>
        <v>0</v>
      </c>
      <c r="P92" s="14">
        <f t="shared" si="59"/>
        <v>0</v>
      </c>
      <c r="Q92" s="14">
        <f t="shared" si="59"/>
        <v>0</v>
      </c>
      <c r="R92" s="14">
        <f t="shared" si="59"/>
        <v>0</v>
      </c>
      <c r="S92" s="14">
        <f t="shared" si="59"/>
        <v>0</v>
      </c>
      <c r="T92" s="14">
        <f t="shared" si="59"/>
        <v>0</v>
      </c>
      <c r="U92" s="14">
        <f t="shared" si="59"/>
        <v>0</v>
      </c>
      <c r="V92" s="14">
        <f t="shared" si="59"/>
        <v>0</v>
      </c>
      <c r="W92" s="14">
        <f t="shared" si="59"/>
        <v>0</v>
      </c>
      <c r="X92" s="14">
        <f t="shared" si="59"/>
        <v>0</v>
      </c>
      <c r="Y92" s="14">
        <f t="shared" si="59"/>
        <v>0</v>
      </c>
      <c r="Z92" s="14">
        <f t="shared" si="59"/>
        <v>0</v>
      </c>
      <c r="AA92" s="14">
        <f t="shared" si="59"/>
        <v>0</v>
      </c>
      <c r="AB92" s="14">
        <f t="shared" si="59"/>
        <v>0</v>
      </c>
      <c r="AC92" s="14">
        <f t="shared" si="59"/>
        <v>0</v>
      </c>
      <c r="AD92" s="14">
        <f t="shared" si="59"/>
        <v>0</v>
      </c>
      <c r="AE92" s="14">
        <f t="shared" si="59"/>
        <v>0</v>
      </c>
      <c r="AF92" s="14">
        <f t="shared" si="59"/>
        <v>0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4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>
        <f t="shared" si="29"/>
        <v>0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0</v>
      </c>
      <c r="P93" s="14">
        <f t="shared" si="61"/>
        <v>0</v>
      </c>
      <c r="Q93" s="14">
        <f t="shared" si="61"/>
        <v>0</v>
      </c>
      <c r="R93" s="14">
        <f t="shared" si="61"/>
        <v>0</v>
      </c>
      <c r="S93" s="14">
        <f t="shared" si="61"/>
        <v>0</v>
      </c>
      <c r="T93" s="14">
        <f t="shared" si="61"/>
        <v>0</v>
      </c>
      <c r="U93" s="14">
        <f t="shared" si="61"/>
        <v>0</v>
      </c>
      <c r="V93" s="14">
        <f t="shared" si="61"/>
        <v>0</v>
      </c>
      <c r="W93" s="14">
        <f t="shared" si="61"/>
        <v>0</v>
      </c>
      <c r="X93" s="14">
        <f t="shared" si="61"/>
        <v>0</v>
      </c>
      <c r="Y93" s="14">
        <f t="shared" si="61"/>
        <v>0</v>
      </c>
      <c r="Z93" s="14">
        <f t="shared" si="61"/>
        <v>0</v>
      </c>
      <c r="AA93" s="14">
        <f t="shared" si="61"/>
        <v>0</v>
      </c>
      <c r="AB93" s="14">
        <f t="shared" si="61"/>
        <v>0</v>
      </c>
      <c r="AC93" s="14">
        <f t="shared" si="61"/>
        <v>0</v>
      </c>
      <c r="AD93" s="14">
        <f t="shared" si="61"/>
        <v>0</v>
      </c>
      <c r="AE93" s="14">
        <f t="shared" si="61"/>
        <v>0</v>
      </c>
      <c r="AF93" s="14">
        <f t="shared" si="61"/>
        <v>0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4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>
        <f t="shared" si="29"/>
        <v>0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0</v>
      </c>
      <c r="P94" s="14">
        <f t="shared" si="63"/>
        <v>0</v>
      </c>
      <c r="Q94" s="14">
        <f t="shared" si="63"/>
        <v>0</v>
      </c>
      <c r="R94" s="14">
        <f t="shared" si="63"/>
        <v>0</v>
      </c>
      <c r="S94" s="14">
        <f t="shared" si="63"/>
        <v>0</v>
      </c>
      <c r="T94" s="14">
        <f t="shared" si="63"/>
        <v>0</v>
      </c>
      <c r="U94" s="14">
        <f t="shared" si="63"/>
        <v>0</v>
      </c>
      <c r="V94" s="14">
        <f t="shared" si="63"/>
        <v>0</v>
      </c>
      <c r="W94" s="14">
        <f t="shared" si="63"/>
        <v>0</v>
      </c>
      <c r="X94" s="14">
        <f t="shared" si="63"/>
        <v>0</v>
      </c>
      <c r="Y94" s="14">
        <f t="shared" si="63"/>
        <v>0</v>
      </c>
      <c r="Z94" s="14">
        <f t="shared" si="63"/>
        <v>0</v>
      </c>
      <c r="AA94" s="14">
        <f t="shared" si="63"/>
        <v>0</v>
      </c>
      <c r="AB94" s="14">
        <f t="shared" si="63"/>
        <v>0</v>
      </c>
      <c r="AC94" s="14">
        <f t="shared" si="63"/>
        <v>0</v>
      </c>
      <c r="AD94" s="14">
        <f t="shared" si="63"/>
        <v>0</v>
      </c>
      <c r="AE94" s="14">
        <f t="shared" si="63"/>
        <v>0</v>
      </c>
      <c r="AF94" s="14">
        <f t="shared" si="63"/>
        <v>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4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>
        <f t="shared" si="29"/>
        <v>0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0</v>
      </c>
      <c r="P95" s="14">
        <f t="shared" si="65"/>
        <v>0</v>
      </c>
      <c r="Q95" s="14">
        <f t="shared" si="65"/>
        <v>0</v>
      </c>
      <c r="R95" s="14">
        <f t="shared" si="65"/>
        <v>0</v>
      </c>
      <c r="S95" s="14">
        <f t="shared" si="65"/>
        <v>0</v>
      </c>
      <c r="T95" s="14">
        <f t="shared" si="65"/>
        <v>0</v>
      </c>
      <c r="U95" s="14">
        <f t="shared" si="65"/>
        <v>0</v>
      </c>
      <c r="V95" s="14">
        <f t="shared" si="65"/>
        <v>0</v>
      </c>
      <c r="W95" s="14">
        <f t="shared" si="65"/>
        <v>0</v>
      </c>
      <c r="X95" s="14">
        <f t="shared" si="65"/>
        <v>0</v>
      </c>
      <c r="Y95" s="14">
        <f t="shared" si="65"/>
        <v>0</v>
      </c>
      <c r="Z95" s="14">
        <f t="shared" si="65"/>
        <v>0</v>
      </c>
      <c r="AA95" s="14">
        <f t="shared" si="65"/>
        <v>0</v>
      </c>
      <c r="AB95" s="14">
        <f t="shared" si="65"/>
        <v>0</v>
      </c>
      <c r="AC95" s="14">
        <f t="shared" si="65"/>
        <v>0</v>
      </c>
      <c r="AD95" s="14">
        <f t="shared" si="65"/>
        <v>0</v>
      </c>
      <c r="AE95" s="14">
        <f t="shared" si="65"/>
        <v>0</v>
      </c>
      <c r="AF95" s="14">
        <f t="shared" si="65"/>
        <v>0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4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0</v>
      </c>
      <c r="N96" s="14">
        <f t="shared" si="67"/>
        <v>0</v>
      </c>
      <c r="O96" s="14">
        <f t="shared" si="67"/>
        <v>0</v>
      </c>
      <c r="P96" s="14">
        <f t="shared" si="67"/>
        <v>0</v>
      </c>
      <c r="Q96" s="14">
        <f t="shared" si="67"/>
        <v>0</v>
      </c>
      <c r="R96" s="14">
        <f t="shared" si="67"/>
        <v>0</v>
      </c>
      <c r="S96" s="14">
        <f t="shared" si="67"/>
        <v>0</v>
      </c>
      <c r="T96" s="14">
        <f t="shared" si="67"/>
        <v>0</v>
      </c>
      <c r="U96" s="14">
        <f t="shared" si="67"/>
        <v>0</v>
      </c>
      <c r="V96" s="14">
        <f t="shared" si="67"/>
        <v>0</v>
      </c>
      <c r="W96" s="14">
        <f t="shared" si="67"/>
        <v>0</v>
      </c>
      <c r="X96" s="14">
        <f t="shared" si="67"/>
        <v>0</v>
      </c>
      <c r="Y96" s="14">
        <f t="shared" si="67"/>
        <v>0</v>
      </c>
      <c r="Z96" s="14">
        <f t="shared" si="67"/>
        <v>0</v>
      </c>
      <c r="AA96" s="14">
        <f t="shared" si="67"/>
        <v>0</v>
      </c>
      <c r="AB96" s="14">
        <f t="shared" si="67"/>
        <v>0</v>
      </c>
      <c r="AC96" s="14">
        <f t="shared" si="67"/>
        <v>0</v>
      </c>
      <c r="AD96" s="14">
        <f t="shared" si="67"/>
        <v>0</v>
      </c>
      <c r="AE96" s="14">
        <f t="shared" si="67"/>
        <v>0</v>
      </c>
      <c r="AF96" s="14">
        <f t="shared" si="67"/>
        <v>0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4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0</v>
      </c>
      <c r="O97" s="14">
        <f t="shared" si="70"/>
        <v>0</v>
      </c>
      <c r="P97" s="14">
        <f t="shared" si="70"/>
        <v>0</v>
      </c>
      <c r="Q97" s="14">
        <f t="shared" si="70"/>
        <v>0</v>
      </c>
      <c r="R97" s="14">
        <f t="shared" si="70"/>
        <v>0</v>
      </c>
      <c r="S97" s="14">
        <f t="shared" si="70"/>
        <v>0</v>
      </c>
      <c r="T97" s="14">
        <f t="shared" si="70"/>
        <v>0</v>
      </c>
      <c r="U97" s="14">
        <f t="shared" si="70"/>
        <v>0</v>
      </c>
      <c r="V97" s="14">
        <f t="shared" si="70"/>
        <v>0</v>
      </c>
      <c r="W97" s="14">
        <f t="shared" si="70"/>
        <v>0</v>
      </c>
      <c r="X97" s="14">
        <f t="shared" si="70"/>
        <v>0</v>
      </c>
      <c r="Y97" s="14">
        <f t="shared" si="70"/>
        <v>0</v>
      </c>
      <c r="Z97" s="14">
        <f t="shared" si="70"/>
        <v>0</v>
      </c>
      <c r="AA97" s="14">
        <f t="shared" si="70"/>
        <v>0</v>
      </c>
      <c r="AB97" s="14">
        <f t="shared" si="70"/>
        <v>0</v>
      </c>
      <c r="AC97" s="14">
        <f t="shared" si="70"/>
        <v>0</v>
      </c>
      <c r="AD97" s="14">
        <f t="shared" si="70"/>
        <v>0</v>
      </c>
      <c r="AE97" s="14">
        <f t="shared" si="70"/>
        <v>0</v>
      </c>
      <c r="AF97" s="14">
        <f t="shared" si="70"/>
        <v>0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4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0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4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0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4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4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>
        <f t="shared" ref="F101" si="77">F25*$C$78</f>
        <v>0</v>
      </c>
      <c r="G101" s="14">
        <f t="shared" ref="G101:BR101" si="78">G25*$C$78</f>
        <v>0</v>
      </c>
      <c r="H101" s="14">
        <f t="shared" si="78"/>
        <v>0</v>
      </c>
      <c r="I101" s="14">
        <f t="shared" si="78"/>
        <v>0</v>
      </c>
      <c r="J101" s="14">
        <f t="shared" si="78"/>
        <v>0</v>
      </c>
      <c r="K101" s="14">
        <f t="shared" si="78"/>
        <v>0</v>
      </c>
      <c r="L101" s="14">
        <f t="shared" si="78"/>
        <v>0</v>
      </c>
      <c r="M101" s="14">
        <f t="shared" si="78"/>
        <v>0</v>
      </c>
      <c r="N101" s="14">
        <f t="shared" si="78"/>
        <v>0</v>
      </c>
      <c r="O101" s="14">
        <f t="shared" si="78"/>
        <v>0</v>
      </c>
      <c r="P101" s="14">
        <f t="shared" si="78"/>
        <v>0</v>
      </c>
      <c r="Q101" s="14">
        <f t="shared" si="78"/>
        <v>0</v>
      </c>
      <c r="R101" s="14">
        <f t="shared" si="78"/>
        <v>0</v>
      </c>
      <c r="S101" s="14">
        <f t="shared" si="78"/>
        <v>0</v>
      </c>
      <c r="T101" s="14">
        <f t="shared" si="78"/>
        <v>0</v>
      </c>
      <c r="U101" s="14">
        <f t="shared" si="78"/>
        <v>0</v>
      </c>
      <c r="V101" s="14">
        <f t="shared" si="78"/>
        <v>0</v>
      </c>
      <c r="W101" s="14">
        <f t="shared" si="78"/>
        <v>0</v>
      </c>
      <c r="X101" s="14">
        <f t="shared" si="78"/>
        <v>0</v>
      </c>
      <c r="Y101" s="14">
        <f t="shared" si="78"/>
        <v>0</v>
      </c>
      <c r="Z101" s="14">
        <f t="shared" si="78"/>
        <v>0</v>
      </c>
      <c r="AA101" s="14">
        <f t="shared" si="78"/>
        <v>0</v>
      </c>
      <c r="AB101" s="14">
        <f t="shared" si="78"/>
        <v>0</v>
      </c>
      <c r="AC101" s="14">
        <f t="shared" si="78"/>
        <v>0</v>
      </c>
      <c r="AD101" s="14">
        <f t="shared" si="78"/>
        <v>0</v>
      </c>
      <c r="AE101" s="14">
        <f t="shared" si="78"/>
        <v>0</v>
      </c>
      <c r="AF101" s="14">
        <f t="shared" si="78"/>
        <v>0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4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4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4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4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4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4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4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4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4"/>
    </row>
    <row r="110" spans="1:87" ht="21" hidden="1" customHeight="1" outlineLevel="1" thickTop="1" x14ac:dyDescent="0.35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 x14ac:dyDescent="0.35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 x14ac:dyDescent="0.4">
      <c r="A112" s="62"/>
      <c r="B112" s="62"/>
      <c r="C112" s="62"/>
      <c r="D112" s="62"/>
      <c r="E112" s="61" t="s">
        <v>39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 x14ac:dyDescent="0.4">
      <c r="A113" s="119"/>
      <c r="B113" s="119"/>
      <c r="C113" s="21" t="s">
        <v>10</v>
      </c>
      <c r="D113" s="15" t="s">
        <v>11</v>
      </c>
      <c r="E113" s="15"/>
      <c r="F113" s="4">
        <f t="shared" ref="F113:AL113" si="93">F3</f>
        <v>0</v>
      </c>
      <c r="G113" s="4">
        <f t="shared" si="93"/>
        <v>0</v>
      </c>
      <c r="H113" s="4">
        <f t="shared" si="93"/>
        <v>0</v>
      </c>
      <c r="I113" s="4">
        <f t="shared" si="93"/>
        <v>0</v>
      </c>
      <c r="J113" s="4">
        <f t="shared" si="93"/>
        <v>0</v>
      </c>
      <c r="K113" s="4">
        <f t="shared" si="93"/>
        <v>0</v>
      </c>
      <c r="L113" s="4">
        <f t="shared" si="93"/>
        <v>0</v>
      </c>
      <c r="M113" s="4">
        <f t="shared" si="93"/>
        <v>0</v>
      </c>
      <c r="N113" s="4">
        <f t="shared" si="93"/>
        <v>0</v>
      </c>
      <c r="O113" s="4">
        <f t="shared" si="93"/>
        <v>0</v>
      </c>
      <c r="P113" s="4">
        <f t="shared" si="93"/>
        <v>0</v>
      </c>
      <c r="Q113" s="4">
        <f t="shared" si="93"/>
        <v>0</v>
      </c>
      <c r="R113" s="4">
        <f t="shared" si="93"/>
        <v>0</v>
      </c>
      <c r="S113" s="4">
        <f t="shared" si="93"/>
        <v>0</v>
      </c>
      <c r="T113" s="4">
        <f t="shared" si="93"/>
        <v>0</v>
      </c>
      <c r="U113" s="4">
        <f t="shared" si="93"/>
        <v>0</v>
      </c>
      <c r="V113" s="4">
        <f t="shared" si="93"/>
        <v>0</v>
      </c>
      <c r="W113" s="4">
        <f t="shared" si="93"/>
        <v>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4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ca="1" si="95">F$113*$B$2*SUMPRODUCT(F$85:F$94,F$51:F$60)/1000</f>
        <v>#N/A</v>
      </c>
      <c r="G114" s="46" t="e">
        <f t="shared" ca="1" si="95"/>
        <v>#N/A</v>
      </c>
      <c r="H114" s="46" t="e">
        <f t="shared" ca="1" si="95"/>
        <v>#N/A</v>
      </c>
      <c r="I114" s="46" t="e">
        <f t="shared" ca="1" si="95"/>
        <v>#N/A</v>
      </c>
      <c r="J114" s="46" t="e">
        <f t="shared" ca="1" si="95"/>
        <v>#N/A</v>
      </c>
      <c r="K114" s="46" t="e">
        <f t="shared" ca="1" si="95"/>
        <v>#N/A</v>
      </c>
      <c r="L114" s="46" t="e">
        <f t="shared" ca="1" si="95"/>
        <v>#N/A</v>
      </c>
      <c r="M114" s="46" t="e">
        <f t="shared" ca="1" si="95"/>
        <v>#N/A</v>
      </c>
      <c r="N114" s="46" t="e">
        <f t="shared" ca="1" si="95"/>
        <v>#N/A</v>
      </c>
      <c r="O114" s="46" t="e">
        <f t="shared" ca="1" si="95"/>
        <v>#N/A</v>
      </c>
      <c r="P114" s="46" t="e">
        <f t="shared" ca="1" si="95"/>
        <v>#N/A</v>
      </c>
      <c r="Q114" s="46" t="e">
        <f t="shared" ca="1" si="95"/>
        <v>#N/A</v>
      </c>
      <c r="R114" s="46" t="e">
        <f t="shared" ca="1" si="95"/>
        <v>#N/A</v>
      </c>
      <c r="S114" s="46" t="e">
        <f t="shared" ca="1" si="95"/>
        <v>#N/A</v>
      </c>
      <c r="T114" s="46" t="e">
        <f t="shared" ca="1" si="95"/>
        <v>#N/A</v>
      </c>
      <c r="U114" s="46" t="e">
        <f t="shared" ca="1" si="95"/>
        <v>#N/A</v>
      </c>
      <c r="V114" s="46" t="e">
        <f t="shared" ca="1" si="95"/>
        <v>#N/A</v>
      </c>
      <c r="W114" s="46" t="e">
        <f t="shared" ca="1" si="95"/>
        <v>#N/A</v>
      </c>
      <c r="X114" s="46" t="e">
        <f t="shared" ca="1" si="95"/>
        <v>#N/A</v>
      </c>
      <c r="Y114" s="46" t="e">
        <f t="shared" ca="1" si="95"/>
        <v>#N/A</v>
      </c>
      <c r="Z114" s="46" t="e">
        <f t="shared" ca="1" si="95"/>
        <v>#N/A</v>
      </c>
      <c r="AA114" s="46" t="e">
        <f t="shared" ca="1" si="95"/>
        <v>#N/A</v>
      </c>
      <c r="AB114" s="46" t="e">
        <f t="shared" ca="1" si="95"/>
        <v>#N/A</v>
      </c>
      <c r="AC114" s="46" t="e">
        <f t="shared" ca="1" si="95"/>
        <v>#N/A</v>
      </c>
      <c r="AD114" s="46" t="e">
        <f t="shared" ca="1" si="95"/>
        <v>#N/A</v>
      </c>
      <c r="AE114" s="46" t="e">
        <f t="shared" ca="1" si="95"/>
        <v>#N/A</v>
      </c>
      <c r="AF114" s="46" t="e">
        <f t="shared" ca="1" si="95"/>
        <v>#N/A</v>
      </c>
      <c r="AG114" s="46" t="e">
        <f t="shared" ca="1" si="95"/>
        <v>#N/A</v>
      </c>
      <c r="AH114" s="46" t="e">
        <f t="shared" ca="1" si="95"/>
        <v>#N/A</v>
      </c>
      <c r="AI114" s="46" t="e">
        <f t="shared" ca="1" si="95"/>
        <v>#N/A</v>
      </c>
      <c r="AJ114" s="46" t="e">
        <f t="shared" ca="1" si="95"/>
        <v>#N/A</v>
      </c>
      <c r="AK114" s="46" t="e">
        <f t="shared" ca="1" si="95"/>
        <v>#N/A</v>
      </c>
      <c r="AL114" s="46" t="e">
        <f t="shared" ca="1" si="95"/>
        <v>#N/A</v>
      </c>
      <c r="AM114" s="46" t="e">
        <f t="shared" ca="1" si="95"/>
        <v>#N/A</v>
      </c>
      <c r="AN114" s="46" t="e">
        <f t="shared" ca="1" si="95"/>
        <v>#N/A</v>
      </c>
      <c r="AO114" s="46" t="e">
        <f t="shared" ca="1" si="95"/>
        <v>#N/A</v>
      </c>
      <c r="AP114" s="46" t="e">
        <f t="shared" ca="1" si="95"/>
        <v>#N/A</v>
      </c>
      <c r="AQ114" s="46" t="e">
        <f t="shared" ca="1" si="95"/>
        <v>#N/A</v>
      </c>
      <c r="AR114" s="46" t="e">
        <f t="shared" ca="1" si="95"/>
        <v>#N/A</v>
      </c>
      <c r="AS114" s="46" t="e">
        <f t="shared" ca="1" si="95"/>
        <v>#N/A</v>
      </c>
      <c r="AT114" s="46" t="e">
        <f t="shared" ca="1" si="95"/>
        <v>#N/A</v>
      </c>
      <c r="AU114" s="46" t="e">
        <f t="shared" ca="1" si="95"/>
        <v>#N/A</v>
      </c>
      <c r="AV114" s="46" t="e">
        <f t="shared" ca="1" si="95"/>
        <v>#N/A</v>
      </c>
      <c r="AW114" s="46" t="e">
        <f t="shared" ca="1" si="95"/>
        <v>#N/A</v>
      </c>
      <c r="AX114" s="46" t="e">
        <f t="shared" ca="1" si="95"/>
        <v>#N/A</v>
      </c>
      <c r="AY114" s="46" t="e">
        <f t="shared" ca="1" si="95"/>
        <v>#N/A</v>
      </c>
      <c r="AZ114" s="46" t="e">
        <f t="shared" ca="1" si="95"/>
        <v>#N/A</v>
      </c>
      <c r="BA114" s="46" t="e">
        <f t="shared" ca="1" si="95"/>
        <v>#N/A</v>
      </c>
      <c r="BB114" s="46" t="e">
        <f t="shared" ca="1" si="95"/>
        <v>#N/A</v>
      </c>
      <c r="BC114" s="46" t="e">
        <f t="shared" ca="1" si="95"/>
        <v>#N/A</v>
      </c>
      <c r="BD114" s="46" t="e">
        <f t="shared" ca="1" si="95"/>
        <v>#N/A</v>
      </c>
      <c r="BE114" s="46" t="e">
        <f t="shared" ca="1" si="95"/>
        <v>#N/A</v>
      </c>
      <c r="BF114" s="46" t="e">
        <f t="shared" ca="1" si="95"/>
        <v>#N/A</v>
      </c>
      <c r="BG114" s="46" t="e">
        <f t="shared" ca="1" si="95"/>
        <v>#N/A</v>
      </c>
      <c r="BH114" s="46" t="e">
        <f t="shared" ca="1" si="95"/>
        <v>#N/A</v>
      </c>
      <c r="BI114" s="46" t="e">
        <f t="shared" ca="1" si="95"/>
        <v>#N/A</v>
      </c>
      <c r="BJ114" s="46" t="e">
        <f t="shared" ca="1" si="95"/>
        <v>#N/A</v>
      </c>
      <c r="BK114" s="46" t="e">
        <f t="shared" ca="1" si="95"/>
        <v>#N/A</v>
      </c>
      <c r="BL114" s="46" t="e">
        <f t="shared" ca="1" si="95"/>
        <v>#N/A</v>
      </c>
      <c r="BM114" s="46" t="e">
        <f t="shared" ca="1" si="95"/>
        <v>#N/A</v>
      </c>
      <c r="BN114" s="46" t="e">
        <f t="shared" ca="1" si="95"/>
        <v>#N/A</v>
      </c>
      <c r="BO114" s="46" t="e">
        <f t="shared" ca="1" si="95"/>
        <v>#N/A</v>
      </c>
      <c r="BP114" s="46" t="e">
        <f t="shared" ca="1" si="95"/>
        <v>#N/A</v>
      </c>
      <c r="BQ114" s="46" t="e">
        <f t="shared" ca="1" si="95"/>
        <v>#N/A</v>
      </c>
      <c r="BR114" s="46" t="e">
        <f t="shared" ref="BR114" ca="1" si="96">BR$113*$B$2*SUMPRODUCT(BR$85:BR$94,BR$51:BR$60)/1000</f>
        <v>#N/A</v>
      </c>
      <c r="BS114" s="94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0</v>
      </c>
      <c r="E115" s="17" t="s">
        <v>35</v>
      </c>
      <c r="F115" s="14" t="e">
        <f t="shared" ref="F115:BQ115" ca="1" si="97">F$113*$B$2*SUMPRODUCT(F$100:F$101,F$65:F$66)/1000</f>
        <v>#N/A</v>
      </c>
      <c r="G115" s="14" t="e">
        <f t="shared" ca="1" si="97"/>
        <v>#N/A</v>
      </c>
      <c r="H115" s="14" t="e">
        <f t="shared" ca="1" si="97"/>
        <v>#N/A</v>
      </c>
      <c r="I115" s="14" t="e">
        <f t="shared" ca="1" si="97"/>
        <v>#N/A</v>
      </c>
      <c r="J115" s="14" t="e">
        <f t="shared" ca="1" si="97"/>
        <v>#N/A</v>
      </c>
      <c r="K115" s="14" t="e">
        <f t="shared" ca="1" si="97"/>
        <v>#N/A</v>
      </c>
      <c r="L115" s="14" t="e">
        <f t="shared" ca="1" si="97"/>
        <v>#N/A</v>
      </c>
      <c r="M115" s="14" t="e">
        <f t="shared" ca="1" si="97"/>
        <v>#N/A</v>
      </c>
      <c r="N115" s="14" t="e">
        <f t="shared" ca="1" si="97"/>
        <v>#N/A</v>
      </c>
      <c r="O115" s="14" t="e">
        <f t="shared" ca="1" si="97"/>
        <v>#N/A</v>
      </c>
      <c r="P115" s="14" t="e">
        <f t="shared" ca="1" si="97"/>
        <v>#N/A</v>
      </c>
      <c r="Q115" s="14" t="e">
        <f t="shared" ca="1" si="97"/>
        <v>#N/A</v>
      </c>
      <c r="R115" s="14" t="e">
        <f t="shared" ca="1" si="97"/>
        <v>#N/A</v>
      </c>
      <c r="S115" s="14" t="e">
        <f t="shared" ca="1" si="97"/>
        <v>#N/A</v>
      </c>
      <c r="T115" s="14" t="e">
        <f t="shared" ca="1" si="97"/>
        <v>#N/A</v>
      </c>
      <c r="U115" s="14" t="e">
        <f t="shared" ca="1" si="97"/>
        <v>#N/A</v>
      </c>
      <c r="V115" s="14" t="e">
        <f t="shared" ca="1" si="97"/>
        <v>#N/A</v>
      </c>
      <c r="W115" s="14" t="e">
        <f t="shared" ca="1" si="97"/>
        <v>#N/A</v>
      </c>
      <c r="X115" s="14" t="e">
        <f t="shared" ca="1" si="97"/>
        <v>#N/A</v>
      </c>
      <c r="Y115" s="14" t="e">
        <f t="shared" ca="1" si="97"/>
        <v>#N/A</v>
      </c>
      <c r="Z115" s="14" t="e">
        <f t="shared" ca="1" si="97"/>
        <v>#N/A</v>
      </c>
      <c r="AA115" s="14" t="e">
        <f t="shared" ca="1" si="97"/>
        <v>#N/A</v>
      </c>
      <c r="AB115" s="14" t="e">
        <f t="shared" ca="1" si="97"/>
        <v>#N/A</v>
      </c>
      <c r="AC115" s="14" t="e">
        <f t="shared" ca="1" si="97"/>
        <v>#N/A</v>
      </c>
      <c r="AD115" s="14" t="e">
        <f t="shared" ca="1" si="97"/>
        <v>#N/A</v>
      </c>
      <c r="AE115" s="14" t="e">
        <f t="shared" ca="1" si="97"/>
        <v>#N/A</v>
      </c>
      <c r="AF115" s="14" t="e">
        <f t="shared" ca="1" si="97"/>
        <v>#N/A</v>
      </c>
      <c r="AG115" s="14" t="e">
        <f t="shared" ca="1" si="97"/>
        <v>#N/A</v>
      </c>
      <c r="AH115" s="14" t="e">
        <f t="shared" ca="1" si="97"/>
        <v>#N/A</v>
      </c>
      <c r="AI115" s="14" t="e">
        <f t="shared" ca="1" si="97"/>
        <v>#N/A</v>
      </c>
      <c r="AJ115" s="14" t="e">
        <f t="shared" ca="1" si="97"/>
        <v>#N/A</v>
      </c>
      <c r="AK115" s="14" t="e">
        <f t="shared" ca="1" si="97"/>
        <v>#N/A</v>
      </c>
      <c r="AL115" s="14" t="e">
        <f t="shared" ca="1" si="97"/>
        <v>#N/A</v>
      </c>
      <c r="AM115" s="14" t="e">
        <f t="shared" ca="1" si="97"/>
        <v>#N/A</v>
      </c>
      <c r="AN115" s="14" t="e">
        <f t="shared" ca="1" si="97"/>
        <v>#N/A</v>
      </c>
      <c r="AO115" s="14" t="e">
        <f t="shared" ca="1" si="97"/>
        <v>#N/A</v>
      </c>
      <c r="AP115" s="14" t="e">
        <f t="shared" ca="1" si="97"/>
        <v>#N/A</v>
      </c>
      <c r="AQ115" s="14" t="e">
        <f t="shared" ca="1" si="97"/>
        <v>#N/A</v>
      </c>
      <c r="AR115" s="14" t="e">
        <f t="shared" ca="1" si="97"/>
        <v>#N/A</v>
      </c>
      <c r="AS115" s="14" t="e">
        <f t="shared" ca="1" si="97"/>
        <v>#N/A</v>
      </c>
      <c r="AT115" s="14" t="e">
        <f t="shared" ca="1" si="97"/>
        <v>#N/A</v>
      </c>
      <c r="AU115" s="14" t="e">
        <f t="shared" ca="1" si="97"/>
        <v>#N/A</v>
      </c>
      <c r="AV115" s="14" t="e">
        <f t="shared" ca="1" si="97"/>
        <v>#N/A</v>
      </c>
      <c r="AW115" s="14" t="e">
        <f t="shared" ca="1" si="97"/>
        <v>#N/A</v>
      </c>
      <c r="AX115" s="14" t="e">
        <f t="shared" ca="1" si="97"/>
        <v>#N/A</v>
      </c>
      <c r="AY115" s="14" t="e">
        <f t="shared" ca="1" si="97"/>
        <v>#N/A</v>
      </c>
      <c r="AZ115" s="14" t="e">
        <f t="shared" ca="1" si="97"/>
        <v>#N/A</v>
      </c>
      <c r="BA115" s="14" t="e">
        <f t="shared" ca="1" si="97"/>
        <v>#N/A</v>
      </c>
      <c r="BB115" s="14" t="e">
        <f t="shared" ca="1" si="97"/>
        <v>#N/A</v>
      </c>
      <c r="BC115" s="14" t="e">
        <f t="shared" ca="1" si="97"/>
        <v>#N/A</v>
      </c>
      <c r="BD115" s="14" t="e">
        <f t="shared" ca="1" si="97"/>
        <v>#N/A</v>
      </c>
      <c r="BE115" s="14" t="e">
        <f t="shared" ca="1" si="97"/>
        <v>#N/A</v>
      </c>
      <c r="BF115" s="14" t="e">
        <f t="shared" ca="1" si="97"/>
        <v>#N/A</v>
      </c>
      <c r="BG115" s="14" t="e">
        <f t="shared" ca="1" si="97"/>
        <v>#N/A</v>
      </c>
      <c r="BH115" s="14" t="e">
        <f t="shared" ca="1" si="97"/>
        <v>#N/A</v>
      </c>
      <c r="BI115" s="14" t="e">
        <f t="shared" ca="1" si="97"/>
        <v>#N/A</v>
      </c>
      <c r="BJ115" s="14" t="e">
        <f t="shared" ca="1" si="97"/>
        <v>#N/A</v>
      </c>
      <c r="BK115" s="14" t="e">
        <f t="shared" ca="1" si="97"/>
        <v>#N/A</v>
      </c>
      <c r="BL115" s="14" t="e">
        <f t="shared" ca="1" si="97"/>
        <v>#N/A</v>
      </c>
      <c r="BM115" s="14" t="e">
        <f t="shared" ca="1" si="97"/>
        <v>#N/A</v>
      </c>
      <c r="BN115" s="14" t="e">
        <f t="shared" ca="1" si="97"/>
        <v>#N/A</v>
      </c>
      <c r="BO115" s="14" t="e">
        <f t="shared" ca="1" si="97"/>
        <v>#N/A</v>
      </c>
      <c r="BP115" s="14" t="e">
        <f t="shared" ca="1" si="97"/>
        <v>#N/A</v>
      </c>
      <c r="BQ115" s="14" t="e">
        <f t="shared" ca="1" si="97"/>
        <v>#N/A</v>
      </c>
      <c r="BR115" s="14" t="e">
        <f t="shared" ref="BR115" ca="1" si="98">BR$113*$B$2*SUMPRODUCT(BR$100:BR$101,BR$65:BR$66)/1000</f>
        <v>#N/A</v>
      </c>
      <c r="BS115" s="94"/>
    </row>
    <row r="116" spans="1:71" ht="21" hidden="1" customHeight="1" outlineLevel="1" thickBot="1" x14ac:dyDescent="0.4">
      <c r="E116" s="17" t="s">
        <v>13</v>
      </c>
      <c r="F116" s="14" t="e">
        <f t="shared" ref="F116:BQ116" ca="1" si="99">F$113*$B$2*SUMPRODUCT(F$82:F$83,F$48:F$49)/1000</f>
        <v>#N/A</v>
      </c>
      <c r="G116" s="14" t="e">
        <f t="shared" ca="1" si="99"/>
        <v>#N/A</v>
      </c>
      <c r="H116" s="14" t="e">
        <f t="shared" ca="1" si="99"/>
        <v>#N/A</v>
      </c>
      <c r="I116" s="14" t="e">
        <f t="shared" ca="1" si="99"/>
        <v>#N/A</v>
      </c>
      <c r="J116" s="14" t="e">
        <f t="shared" ca="1" si="99"/>
        <v>#N/A</v>
      </c>
      <c r="K116" s="14" t="e">
        <f t="shared" ca="1" si="99"/>
        <v>#N/A</v>
      </c>
      <c r="L116" s="14" t="e">
        <f t="shared" ca="1" si="99"/>
        <v>#N/A</v>
      </c>
      <c r="M116" s="14" t="e">
        <f t="shared" ca="1" si="99"/>
        <v>#N/A</v>
      </c>
      <c r="N116" s="14" t="e">
        <f t="shared" ca="1" si="99"/>
        <v>#N/A</v>
      </c>
      <c r="O116" s="14" t="e">
        <f t="shared" ca="1" si="99"/>
        <v>#N/A</v>
      </c>
      <c r="P116" s="14" t="e">
        <f t="shared" ca="1" si="99"/>
        <v>#N/A</v>
      </c>
      <c r="Q116" s="14" t="e">
        <f t="shared" ca="1" si="99"/>
        <v>#N/A</v>
      </c>
      <c r="R116" s="14" t="e">
        <f t="shared" ca="1" si="99"/>
        <v>#N/A</v>
      </c>
      <c r="S116" s="14" t="e">
        <f t="shared" ca="1" si="99"/>
        <v>#N/A</v>
      </c>
      <c r="T116" s="14" t="e">
        <f t="shared" ca="1" si="99"/>
        <v>#N/A</v>
      </c>
      <c r="U116" s="14" t="e">
        <f t="shared" ca="1" si="99"/>
        <v>#N/A</v>
      </c>
      <c r="V116" s="14" t="e">
        <f t="shared" ca="1" si="99"/>
        <v>#N/A</v>
      </c>
      <c r="W116" s="14" t="e">
        <f t="shared" ca="1" si="99"/>
        <v>#N/A</v>
      </c>
      <c r="X116" s="14" t="e">
        <f t="shared" ca="1" si="99"/>
        <v>#N/A</v>
      </c>
      <c r="Y116" s="14" t="e">
        <f t="shared" ca="1" si="99"/>
        <v>#N/A</v>
      </c>
      <c r="Z116" s="14" t="e">
        <f t="shared" ca="1" si="99"/>
        <v>#N/A</v>
      </c>
      <c r="AA116" s="14" t="e">
        <f t="shared" ca="1" si="99"/>
        <v>#N/A</v>
      </c>
      <c r="AB116" s="14" t="e">
        <f t="shared" ca="1" si="99"/>
        <v>#N/A</v>
      </c>
      <c r="AC116" s="14" t="e">
        <f t="shared" ca="1" si="99"/>
        <v>#N/A</v>
      </c>
      <c r="AD116" s="14" t="e">
        <f t="shared" ca="1" si="99"/>
        <v>#N/A</v>
      </c>
      <c r="AE116" s="14" t="e">
        <f t="shared" ca="1" si="99"/>
        <v>#N/A</v>
      </c>
      <c r="AF116" s="14" t="e">
        <f t="shared" ca="1" si="99"/>
        <v>#N/A</v>
      </c>
      <c r="AG116" s="14" t="e">
        <f t="shared" ca="1" si="99"/>
        <v>#N/A</v>
      </c>
      <c r="AH116" s="14" t="e">
        <f t="shared" ca="1" si="99"/>
        <v>#N/A</v>
      </c>
      <c r="AI116" s="14" t="e">
        <f t="shared" ca="1" si="99"/>
        <v>#N/A</v>
      </c>
      <c r="AJ116" s="14" t="e">
        <f t="shared" ca="1" si="99"/>
        <v>#N/A</v>
      </c>
      <c r="AK116" s="14" t="e">
        <f t="shared" ca="1" si="99"/>
        <v>#N/A</v>
      </c>
      <c r="AL116" s="14" t="e">
        <f t="shared" ca="1" si="99"/>
        <v>#N/A</v>
      </c>
      <c r="AM116" s="14" t="e">
        <f t="shared" ca="1" si="99"/>
        <v>#N/A</v>
      </c>
      <c r="AN116" s="14" t="e">
        <f t="shared" ca="1" si="99"/>
        <v>#N/A</v>
      </c>
      <c r="AO116" s="14" t="e">
        <f t="shared" ca="1" si="99"/>
        <v>#N/A</v>
      </c>
      <c r="AP116" s="14" t="e">
        <f t="shared" ca="1" si="99"/>
        <v>#N/A</v>
      </c>
      <c r="AQ116" s="14" t="e">
        <f t="shared" ca="1" si="99"/>
        <v>#N/A</v>
      </c>
      <c r="AR116" s="14" t="e">
        <f t="shared" ca="1" si="99"/>
        <v>#N/A</v>
      </c>
      <c r="AS116" s="14" t="e">
        <f t="shared" ca="1" si="99"/>
        <v>#N/A</v>
      </c>
      <c r="AT116" s="14" t="e">
        <f t="shared" ca="1" si="99"/>
        <v>#N/A</v>
      </c>
      <c r="AU116" s="14" t="e">
        <f t="shared" ca="1" si="99"/>
        <v>#N/A</v>
      </c>
      <c r="AV116" s="14" t="e">
        <f t="shared" ca="1" si="99"/>
        <v>#N/A</v>
      </c>
      <c r="AW116" s="14" t="e">
        <f t="shared" ca="1" si="99"/>
        <v>#N/A</v>
      </c>
      <c r="AX116" s="14" t="e">
        <f t="shared" ca="1" si="99"/>
        <v>#N/A</v>
      </c>
      <c r="AY116" s="14" t="e">
        <f t="shared" ca="1" si="99"/>
        <v>#N/A</v>
      </c>
      <c r="AZ116" s="14" t="e">
        <f t="shared" ca="1" si="99"/>
        <v>#N/A</v>
      </c>
      <c r="BA116" s="14" t="e">
        <f t="shared" ca="1" si="99"/>
        <v>#N/A</v>
      </c>
      <c r="BB116" s="14" t="e">
        <f t="shared" ca="1" si="99"/>
        <v>#N/A</v>
      </c>
      <c r="BC116" s="14" t="e">
        <f t="shared" ca="1" si="99"/>
        <v>#N/A</v>
      </c>
      <c r="BD116" s="14" t="e">
        <f t="shared" ca="1" si="99"/>
        <v>#N/A</v>
      </c>
      <c r="BE116" s="14" t="e">
        <f t="shared" ca="1" si="99"/>
        <v>#N/A</v>
      </c>
      <c r="BF116" s="14" t="e">
        <f t="shared" ca="1" si="99"/>
        <v>#N/A</v>
      </c>
      <c r="BG116" s="14" t="e">
        <f t="shared" ca="1" si="99"/>
        <v>#N/A</v>
      </c>
      <c r="BH116" s="14" t="e">
        <f t="shared" ca="1" si="99"/>
        <v>#N/A</v>
      </c>
      <c r="BI116" s="14" t="e">
        <f t="shared" ca="1" si="99"/>
        <v>#N/A</v>
      </c>
      <c r="BJ116" s="14" t="e">
        <f t="shared" ca="1" si="99"/>
        <v>#N/A</v>
      </c>
      <c r="BK116" s="14" t="e">
        <f t="shared" ca="1" si="99"/>
        <v>#N/A</v>
      </c>
      <c r="BL116" s="14" t="e">
        <f t="shared" ca="1" si="99"/>
        <v>#N/A</v>
      </c>
      <c r="BM116" s="14" t="e">
        <f t="shared" ca="1" si="99"/>
        <v>#N/A</v>
      </c>
      <c r="BN116" s="14" t="e">
        <f t="shared" ca="1" si="99"/>
        <v>#N/A</v>
      </c>
      <c r="BO116" s="14" t="e">
        <f t="shared" ca="1" si="99"/>
        <v>#N/A</v>
      </c>
      <c r="BP116" s="14" t="e">
        <f t="shared" ca="1" si="99"/>
        <v>#N/A</v>
      </c>
      <c r="BQ116" s="14" t="e">
        <f t="shared" ca="1" si="99"/>
        <v>#N/A</v>
      </c>
      <c r="BR116" s="14" t="e">
        <f t="shared" ref="BR116" ca="1" si="100">BR$113*$B$2*SUMPRODUCT(BR$82:BR$83,BR$48:BR$49)/1000</f>
        <v>#N/A</v>
      </c>
      <c r="BS116" s="94"/>
    </row>
    <row r="117" spans="1:71" ht="21" hidden="1" customHeight="1" outlineLevel="1" thickBot="1" x14ac:dyDescent="0.4">
      <c r="E117" s="17" t="s">
        <v>34</v>
      </c>
      <c r="F117" s="14" t="e">
        <f ca="1">F116+F114</f>
        <v>#N/A</v>
      </c>
      <c r="G117" s="14" t="e">
        <f t="shared" ref="G117:AL117" ca="1" si="101">G116+G114</f>
        <v>#N/A</v>
      </c>
      <c r="H117" s="14" t="e">
        <f t="shared" ca="1" si="101"/>
        <v>#N/A</v>
      </c>
      <c r="I117" s="14" t="e">
        <f t="shared" ca="1" si="101"/>
        <v>#N/A</v>
      </c>
      <c r="J117" s="14" t="e">
        <f t="shared" ca="1" si="101"/>
        <v>#N/A</v>
      </c>
      <c r="K117" s="14" t="e">
        <f t="shared" ca="1" si="101"/>
        <v>#N/A</v>
      </c>
      <c r="L117" s="14" t="e">
        <f t="shared" ca="1" si="101"/>
        <v>#N/A</v>
      </c>
      <c r="M117" s="14" t="e">
        <f t="shared" ca="1" si="101"/>
        <v>#N/A</v>
      </c>
      <c r="N117" s="14" t="e">
        <f t="shared" ca="1" si="101"/>
        <v>#N/A</v>
      </c>
      <c r="O117" s="14" t="e">
        <f t="shared" ca="1" si="101"/>
        <v>#N/A</v>
      </c>
      <c r="P117" s="14" t="e">
        <f t="shared" ca="1" si="101"/>
        <v>#N/A</v>
      </c>
      <c r="Q117" s="14" t="e">
        <f t="shared" ca="1" si="101"/>
        <v>#N/A</v>
      </c>
      <c r="R117" s="14" t="e">
        <f t="shared" ca="1" si="101"/>
        <v>#N/A</v>
      </c>
      <c r="S117" s="14" t="e">
        <f t="shared" ca="1" si="101"/>
        <v>#N/A</v>
      </c>
      <c r="T117" s="14" t="e">
        <f t="shared" ca="1" si="101"/>
        <v>#N/A</v>
      </c>
      <c r="U117" s="14" t="e">
        <f t="shared" ca="1" si="101"/>
        <v>#N/A</v>
      </c>
      <c r="V117" s="14" t="e">
        <f t="shared" ca="1" si="101"/>
        <v>#N/A</v>
      </c>
      <c r="W117" s="14" t="e">
        <f t="shared" ca="1" si="101"/>
        <v>#N/A</v>
      </c>
      <c r="X117" s="14" t="e">
        <f t="shared" ca="1" si="101"/>
        <v>#N/A</v>
      </c>
      <c r="Y117" s="14" t="e">
        <f t="shared" ca="1" si="101"/>
        <v>#N/A</v>
      </c>
      <c r="Z117" s="14" t="e">
        <f t="shared" ca="1" si="101"/>
        <v>#N/A</v>
      </c>
      <c r="AA117" s="14" t="e">
        <f t="shared" ca="1" si="101"/>
        <v>#N/A</v>
      </c>
      <c r="AB117" s="14" t="e">
        <f t="shared" ca="1" si="101"/>
        <v>#N/A</v>
      </c>
      <c r="AC117" s="14" t="e">
        <f t="shared" ca="1" si="101"/>
        <v>#N/A</v>
      </c>
      <c r="AD117" s="14" t="e">
        <f t="shared" ca="1" si="101"/>
        <v>#N/A</v>
      </c>
      <c r="AE117" s="14" t="e">
        <f t="shared" ca="1" si="101"/>
        <v>#N/A</v>
      </c>
      <c r="AF117" s="14" t="e">
        <f t="shared" ca="1" si="101"/>
        <v>#N/A</v>
      </c>
      <c r="AG117" s="14" t="e">
        <f t="shared" ca="1" si="101"/>
        <v>#N/A</v>
      </c>
      <c r="AH117" s="14" t="e">
        <f t="shared" ca="1" si="101"/>
        <v>#N/A</v>
      </c>
      <c r="AI117" s="14" t="e">
        <f t="shared" ca="1" si="101"/>
        <v>#N/A</v>
      </c>
      <c r="AJ117" s="14" t="e">
        <f t="shared" ca="1" si="101"/>
        <v>#N/A</v>
      </c>
      <c r="AK117" s="14" t="e">
        <f t="shared" ca="1" si="101"/>
        <v>#N/A</v>
      </c>
      <c r="AL117" s="14" t="e">
        <f t="shared" ca="1" si="101"/>
        <v>#N/A</v>
      </c>
      <c r="AM117" s="14" t="e">
        <f t="shared" ref="AM117:BR117" ca="1" si="102">AM116+AM114</f>
        <v>#N/A</v>
      </c>
      <c r="AN117" s="14" t="e">
        <f t="shared" ca="1" si="102"/>
        <v>#N/A</v>
      </c>
      <c r="AO117" s="14" t="e">
        <f t="shared" ca="1" si="102"/>
        <v>#N/A</v>
      </c>
      <c r="AP117" s="14" t="e">
        <f t="shared" ca="1" si="102"/>
        <v>#N/A</v>
      </c>
      <c r="AQ117" s="14" t="e">
        <f t="shared" ca="1" si="102"/>
        <v>#N/A</v>
      </c>
      <c r="AR117" s="14" t="e">
        <f t="shared" ca="1" si="102"/>
        <v>#N/A</v>
      </c>
      <c r="AS117" s="14" t="e">
        <f t="shared" ca="1" si="102"/>
        <v>#N/A</v>
      </c>
      <c r="AT117" s="14" t="e">
        <f t="shared" ca="1" si="102"/>
        <v>#N/A</v>
      </c>
      <c r="AU117" s="14" t="e">
        <f t="shared" ca="1" si="102"/>
        <v>#N/A</v>
      </c>
      <c r="AV117" s="14" t="e">
        <f t="shared" ca="1" si="102"/>
        <v>#N/A</v>
      </c>
      <c r="AW117" s="14" t="e">
        <f t="shared" ca="1" si="102"/>
        <v>#N/A</v>
      </c>
      <c r="AX117" s="14" t="e">
        <f t="shared" ca="1" si="102"/>
        <v>#N/A</v>
      </c>
      <c r="AY117" s="14" t="e">
        <f t="shared" ca="1" si="102"/>
        <v>#N/A</v>
      </c>
      <c r="AZ117" s="14" t="e">
        <f t="shared" ca="1" si="102"/>
        <v>#N/A</v>
      </c>
      <c r="BA117" s="14" t="e">
        <f t="shared" ca="1" si="102"/>
        <v>#N/A</v>
      </c>
      <c r="BB117" s="14" t="e">
        <f t="shared" ca="1" si="102"/>
        <v>#N/A</v>
      </c>
      <c r="BC117" s="14" t="e">
        <f t="shared" ca="1" si="102"/>
        <v>#N/A</v>
      </c>
      <c r="BD117" s="14" t="e">
        <f t="shared" ca="1" si="102"/>
        <v>#N/A</v>
      </c>
      <c r="BE117" s="14" t="e">
        <f t="shared" ca="1" si="102"/>
        <v>#N/A</v>
      </c>
      <c r="BF117" s="14" t="e">
        <f t="shared" ca="1" si="102"/>
        <v>#N/A</v>
      </c>
      <c r="BG117" s="14" t="e">
        <f t="shared" ca="1" si="102"/>
        <v>#N/A</v>
      </c>
      <c r="BH117" s="14" t="e">
        <f t="shared" ca="1" si="102"/>
        <v>#N/A</v>
      </c>
      <c r="BI117" s="14" t="e">
        <f t="shared" ca="1" si="102"/>
        <v>#N/A</v>
      </c>
      <c r="BJ117" s="14" t="e">
        <f t="shared" ca="1" si="102"/>
        <v>#N/A</v>
      </c>
      <c r="BK117" s="14" t="e">
        <f t="shared" ca="1" si="102"/>
        <v>#N/A</v>
      </c>
      <c r="BL117" s="14" t="e">
        <f t="shared" ca="1" si="102"/>
        <v>#N/A</v>
      </c>
      <c r="BM117" s="14" t="e">
        <f t="shared" ca="1" si="102"/>
        <v>#N/A</v>
      </c>
      <c r="BN117" s="14" t="e">
        <f t="shared" ca="1" si="102"/>
        <v>#N/A</v>
      </c>
      <c r="BO117" s="14" t="e">
        <f t="shared" ca="1" si="102"/>
        <v>#N/A</v>
      </c>
      <c r="BP117" s="14" t="e">
        <f t="shared" ca="1" si="102"/>
        <v>#N/A</v>
      </c>
      <c r="BQ117" s="14" t="e">
        <f t="shared" ca="1" si="102"/>
        <v>#N/A</v>
      </c>
      <c r="BR117" s="14" t="e">
        <f t="shared" ca="1" si="102"/>
        <v>#N/A</v>
      </c>
      <c r="BS117" s="94"/>
    </row>
    <row r="118" spans="1:71" ht="21" hidden="1" customHeight="1" outlineLevel="1" thickBot="1" x14ac:dyDescent="0.4">
      <c r="E118" s="17" t="s">
        <v>36</v>
      </c>
      <c r="F118" s="14" t="e">
        <f ca="1">F116+F115</f>
        <v>#N/A</v>
      </c>
      <c r="G118" s="14" t="e">
        <f t="shared" ref="G118:AL118" ca="1" si="103">G116+G115</f>
        <v>#N/A</v>
      </c>
      <c r="H118" s="14" t="e">
        <f t="shared" ca="1" si="103"/>
        <v>#N/A</v>
      </c>
      <c r="I118" s="14" t="e">
        <f t="shared" ca="1" si="103"/>
        <v>#N/A</v>
      </c>
      <c r="J118" s="14" t="e">
        <f t="shared" ca="1" si="103"/>
        <v>#N/A</v>
      </c>
      <c r="K118" s="14" t="e">
        <f t="shared" ca="1" si="103"/>
        <v>#N/A</v>
      </c>
      <c r="L118" s="14" t="e">
        <f t="shared" ca="1" si="103"/>
        <v>#N/A</v>
      </c>
      <c r="M118" s="14" t="e">
        <f t="shared" ca="1" si="103"/>
        <v>#N/A</v>
      </c>
      <c r="N118" s="14" t="e">
        <f t="shared" ca="1" si="103"/>
        <v>#N/A</v>
      </c>
      <c r="O118" s="14" t="e">
        <f t="shared" ca="1" si="103"/>
        <v>#N/A</v>
      </c>
      <c r="P118" s="14" t="e">
        <f t="shared" ca="1" si="103"/>
        <v>#N/A</v>
      </c>
      <c r="Q118" s="14" t="e">
        <f t="shared" ca="1" si="103"/>
        <v>#N/A</v>
      </c>
      <c r="R118" s="14" t="e">
        <f t="shared" ca="1" si="103"/>
        <v>#N/A</v>
      </c>
      <c r="S118" s="14" t="e">
        <f t="shared" ca="1" si="103"/>
        <v>#N/A</v>
      </c>
      <c r="T118" s="14" t="e">
        <f t="shared" ca="1" si="103"/>
        <v>#N/A</v>
      </c>
      <c r="U118" s="14" t="e">
        <f t="shared" ca="1" si="103"/>
        <v>#N/A</v>
      </c>
      <c r="V118" s="14" t="e">
        <f t="shared" ca="1" si="103"/>
        <v>#N/A</v>
      </c>
      <c r="W118" s="14" t="e">
        <f t="shared" ca="1" si="103"/>
        <v>#N/A</v>
      </c>
      <c r="X118" s="14" t="e">
        <f t="shared" ca="1" si="103"/>
        <v>#N/A</v>
      </c>
      <c r="Y118" s="14" t="e">
        <f t="shared" ca="1" si="103"/>
        <v>#N/A</v>
      </c>
      <c r="Z118" s="14" t="e">
        <f t="shared" ca="1" si="103"/>
        <v>#N/A</v>
      </c>
      <c r="AA118" s="14" t="e">
        <f t="shared" ca="1" si="103"/>
        <v>#N/A</v>
      </c>
      <c r="AB118" s="14" t="e">
        <f t="shared" ca="1" si="103"/>
        <v>#N/A</v>
      </c>
      <c r="AC118" s="14" t="e">
        <f t="shared" ca="1" si="103"/>
        <v>#N/A</v>
      </c>
      <c r="AD118" s="14" t="e">
        <f t="shared" ca="1" si="103"/>
        <v>#N/A</v>
      </c>
      <c r="AE118" s="14" t="e">
        <f t="shared" ca="1" si="103"/>
        <v>#N/A</v>
      </c>
      <c r="AF118" s="14" t="e">
        <f t="shared" ca="1" si="103"/>
        <v>#N/A</v>
      </c>
      <c r="AG118" s="14" t="e">
        <f t="shared" ca="1" si="103"/>
        <v>#N/A</v>
      </c>
      <c r="AH118" s="14" t="e">
        <f t="shared" ca="1" si="103"/>
        <v>#N/A</v>
      </c>
      <c r="AI118" s="14" t="e">
        <f t="shared" ca="1" si="103"/>
        <v>#N/A</v>
      </c>
      <c r="AJ118" s="14" t="e">
        <f t="shared" ca="1" si="103"/>
        <v>#N/A</v>
      </c>
      <c r="AK118" s="14" t="e">
        <f t="shared" ca="1" si="103"/>
        <v>#N/A</v>
      </c>
      <c r="AL118" s="14" t="e">
        <f t="shared" ca="1" si="103"/>
        <v>#N/A</v>
      </c>
      <c r="AM118" s="14" t="e">
        <f t="shared" ref="AM118:BR118" ca="1" si="104">AM116+AM115</f>
        <v>#N/A</v>
      </c>
      <c r="AN118" s="14" t="e">
        <f t="shared" ca="1" si="104"/>
        <v>#N/A</v>
      </c>
      <c r="AO118" s="14" t="e">
        <f t="shared" ca="1" si="104"/>
        <v>#N/A</v>
      </c>
      <c r="AP118" s="14" t="e">
        <f t="shared" ca="1" si="104"/>
        <v>#N/A</v>
      </c>
      <c r="AQ118" s="14" t="e">
        <f t="shared" ca="1" si="104"/>
        <v>#N/A</v>
      </c>
      <c r="AR118" s="14" t="e">
        <f t="shared" ca="1" si="104"/>
        <v>#N/A</v>
      </c>
      <c r="AS118" s="14" t="e">
        <f t="shared" ca="1" si="104"/>
        <v>#N/A</v>
      </c>
      <c r="AT118" s="14" t="e">
        <f t="shared" ca="1" si="104"/>
        <v>#N/A</v>
      </c>
      <c r="AU118" s="14" t="e">
        <f t="shared" ca="1" si="104"/>
        <v>#N/A</v>
      </c>
      <c r="AV118" s="14" t="e">
        <f t="shared" ca="1" si="104"/>
        <v>#N/A</v>
      </c>
      <c r="AW118" s="14" t="e">
        <f t="shared" ca="1" si="104"/>
        <v>#N/A</v>
      </c>
      <c r="AX118" s="14" t="e">
        <f t="shared" ca="1" si="104"/>
        <v>#N/A</v>
      </c>
      <c r="AY118" s="14" t="e">
        <f t="shared" ca="1" si="104"/>
        <v>#N/A</v>
      </c>
      <c r="AZ118" s="14" t="e">
        <f t="shared" ca="1" si="104"/>
        <v>#N/A</v>
      </c>
      <c r="BA118" s="14" t="e">
        <f t="shared" ca="1" si="104"/>
        <v>#N/A</v>
      </c>
      <c r="BB118" s="14" t="e">
        <f t="shared" ca="1" si="104"/>
        <v>#N/A</v>
      </c>
      <c r="BC118" s="14" t="e">
        <f t="shared" ca="1" si="104"/>
        <v>#N/A</v>
      </c>
      <c r="BD118" s="14" t="e">
        <f t="shared" ca="1" si="104"/>
        <v>#N/A</v>
      </c>
      <c r="BE118" s="14" t="e">
        <f t="shared" ca="1" si="104"/>
        <v>#N/A</v>
      </c>
      <c r="BF118" s="14" t="e">
        <f t="shared" ca="1" si="104"/>
        <v>#N/A</v>
      </c>
      <c r="BG118" s="14" t="e">
        <f t="shared" ca="1" si="104"/>
        <v>#N/A</v>
      </c>
      <c r="BH118" s="14" t="e">
        <f t="shared" ca="1" si="104"/>
        <v>#N/A</v>
      </c>
      <c r="BI118" s="14" t="e">
        <f t="shared" ca="1" si="104"/>
        <v>#N/A</v>
      </c>
      <c r="BJ118" s="14" t="e">
        <f t="shared" ca="1" si="104"/>
        <v>#N/A</v>
      </c>
      <c r="BK118" s="14" t="e">
        <f t="shared" ca="1" si="104"/>
        <v>#N/A</v>
      </c>
      <c r="BL118" s="14" t="e">
        <f t="shared" ca="1" si="104"/>
        <v>#N/A</v>
      </c>
      <c r="BM118" s="14" t="e">
        <f t="shared" ca="1" si="104"/>
        <v>#N/A</v>
      </c>
      <c r="BN118" s="14" t="e">
        <f t="shared" ca="1" si="104"/>
        <v>#N/A</v>
      </c>
      <c r="BO118" s="14" t="e">
        <f t="shared" ca="1" si="104"/>
        <v>#N/A</v>
      </c>
      <c r="BP118" s="14" t="e">
        <f t="shared" ca="1" si="104"/>
        <v>#N/A</v>
      </c>
      <c r="BQ118" s="14" t="e">
        <f t="shared" ca="1" si="104"/>
        <v>#N/A</v>
      </c>
      <c r="BR118" s="14" t="e">
        <f t="shared" ca="1" si="104"/>
        <v>#N/A</v>
      </c>
      <c r="BS118" s="94"/>
    </row>
    <row r="119" spans="1:71" ht="21" hidden="1" customHeight="1" outlineLevel="1" x14ac:dyDescent="0.35">
      <c r="E119" s="77" t="s">
        <v>38</v>
      </c>
      <c r="F119" s="78" t="e">
        <f ca="1">SUM(F114:F116)</f>
        <v>#N/A</v>
      </c>
      <c r="G119" s="78" t="e">
        <f t="shared" ref="G119:AL119" ca="1" si="105">SUM(G114:G116)</f>
        <v>#N/A</v>
      </c>
      <c r="H119" s="78" t="e">
        <f t="shared" ca="1" si="105"/>
        <v>#N/A</v>
      </c>
      <c r="I119" s="78" t="e">
        <f t="shared" ca="1" si="105"/>
        <v>#N/A</v>
      </c>
      <c r="J119" s="78" t="e">
        <f t="shared" ca="1" si="105"/>
        <v>#N/A</v>
      </c>
      <c r="K119" s="78" t="e">
        <f t="shared" ca="1" si="105"/>
        <v>#N/A</v>
      </c>
      <c r="L119" s="78" t="e">
        <f t="shared" ca="1" si="105"/>
        <v>#N/A</v>
      </c>
      <c r="M119" s="78" t="e">
        <f t="shared" ca="1" si="105"/>
        <v>#N/A</v>
      </c>
      <c r="N119" s="78" t="e">
        <f t="shared" ca="1" si="105"/>
        <v>#N/A</v>
      </c>
      <c r="O119" s="78" t="e">
        <f t="shared" ca="1" si="105"/>
        <v>#N/A</v>
      </c>
      <c r="P119" s="78" t="e">
        <f t="shared" ca="1" si="105"/>
        <v>#N/A</v>
      </c>
      <c r="Q119" s="78" t="e">
        <f t="shared" ca="1" si="105"/>
        <v>#N/A</v>
      </c>
      <c r="R119" s="78" t="e">
        <f t="shared" ca="1" si="105"/>
        <v>#N/A</v>
      </c>
      <c r="S119" s="78" t="e">
        <f t="shared" ca="1" si="105"/>
        <v>#N/A</v>
      </c>
      <c r="T119" s="78" t="e">
        <f t="shared" ca="1" si="105"/>
        <v>#N/A</v>
      </c>
      <c r="U119" s="78" t="e">
        <f t="shared" ca="1" si="105"/>
        <v>#N/A</v>
      </c>
      <c r="V119" s="78" t="e">
        <f t="shared" ca="1" si="105"/>
        <v>#N/A</v>
      </c>
      <c r="W119" s="78" t="e">
        <f t="shared" ca="1" si="105"/>
        <v>#N/A</v>
      </c>
      <c r="X119" s="78" t="e">
        <f t="shared" ca="1" si="105"/>
        <v>#N/A</v>
      </c>
      <c r="Y119" s="78" t="e">
        <f t="shared" ca="1" si="105"/>
        <v>#N/A</v>
      </c>
      <c r="Z119" s="78" t="e">
        <f t="shared" ca="1" si="105"/>
        <v>#N/A</v>
      </c>
      <c r="AA119" s="78" t="e">
        <f t="shared" ca="1" si="105"/>
        <v>#N/A</v>
      </c>
      <c r="AB119" s="78" t="e">
        <f t="shared" ca="1" si="105"/>
        <v>#N/A</v>
      </c>
      <c r="AC119" s="78" t="e">
        <f t="shared" ca="1" si="105"/>
        <v>#N/A</v>
      </c>
      <c r="AD119" s="78" t="e">
        <f t="shared" ca="1" si="105"/>
        <v>#N/A</v>
      </c>
      <c r="AE119" s="78" t="e">
        <f t="shared" ca="1" si="105"/>
        <v>#N/A</v>
      </c>
      <c r="AF119" s="78" t="e">
        <f t="shared" ca="1" si="105"/>
        <v>#N/A</v>
      </c>
      <c r="AG119" s="78" t="e">
        <f t="shared" ca="1" si="105"/>
        <v>#N/A</v>
      </c>
      <c r="AH119" s="78" t="e">
        <f t="shared" ca="1" si="105"/>
        <v>#N/A</v>
      </c>
      <c r="AI119" s="78" t="e">
        <f t="shared" ca="1" si="105"/>
        <v>#N/A</v>
      </c>
      <c r="AJ119" s="78" t="e">
        <f t="shared" ca="1" si="105"/>
        <v>#N/A</v>
      </c>
      <c r="AK119" s="78" t="e">
        <f t="shared" ca="1" si="105"/>
        <v>#N/A</v>
      </c>
      <c r="AL119" s="78" t="e">
        <f t="shared" ca="1" si="105"/>
        <v>#N/A</v>
      </c>
      <c r="AM119" s="78" t="e">
        <f t="shared" ref="AM119:BR119" ca="1" si="106">SUM(AM114:AM116)</f>
        <v>#N/A</v>
      </c>
      <c r="AN119" s="78" t="e">
        <f t="shared" ca="1" si="106"/>
        <v>#N/A</v>
      </c>
      <c r="AO119" s="78" t="e">
        <f t="shared" ca="1" si="106"/>
        <v>#N/A</v>
      </c>
      <c r="AP119" s="78" t="e">
        <f t="shared" ca="1" si="106"/>
        <v>#N/A</v>
      </c>
      <c r="AQ119" s="78" t="e">
        <f t="shared" ca="1" si="106"/>
        <v>#N/A</v>
      </c>
      <c r="AR119" s="78" t="e">
        <f t="shared" ca="1" si="106"/>
        <v>#N/A</v>
      </c>
      <c r="AS119" s="78" t="e">
        <f t="shared" ca="1" si="106"/>
        <v>#N/A</v>
      </c>
      <c r="AT119" s="78" t="e">
        <f t="shared" ca="1" si="106"/>
        <v>#N/A</v>
      </c>
      <c r="AU119" s="78" t="e">
        <f t="shared" ca="1" si="106"/>
        <v>#N/A</v>
      </c>
      <c r="AV119" s="78" t="e">
        <f t="shared" ca="1" si="106"/>
        <v>#N/A</v>
      </c>
      <c r="AW119" s="78" t="e">
        <f t="shared" ca="1" si="106"/>
        <v>#N/A</v>
      </c>
      <c r="AX119" s="78" t="e">
        <f t="shared" ca="1" si="106"/>
        <v>#N/A</v>
      </c>
      <c r="AY119" s="78" t="e">
        <f t="shared" ca="1" si="106"/>
        <v>#N/A</v>
      </c>
      <c r="AZ119" s="78" t="e">
        <f t="shared" ca="1" si="106"/>
        <v>#N/A</v>
      </c>
      <c r="BA119" s="78" t="e">
        <f t="shared" ca="1" si="106"/>
        <v>#N/A</v>
      </c>
      <c r="BB119" s="78" t="e">
        <f t="shared" ca="1" si="106"/>
        <v>#N/A</v>
      </c>
      <c r="BC119" s="78" t="e">
        <f t="shared" ca="1" si="106"/>
        <v>#N/A</v>
      </c>
      <c r="BD119" s="78" t="e">
        <f t="shared" ca="1" si="106"/>
        <v>#N/A</v>
      </c>
      <c r="BE119" s="78" t="e">
        <f t="shared" ca="1" si="106"/>
        <v>#N/A</v>
      </c>
      <c r="BF119" s="78" t="e">
        <f t="shared" ca="1" si="106"/>
        <v>#N/A</v>
      </c>
      <c r="BG119" s="78" t="e">
        <f t="shared" ca="1" si="106"/>
        <v>#N/A</v>
      </c>
      <c r="BH119" s="78" t="e">
        <f t="shared" ca="1" si="106"/>
        <v>#N/A</v>
      </c>
      <c r="BI119" s="78" t="e">
        <f t="shared" ca="1" si="106"/>
        <v>#N/A</v>
      </c>
      <c r="BJ119" s="78" t="e">
        <f t="shared" ca="1" si="106"/>
        <v>#N/A</v>
      </c>
      <c r="BK119" s="78" t="e">
        <f t="shared" ca="1" si="106"/>
        <v>#N/A</v>
      </c>
      <c r="BL119" s="78" t="e">
        <f t="shared" ca="1" si="106"/>
        <v>#N/A</v>
      </c>
      <c r="BM119" s="78" t="e">
        <f t="shared" ca="1" si="106"/>
        <v>#N/A</v>
      </c>
      <c r="BN119" s="78" t="e">
        <f t="shared" ca="1" si="106"/>
        <v>#N/A</v>
      </c>
      <c r="BO119" s="78" t="e">
        <f t="shared" ca="1" si="106"/>
        <v>#N/A</v>
      </c>
      <c r="BP119" s="78" t="e">
        <f t="shared" ca="1" si="106"/>
        <v>#N/A</v>
      </c>
      <c r="BQ119" s="78" t="e">
        <f t="shared" ca="1" si="106"/>
        <v>#N/A</v>
      </c>
      <c r="BR119" s="78" t="e">
        <f t="shared" ca="1" si="106"/>
        <v>#N/A</v>
      </c>
      <c r="BS119" s="94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2">
        <f ca="1"/>
        <v>0</v>
      </c>
      <c r="V122" s="53">
        <f ca="1"/>
        <v>0</v>
      </c>
      <c r="W122" s="55">
        <f ca="1"/>
        <v>0</v>
      </c>
      <c r="X122" s="50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4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str">
        <f ca="1"/>
        <v xml:space="preserve">Раствор 1(тв): </v>
      </c>
      <c r="G123" s="47" t="str">
        <f ca="1"/>
        <v xml:space="preserve">Раствор 1(тв): </v>
      </c>
      <c r="H123" s="47" t="str">
        <f ca="1"/>
        <v xml:space="preserve">Раствор 1(тв): </v>
      </c>
      <c r="I123" s="47" t="str">
        <f ca="1"/>
        <v xml:space="preserve">Раствор 1(тв): </v>
      </c>
      <c r="J123" s="47" t="str">
        <f ca="1"/>
        <v xml:space="preserve">Раствор 1(тв): </v>
      </c>
      <c r="K123" s="47" t="str">
        <f ca="1"/>
        <v xml:space="preserve">Раствор 1(тв): </v>
      </c>
      <c r="L123" s="47" t="str">
        <f ca="1"/>
        <v xml:space="preserve">Раствор 1(тв): </v>
      </c>
      <c r="M123" s="47" t="str">
        <f ca="1"/>
        <v xml:space="preserve">Раствор 1(тв): </v>
      </c>
      <c r="N123" s="47" t="str">
        <f ca="1"/>
        <v xml:space="preserve">Раствор 1(тв): </v>
      </c>
      <c r="O123" s="47" t="str">
        <f ca="1"/>
        <v xml:space="preserve">Раствор 1(тв): </v>
      </c>
      <c r="P123" s="47" t="str">
        <f ca="1"/>
        <v xml:space="preserve">Раствор 1(тв): </v>
      </c>
      <c r="Q123" s="47" t="str">
        <f ca="1"/>
        <v xml:space="preserve">Раствор 1(тв): </v>
      </c>
      <c r="R123" s="47" t="str">
        <f ca="1"/>
        <v xml:space="preserve">Раствор 1(тв): </v>
      </c>
      <c r="S123" s="47" t="str">
        <f ca="1"/>
        <v xml:space="preserve">Раствор 1(тв): </v>
      </c>
      <c r="T123" s="47" t="str">
        <f ca="1"/>
        <v xml:space="preserve">Раствор 1(тв): </v>
      </c>
      <c r="U123" s="47" t="str">
        <f ca="1"/>
        <v xml:space="preserve">Раствор 1(тв): </v>
      </c>
      <c r="V123" s="47" t="str">
        <f ca="1"/>
        <v xml:space="preserve">Раствор 1(тв): </v>
      </c>
      <c r="W123" s="47" t="str">
        <f ca="1"/>
        <v xml:space="preserve">Раствор 1(тв): </v>
      </c>
      <c r="X123" s="47" t="str">
        <f ca="1"/>
        <v xml:space="preserve">Раствор 1(тв): </v>
      </c>
      <c r="Y123" s="47" t="str">
        <f ca="1"/>
        <v xml:space="preserve">Раствор 1(тв): </v>
      </c>
      <c r="Z123" s="47" t="str">
        <f ca="1"/>
        <v xml:space="preserve">Раствор 1(тв): </v>
      </c>
      <c r="AA123" s="47" t="str">
        <f ca="1"/>
        <v xml:space="preserve">Раствор 1(тв): </v>
      </c>
      <c r="AB123" s="47" t="str">
        <f ca="1"/>
        <v xml:space="preserve">Раствор 1(тв): </v>
      </c>
      <c r="AC123" s="47" t="str">
        <f ca="1"/>
        <v xml:space="preserve">Раствор 1(тв): </v>
      </c>
      <c r="AD123" s="47" t="str">
        <f ca="1"/>
        <v xml:space="preserve">Раствор 1(тв): </v>
      </c>
      <c r="AE123" s="47" t="str">
        <f ca="1"/>
        <v xml:space="preserve">Раствор 1(тв): </v>
      </c>
      <c r="AF123" s="47" t="str">
        <f ca="1"/>
        <v xml:space="preserve">Раствор 1(тв): </v>
      </c>
      <c r="AG123" s="47" t="str">
        <f ca="1"/>
        <v xml:space="preserve">Раствор 1(тв): </v>
      </c>
      <c r="AH123" s="47" t="str">
        <f ca="1"/>
        <v xml:space="preserve">Раствор 1(тв): </v>
      </c>
      <c r="AI123" s="47" t="str">
        <f ca="1"/>
        <v xml:space="preserve">Раствор 1(тв): </v>
      </c>
      <c r="AJ123" s="47" t="str">
        <f ca="1"/>
        <v xml:space="preserve">Раствор 1(тв): </v>
      </c>
      <c r="AK123" s="47" t="str">
        <f ca="1"/>
        <v xml:space="preserve">Раствор 1(тв): </v>
      </c>
      <c r="AL123" s="47" t="str">
        <f ca="1"/>
        <v xml:space="preserve">Раствор 1(тв): </v>
      </c>
      <c r="AM123" s="47" t="str">
        <f ca="1"/>
        <v xml:space="preserve">Раствор 1(тв): </v>
      </c>
      <c r="AN123" s="47" t="str">
        <f ca="1"/>
        <v xml:space="preserve">Раствор 1(тв): </v>
      </c>
      <c r="AO123" s="47" t="str">
        <f ca="1"/>
        <v xml:space="preserve">Раствор 1(тв): </v>
      </c>
      <c r="AP123" s="47" t="str">
        <f ca="1"/>
        <v xml:space="preserve">Раствор 1(тв): </v>
      </c>
      <c r="AQ123" s="47" t="str">
        <f ca="1"/>
        <v xml:space="preserve">Раствор 1(тв): </v>
      </c>
      <c r="AR123" s="47" t="str">
        <f ca="1"/>
        <v xml:space="preserve">Раствор 1(тв): </v>
      </c>
      <c r="AS123" s="47" t="str">
        <f ca="1"/>
        <v xml:space="preserve">Раствор 1(тв): </v>
      </c>
      <c r="AT123" s="47" t="str">
        <f ca="1"/>
        <v xml:space="preserve">Раствор 1(тв): </v>
      </c>
      <c r="AU123" s="47" t="str">
        <f ca="1"/>
        <v xml:space="preserve">Раствор 1(тв): </v>
      </c>
      <c r="AV123" s="47" t="str">
        <f ca="1"/>
        <v xml:space="preserve">Раствор 1(тв): </v>
      </c>
      <c r="AW123" s="47" t="str">
        <f ca="1"/>
        <v xml:space="preserve">Раствор 1(тв): </v>
      </c>
      <c r="AX123" s="47" t="str">
        <f ca="1"/>
        <v xml:space="preserve">Раствор 1(тв): </v>
      </c>
      <c r="AY123" s="47" t="str">
        <f ca="1"/>
        <v xml:space="preserve">Раствор 1(тв): </v>
      </c>
      <c r="AZ123" s="47" t="str">
        <f ca="1"/>
        <v xml:space="preserve">Раствор 1(тв): </v>
      </c>
      <c r="BA123" s="47" t="str">
        <f ca="1"/>
        <v xml:space="preserve">Раствор 1(тв): </v>
      </c>
      <c r="BB123" s="47" t="str">
        <f ca="1"/>
        <v xml:space="preserve">Раствор 1(тв): </v>
      </c>
      <c r="BC123" s="47" t="str">
        <f ca="1"/>
        <v xml:space="preserve">Раствор 1(тв): </v>
      </c>
      <c r="BD123" s="47" t="str">
        <f ca="1"/>
        <v xml:space="preserve">Раствор 1(тв): </v>
      </c>
      <c r="BE123" s="47" t="str">
        <f ca="1"/>
        <v xml:space="preserve">Раствор 1(тв): </v>
      </c>
      <c r="BF123" s="47" t="str">
        <f ca="1"/>
        <v xml:space="preserve">Раствор 1(тв): </v>
      </c>
      <c r="BG123" s="47" t="str">
        <f ca="1"/>
        <v xml:space="preserve">Раствор 1(тв): </v>
      </c>
      <c r="BH123" s="47" t="str">
        <f ca="1"/>
        <v xml:space="preserve">Раствор 1(тв): </v>
      </c>
      <c r="BI123" s="47" t="str">
        <f ca="1"/>
        <v xml:space="preserve">Раствор 1(тв): </v>
      </c>
      <c r="BJ123" s="47" t="str">
        <f ca="1"/>
        <v xml:space="preserve">Раствор 1(тв): </v>
      </c>
      <c r="BK123" s="47" t="str">
        <f ca="1"/>
        <v xml:space="preserve">Раствор 1(тв): </v>
      </c>
      <c r="BL123" s="47" t="str">
        <f ca="1"/>
        <v xml:space="preserve">Раствор 1(тв): </v>
      </c>
      <c r="BM123" s="47" t="str">
        <f ca="1"/>
        <v xml:space="preserve">Раствор 1(тв): </v>
      </c>
      <c r="BN123" s="47" t="str">
        <f ca="1"/>
        <v xml:space="preserve">Раствор 1(тв): </v>
      </c>
      <c r="BO123" s="47" t="str">
        <f ca="1"/>
        <v xml:space="preserve">Раствор 1(тв): </v>
      </c>
      <c r="BP123" s="47" t="str">
        <f ca="1"/>
        <v xml:space="preserve">Раствор 1(тв): </v>
      </c>
      <c r="BQ123" s="47" t="str">
        <f ca="1"/>
        <v xml:space="preserve">Раствор 1(тв): </v>
      </c>
      <c r="BR123" s="47" t="str">
        <f ca="1"/>
        <v xml:space="preserve">Раствор 1(тв): 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str">
        <f ca="1"/>
        <v xml:space="preserve">Раствор 3 (жид): </v>
      </c>
      <c r="G124" s="47" t="str">
        <f ca="1"/>
        <v xml:space="preserve">Раствор 3 (жид): </v>
      </c>
      <c r="H124" s="47" t="str">
        <f ca="1"/>
        <v xml:space="preserve">Раствор 3 (жид): </v>
      </c>
      <c r="I124" s="47" t="str">
        <f ca="1"/>
        <v xml:space="preserve">Раствор 3 (жид): </v>
      </c>
      <c r="J124" s="47" t="str">
        <f ca="1"/>
        <v xml:space="preserve">Раствор 3 (жид): </v>
      </c>
      <c r="K124" s="47" t="str">
        <f ca="1"/>
        <v xml:space="preserve">Раствор 3 (жид): </v>
      </c>
      <c r="L124" s="47" t="str">
        <f ca="1"/>
        <v xml:space="preserve">Раствор 3 (жид): </v>
      </c>
      <c r="M124" s="47" t="str">
        <f ca="1"/>
        <v xml:space="preserve">Раствор 3 (жид): </v>
      </c>
      <c r="N124" s="47" t="str">
        <f ca="1"/>
        <v xml:space="preserve">Раствор 3 (жид): </v>
      </c>
      <c r="O124" s="47" t="str">
        <f ca="1"/>
        <v xml:space="preserve">Раствор 3 (жид): </v>
      </c>
      <c r="P124" s="47" t="str">
        <f ca="1"/>
        <v xml:space="preserve">Раствор 3 (жид): </v>
      </c>
      <c r="Q124" s="47" t="str">
        <f ca="1"/>
        <v xml:space="preserve">Раствор 3 (жид): </v>
      </c>
      <c r="R124" s="47" t="str">
        <f ca="1"/>
        <v xml:space="preserve">Раствор 3 (жид): </v>
      </c>
      <c r="S124" s="47" t="str">
        <f ca="1"/>
        <v xml:space="preserve">Раствор 3 (жид): </v>
      </c>
      <c r="T124" s="47" t="str">
        <f ca="1"/>
        <v xml:space="preserve">Раствор 3 (жид): </v>
      </c>
      <c r="U124" s="47" t="str">
        <f ca="1"/>
        <v xml:space="preserve">Раствор 3 (жид): </v>
      </c>
      <c r="V124" s="47" t="str">
        <f ca="1"/>
        <v xml:space="preserve">Раствор 3 (жид): </v>
      </c>
      <c r="W124" s="47" t="str">
        <f ca="1"/>
        <v xml:space="preserve">Раствор 3 (жид): </v>
      </c>
      <c r="X124" s="47" t="str">
        <f ca="1"/>
        <v xml:space="preserve">Раствор 3 (жид): </v>
      </c>
      <c r="Y124" s="47" t="str">
        <f ca="1"/>
        <v xml:space="preserve">Раствор 3 (жид): </v>
      </c>
      <c r="Z124" s="47" t="str">
        <f ca="1"/>
        <v xml:space="preserve">Раствор 3 (жид): </v>
      </c>
      <c r="AA124" s="47" t="str">
        <f ca="1"/>
        <v xml:space="preserve">Раствор 3 (жид): </v>
      </c>
      <c r="AB124" s="47" t="str">
        <f ca="1"/>
        <v xml:space="preserve">Раствор 3 (жид): </v>
      </c>
      <c r="AC124" s="47" t="str">
        <f ca="1"/>
        <v xml:space="preserve">Раствор 3 (жид): </v>
      </c>
      <c r="AD124" s="47" t="str">
        <f ca="1"/>
        <v xml:space="preserve">Раствор 3 (жид): </v>
      </c>
      <c r="AE124" s="47" t="str">
        <f ca="1"/>
        <v xml:space="preserve">Раствор 3 (жид): </v>
      </c>
      <c r="AF124" s="47" t="str">
        <f ca="1"/>
        <v xml:space="preserve">Раствор 3 (жид): </v>
      </c>
      <c r="AG124" s="47" t="str">
        <f ca="1"/>
        <v xml:space="preserve">Раствор 3 (жид): </v>
      </c>
      <c r="AH124" s="47" t="str">
        <f ca="1"/>
        <v xml:space="preserve">Раствор 3 (жид): </v>
      </c>
      <c r="AI124" s="47" t="str">
        <f ca="1"/>
        <v xml:space="preserve">Раствор 3 (жид): </v>
      </c>
      <c r="AJ124" s="47" t="str">
        <f ca="1"/>
        <v xml:space="preserve">Раствор 3 (жид): </v>
      </c>
      <c r="AK124" s="47" t="str">
        <f ca="1"/>
        <v xml:space="preserve">Раствор 3 (жид): </v>
      </c>
      <c r="AL124" s="47" t="str">
        <f ca="1"/>
        <v xml:space="preserve">Раствор 3 (жид): </v>
      </c>
      <c r="AM124" s="47" t="str">
        <f ca="1"/>
        <v xml:space="preserve">Раствор 3 (жид): </v>
      </c>
      <c r="AN124" s="47" t="str">
        <f ca="1"/>
        <v xml:space="preserve">Раствор 3 (жид): </v>
      </c>
      <c r="AO124" s="47" t="str">
        <f ca="1"/>
        <v xml:space="preserve">Раствор 3 (жид): </v>
      </c>
      <c r="AP124" s="47" t="str">
        <f ca="1"/>
        <v xml:space="preserve">Раствор 3 (жид): </v>
      </c>
      <c r="AQ124" s="47" t="str">
        <f ca="1"/>
        <v xml:space="preserve">Раствор 3 (жид): </v>
      </c>
      <c r="AR124" s="47" t="str">
        <f ca="1"/>
        <v xml:space="preserve">Раствор 3 (жид): </v>
      </c>
      <c r="AS124" s="47" t="str">
        <f ca="1"/>
        <v xml:space="preserve">Раствор 3 (жид): </v>
      </c>
      <c r="AT124" s="47" t="str">
        <f ca="1"/>
        <v xml:space="preserve">Раствор 3 (жид): </v>
      </c>
      <c r="AU124" s="47" t="str">
        <f ca="1"/>
        <v xml:space="preserve">Раствор 3 (жид): </v>
      </c>
      <c r="AV124" s="47" t="str">
        <f ca="1"/>
        <v xml:space="preserve">Раствор 3 (жид): </v>
      </c>
      <c r="AW124" s="47" t="str">
        <f ca="1"/>
        <v xml:space="preserve">Раствор 3 (жид): </v>
      </c>
      <c r="AX124" s="47" t="str">
        <f ca="1"/>
        <v xml:space="preserve">Раствор 3 (жид): </v>
      </c>
      <c r="AY124" s="47" t="str">
        <f ca="1"/>
        <v xml:space="preserve">Раствор 3 (жид): </v>
      </c>
      <c r="AZ124" s="47" t="str">
        <f ca="1"/>
        <v xml:space="preserve">Раствор 3 (жид): </v>
      </c>
      <c r="BA124" s="47" t="str">
        <f ca="1"/>
        <v xml:space="preserve">Раствор 3 (жид): </v>
      </c>
      <c r="BB124" s="47" t="str">
        <f ca="1"/>
        <v xml:space="preserve">Раствор 3 (жид): </v>
      </c>
      <c r="BC124" s="47" t="str">
        <f ca="1"/>
        <v xml:space="preserve">Раствор 3 (жид): </v>
      </c>
      <c r="BD124" s="47" t="str">
        <f ca="1"/>
        <v xml:space="preserve">Раствор 3 (жид): </v>
      </c>
      <c r="BE124" s="47" t="str">
        <f ca="1"/>
        <v xml:space="preserve">Раствор 3 (жид): </v>
      </c>
      <c r="BF124" s="47" t="str">
        <f ca="1"/>
        <v xml:space="preserve">Раствор 3 (жид): </v>
      </c>
      <c r="BG124" s="47" t="str">
        <f ca="1"/>
        <v xml:space="preserve">Раствор 3 (жид): </v>
      </c>
      <c r="BH124" s="47" t="str">
        <f ca="1"/>
        <v xml:space="preserve">Раствор 3 (жид): </v>
      </c>
      <c r="BI124" s="47" t="str">
        <f ca="1"/>
        <v xml:space="preserve">Раствор 3 (жид): </v>
      </c>
      <c r="BJ124" s="47" t="str">
        <f ca="1"/>
        <v xml:space="preserve">Раствор 3 (жид): </v>
      </c>
      <c r="BK124" s="47" t="str">
        <f ca="1"/>
        <v xml:space="preserve">Раствор 3 (жид): </v>
      </c>
      <c r="BL124" s="47" t="str">
        <f ca="1"/>
        <v xml:space="preserve">Раствор 3 (жид): </v>
      </c>
      <c r="BM124" s="47" t="str">
        <f ca="1"/>
        <v xml:space="preserve">Раствор 3 (жид): </v>
      </c>
      <c r="BN124" s="47" t="str">
        <f ca="1"/>
        <v xml:space="preserve">Раствор 3 (жид): </v>
      </c>
      <c r="BO124" s="47" t="str">
        <f ca="1"/>
        <v xml:space="preserve">Раствор 3 (жид): </v>
      </c>
      <c r="BP124" s="47" t="str">
        <f ca="1"/>
        <v xml:space="preserve">Раствор 3 (жид): </v>
      </c>
      <c r="BQ124" s="47" t="str">
        <f ca="1"/>
        <v xml:space="preserve">Раствор 3 (жид): </v>
      </c>
      <c r="BR124" s="47" t="str">
        <f ca="1"/>
        <v xml:space="preserve">Раствор 3 (жид): 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str">
        <f ca="1"/>
        <v xml:space="preserve">Газовая без Ar: </v>
      </c>
      <c r="G125" s="47" t="str">
        <f ca="1"/>
        <v xml:space="preserve">Газовая без Ar: </v>
      </c>
      <c r="H125" s="47" t="str">
        <f ca="1"/>
        <v xml:space="preserve">Газовая без Ar: </v>
      </c>
      <c r="I125" s="47" t="str">
        <f ca="1"/>
        <v xml:space="preserve">Газовая без Ar: </v>
      </c>
      <c r="J125" s="47" t="str">
        <f ca="1"/>
        <v xml:space="preserve">Газовая без Ar: </v>
      </c>
      <c r="K125" s="47" t="str">
        <f ca="1"/>
        <v xml:space="preserve">Газовая без Ar: </v>
      </c>
      <c r="L125" s="47" t="str">
        <f ca="1"/>
        <v xml:space="preserve">Газовая без Ar: </v>
      </c>
      <c r="M125" s="47" t="str">
        <f ca="1"/>
        <v xml:space="preserve">Газовая без Ar: </v>
      </c>
      <c r="N125" s="47" t="str">
        <f ca="1"/>
        <v xml:space="preserve">Газовая без Ar: </v>
      </c>
      <c r="O125" s="47" t="str">
        <f ca="1"/>
        <v xml:space="preserve">Газовая без Ar: </v>
      </c>
      <c r="P125" s="47" t="str">
        <f ca="1"/>
        <v xml:space="preserve">Газовая без Ar: </v>
      </c>
      <c r="Q125" s="47" t="str">
        <f ca="1"/>
        <v xml:space="preserve">Газовая без Ar: </v>
      </c>
      <c r="R125" s="47" t="str">
        <f ca="1"/>
        <v xml:space="preserve">Газовая без Ar: </v>
      </c>
      <c r="S125" s="47" t="str">
        <f ca="1"/>
        <v xml:space="preserve">Газовая без Ar: </v>
      </c>
      <c r="T125" s="47" t="str">
        <f ca="1"/>
        <v xml:space="preserve">Газовая без Ar: </v>
      </c>
      <c r="U125" s="47" t="str">
        <f ca="1"/>
        <v xml:space="preserve">Газовая без Ar: </v>
      </c>
      <c r="V125" s="47" t="str">
        <f ca="1"/>
        <v xml:space="preserve">Газовая без Ar: </v>
      </c>
      <c r="W125" s="47" t="str">
        <f ca="1"/>
        <v xml:space="preserve">Газовая без Ar: </v>
      </c>
      <c r="X125" s="47" t="str">
        <f ca="1"/>
        <v xml:space="preserve">Газовая без Ar: </v>
      </c>
      <c r="Y125" s="47" t="str">
        <f ca="1"/>
        <v xml:space="preserve">Газовая без Ar: </v>
      </c>
      <c r="Z125" s="47" t="str">
        <f ca="1"/>
        <v xml:space="preserve">Газовая без Ar: </v>
      </c>
      <c r="AA125" s="47" t="str">
        <f ca="1"/>
        <v xml:space="preserve">Газовая без Ar: </v>
      </c>
      <c r="AB125" s="47" t="str">
        <f ca="1"/>
        <v xml:space="preserve">Газовая без Ar: </v>
      </c>
      <c r="AC125" s="47" t="str">
        <f ca="1"/>
        <v xml:space="preserve">Газовая без Ar: </v>
      </c>
      <c r="AD125" s="47" t="str">
        <f ca="1"/>
        <v xml:space="preserve">Газовая без Ar: </v>
      </c>
      <c r="AE125" s="47" t="str">
        <f ca="1"/>
        <v xml:space="preserve">Газовая без Ar: </v>
      </c>
      <c r="AF125" s="47" t="str">
        <f ca="1"/>
        <v xml:space="preserve">Газовая без Ar: </v>
      </c>
      <c r="AG125" s="47" t="str">
        <f ca="1"/>
        <v xml:space="preserve">Газовая без Ar: </v>
      </c>
      <c r="AH125" s="47" t="str">
        <f ca="1"/>
        <v xml:space="preserve">Газовая без Ar: </v>
      </c>
      <c r="AI125" s="47" t="str">
        <f ca="1"/>
        <v xml:space="preserve">Газовая без Ar: </v>
      </c>
      <c r="AJ125" s="47" t="str">
        <f ca="1"/>
        <v xml:space="preserve">Газовая без Ar: </v>
      </c>
      <c r="AK125" s="47" t="str">
        <f ca="1"/>
        <v xml:space="preserve">Газовая без Ar: </v>
      </c>
      <c r="AL125" s="47" t="str">
        <f ca="1"/>
        <v xml:space="preserve">Газовая без Ar: </v>
      </c>
      <c r="AM125" s="47" t="str">
        <f ca="1"/>
        <v xml:space="preserve">Газовая без Ar: </v>
      </c>
      <c r="AN125" s="47" t="str">
        <f ca="1"/>
        <v xml:space="preserve">Газовая без Ar: </v>
      </c>
      <c r="AO125" s="47" t="str">
        <f ca="1"/>
        <v xml:space="preserve">Газовая без Ar: </v>
      </c>
      <c r="AP125" s="47" t="str">
        <f ca="1"/>
        <v xml:space="preserve">Газовая без Ar: </v>
      </c>
      <c r="AQ125" s="47" t="str">
        <f ca="1"/>
        <v xml:space="preserve">Газовая без Ar: </v>
      </c>
      <c r="AR125" s="47" t="str">
        <f ca="1"/>
        <v xml:space="preserve">Газовая без Ar: </v>
      </c>
      <c r="AS125" s="47" t="str">
        <f ca="1"/>
        <v xml:space="preserve">Газовая без Ar: </v>
      </c>
      <c r="AT125" s="47" t="str">
        <f ca="1"/>
        <v xml:space="preserve">Газовая без Ar: </v>
      </c>
      <c r="AU125" s="47" t="str">
        <f ca="1"/>
        <v xml:space="preserve">Газовая без Ar: </v>
      </c>
      <c r="AV125" s="47" t="str">
        <f ca="1"/>
        <v xml:space="preserve">Газовая без Ar: </v>
      </c>
      <c r="AW125" s="47" t="str">
        <f ca="1"/>
        <v xml:space="preserve">Газовая без Ar: </v>
      </c>
      <c r="AX125" s="47" t="str">
        <f ca="1"/>
        <v xml:space="preserve">Газовая без Ar: </v>
      </c>
      <c r="AY125" s="47" t="str">
        <f ca="1"/>
        <v xml:space="preserve">Газовая без Ar: </v>
      </c>
      <c r="AZ125" s="47" t="str">
        <f ca="1"/>
        <v xml:space="preserve">Газовая без Ar: </v>
      </c>
      <c r="BA125" s="47" t="str">
        <f ca="1"/>
        <v xml:space="preserve">Газовая без Ar: </v>
      </c>
      <c r="BB125" s="47" t="str">
        <f ca="1"/>
        <v xml:space="preserve">Газовая без Ar: </v>
      </c>
      <c r="BC125" s="47" t="str">
        <f ca="1"/>
        <v xml:space="preserve">Газовая без Ar: </v>
      </c>
      <c r="BD125" s="47" t="str">
        <f ca="1"/>
        <v xml:space="preserve">Газовая без Ar: </v>
      </c>
      <c r="BE125" s="47" t="str">
        <f ca="1"/>
        <v xml:space="preserve">Газовая без Ar: </v>
      </c>
      <c r="BF125" s="47" t="str">
        <f ca="1"/>
        <v xml:space="preserve">Газовая без Ar: </v>
      </c>
      <c r="BG125" s="47" t="str">
        <f ca="1"/>
        <v xml:space="preserve">Газовая без Ar: </v>
      </c>
      <c r="BH125" s="47" t="str">
        <f ca="1"/>
        <v xml:space="preserve">Газовая без Ar: </v>
      </c>
      <c r="BI125" s="47" t="str">
        <f ca="1"/>
        <v xml:space="preserve">Газовая без Ar: </v>
      </c>
      <c r="BJ125" s="47" t="str">
        <f ca="1"/>
        <v xml:space="preserve">Газовая без Ar: </v>
      </c>
      <c r="BK125" s="47" t="str">
        <f ca="1"/>
        <v xml:space="preserve">Газовая без Ar: </v>
      </c>
      <c r="BL125" s="47" t="str">
        <f ca="1"/>
        <v xml:space="preserve">Газовая без Ar: </v>
      </c>
      <c r="BM125" s="47" t="str">
        <f ca="1"/>
        <v xml:space="preserve">Газовая без Ar: </v>
      </c>
      <c r="BN125" s="47" t="str">
        <f ca="1"/>
        <v xml:space="preserve">Газовая без Ar: </v>
      </c>
      <c r="BO125" s="47" t="str">
        <f ca="1"/>
        <v xml:space="preserve">Газовая без Ar: </v>
      </c>
      <c r="BP125" s="47" t="str">
        <f ca="1"/>
        <v xml:space="preserve">Газовая без Ar: </v>
      </c>
      <c r="BQ125" s="47" t="str">
        <f ca="1"/>
        <v xml:space="preserve">Газовая без Ar: </v>
      </c>
      <c r="BR125" s="47" t="str">
        <f ca="1"/>
        <v xml:space="preserve">Газовая без Ar: 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str">
        <f ca="1"/>
        <v xml:space="preserve">Раствор 1 + газовая без Ar: </v>
      </c>
      <c r="G126" s="47" t="str">
        <f ca="1"/>
        <v xml:space="preserve">Раствор 1 + газовая без Ar: </v>
      </c>
      <c r="H126" s="47" t="str">
        <f ca="1"/>
        <v xml:space="preserve">Раствор 1 + газовая без Ar: </v>
      </c>
      <c r="I126" s="47" t="str">
        <f ca="1"/>
        <v xml:space="preserve">Раствор 1 + газовая без Ar: </v>
      </c>
      <c r="J126" s="47" t="str">
        <f ca="1"/>
        <v xml:space="preserve">Раствор 1 + газовая без Ar: </v>
      </c>
      <c r="K126" s="47" t="str">
        <f ca="1"/>
        <v xml:space="preserve">Раствор 1 + газовая без Ar: </v>
      </c>
      <c r="L126" s="47" t="str">
        <f ca="1"/>
        <v xml:space="preserve">Раствор 1 + газовая без Ar: </v>
      </c>
      <c r="M126" s="47" t="str">
        <f ca="1"/>
        <v xml:space="preserve">Раствор 1 + газовая без Ar: </v>
      </c>
      <c r="N126" s="47" t="str">
        <f ca="1"/>
        <v xml:space="preserve">Раствор 1 + газовая без Ar: </v>
      </c>
      <c r="O126" s="47" t="str">
        <f ca="1"/>
        <v xml:space="preserve">Раствор 1 + газовая без Ar: </v>
      </c>
      <c r="P126" s="47" t="str">
        <f ca="1"/>
        <v xml:space="preserve">Раствор 1 + газовая без Ar: </v>
      </c>
      <c r="Q126" s="47" t="str">
        <f ca="1"/>
        <v xml:space="preserve">Раствор 1 + газовая без Ar: </v>
      </c>
      <c r="R126" s="47" t="str">
        <f ca="1"/>
        <v xml:space="preserve">Раствор 1 + газовая без Ar: </v>
      </c>
      <c r="S126" s="47" t="str">
        <f ca="1"/>
        <v xml:space="preserve">Раствор 1 + газовая без Ar: </v>
      </c>
      <c r="T126" s="47" t="str">
        <f ca="1"/>
        <v xml:space="preserve">Раствор 1 + газовая без Ar: </v>
      </c>
      <c r="U126" s="47" t="str">
        <f ca="1"/>
        <v xml:space="preserve">Раствор 1 + газовая без Ar: </v>
      </c>
      <c r="V126" s="47" t="str">
        <f ca="1"/>
        <v xml:space="preserve">Раствор 1 + газовая без Ar: </v>
      </c>
      <c r="W126" s="47" t="str">
        <f ca="1"/>
        <v xml:space="preserve">Раствор 1 + газовая без Ar: </v>
      </c>
      <c r="X126" s="47" t="str">
        <f ca="1"/>
        <v xml:space="preserve">Раствор 1 + газовая без Ar: </v>
      </c>
      <c r="Y126" s="47" t="str">
        <f ca="1"/>
        <v xml:space="preserve">Раствор 1 + газовая без Ar: </v>
      </c>
      <c r="Z126" s="47" t="str">
        <f ca="1"/>
        <v xml:space="preserve">Раствор 1 + газовая без Ar: </v>
      </c>
      <c r="AA126" s="47" t="str">
        <f ca="1"/>
        <v xml:space="preserve">Раствор 1 + газовая без Ar: </v>
      </c>
      <c r="AB126" s="47" t="str">
        <f ca="1"/>
        <v xml:space="preserve">Раствор 1 + газовая без Ar: </v>
      </c>
      <c r="AC126" s="47" t="str">
        <f ca="1"/>
        <v xml:space="preserve">Раствор 1 + газовая без Ar: </v>
      </c>
      <c r="AD126" s="47" t="str">
        <f ca="1"/>
        <v xml:space="preserve">Раствор 1 + газовая без Ar: </v>
      </c>
      <c r="AE126" s="47" t="str">
        <f ca="1"/>
        <v xml:space="preserve">Раствор 1 + газовая без Ar: </v>
      </c>
      <c r="AF126" s="47" t="str">
        <f ca="1"/>
        <v xml:space="preserve">Раствор 1 + газовая без Ar: </v>
      </c>
      <c r="AG126" s="47" t="str">
        <f ca="1"/>
        <v xml:space="preserve">Раствор 1 + газовая без Ar: </v>
      </c>
      <c r="AH126" s="47" t="str">
        <f ca="1"/>
        <v xml:space="preserve">Раствор 1 + газовая без Ar: </v>
      </c>
      <c r="AI126" s="47" t="str">
        <f ca="1"/>
        <v xml:space="preserve">Раствор 1 + газовая без Ar: </v>
      </c>
      <c r="AJ126" s="47" t="str">
        <f ca="1"/>
        <v xml:space="preserve">Раствор 1 + газовая без Ar: </v>
      </c>
      <c r="AK126" s="47" t="str">
        <f ca="1"/>
        <v xml:space="preserve">Раствор 1 + газовая без Ar: </v>
      </c>
      <c r="AL126" s="47" t="str">
        <f ca="1"/>
        <v xml:space="preserve">Раствор 1 + газовая без Ar: </v>
      </c>
      <c r="AM126" s="47" t="str">
        <f ca="1"/>
        <v xml:space="preserve">Раствор 1 + газовая без Ar: </v>
      </c>
      <c r="AN126" s="47" t="str">
        <f ca="1"/>
        <v xml:space="preserve">Раствор 1 + газовая без Ar: </v>
      </c>
      <c r="AO126" s="47" t="str">
        <f ca="1"/>
        <v xml:space="preserve">Раствор 1 + газовая без Ar: </v>
      </c>
      <c r="AP126" s="47" t="str">
        <f ca="1"/>
        <v xml:space="preserve">Раствор 1 + газовая без Ar: </v>
      </c>
      <c r="AQ126" s="47" t="str">
        <f ca="1"/>
        <v xml:space="preserve">Раствор 1 + газовая без Ar: </v>
      </c>
      <c r="AR126" s="47" t="str">
        <f ca="1"/>
        <v xml:space="preserve">Раствор 1 + газовая без Ar: </v>
      </c>
      <c r="AS126" s="47" t="str">
        <f ca="1"/>
        <v xml:space="preserve">Раствор 1 + газовая без Ar: </v>
      </c>
      <c r="AT126" s="47" t="str">
        <f ca="1"/>
        <v xml:space="preserve">Раствор 1 + газовая без Ar: </v>
      </c>
      <c r="AU126" s="47" t="str">
        <f ca="1"/>
        <v xml:space="preserve">Раствор 1 + газовая без Ar: </v>
      </c>
      <c r="AV126" s="47" t="str">
        <f ca="1"/>
        <v xml:space="preserve">Раствор 1 + газовая без Ar: </v>
      </c>
      <c r="AW126" s="47" t="str">
        <f ca="1"/>
        <v xml:space="preserve">Раствор 1 + газовая без Ar: </v>
      </c>
      <c r="AX126" s="47" t="str">
        <f ca="1"/>
        <v xml:space="preserve">Раствор 1 + газовая без Ar: </v>
      </c>
      <c r="AY126" s="47" t="str">
        <f ca="1"/>
        <v xml:space="preserve">Раствор 1 + газовая без Ar: </v>
      </c>
      <c r="AZ126" s="47" t="str">
        <f ca="1"/>
        <v xml:space="preserve">Раствор 1 + газовая без Ar: </v>
      </c>
      <c r="BA126" s="47" t="str">
        <f ca="1"/>
        <v xml:space="preserve">Раствор 1 + газовая без Ar: </v>
      </c>
      <c r="BB126" s="47" t="str">
        <f ca="1"/>
        <v xml:space="preserve">Раствор 1 + газовая без Ar: </v>
      </c>
      <c r="BC126" s="47" t="str">
        <f ca="1"/>
        <v xml:space="preserve">Раствор 1 + газовая без Ar: </v>
      </c>
      <c r="BD126" s="47" t="str">
        <f ca="1"/>
        <v xml:space="preserve">Раствор 1 + газовая без Ar: </v>
      </c>
      <c r="BE126" s="47" t="str">
        <f ca="1"/>
        <v xml:space="preserve">Раствор 1 + газовая без Ar: </v>
      </c>
      <c r="BF126" s="47" t="str">
        <f ca="1"/>
        <v xml:space="preserve">Раствор 1 + газовая без Ar: </v>
      </c>
      <c r="BG126" s="47" t="str">
        <f ca="1"/>
        <v xml:space="preserve">Раствор 1 + газовая без Ar: </v>
      </c>
      <c r="BH126" s="47" t="str">
        <f ca="1"/>
        <v xml:space="preserve">Раствор 1 + газовая без Ar: </v>
      </c>
      <c r="BI126" s="47" t="str">
        <f ca="1"/>
        <v xml:space="preserve">Раствор 1 + газовая без Ar: </v>
      </c>
      <c r="BJ126" s="47" t="str">
        <f ca="1"/>
        <v xml:space="preserve">Раствор 1 + газовая без Ar: </v>
      </c>
      <c r="BK126" s="47" t="str">
        <f ca="1"/>
        <v xml:space="preserve">Раствор 1 + газовая без Ar: </v>
      </c>
      <c r="BL126" s="47" t="str">
        <f ca="1"/>
        <v xml:space="preserve">Раствор 1 + газовая без Ar: </v>
      </c>
      <c r="BM126" s="47" t="str">
        <f ca="1"/>
        <v xml:space="preserve">Раствор 1 + газовая без Ar: </v>
      </c>
      <c r="BN126" s="47" t="str">
        <f ca="1"/>
        <v xml:space="preserve">Раствор 1 + газовая без Ar: </v>
      </c>
      <c r="BO126" s="47" t="str">
        <f ca="1"/>
        <v xml:space="preserve">Раствор 1 + газовая без Ar: </v>
      </c>
      <c r="BP126" s="47" t="str">
        <f ca="1"/>
        <v xml:space="preserve">Раствор 1 + газовая без Ar: </v>
      </c>
      <c r="BQ126" s="47" t="str">
        <f ca="1"/>
        <v xml:space="preserve">Раствор 1 + газовая без Ar: </v>
      </c>
      <c r="BR126" s="47" t="str">
        <f ca="1"/>
        <v xml:space="preserve">Раствор 1 + газовая без Ar: 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str">
        <f ca="1"/>
        <v xml:space="preserve">Раствор 3 + газовая без Ar: </v>
      </c>
      <c r="G127" s="47" t="str">
        <f ca="1"/>
        <v xml:space="preserve">Раствор 3 + газовая без Ar: </v>
      </c>
      <c r="H127" s="47" t="str">
        <f ca="1"/>
        <v xml:space="preserve">Раствор 3 + газовая без Ar: </v>
      </c>
      <c r="I127" s="47" t="str">
        <f ca="1"/>
        <v xml:space="preserve">Раствор 3 + газовая без Ar: </v>
      </c>
      <c r="J127" s="47" t="str">
        <f ca="1"/>
        <v xml:space="preserve">Раствор 3 + газовая без Ar: </v>
      </c>
      <c r="K127" s="47" t="str">
        <f ca="1"/>
        <v xml:space="preserve">Раствор 3 + газовая без Ar: </v>
      </c>
      <c r="L127" s="47" t="str">
        <f ca="1"/>
        <v xml:space="preserve">Раствор 3 + газовая без Ar: </v>
      </c>
      <c r="M127" s="47" t="str">
        <f ca="1"/>
        <v xml:space="preserve">Раствор 3 + газовая без Ar: </v>
      </c>
      <c r="N127" s="47" t="str">
        <f ca="1"/>
        <v xml:space="preserve">Раствор 3 + газовая без Ar: </v>
      </c>
      <c r="O127" s="47" t="str">
        <f ca="1"/>
        <v xml:space="preserve">Раствор 3 + газовая без Ar: </v>
      </c>
      <c r="P127" s="47" t="str">
        <f ca="1"/>
        <v xml:space="preserve">Раствор 3 + газовая без Ar: </v>
      </c>
      <c r="Q127" s="47" t="str">
        <f ca="1"/>
        <v xml:space="preserve">Раствор 3 + газовая без Ar: </v>
      </c>
      <c r="R127" s="47" t="str">
        <f ca="1"/>
        <v xml:space="preserve">Раствор 3 + газовая без Ar: </v>
      </c>
      <c r="S127" s="47" t="str">
        <f ca="1"/>
        <v xml:space="preserve">Раствор 3 + газовая без Ar: </v>
      </c>
      <c r="T127" s="47" t="str">
        <f ca="1"/>
        <v xml:space="preserve">Раствор 3 + газовая без Ar: </v>
      </c>
      <c r="U127" s="47" t="str">
        <f ca="1"/>
        <v xml:space="preserve">Раствор 3 + газовая без Ar: </v>
      </c>
      <c r="V127" s="47" t="str">
        <f ca="1"/>
        <v xml:space="preserve">Раствор 3 + газовая без Ar: </v>
      </c>
      <c r="W127" s="47" t="str">
        <f ca="1"/>
        <v xml:space="preserve">Раствор 3 + газовая без Ar: </v>
      </c>
      <c r="X127" s="47" t="str">
        <f ca="1"/>
        <v xml:space="preserve">Раствор 3 + газовая без Ar: </v>
      </c>
      <c r="Y127" s="47" t="str">
        <f ca="1"/>
        <v xml:space="preserve">Раствор 3 + газовая без Ar: </v>
      </c>
      <c r="Z127" s="47" t="str">
        <f ca="1"/>
        <v xml:space="preserve">Раствор 3 + газовая без Ar: </v>
      </c>
      <c r="AA127" s="47" t="str">
        <f ca="1"/>
        <v xml:space="preserve">Раствор 3 + газовая без Ar: </v>
      </c>
      <c r="AB127" s="47" t="str">
        <f ca="1"/>
        <v xml:space="preserve">Раствор 3 + газовая без Ar: </v>
      </c>
      <c r="AC127" s="47" t="str">
        <f ca="1"/>
        <v xml:space="preserve">Раствор 3 + газовая без Ar: </v>
      </c>
      <c r="AD127" s="47" t="str">
        <f ca="1"/>
        <v xml:space="preserve">Раствор 3 + газовая без Ar: </v>
      </c>
      <c r="AE127" s="47" t="str">
        <f ca="1"/>
        <v xml:space="preserve">Раствор 3 + газовая без Ar: </v>
      </c>
      <c r="AF127" s="47" t="str">
        <f ca="1"/>
        <v xml:space="preserve">Раствор 3 + газовая без Ar: </v>
      </c>
      <c r="AG127" s="47" t="str">
        <f ca="1"/>
        <v xml:space="preserve">Раствор 3 + газовая без Ar: </v>
      </c>
      <c r="AH127" s="47" t="str">
        <f ca="1"/>
        <v xml:space="preserve">Раствор 3 + газовая без Ar: </v>
      </c>
      <c r="AI127" s="47" t="str">
        <f ca="1"/>
        <v xml:space="preserve">Раствор 3 + газовая без Ar: </v>
      </c>
      <c r="AJ127" s="47" t="str">
        <f ca="1"/>
        <v xml:space="preserve">Раствор 3 + газовая без Ar: </v>
      </c>
      <c r="AK127" s="47" t="str">
        <f ca="1"/>
        <v xml:space="preserve">Раствор 3 + газовая без Ar: </v>
      </c>
      <c r="AL127" s="47" t="str">
        <f ca="1"/>
        <v xml:space="preserve">Раствор 3 + газовая без Ar: </v>
      </c>
      <c r="AM127" s="47" t="str">
        <f ca="1"/>
        <v xml:space="preserve">Раствор 3 + газовая без Ar: </v>
      </c>
      <c r="AN127" s="47" t="str">
        <f ca="1"/>
        <v xml:space="preserve">Раствор 3 + газовая без Ar: </v>
      </c>
      <c r="AO127" s="47" t="str">
        <f ca="1"/>
        <v xml:space="preserve">Раствор 3 + газовая без Ar: </v>
      </c>
      <c r="AP127" s="47" t="str">
        <f ca="1"/>
        <v xml:space="preserve">Раствор 3 + газовая без Ar: </v>
      </c>
      <c r="AQ127" s="47" t="str">
        <f ca="1"/>
        <v xml:space="preserve">Раствор 3 + газовая без Ar: </v>
      </c>
      <c r="AR127" s="47" t="str">
        <f ca="1"/>
        <v xml:space="preserve">Раствор 3 + газовая без Ar: </v>
      </c>
      <c r="AS127" s="47" t="str">
        <f ca="1"/>
        <v xml:space="preserve">Раствор 3 + газовая без Ar: </v>
      </c>
      <c r="AT127" s="47" t="str">
        <f ca="1"/>
        <v xml:space="preserve">Раствор 3 + газовая без Ar: </v>
      </c>
      <c r="AU127" s="47" t="str">
        <f ca="1"/>
        <v xml:space="preserve">Раствор 3 + газовая без Ar: </v>
      </c>
      <c r="AV127" s="47" t="str">
        <f ca="1"/>
        <v xml:space="preserve">Раствор 3 + газовая без Ar: </v>
      </c>
      <c r="AW127" s="47" t="str">
        <f ca="1"/>
        <v xml:space="preserve">Раствор 3 + газовая без Ar: </v>
      </c>
      <c r="AX127" s="47" t="str">
        <f ca="1"/>
        <v xml:space="preserve">Раствор 3 + газовая без Ar: </v>
      </c>
      <c r="AY127" s="47" t="str">
        <f ca="1"/>
        <v xml:space="preserve">Раствор 3 + газовая без Ar: </v>
      </c>
      <c r="AZ127" s="47" t="str">
        <f ca="1"/>
        <v xml:space="preserve">Раствор 3 + газовая без Ar: </v>
      </c>
      <c r="BA127" s="47" t="str">
        <f ca="1"/>
        <v xml:space="preserve">Раствор 3 + газовая без Ar: </v>
      </c>
      <c r="BB127" s="47" t="str">
        <f ca="1"/>
        <v xml:space="preserve">Раствор 3 + газовая без Ar: </v>
      </c>
      <c r="BC127" s="47" t="str">
        <f ca="1"/>
        <v xml:space="preserve">Раствор 3 + газовая без Ar: </v>
      </c>
      <c r="BD127" s="47" t="str">
        <f ca="1"/>
        <v xml:space="preserve">Раствор 3 + газовая без Ar: </v>
      </c>
      <c r="BE127" s="47" t="str">
        <f ca="1"/>
        <v xml:space="preserve">Раствор 3 + газовая без Ar: </v>
      </c>
      <c r="BF127" s="47" t="str">
        <f ca="1"/>
        <v xml:space="preserve">Раствор 3 + газовая без Ar: </v>
      </c>
      <c r="BG127" s="47" t="str">
        <f ca="1"/>
        <v xml:space="preserve">Раствор 3 + газовая без Ar: </v>
      </c>
      <c r="BH127" s="47" t="str">
        <f ca="1"/>
        <v xml:space="preserve">Раствор 3 + газовая без Ar: </v>
      </c>
      <c r="BI127" s="47" t="str">
        <f ca="1"/>
        <v xml:space="preserve">Раствор 3 + газовая без Ar: </v>
      </c>
      <c r="BJ127" s="47" t="str">
        <f ca="1"/>
        <v xml:space="preserve">Раствор 3 + газовая без Ar: </v>
      </c>
      <c r="BK127" s="47" t="str">
        <f ca="1"/>
        <v xml:space="preserve">Раствор 3 + газовая без Ar: </v>
      </c>
      <c r="BL127" s="47" t="str">
        <f ca="1"/>
        <v xml:space="preserve">Раствор 3 + газовая без Ar: </v>
      </c>
      <c r="BM127" s="47" t="str">
        <f ca="1"/>
        <v xml:space="preserve">Раствор 3 + газовая без Ar: </v>
      </c>
      <c r="BN127" s="47" t="str">
        <f ca="1"/>
        <v xml:space="preserve">Раствор 3 + газовая без Ar: </v>
      </c>
      <c r="BO127" s="47" t="str">
        <f ca="1"/>
        <v xml:space="preserve">Раствор 3 + газовая без Ar: </v>
      </c>
      <c r="BP127" s="47" t="str">
        <f ca="1"/>
        <v xml:space="preserve">Раствор 3 + газовая без Ar: </v>
      </c>
      <c r="BQ127" s="47" t="str">
        <f ca="1"/>
        <v xml:space="preserve">Раствор 3 + газовая без Ar: </v>
      </c>
      <c r="BR127" s="47" t="str">
        <f ca="1"/>
        <v xml:space="preserve">Раствор 3 + газовая без Ar: </v>
      </c>
    </row>
    <row r="128" spans="1:71" ht="21" hidden="1" customHeight="1" outlineLevel="1" thickBot="1" x14ac:dyDescent="0.4">
      <c r="E128" s="17" t="str">
        <f ca="1"/>
        <v>Р1+Р3+газ без Ar</v>
      </c>
      <c r="F128" s="47" t="str">
        <f ca="1"/>
        <v>Р1+Р3+газ без Ar</v>
      </c>
      <c r="G128" s="47" t="str">
        <f ca="1"/>
        <v>Р1+Р3+газ без Ar</v>
      </c>
      <c r="H128" s="47" t="str">
        <f ca="1"/>
        <v>Р1+Р3+газ без Ar</v>
      </c>
      <c r="I128" s="47" t="str">
        <f ca="1"/>
        <v>Р1+Р3+газ без Ar</v>
      </c>
      <c r="J128" s="47" t="str">
        <f ca="1"/>
        <v>Р1+Р3+газ без Ar</v>
      </c>
      <c r="K128" s="47" t="str">
        <f ca="1"/>
        <v>Р1+Р3+газ без Ar</v>
      </c>
      <c r="L128" s="47" t="str">
        <f ca="1"/>
        <v>Р1+Р3+газ без Ar</v>
      </c>
      <c r="M128" s="47" t="str">
        <f ca="1"/>
        <v>Р1+Р3+газ без Ar</v>
      </c>
      <c r="N128" s="47" t="str">
        <f ca="1"/>
        <v>Р1+Р3+газ без Ar</v>
      </c>
      <c r="O128" s="47" t="str">
        <f ca="1"/>
        <v>Р1+Р3+газ без Ar</v>
      </c>
      <c r="P128" s="47" t="str">
        <f ca="1"/>
        <v>Р1+Р3+газ без Ar</v>
      </c>
      <c r="Q128" s="47" t="str">
        <f ca="1"/>
        <v>Р1+Р3+газ без Ar</v>
      </c>
      <c r="R128" s="47" t="str">
        <f ca="1"/>
        <v>Р1+Р3+газ без Ar</v>
      </c>
      <c r="S128" s="47" t="str">
        <f ca="1"/>
        <v>Р1+Р3+газ без Ar</v>
      </c>
      <c r="T128" s="47" t="str">
        <f ca="1"/>
        <v>Р1+Р3+газ без Ar</v>
      </c>
      <c r="U128" s="47" t="str">
        <f ca="1"/>
        <v>Р1+Р3+газ без Ar</v>
      </c>
      <c r="V128" s="47" t="str">
        <f ca="1"/>
        <v>Р1+Р3+газ без Ar</v>
      </c>
      <c r="W128" s="47" t="str">
        <f ca="1"/>
        <v>Р1+Р3+газ без Ar</v>
      </c>
      <c r="X128" s="47" t="str">
        <f ca="1"/>
        <v>Р1+Р3+газ без Ar</v>
      </c>
      <c r="Y128" s="47" t="str">
        <f ca="1"/>
        <v>Р1+Р3+газ без Ar</v>
      </c>
      <c r="Z128" s="47" t="str">
        <f ca="1"/>
        <v>Р1+Р3+газ без Ar</v>
      </c>
      <c r="AA128" s="47" t="str">
        <f ca="1"/>
        <v>Р1+Р3+газ без Ar</v>
      </c>
      <c r="AB128" s="47" t="str">
        <f ca="1"/>
        <v>Р1+Р3+газ без Ar</v>
      </c>
      <c r="AC128" s="47" t="str">
        <f ca="1"/>
        <v>Р1+Р3+газ без Ar</v>
      </c>
      <c r="AD128" s="47" t="str">
        <f ca="1"/>
        <v>Р1+Р3+газ без Ar</v>
      </c>
      <c r="AE128" s="47" t="str">
        <f ca="1"/>
        <v>Р1+Р3+газ без Ar</v>
      </c>
      <c r="AF128" s="47" t="str">
        <f ca="1"/>
        <v>Р1+Р3+газ без Ar</v>
      </c>
      <c r="AG128" s="47" t="str">
        <f ca="1"/>
        <v>Р1+Р3+газ без Ar</v>
      </c>
      <c r="AH128" s="47" t="str">
        <f ca="1"/>
        <v>Р1+Р3+газ без Ar</v>
      </c>
      <c r="AI128" s="47" t="str">
        <f ca="1"/>
        <v>Р1+Р3+газ без Ar</v>
      </c>
      <c r="AJ128" s="47" t="str">
        <f ca="1"/>
        <v>Р1+Р3+газ без Ar</v>
      </c>
      <c r="AK128" s="47" t="str">
        <f ca="1"/>
        <v>Р1+Р3+газ без Ar</v>
      </c>
      <c r="AL128" s="47" t="str">
        <f ca="1"/>
        <v>Р1+Р3+газ без Ar</v>
      </c>
      <c r="AM128" s="47" t="str">
        <f ca="1"/>
        <v>Р1+Р3+газ без Ar</v>
      </c>
      <c r="AN128" s="47" t="str">
        <f ca="1"/>
        <v>Р1+Р3+газ без Ar</v>
      </c>
      <c r="AO128" s="47" t="str">
        <f ca="1"/>
        <v>Р1+Р3+газ без Ar</v>
      </c>
      <c r="AP128" s="47" t="str">
        <f ca="1"/>
        <v>Р1+Р3+газ без Ar</v>
      </c>
      <c r="AQ128" s="47" t="str">
        <f ca="1"/>
        <v>Р1+Р3+газ без Ar</v>
      </c>
      <c r="AR128" s="47" t="str">
        <f ca="1"/>
        <v>Р1+Р3+газ без Ar</v>
      </c>
      <c r="AS128" s="47" t="str">
        <f ca="1"/>
        <v>Р1+Р3+газ без Ar</v>
      </c>
      <c r="AT128" s="47" t="str">
        <f ca="1"/>
        <v>Р1+Р3+газ без Ar</v>
      </c>
      <c r="AU128" s="47" t="str">
        <f ca="1"/>
        <v>Р1+Р3+газ без Ar</v>
      </c>
      <c r="AV128" s="47" t="str">
        <f ca="1"/>
        <v>Р1+Р3+газ без Ar</v>
      </c>
      <c r="AW128" s="47" t="str">
        <f ca="1"/>
        <v>Р1+Р3+газ без Ar</v>
      </c>
      <c r="AX128" s="47" t="str">
        <f ca="1"/>
        <v>Р1+Р3+газ без Ar</v>
      </c>
      <c r="AY128" s="47" t="str">
        <f ca="1"/>
        <v>Р1+Р3+газ без Ar</v>
      </c>
      <c r="AZ128" s="47" t="str">
        <f ca="1"/>
        <v>Р1+Р3+газ без Ar</v>
      </c>
      <c r="BA128" s="47" t="str">
        <f ca="1"/>
        <v>Р1+Р3+газ без Ar</v>
      </c>
      <c r="BB128" s="47" t="str">
        <f ca="1"/>
        <v>Р1+Р3+газ без Ar</v>
      </c>
      <c r="BC128" s="47" t="str">
        <f ca="1"/>
        <v>Р1+Р3+газ без Ar</v>
      </c>
      <c r="BD128" s="47" t="str">
        <f ca="1"/>
        <v>Р1+Р3+газ без Ar</v>
      </c>
      <c r="BE128" s="47" t="str">
        <f ca="1"/>
        <v>Р1+Р3+газ без Ar</v>
      </c>
      <c r="BF128" s="47" t="str">
        <f ca="1"/>
        <v>Р1+Р3+газ без Ar</v>
      </c>
      <c r="BG128" s="47" t="str">
        <f ca="1"/>
        <v>Р1+Р3+газ без Ar</v>
      </c>
      <c r="BH128" s="47" t="str">
        <f ca="1"/>
        <v>Р1+Р3+газ без Ar</v>
      </c>
      <c r="BI128" s="47" t="str">
        <f ca="1"/>
        <v>Р1+Р3+газ без Ar</v>
      </c>
      <c r="BJ128" s="47" t="str">
        <f ca="1"/>
        <v>Р1+Р3+газ без Ar</v>
      </c>
      <c r="BK128" s="47" t="str">
        <f ca="1"/>
        <v>Р1+Р3+газ без Ar</v>
      </c>
      <c r="BL128" s="47" t="str">
        <f ca="1"/>
        <v>Р1+Р3+газ без Ar</v>
      </c>
      <c r="BM128" s="47" t="str">
        <f ca="1"/>
        <v>Р1+Р3+газ без Ar</v>
      </c>
      <c r="BN128" s="47" t="str">
        <f ca="1"/>
        <v>Р1+Р3+газ без Ar</v>
      </c>
      <c r="BO128" s="47" t="str">
        <f ca="1"/>
        <v>Р1+Р3+газ без Ar</v>
      </c>
      <c r="BP128" s="47" t="str">
        <f ca="1"/>
        <v>Р1+Р3+газ без Ar</v>
      </c>
      <c r="BQ128" s="47" t="str">
        <f ca="1"/>
        <v>Р1+Р3+газ без Ar</v>
      </c>
      <c r="BR128" s="47" t="str">
        <f ca="1"/>
        <v>Р1+Р3+газ без Ar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B44"/>
  <sheetViews>
    <sheetView topLeftCell="A19" zoomScaleNormal="100" workbookViewId="0">
      <selection activeCell="Q23" sqref="Q23:Y43"/>
    </sheetView>
  </sheetViews>
  <sheetFormatPr defaultRowHeight="21" x14ac:dyDescent="0.35"/>
  <sheetData>
    <row r="1" spans="1:25" x14ac:dyDescent="0.35">
      <c r="A1" s="116"/>
      <c r="B1" s="129" t="s">
        <v>67</v>
      </c>
      <c r="C1" s="130" t="s">
        <v>137</v>
      </c>
      <c r="D1" s="131" t="s">
        <v>149</v>
      </c>
      <c r="E1" s="144" t="s">
        <v>158</v>
      </c>
      <c r="F1" s="130" t="s">
        <v>72</v>
      </c>
      <c r="G1" s="131" t="s">
        <v>73</v>
      </c>
      <c r="H1" s="144" t="s">
        <v>74</v>
      </c>
      <c r="I1" s="130" t="s">
        <v>75</v>
      </c>
      <c r="J1" s="131" t="s">
        <v>76</v>
      </c>
      <c r="K1" s="144" t="s">
        <v>77</v>
      </c>
      <c r="L1" s="130" t="s">
        <v>78</v>
      </c>
      <c r="M1" s="131" t="s">
        <v>79</v>
      </c>
      <c r="N1" s="144" t="s">
        <v>80</v>
      </c>
      <c r="O1" s="130" t="s">
        <v>81</v>
      </c>
      <c r="P1" s="131" t="s">
        <v>82</v>
      </c>
      <c r="Q1" s="144" t="s">
        <v>83</v>
      </c>
      <c r="R1" s="130" t="s">
        <v>116</v>
      </c>
      <c r="S1" s="131" t="s">
        <v>117</v>
      </c>
      <c r="T1" s="150" t="s">
        <v>118</v>
      </c>
      <c r="U1" s="139" t="s">
        <v>84</v>
      </c>
      <c r="V1" s="146" t="s">
        <v>85</v>
      </c>
      <c r="W1" s="148" t="s">
        <v>86</v>
      </c>
      <c r="X1" s="130" t="s">
        <v>87</v>
      </c>
      <c r="Y1" s="131" t="s">
        <v>88</v>
      </c>
    </row>
    <row r="2" spans="1:25" x14ac:dyDescent="0.35">
      <c r="A2" s="107" t="s">
        <v>125</v>
      </c>
      <c r="B2" s="132" t="s">
        <v>114</v>
      </c>
      <c r="C2" s="133" t="s">
        <v>114</v>
      </c>
      <c r="D2" s="134" t="s">
        <v>114</v>
      </c>
      <c r="E2" s="132" t="s">
        <v>114</v>
      </c>
      <c r="F2" s="133" t="s">
        <v>114</v>
      </c>
      <c r="G2" s="134" t="s">
        <v>114</v>
      </c>
      <c r="H2" s="132" t="s">
        <v>114</v>
      </c>
      <c r="I2" s="133" t="s">
        <v>114</v>
      </c>
      <c r="J2" s="134" t="s">
        <v>114</v>
      </c>
      <c r="K2" s="147" t="s">
        <v>114</v>
      </c>
      <c r="L2" s="133" t="s">
        <v>114</v>
      </c>
      <c r="M2" s="134" t="s">
        <v>114</v>
      </c>
      <c r="N2" s="132" t="s">
        <v>114</v>
      </c>
      <c r="O2" s="133" t="s">
        <v>114</v>
      </c>
      <c r="P2" s="134" t="s">
        <v>114</v>
      </c>
      <c r="Q2" s="147" t="s">
        <v>114</v>
      </c>
      <c r="R2" s="133" t="s">
        <v>114</v>
      </c>
      <c r="S2" s="134" t="s">
        <v>114</v>
      </c>
      <c r="T2" s="132" t="s">
        <v>114</v>
      </c>
      <c r="U2" s="133" t="s">
        <v>114</v>
      </c>
      <c r="V2" s="134" t="s">
        <v>114</v>
      </c>
      <c r="W2" s="147" t="s">
        <v>114</v>
      </c>
      <c r="X2" s="149" t="s">
        <v>114</v>
      </c>
      <c r="Y2" s="134" t="s">
        <v>114</v>
      </c>
    </row>
    <row r="3" spans="1:25" x14ac:dyDescent="0.35">
      <c r="A3" s="107" t="s">
        <v>70</v>
      </c>
      <c r="B3" s="135" t="s">
        <v>128</v>
      </c>
      <c r="C3" s="136" t="s">
        <v>138</v>
      </c>
      <c r="D3" s="137" t="s">
        <v>128</v>
      </c>
      <c r="E3" s="135" t="s">
        <v>128</v>
      </c>
      <c r="F3" s="136" t="s">
        <v>128</v>
      </c>
      <c r="G3" s="145" t="s">
        <v>138</v>
      </c>
      <c r="H3" s="135" t="s">
        <v>138</v>
      </c>
      <c r="I3" s="136" t="s">
        <v>128</v>
      </c>
      <c r="J3" s="145" t="s">
        <v>138</v>
      </c>
      <c r="K3" s="135" t="s">
        <v>138</v>
      </c>
      <c r="L3" s="136" t="s">
        <v>253</v>
      </c>
      <c r="M3" s="137" t="s">
        <v>271</v>
      </c>
      <c r="N3" s="135" t="s">
        <v>289</v>
      </c>
      <c r="O3" s="136" t="s">
        <v>307</v>
      </c>
      <c r="P3" s="145" t="s">
        <v>325</v>
      </c>
      <c r="Q3" s="135" t="s">
        <v>138</v>
      </c>
      <c r="R3" s="136" t="s">
        <v>128</v>
      </c>
      <c r="S3" s="137" t="s">
        <v>138</v>
      </c>
      <c r="T3" s="135" t="s">
        <v>138</v>
      </c>
      <c r="U3" s="136" t="s">
        <v>128</v>
      </c>
      <c r="V3" s="137" t="s">
        <v>477</v>
      </c>
      <c r="W3" s="135" t="s">
        <v>394</v>
      </c>
      <c r="X3" s="136" t="s">
        <v>411</v>
      </c>
      <c r="Y3" s="137" t="s">
        <v>428</v>
      </c>
    </row>
    <row r="4" spans="1:25" x14ac:dyDescent="0.35">
      <c r="A4" s="107" t="s">
        <v>61</v>
      </c>
      <c r="B4" s="138" t="s">
        <v>129</v>
      </c>
      <c r="C4" s="139" t="s">
        <v>139</v>
      </c>
      <c r="D4" s="140" t="s">
        <v>150</v>
      </c>
      <c r="E4" s="142" t="s">
        <v>159</v>
      </c>
      <c r="F4" s="130" t="s">
        <v>167</v>
      </c>
      <c r="G4" s="131" t="s">
        <v>175</v>
      </c>
      <c r="H4" s="138" t="s">
        <v>185</v>
      </c>
      <c r="I4" s="139" t="s">
        <v>202</v>
      </c>
      <c r="J4" s="146" t="s">
        <v>219</v>
      </c>
      <c r="K4" s="138" t="s">
        <v>236</v>
      </c>
      <c r="L4" s="139" t="s">
        <v>254</v>
      </c>
      <c r="M4" s="140" t="s">
        <v>272</v>
      </c>
      <c r="N4" s="142" t="s">
        <v>290</v>
      </c>
      <c r="O4" s="130" t="s">
        <v>308</v>
      </c>
      <c r="P4" s="131" t="s">
        <v>326</v>
      </c>
      <c r="Q4" s="142" t="s">
        <v>343</v>
      </c>
      <c r="R4" s="130" t="s">
        <v>360</v>
      </c>
      <c r="S4" s="143" t="s">
        <v>377</v>
      </c>
      <c r="T4" s="138" t="s">
        <v>445</v>
      </c>
      <c r="U4" s="139" t="s">
        <v>461</v>
      </c>
      <c r="V4" s="140" t="s">
        <v>478</v>
      </c>
      <c r="W4" s="138" t="s">
        <v>395</v>
      </c>
      <c r="X4" s="139" t="s">
        <v>412</v>
      </c>
      <c r="Y4" s="140" t="s">
        <v>429</v>
      </c>
    </row>
    <row r="5" spans="1:25" x14ac:dyDescent="0.35">
      <c r="A5" s="128"/>
      <c r="B5" s="138" t="s">
        <v>128</v>
      </c>
      <c r="C5" s="139" t="s">
        <v>128</v>
      </c>
      <c r="D5" s="140" t="s">
        <v>128</v>
      </c>
      <c r="E5" s="138" t="s">
        <v>128</v>
      </c>
      <c r="F5" s="139" t="s">
        <v>128</v>
      </c>
      <c r="G5" s="146" t="s">
        <v>138</v>
      </c>
      <c r="H5" s="138" t="s">
        <v>186</v>
      </c>
      <c r="I5" s="139" t="s">
        <v>203</v>
      </c>
      <c r="J5" s="146" t="s">
        <v>220</v>
      </c>
      <c r="K5" s="138" t="s">
        <v>237</v>
      </c>
      <c r="L5" s="139" t="s">
        <v>255</v>
      </c>
      <c r="M5" s="140" t="s">
        <v>273</v>
      </c>
      <c r="N5" s="138" t="s">
        <v>291</v>
      </c>
      <c r="O5" s="139" t="s">
        <v>309</v>
      </c>
      <c r="P5" s="146" t="s">
        <v>327</v>
      </c>
      <c r="Q5" s="138" t="s">
        <v>344</v>
      </c>
      <c r="R5" s="141" t="s">
        <v>361</v>
      </c>
      <c r="S5" s="140" t="s">
        <v>378</v>
      </c>
      <c r="T5" s="138" t="s">
        <v>446</v>
      </c>
      <c r="U5" s="139" t="s">
        <v>462</v>
      </c>
      <c r="V5" s="140" t="s">
        <v>479</v>
      </c>
      <c r="W5" s="138" t="s">
        <v>396</v>
      </c>
      <c r="X5" s="139" t="s">
        <v>413</v>
      </c>
      <c r="Y5" s="140" t="s">
        <v>430</v>
      </c>
    </row>
    <row r="6" spans="1:25" x14ac:dyDescent="0.35">
      <c r="A6" s="107" t="s">
        <v>65</v>
      </c>
      <c r="B6" s="138" t="s">
        <v>128</v>
      </c>
      <c r="C6" s="139" t="s">
        <v>128</v>
      </c>
      <c r="D6" s="140" t="s">
        <v>128</v>
      </c>
      <c r="E6" s="138" t="s">
        <v>128</v>
      </c>
      <c r="F6" s="139" t="s">
        <v>128</v>
      </c>
      <c r="G6" s="146" t="s">
        <v>138</v>
      </c>
      <c r="H6" s="138" t="s">
        <v>187</v>
      </c>
      <c r="I6" s="139" t="s">
        <v>204</v>
      </c>
      <c r="J6" s="146" t="s">
        <v>221</v>
      </c>
      <c r="K6" s="138" t="s">
        <v>238</v>
      </c>
      <c r="L6" s="139" t="s">
        <v>256</v>
      </c>
      <c r="M6" s="140" t="s">
        <v>274</v>
      </c>
      <c r="N6" s="138" t="s">
        <v>292</v>
      </c>
      <c r="O6" s="139" t="s">
        <v>310</v>
      </c>
      <c r="P6" s="146" t="s">
        <v>328</v>
      </c>
      <c r="Q6" s="138" t="s">
        <v>345</v>
      </c>
      <c r="R6" s="139" t="s">
        <v>362</v>
      </c>
      <c r="S6" s="140" t="s">
        <v>379</v>
      </c>
      <c r="T6" s="138" t="s">
        <v>447</v>
      </c>
      <c r="U6" s="139" t="s">
        <v>463</v>
      </c>
      <c r="V6" s="140" t="s">
        <v>480</v>
      </c>
      <c r="W6" s="138" t="s">
        <v>397</v>
      </c>
      <c r="X6" s="139" t="s">
        <v>414</v>
      </c>
      <c r="Y6" s="140" t="s">
        <v>431</v>
      </c>
    </row>
    <row r="7" spans="1:25" x14ac:dyDescent="0.35">
      <c r="A7" s="107" t="s">
        <v>127</v>
      </c>
      <c r="B7" s="138" t="s">
        <v>128</v>
      </c>
      <c r="C7" s="139" t="s">
        <v>128</v>
      </c>
      <c r="D7" s="140" t="s">
        <v>128</v>
      </c>
      <c r="E7" s="138" t="s">
        <v>128</v>
      </c>
      <c r="F7" s="139" t="s">
        <v>128</v>
      </c>
      <c r="G7" s="146" t="s">
        <v>138</v>
      </c>
      <c r="H7" s="138" t="s">
        <v>188</v>
      </c>
      <c r="I7" s="139" t="s">
        <v>205</v>
      </c>
      <c r="J7" s="146" t="s">
        <v>222</v>
      </c>
      <c r="K7" s="138" t="s">
        <v>239</v>
      </c>
      <c r="L7" s="139" t="s">
        <v>257</v>
      </c>
      <c r="M7" s="140" t="s">
        <v>275</v>
      </c>
      <c r="N7" s="138" t="s">
        <v>293</v>
      </c>
      <c r="O7" s="139" t="s">
        <v>311</v>
      </c>
      <c r="P7" s="146" t="s">
        <v>329</v>
      </c>
      <c r="Q7" s="142" t="s">
        <v>346</v>
      </c>
      <c r="R7" s="130" t="s">
        <v>363</v>
      </c>
      <c r="S7" s="143" t="s">
        <v>380</v>
      </c>
      <c r="T7" s="138" t="s">
        <v>448</v>
      </c>
      <c r="U7" s="139" t="s">
        <v>464</v>
      </c>
      <c r="V7" s="140" t="s">
        <v>481</v>
      </c>
      <c r="W7" s="138" t="s">
        <v>398</v>
      </c>
      <c r="X7" s="139" t="s">
        <v>415</v>
      </c>
      <c r="Y7" s="140" t="s">
        <v>432</v>
      </c>
    </row>
    <row r="8" spans="1:25" x14ac:dyDescent="0.35">
      <c r="A8" s="107" t="s">
        <v>71</v>
      </c>
      <c r="B8" s="138" t="s">
        <v>128</v>
      </c>
      <c r="C8" s="139" t="s">
        <v>128</v>
      </c>
      <c r="D8" s="140" t="s">
        <v>128</v>
      </c>
      <c r="E8" s="138" t="s">
        <v>128</v>
      </c>
      <c r="F8" s="139" t="s">
        <v>128</v>
      </c>
      <c r="G8" s="146" t="s">
        <v>138</v>
      </c>
      <c r="H8" s="138" t="s">
        <v>189</v>
      </c>
      <c r="I8" s="139" t="s">
        <v>206</v>
      </c>
      <c r="J8" s="146" t="s">
        <v>223</v>
      </c>
      <c r="K8" s="138" t="s">
        <v>240</v>
      </c>
      <c r="L8" s="139" t="s">
        <v>258</v>
      </c>
      <c r="M8" s="140" t="s">
        <v>276</v>
      </c>
      <c r="N8" s="138" t="s">
        <v>294</v>
      </c>
      <c r="O8" s="139" t="s">
        <v>312</v>
      </c>
      <c r="P8" s="146" t="s">
        <v>330</v>
      </c>
      <c r="Q8" s="138" t="s">
        <v>347</v>
      </c>
      <c r="R8" s="139" t="s">
        <v>364</v>
      </c>
      <c r="S8" s="140" t="s">
        <v>381</v>
      </c>
      <c r="T8" s="138" t="s">
        <v>449</v>
      </c>
      <c r="U8" s="139" t="s">
        <v>465</v>
      </c>
      <c r="V8" s="140" t="s">
        <v>482</v>
      </c>
      <c r="W8" s="138" t="s">
        <v>399</v>
      </c>
      <c r="X8" s="139" t="s">
        <v>416</v>
      </c>
      <c r="Y8" s="140" t="s">
        <v>433</v>
      </c>
    </row>
    <row r="9" spans="1:25" x14ac:dyDescent="0.35">
      <c r="A9" s="107" t="s">
        <v>55</v>
      </c>
      <c r="B9" s="138" t="s">
        <v>128</v>
      </c>
      <c r="C9" s="139" t="s">
        <v>128</v>
      </c>
      <c r="D9" s="140" t="s">
        <v>128</v>
      </c>
      <c r="E9" s="138" t="s">
        <v>128</v>
      </c>
      <c r="F9" s="139" t="s">
        <v>128</v>
      </c>
      <c r="G9" s="146" t="s">
        <v>138</v>
      </c>
      <c r="H9" s="138" t="s">
        <v>190</v>
      </c>
      <c r="I9" s="139" t="s">
        <v>207</v>
      </c>
      <c r="J9" s="146" t="s">
        <v>224</v>
      </c>
      <c r="K9" s="138" t="s">
        <v>241</v>
      </c>
      <c r="L9" s="139" t="s">
        <v>259</v>
      </c>
      <c r="M9" s="140" t="s">
        <v>277</v>
      </c>
      <c r="N9" s="138" t="s">
        <v>295</v>
      </c>
      <c r="O9" s="139" t="s">
        <v>313</v>
      </c>
      <c r="P9" s="146" t="s">
        <v>331</v>
      </c>
      <c r="Q9" s="142" t="s">
        <v>348</v>
      </c>
      <c r="R9" s="130" t="s">
        <v>365</v>
      </c>
      <c r="S9" s="143" t="s">
        <v>382</v>
      </c>
      <c r="T9" s="138" t="s">
        <v>450</v>
      </c>
      <c r="U9" s="139" t="s">
        <v>466</v>
      </c>
      <c r="V9" s="140" t="s">
        <v>483</v>
      </c>
      <c r="W9" s="138" t="s">
        <v>400</v>
      </c>
      <c r="X9" s="139" t="s">
        <v>417</v>
      </c>
      <c r="Y9" s="140" t="s">
        <v>434</v>
      </c>
    </row>
    <row r="10" spans="1:25" x14ac:dyDescent="0.35">
      <c r="A10" s="128"/>
      <c r="B10" s="138" t="s">
        <v>128</v>
      </c>
      <c r="C10" s="139" t="s">
        <v>128</v>
      </c>
      <c r="D10" s="140" t="s">
        <v>128</v>
      </c>
      <c r="E10" s="138" t="s">
        <v>128</v>
      </c>
      <c r="F10" s="139" t="s">
        <v>128</v>
      </c>
      <c r="G10" s="146" t="s">
        <v>176</v>
      </c>
      <c r="H10" s="138" t="s">
        <v>191</v>
      </c>
      <c r="I10" s="139" t="s">
        <v>208</v>
      </c>
      <c r="J10" s="146" t="s">
        <v>225</v>
      </c>
      <c r="K10" s="138" t="s">
        <v>242</v>
      </c>
      <c r="L10" s="139" t="s">
        <v>260</v>
      </c>
      <c r="M10" s="140" t="s">
        <v>278</v>
      </c>
      <c r="N10" s="138" t="s">
        <v>296</v>
      </c>
      <c r="O10" s="139" t="s">
        <v>314</v>
      </c>
      <c r="P10" s="146" t="s">
        <v>332</v>
      </c>
      <c r="Q10" s="142" t="s">
        <v>349</v>
      </c>
      <c r="R10" s="130" t="s">
        <v>366</v>
      </c>
      <c r="S10" s="143" t="s">
        <v>383</v>
      </c>
      <c r="T10" s="138" t="s">
        <v>451</v>
      </c>
      <c r="U10" s="139" t="s">
        <v>467</v>
      </c>
      <c r="V10" s="140" t="s">
        <v>484</v>
      </c>
      <c r="W10" s="138" t="s">
        <v>401</v>
      </c>
      <c r="X10" s="139" t="s">
        <v>418</v>
      </c>
      <c r="Y10" s="140" t="s">
        <v>435</v>
      </c>
    </row>
    <row r="11" spans="1:25" x14ac:dyDescent="0.35">
      <c r="A11" s="107" t="s">
        <v>54</v>
      </c>
      <c r="B11" s="138" t="s">
        <v>128</v>
      </c>
      <c r="C11" s="139" t="s">
        <v>140</v>
      </c>
      <c r="D11" s="140" t="s">
        <v>151</v>
      </c>
      <c r="E11" s="138" t="s">
        <v>160</v>
      </c>
      <c r="F11" s="139" t="s">
        <v>168</v>
      </c>
      <c r="G11" s="146" t="s">
        <v>177</v>
      </c>
      <c r="H11" s="138" t="s">
        <v>192</v>
      </c>
      <c r="I11" s="139" t="s">
        <v>209</v>
      </c>
      <c r="J11" s="146" t="s">
        <v>226</v>
      </c>
      <c r="K11" s="142" t="s">
        <v>243</v>
      </c>
      <c r="L11" s="130" t="s">
        <v>261</v>
      </c>
      <c r="M11" s="143" t="s">
        <v>279</v>
      </c>
      <c r="N11" s="138" t="s">
        <v>297</v>
      </c>
      <c r="O11" s="141" t="s">
        <v>315</v>
      </c>
      <c r="P11" s="146" t="s">
        <v>333</v>
      </c>
      <c r="Q11" s="138" t="s">
        <v>350</v>
      </c>
      <c r="R11" s="139" t="s">
        <v>367</v>
      </c>
      <c r="S11" s="140" t="s">
        <v>384</v>
      </c>
      <c r="T11" s="138" t="s">
        <v>452</v>
      </c>
      <c r="U11" s="139" t="s">
        <v>468</v>
      </c>
      <c r="V11" s="140" t="s">
        <v>485</v>
      </c>
      <c r="W11" s="138" t="s">
        <v>402</v>
      </c>
      <c r="X11" s="139" t="s">
        <v>419</v>
      </c>
      <c r="Y11" s="140" t="s">
        <v>436</v>
      </c>
    </row>
    <row r="12" spans="1:25" x14ac:dyDescent="0.35">
      <c r="A12" s="107" t="s">
        <v>56</v>
      </c>
      <c r="B12" s="138" t="s">
        <v>128</v>
      </c>
      <c r="C12" s="139" t="s">
        <v>128</v>
      </c>
      <c r="D12" s="140" t="s">
        <v>128</v>
      </c>
      <c r="E12" s="138" t="s">
        <v>128</v>
      </c>
      <c r="F12" s="139" t="s">
        <v>138</v>
      </c>
      <c r="G12" s="146" t="s">
        <v>178</v>
      </c>
      <c r="H12" s="138" t="s">
        <v>193</v>
      </c>
      <c r="I12" s="139" t="s">
        <v>210</v>
      </c>
      <c r="J12" s="146" t="s">
        <v>227</v>
      </c>
      <c r="K12" s="138" t="s">
        <v>244</v>
      </c>
      <c r="L12" s="139" t="s">
        <v>262</v>
      </c>
      <c r="M12" s="140" t="s">
        <v>280</v>
      </c>
      <c r="N12" s="142" t="s">
        <v>298</v>
      </c>
      <c r="O12" s="130" t="s">
        <v>316</v>
      </c>
      <c r="P12" s="131" t="s">
        <v>334</v>
      </c>
      <c r="Q12" s="138" t="s">
        <v>351</v>
      </c>
      <c r="R12" s="139" t="s">
        <v>368</v>
      </c>
      <c r="S12" s="140" t="s">
        <v>385</v>
      </c>
      <c r="T12" s="138" t="s">
        <v>453</v>
      </c>
      <c r="U12" s="139" t="s">
        <v>469</v>
      </c>
      <c r="V12" s="140" t="s">
        <v>486</v>
      </c>
      <c r="W12" s="138" t="s">
        <v>403</v>
      </c>
      <c r="X12" s="139" t="s">
        <v>420</v>
      </c>
      <c r="Y12" s="140" t="s">
        <v>437</v>
      </c>
    </row>
    <row r="13" spans="1:25" x14ac:dyDescent="0.35">
      <c r="A13" s="107" t="s">
        <v>57</v>
      </c>
      <c r="B13" s="138" t="s">
        <v>130</v>
      </c>
      <c r="C13" s="139" t="s">
        <v>141</v>
      </c>
      <c r="D13" s="140" t="s">
        <v>141</v>
      </c>
      <c r="E13" s="138" t="s">
        <v>130</v>
      </c>
      <c r="F13" s="139" t="s">
        <v>130</v>
      </c>
      <c r="G13" s="146" t="s">
        <v>130</v>
      </c>
      <c r="H13" s="138" t="s">
        <v>130</v>
      </c>
      <c r="I13" s="139" t="s">
        <v>130</v>
      </c>
      <c r="J13" s="146" t="s">
        <v>130</v>
      </c>
      <c r="K13" s="138" t="s">
        <v>130</v>
      </c>
      <c r="L13" s="139" t="s">
        <v>130</v>
      </c>
      <c r="M13" s="140" t="s">
        <v>130</v>
      </c>
      <c r="N13" s="138" t="s">
        <v>130</v>
      </c>
      <c r="O13" s="139" t="s">
        <v>130</v>
      </c>
      <c r="P13" s="146" t="s">
        <v>130</v>
      </c>
      <c r="Q13" s="138" t="s">
        <v>130</v>
      </c>
      <c r="R13" s="139" t="s">
        <v>130</v>
      </c>
      <c r="S13" s="140" t="s">
        <v>130</v>
      </c>
      <c r="T13" s="138" t="s">
        <v>130</v>
      </c>
      <c r="U13" s="139" t="s">
        <v>130</v>
      </c>
      <c r="V13" s="140" t="s">
        <v>130</v>
      </c>
      <c r="W13" s="138" t="s">
        <v>130</v>
      </c>
      <c r="X13" s="139" t="s">
        <v>130</v>
      </c>
      <c r="Y13" s="140" t="s">
        <v>130</v>
      </c>
    </row>
    <row r="14" spans="1:25" x14ac:dyDescent="0.35">
      <c r="A14" s="107" t="s">
        <v>2</v>
      </c>
      <c r="B14" s="138" t="s">
        <v>131</v>
      </c>
      <c r="C14" s="139" t="s">
        <v>142</v>
      </c>
      <c r="D14" s="140" t="s">
        <v>152</v>
      </c>
      <c r="E14" s="138" t="s">
        <v>161</v>
      </c>
      <c r="F14" s="139" t="s">
        <v>169</v>
      </c>
      <c r="G14" s="146" t="s">
        <v>179</v>
      </c>
      <c r="H14" s="138" t="s">
        <v>194</v>
      </c>
      <c r="I14" s="139" t="s">
        <v>211</v>
      </c>
      <c r="J14" s="146" t="s">
        <v>228</v>
      </c>
      <c r="K14" s="138" t="s">
        <v>245</v>
      </c>
      <c r="L14" s="139" t="s">
        <v>263</v>
      </c>
      <c r="M14" s="140" t="s">
        <v>281</v>
      </c>
      <c r="N14" s="138" t="s">
        <v>299</v>
      </c>
      <c r="O14" s="139" t="s">
        <v>317</v>
      </c>
      <c r="P14" s="146" t="s">
        <v>335</v>
      </c>
      <c r="Q14" s="142" t="s">
        <v>352</v>
      </c>
      <c r="R14" s="130" t="s">
        <v>369</v>
      </c>
      <c r="S14" s="143" t="s">
        <v>386</v>
      </c>
      <c r="T14" s="138" t="s">
        <v>454</v>
      </c>
      <c r="U14" s="139" t="s">
        <v>470</v>
      </c>
      <c r="V14" s="140" t="s">
        <v>487</v>
      </c>
      <c r="W14" s="138" t="s">
        <v>404</v>
      </c>
      <c r="X14" s="139" t="s">
        <v>421</v>
      </c>
      <c r="Y14" s="140" t="s">
        <v>438</v>
      </c>
    </row>
    <row r="15" spans="1:25" x14ac:dyDescent="0.35">
      <c r="A15" s="107" t="s">
        <v>1</v>
      </c>
      <c r="B15" s="138" t="s">
        <v>132</v>
      </c>
      <c r="C15" s="139" t="s">
        <v>143</v>
      </c>
      <c r="D15" s="140" t="s">
        <v>153</v>
      </c>
      <c r="E15" s="138" t="s">
        <v>162</v>
      </c>
      <c r="F15" s="139" t="s">
        <v>170</v>
      </c>
      <c r="G15" s="146" t="s">
        <v>180</v>
      </c>
      <c r="H15" s="138" t="s">
        <v>195</v>
      </c>
      <c r="I15" s="141" t="s">
        <v>212</v>
      </c>
      <c r="J15" s="146" t="s">
        <v>229</v>
      </c>
      <c r="K15" s="138" t="s">
        <v>246</v>
      </c>
      <c r="L15" s="139" t="s">
        <v>264</v>
      </c>
      <c r="M15" s="140" t="s">
        <v>282</v>
      </c>
      <c r="N15" s="138" t="s">
        <v>300</v>
      </c>
      <c r="O15" s="139" t="s">
        <v>318</v>
      </c>
      <c r="P15" s="146" t="s">
        <v>336</v>
      </c>
      <c r="Q15" s="138" t="s">
        <v>353</v>
      </c>
      <c r="R15" s="139" t="s">
        <v>370</v>
      </c>
      <c r="S15" s="140" t="s">
        <v>387</v>
      </c>
      <c r="T15" s="138" t="s">
        <v>455</v>
      </c>
      <c r="U15" s="139" t="s">
        <v>471</v>
      </c>
      <c r="V15" s="140" t="s">
        <v>488</v>
      </c>
      <c r="W15" s="138" t="s">
        <v>405</v>
      </c>
      <c r="X15" s="139" t="s">
        <v>422</v>
      </c>
      <c r="Y15" s="140" t="s">
        <v>439</v>
      </c>
    </row>
    <row r="16" spans="1:25" x14ac:dyDescent="0.35">
      <c r="A16" s="107" t="s">
        <v>66</v>
      </c>
      <c r="B16" s="138" t="s">
        <v>133</v>
      </c>
      <c r="C16" s="141" t="s">
        <v>144</v>
      </c>
      <c r="D16" s="140" t="s">
        <v>154</v>
      </c>
      <c r="E16" s="138" t="s">
        <v>163</v>
      </c>
      <c r="F16" s="141" t="s">
        <v>171</v>
      </c>
      <c r="G16" s="146" t="s">
        <v>181</v>
      </c>
      <c r="H16" s="138" t="s">
        <v>196</v>
      </c>
      <c r="I16" s="141" t="s">
        <v>213</v>
      </c>
      <c r="J16" s="146" t="s">
        <v>230</v>
      </c>
      <c r="K16" s="142" t="s">
        <v>247</v>
      </c>
      <c r="L16" s="130" t="s">
        <v>265</v>
      </c>
      <c r="M16" s="143" t="s">
        <v>283</v>
      </c>
      <c r="N16" s="142" t="s">
        <v>301</v>
      </c>
      <c r="O16" s="130" t="s">
        <v>319</v>
      </c>
      <c r="P16" s="131" t="s">
        <v>337</v>
      </c>
      <c r="Q16" s="138" t="s">
        <v>354</v>
      </c>
      <c r="R16" s="139" t="s">
        <v>371</v>
      </c>
      <c r="S16" s="140" t="s">
        <v>388</v>
      </c>
      <c r="T16" s="142" t="s">
        <v>456</v>
      </c>
      <c r="U16" s="130" t="s">
        <v>472</v>
      </c>
      <c r="V16" s="143" t="s">
        <v>489</v>
      </c>
      <c r="W16" s="138" t="s">
        <v>406</v>
      </c>
      <c r="X16" s="139" t="s">
        <v>423</v>
      </c>
      <c r="Y16" s="140" t="s">
        <v>440</v>
      </c>
    </row>
    <row r="17" spans="1:28" x14ac:dyDescent="0.35">
      <c r="A17" s="107" t="s">
        <v>64</v>
      </c>
      <c r="B17" s="138" t="s">
        <v>134</v>
      </c>
      <c r="C17" s="141" t="s">
        <v>145</v>
      </c>
      <c r="D17" s="140" t="s">
        <v>155</v>
      </c>
      <c r="E17" s="138" t="s">
        <v>164</v>
      </c>
      <c r="F17" s="141" t="s">
        <v>172</v>
      </c>
      <c r="G17" s="146" t="s">
        <v>182</v>
      </c>
      <c r="H17" s="138" t="s">
        <v>197</v>
      </c>
      <c r="I17" s="141" t="s">
        <v>214</v>
      </c>
      <c r="J17" s="146" t="s">
        <v>231</v>
      </c>
      <c r="K17" s="138" t="s">
        <v>248</v>
      </c>
      <c r="L17" s="141" t="s">
        <v>266</v>
      </c>
      <c r="M17" s="140" t="s">
        <v>284</v>
      </c>
      <c r="N17" s="138" t="s">
        <v>302</v>
      </c>
      <c r="O17" s="139" t="s">
        <v>320</v>
      </c>
      <c r="P17" s="146" t="s">
        <v>338</v>
      </c>
      <c r="Q17" s="138" t="s">
        <v>355</v>
      </c>
      <c r="R17" s="139" t="s">
        <v>372</v>
      </c>
      <c r="S17" s="140" t="s">
        <v>389</v>
      </c>
      <c r="T17" s="138" t="s">
        <v>457</v>
      </c>
      <c r="U17" s="139" t="s">
        <v>473</v>
      </c>
      <c r="V17" s="140" t="s">
        <v>490</v>
      </c>
      <c r="W17" s="138" t="s">
        <v>407</v>
      </c>
      <c r="X17" s="139" t="s">
        <v>424</v>
      </c>
      <c r="Y17" s="140" t="s">
        <v>441</v>
      </c>
    </row>
    <row r="18" spans="1:28" x14ac:dyDescent="0.35">
      <c r="A18" s="107" t="s">
        <v>52</v>
      </c>
      <c r="B18" s="138" t="s">
        <v>135</v>
      </c>
      <c r="C18" s="141" t="s">
        <v>146</v>
      </c>
      <c r="D18" s="140" t="s">
        <v>156</v>
      </c>
      <c r="E18" s="138" t="s">
        <v>165</v>
      </c>
      <c r="F18" s="141" t="s">
        <v>173</v>
      </c>
      <c r="G18" s="146" t="s">
        <v>183</v>
      </c>
      <c r="H18" s="138" t="s">
        <v>198</v>
      </c>
      <c r="I18" s="139" t="s">
        <v>215</v>
      </c>
      <c r="J18" s="146" t="s">
        <v>232</v>
      </c>
      <c r="K18" s="138" t="s">
        <v>249</v>
      </c>
      <c r="L18" s="139" t="s">
        <v>267</v>
      </c>
      <c r="M18" s="140" t="s">
        <v>285</v>
      </c>
      <c r="N18" s="138" t="s">
        <v>303</v>
      </c>
      <c r="O18" s="139" t="s">
        <v>321</v>
      </c>
      <c r="P18" s="146" t="s">
        <v>339</v>
      </c>
      <c r="Q18" s="138" t="s">
        <v>356</v>
      </c>
      <c r="R18" s="139" t="s">
        <v>373</v>
      </c>
      <c r="S18" s="140" t="s">
        <v>390</v>
      </c>
      <c r="T18" s="138" t="s">
        <v>458</v>
      </c>
      <c r="U18" s="139" t="s">
        <v>474</v>
      </c>
      <c r="V18" s="140" t="s">
        <v>491</v>
      </c>
      <c r="W18" s="138" t="s">
        <v>408</v>
      </c>
      <c r="X18" s="139" t="s">
        <v>425</v>
      </c>
      <c r="Y18" s="140" t="s">
        <v>442</v>
      </c>
    </row>
    <row r="19" spans="1:28" x14ac:dyDescent="0.35">
      <c r="A19" s="107" t="s">
        <v>60</v>
      </c>
      <c r="B19" s="138" t="s">
        <v>136</v>
      </c>
      <c r="C19" s="141" t="s">
        <v>147</v>
      </c>
      <c r="D19" s="140" t="s">
        <v>157</v>
      </c>
      <c r="E19" s="138" t="s">
        <v>166</v>
      </c>
      <c r="F19" s="141" t="s">
        <v>174</v>
      </c>
      <c r="G19" s="146" t="s">
        <v>184</v>
      </c>
      <c r="H19" s="138" t="s">
        <v>199</v>
      </c>
      <c r="I19" s="139" t="s">
        <v>216</v>
      </c>
      <c r="J19" s="146" t="s">
        <v>233</v>
      </c>
      <c r="K19" s="138" t="s">
        <v>250</v>
      </c>
      <c r="L19" s="139" t="s">
        <v>268</v>
      </c>
      <c r="M19" s="140" t="s">
        <v>286</v>
      </c>
      <c r="N19" s="138" t="s">
        <v>304</v>
      </c>
      <c r="O19" s="139" t="s">
        <v>322</v>
      </c>
      <c r="P19" s="146" t="s">
        <v>340</v>
      </c>
      <c r="Q19" s="138" t="s">
        <v>357</v>
      </c>
      <c r="R19" s="141" t="s">
        <v>374</v>
      </c>
      <c r="S19" s="140" t="s">
        <v>391</v>
      </c>
      <c r="T19" s="138" t="s">
        <v>459</v>
      </c>
      <c r="U19" s="139" t="s">
        <v>475</v>
      </c>
      <c r="V19" s="140" t="s">
        <v>492</v>
      </c>
      <c r="W19" s="138" t="s">
        <v>409</v>
      </c>
      <c r="X19" s="139" t="s">
        <v>426</v>
      </c>
      <c r="Y19" s="140" t="s">
        <v>443</v>
      </c>
    </row>
    <row r="20" spans="1:28" x14ac:dyDescent="0.35">
      <c r="A20" s="107" t="s">
        <v>59</v>
      </c>
      <c r="B20" s="138" t="s">
        <v>128</v>
      </c>
      <c r="C20" s="139" t="s">
        <v>148</v>
      </c>
      <c r="D20" s="140" t="s">
        <v>128</v>
      </c>
      <c r="E20" s="138" t="s">
        <v>128</v>
      </c>
      <c r="F20" s="139" t="s">
        <v>138</v>
      </c>
      <c r="G20" s="146" t="s">
        <v>138</v>
      </c>
      <c r="H20" s="138" t="s">
        <v>200</v>
      </c>
      <c r="I20" s="139" t="s">
        <v>217</v>
      </c>
      <c r="J20" s="146" t="s">
        <v>234</v>
      </c>
      <c r="K20" s="138" t="s">
        <v>251</v>
      </c>
      <c r="L20" s="139" t="s">
        <v>269</v>
      </c>
      <c r="M20" s="140" t="s">
        <v>287</v>
      </c>
      <c r="N20" s="138" t="s">
        <v>305</v>
      </c>
      <c r="O20" s="139" t="s">
        <v>323</v>
      </c>
      <c r="P20" s="146" t="s">
        <v>341</v>
      </c>
      <c r="Q20" s="138" t="s">
        <v>358</v>
      </c>
      <c r="R20" s="141" t="s">
        <v>375</v>
      </c>
      <c r="S20" s="140" t="s">
        <v>392</v>
      </c>
      <c r="T20" s="138" t="s">
        <v>460</v>
      </c>
      <c r="U20" s="139" t="s">
        <v>476</v>
      </c>
      <c r="V20" s="140" t="s">
        <v>493</v>
      </c>
      <c r="W20" s="138" t="s">
        <v>410</v>
      </c>
      <c r="X20" s="139" t="s">
        <v>427</v>
      </c>
      <c r="Y20" s="140" t="s">
        <v>444</v>
      </c>
    </row>
    <row r="21" spans="1:28" x14ac:dyDescent="0.35">
      <c r="A21" s="107" t="s">
        <v>69</v>
      </c>
      <c r="B21" s="142" t="s">
        <v>128</v>
      </c>
      <c r="C21" s="130" t="s">
        <v>128</v>
      </c>
      <c r="D21" s="143" t="s">
        <v>128</v>
      </c>
      <c r="E21" s="138" t="s">
        <v>128</v>
      </c>
      <c r="F21" s="139" t="s">
        <v>138</v>
      </c>
      <c r="G21" s="146" t="s">
        <v>138</v>
      </c>
      <c r="H21" s="138" t="s">
        <v>201</v>
      </c>
      <c r="I21" s="139" t="s">
        <v>218</v>
      </c>
      <c r="J21" s="146" t="s">
        <v>235</v>
      </c>
      <c r="K21" s="138" t="s">
        <v>252</v>
      </c>
      <c r="L21" s="139" t="s">
        <v>270</v>
      </c>
      <c r="M21" s="140" t="s">
        <v>288</v>
      </c>
      <c r="N21" s="138" t="s">
        <v>306</v>
      </c>
      <c r="O21" s="139" t="s">
        <v>324</v>
      </c>
      <c r="P21" s="146" t="s">
        <v>342</v>
      </c>
      <c r="Q21" s="138" t="s">
        <v>359</v>
      </c>
      <c r="R21" s="139" t="s">
        <v>376</v>
      </c>
      <c r="S21" s="140" t="s">
        <v>393</v>
      </c>
      <c r="T21" s="138" t="s">
        <v>393</v>
      </c>
      <c r="U21" s="139" t="s">
        <v>393</v>
      </c>
      <c r="V21" s="140" t="s">
        <v>393</v>
      </c>
      <c r="W21" s="138" t="s">
        <v>393</v>
      </c>
      <c r="X21" s="139" t="s">
        <v>393</v>
      </c>
      <c r="Y21" s="140" t="s">
        <v>393</v>
      </c>
    </row>
    <row r="22" spans="1:28" x14ac:dyDescent="0.35">
      <c r="A22" s="107" t="s">
        <v>115</v>
      </c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16"/>
      <c r="AA22" s="116"/>
      <c r="AB22" s="116"/>
    </row>
    <row r="23" spans="1:28" x14ac:dyDescent="0.35">
      <c r="A23" s="107" t="s">
        <v>89</v>
      </c>
      <c r="B23" s="151" t="s">
        <v>67</v>
      </c>
      <c r="C23" s="127" t="s">
        <v>137</v>
      </c>
      <c r="D23" s="152" t="s">
        <v>149</v>
      </c>
      <c r="E23" s="151" t="s">
        <v>158</v>
      </c>
      <c r="F23" s="127" t="s">
        <v>72</v>
      </c>
      <c r="G23" s="152" t="s">
        <v>73</v>
      </c>
      <c r="H23" s="160" t="s">
        <v>74</v>
      </c>
      <c r="I23" s="127" t="s">
        <v>75</v>
      </c>
      <c r="J23" s="152" t="s">
        <v>76</v>
      </c>
      <c r="K23" s="151" t="s">
        <v>77</v>
      </c>
      <c r="L23" s="127" t="s">
        <v>78</v>
      </c>
      <c r="M23" s="152" t="s">
        <v>79</v>
      </c>
      <c r="N23" s="164" t="s">
        <v>80</v>
      </c>
      <c r="O23" s="127" t="s">
        <v>81</v>
      </c>
      <c r="P23" s="152" t="s">
        <v>82</v>
      </c>
      <c r="Q23" s="164" t="s">
        <v>83</v>
      </c>
      <c r="R23" s="127" t="s">
        <v>116</v>
      </c>
      <c r="S23" s="152" t="s">
        <v>117</v>
      </c>
      <c r="T23" s="151" t="s">
        <v>118</v>
      </c>
      <c r="U23" s="127" t="s">
        <v>84</v>
      </c>
      <c r="V23" s="152" t="s">
        <v>85</v>
      </c>
      <c r="W23" s="166" t="s">
        <v>86</v>
      </c>
      <c r="X23" s="127" t="s">
        <v>87</v>
      </c>
      <c r="Y23" s="152" t="s">
        <v>88</v>
      </c>
    </row>
    <row r="24" spans="1:28" x14ac:dyDescent="0.35">
      <c r="A24" s="107" t="s">
        <v>121</v>
      </c>
      <c r="B24" s="153" t="s">
        <v>114</v>
      </c>
      <c r="C24" s="154" t="s">
        <v>114</v>
      </c>
      <c r="D24" s="155" t="s">
        <v>114</v>
      </c>
      <c r="E24" s="159" t="s">
        <v>114</v>
      </c>
      <c r="F24" s="154" t="s">
        <v>114</v>
      </c>
      <c r="G24" s="155" t="s">
        <v>114</v>
      </c>
      <c r="H24" s="159" t="s">
        <v>114</v>
      </c>
      <c r="I24" s="154" t="s">
        <v>114</v>
      </c>
      <c r="J24" s="155" t="s">
        <v>114</v>
      </c>
      <c r="K24" s="159" t="s">
        <v>114</v>
      </c>
      <c r="L24" s="154" t="s">
        <v>114</v>
      </c>
      <c r="M24" s="155" t="s">
        <v>114</v>
      </c>
      <c r="N24" s="159" t="s">
        <v>114</v>
      </c>
      <c r="O24" s="154" t="s">
        <v>114</v>
      </c>
      <c r="P24" s="155" t="s">
        <v>114</v>
      </c>
      <c r="Q24" s="159" t="s">
        <v>114</v>
      </c>
      <c r="R24" s="154" t="s">
        <v>114</v>
      </c>
      <c r="S24" s="155" t="s">
        <v>114</v>
      </c>
      <c r="T24" s="159" t="s">
        <v>114</v>
      </c>
      <c r="U24" s="154" t="s">
        <v>114</v>
      </c>
      <c r="V24" s="155" t="s">
        <v>114</v>
      </c>
      <c r="W24" s="159" t="s">
        <v>114</v>
      </c>
      <c r="X24" s="154" t="s">
        <v>114</v>
      </c>
      <c r="Y24" s="155" t="s">
        <v>114</v>
      </c>
    </row>
    <row r="25" spans="1:28" x14ac:dyDescent="0.35">
      <c r="A25" s="107" t="s">
        <v>125</v>
      </c>
      <c r="B25" s="156" t="s">
        <v>138</v>
      </c>
      <c r="C25" s="111" t="s">
        <v>128</v>
      </c>
      <c r="D25" s="157" t="s">
        <v>138</v>
      </c>
      <c r="E25" s="156" t="s">
        <v>138</v>
      </c>
      <c r="F25" s="111" t="s">
        <v>128</v>
      </c>
      <c r="G25" s="157" t="s">
        <v>178</v>
      </c>
      <c r="H25" s="156" t="s">
        <v>193</v>
      </c>
      <c r="I25" s="111" t="s">
        <v>210</v>
      </c>
      <c r="J25" s="161" t="s">
        <v>227</v>
      </c>
      <c r="K25" s="156" t="s">
        <v>244</v>
      </c>
      <c r="L25" s="111" t="s">
        <v>262</v>
      </c>
      <c r="M25" s="161" t="s">
        <v>280</v>
      </c>
      <c r="N25" s="156" t="s">
        <v>298</v>
      </c>
      <c r="O25" s="111" t="s">
        <v>316</v>
      </c>
      <c r="P25" s="157" t="s">
        <v>334</v>
      </c>
      <c r="Q25" s="156" t="s">
        <v>351</v>
      </c>
      <c r="R25" s="111" t="s">
        <v>368</v>
      </c>
      <c r="S25" s="161" t="s">
        <v>385</v>
      </c>
      <c r="T25" s="156" t="s">
        <v>453</v>
      </c>
      <c r="U25" s="165" t="s">
        <v>469</v>
      </c>
      <c r="V25" s="161" t="s">
        <v>486</v>
      </c>
      <c r="W25" s="156" t="s">
        <v>403</v>
      </c>
      <c r="X25" s="111" t="s">
        <v>420</v>
      </c>
      <c r="Y25" s="161" t="s">
        <v>437</v>
      </c>
    </row>
    <row r="26" spans="1:28" x14ac:dyDescent="0.35">
      <c r="A26" s="122" t="s">
        <v>2</v>
      </c>
      <c r="B26" s="123" t="s">
        <v>130</v>
      </c>
      <c r="C26" s="124" t="s">
        <v>130</v>
      </c>
      <c r="D26" s="158" t="s">
        <v>130</v>
      </c>
      <c r="E26" s="123" t="s">
        <v>130</v>
      </c>
      <c r="F26" s="124" t="s">
        <v>130</v>
      </c>
      <c r="G26" s="158" t="s">
        <v>130</v>
      </c>
      <c r="H26" s="123" t="s">
        <v>130</v>
      </c>
      <c r="I26" s="124" t="s">
        <v>130</v>
      </c>
      <c r="J26" s="162" t="s">
        <v>130</v>
      </c>
      <c r="K26" s="123" t="s">
        <v>130</v>
      </c>
      <c r="L26" s="124" t="s">
        <v>141</v>
      </c>
      <c r="M26" s="162" t="s">
        <v>141</v>
      </c>
      <c r="N26" s="123" t="s">
        <v>130</v>
      </c>
      <c r="O26" s="124" t="s">
        <v>130</v>
      </c>
      <c r="P26" s="158" t="s">
        <v>130</v>
      </c>
      <c r="Q26" s="123" t="s">
        <v>130</v>
      </c>
      <c r="R26" s="124" t="s">
        <v>130</v>
      </c>
      <c r="S26" s="162" t="s">
        <v>130</v>
      </c>
      <c r="T26" s="123" t="s">
        <v>130</v>
      </c>
      <c r="U26" s="124" t="s">
        <v>130</v>
      </c>
      <c r="V26" s="162" t="s">
        <v>130</v>
      </c>
      <c r="W26" s="123" t="s">
        <v>130</v>
      </c>
      <c r="X26" s="124" t="s">
        <v>130</v>
      </c>
      <c r="Y26" s="162" t="s">
        <v>130</v>
      </c>
    </row>
    <row r="27" spans="1:28" x14ac:dyDescent="0.35">
      <c r="A27" s="122" t="s">
        <v>1</v>
      </c>
      <c r="B27" s="123" t="s">
        <v>131</v>
      </c>
      <c r="C27" s="124" t="s">
        <v>142</v>
      </c>
      <c r="D27" s="158" t="s">
        <v>152</v>
      </c>
      <c r="E27" s="123" t="s">
        <v>161</v>
      </c>
      <c r="F27" s="124" t="s">
        <v>169</v>
      </c>
      <c r="G27" s="158" t="s">
        <v>179</v>
      </c>
      <c r="H27" s="123" t="s">
        <v>194</v>
      </c>
      <c r="I27" s="124" t="s">
        <v>211</v>
      </c>
      <c r="J27" s="162" t="s">
        <v>228</v>
      </c>
      <c r="K27" s="123" t="s">
        <v>245</v>
      </c>
      <c r="L27" s="124" t="s">
        <v>263</v>
      </c>
      <c r="M27" s="162" t="s">
        <v>281</v>
      </c>
      <c r="N27" s="123" t="s">
        <v>299</v>
      </c>
      <c r="O27" s="124" t="s">
        <v>317</v>
      </c>
      <c r="P27" s="158" t="s">
        <v>335</v>
      </c>
      <c r="Q27" s="126" t="s">
        <v>352</v>
      </c>
      <c r="R27" s="127" t="s">
        <v>369</v>
      </c>
      <c r="S27" s="163" t="s">
        <v>386</v>
      </c>
      <c r="T27" s="123" t="s">
        <v>454</v>
      </c>
      <c r="U27" s="124" t="s">
        <v>470</v>
      </c>
      <c r="V27" s="162" t="s">
        <v>487</v>
      </c>
      <c r="W27" s="123" t="s">
        <v>404</v>
      </c>
      <c r="X27" s="124" t="s">
        <v>421</v>
      </c>
      <c r="Y27" s="162" t="s">
        <v>438</v>
      </c>
    </row>
    <row r="28" spans="1:28" x14ac:dyDescent="0.35">
      <c r="A28" s="122" t="s">
        <v>497</v>
      </c>
      <c r="B28" s="123" t="s">
        <v>132</v>
      </c>
      <c r="C28" s="124" t="s">
        <v>143</v>
      </c>
      <c r="D28" s="158" t="s">
        <v>153</v>
      </c>
      <c r="E28" s="123" t="s">
        <v>162</v>
      </c>
      <c r="F28" s="124" t="s">
        <v>170</v>
      </c>
      <c r="G28" s="158" t="s">
        <v>180</v>
      </c>
      <c r="H28" s="123" t="s">
        <v>195</v>
      </c>
      <c r="I28" s="125" t="s">
        <v>212</v>
      </c>
      <c r="J28" s="162" t="s">
        <v>229</v>
      </c>
      <c r="K28" s="123" t="s">
        <v>246</v>
      </c>
      <c r="L28" s="124" t="s">
        <v>264</v>
      </c>
      <c r="M28" s="162" t="s">
        <v>282</v>
      </c>
      <c r="N28" s="123" t="s">
        <v>300</v>
      </c>
      <c r="O28" s="124" t="s">
        <v>318</v>
      </c>
      <c r="P28" s="158" t="s">
        <v>336</v>
      </c>
      <c r="Q28" s="123" t="s">
        <v>353</v>
      </c>
      <c r="R28" s="124" t="s">
        <v>370</v>
      </c>
      <c r="S28" s="162" t="s">
        <v>387</v>
      </c>
      <c r="T28" s="123" t="s">
        <v>455</v>
      </c>
      <c r="U28" s="124" t="s">
        <v>471</v>
      </c>
      <c r="V28" s="162" t="s">
        <v>488</v>
      </c>
      <c r="W28" s="123" t="s">
        <v>405</v>
      </c>
      <c r="X28" s="124" t="s">
        <v>422</v>
      </c>
      <c r="Y28" s="162" t="s">
        <v>439</v>
      </c>
    </row>
    <row r="29" spans="1:28" x14ac:dyDescent="0.35">
      <c r="A29" s="122" t="s">
        <v>64</v>
      </c>
      <c r="B29" s="123" t="s">
        <v>133</v>
      </c>
      <c r="C29" s="125" t="s">
        <v>144</v>
      </c>
      <c r="D29" s="158" t="s">
        <v>154</v>
      </c>
      <c r="E29" s="123" t="s">
        <v>163</v>
      </c>
      <c r="F29" s="125" t="s">
        <v>171</v>
      </c>
      <c r="G29" s="158" t="s">
        <v>181</v>
      </c>
      <c r="H29" s="123" t="s">
        <v>196</v>
      </c>
      <c r="I29" s="125" t="s">
        <v>213</v>
      </c>
      <c r="J29" s="162" t="s">
        <v>230</v>
      </c>
      <c r="K29" s="123" t="s">
        <v>247</v>
      </c>
      <c r="L29" s="124" t="s">
        <v>265</v>
      </c>
      <c r="M29" s="162" t="s">
        <v>283</v>
      </c>
      <c r="N29" s="126" t="s">
        <v>301</v>
      </c>
      <c r="O29" s="127" t="s">
        <v>319</v>
      </c>
      <c r="P29" s="152" t="s">
        <v>337</v>
      </c>
      <c r="Q29" s="123" t="s">
        <v>354</v>
      </c>
      <c r="R29" s="124" t="s">
        <v>371</v>
      </c>
      <c r="S29" s="162" t="s">
        <v>388</v>
      </c>
      <c r="T29" s="126" t="s">
        <v>456</v>
      </c>
      <c r="U29" s="127" t="s">
        <v>472</v>
      </c>
      <c r="V29" s="163" t="s">
        <v>489</v>
      </c>
      <c r="W29" s="123" t="s">
        <v>406</v>
      </c>
      <c r="X29" s="124" t="s">
        <v>423</v>
      </c>
      <c r="Y29" s="162" t="s">
        <v>440</v>
      </c>
    </row>
    <row r="30" spans="1:28" x14ac:dyDescent="0.35">
      <c r="A30" s="122" t="s">
        <v>52</v>
      </c>
      <c r="B30" s="123" t="s">
        <v>134</v>
      </c>
      <c r="C30" s="125" t="s">
        <v>145</v>
      </c>
      <c r="D30" s="158" t="s">
        <v>155</v>
      </c>
      <c r="E30" s="123" t="s">
        <v>164</v>
      </c>
      <c r="F30" s="125" t="s">
        <v>172</v>
      </c>
      <c r="G30" s="158" t="s">
        <v>182</v>
      </c>
      <c r="H30" s="123" t="s">
        <v>197</v>
      </c>
      <c r="I30" s="125" t="s">
        <v>214</v>
      </c>
      <c r="J30" s="162" t="s">
        <v>231</v>
      </c>
      <c r="K30" s="123" t="s">
        <v>248</v>
      </c>
      <c r="L30" s="124" t="s">
        <v>266</v>
      </c>
      <c r="M30" s="162" t="s">
        <v>284</v>
      </c>
      <c r="N30" s="123" t="s">
        <v>302</v>
      </c>
      <c r="O30" s="124" t="s">
        <v>320</v>
      </c>
      <c r="P30" s="158" t="s">
        <v>338</v>
      </c>
      <c r="Q30" s="123" t="s">
        <v>355</v>
      </c>
      <c r="R30" s="124" t="s">
        <v>372</v>
      </c>
      <c r="S30" s="162" t="s">
        <v>389</v>
      </c>
      <c r="T30" s="123" t="s">
        <v>457</v>
      </c>
      <c r="U30" s="124" t="s">
        <v>473</v>
      </c>
      <c r="V30" s="162" t="s">
        <v>490</v>
      </c>
      <c r="W30" s="123" t="s">
        <v>407</v>
      </c>
      <c r="X30" s="124" t="s">
        <v>424</v>
      </c>
      <c r="Y30" s="162" t="s">
        <v>441</v>
      </c>
    </row>
    <row r="31" spans="1:28" x14ac:dyDescent="0.35">
      <c r="A31" s="122" t="s">
        <v>498</v>
      </c>
      <c r="B31" s="123" t="s">
        <v>135</v>
      </c>
      <c r="C31" s="125" t="s">
        <v>146</v>
      </c>
      <c r="D31" s="158" t="s">
        <v>156</v>
      </c>
      <c r="E31" s="123" t="s">
        <v>165</v>
      </c>
      <c r="F31" s="125" t="s">
        <v>173</v>
      </c>
      <c r="G31" s="158" t="s">
        <v>183</v>
      </c>
      <c r="H31" s="123" t="s">
        <v>198</v>
      </c>
      <c r="I31" s="124" t="s">
        <v>215</v>
      </c>
      <c r="J31" s="162" t="s">
        <v>232</v>
      </c>
      <c r="K31" s="123" t="s">
        <v>249</v>
      </c>
      <c r="L31" s="124" t="s">
        <v>267</v>
      </c>
      <c r="M31" s="162" t="s">
        <v>285</v>
      </c>
      <c r="N31" s="123" t="s">
        <v>303</v>
      </c>
      <c r="O31" s="124" t="s">
        <v>321</v>
      </c>
      <c r="P31" s="158" t="s">
        <v>339</v>
      </c>
      <c r="Q31" s="123" t="s">
        <v>356</v>
      </c>
      <c r="R31" s="124" t="s">
        <v>373</v>
      </c>
      <c r="S31" s="162" t="s">
        <v>390</v>
      </c>
      <c r="T31" s="123" t="s">
        <v>458</v>
      </c>
      <c r="U31" s="124" t="s">
        <v>474</v>
      </c>
      <c r="V31" s="162" t="s">
        <v>491</v>
      </c>
      <c r="W31" s="123" t="s">
        <v>408</v>
      </c>
      <c r="X31" s="124" t="s">
        <v>425</v>
      </c>
      <c r="Y31" s="162" t="s">
        <v>442</v>
      </c>
    </row>
    <row r="32" spans="1:28" x14ac:dyDescent="0.35">
      <c r="A32" s="122" t="s">
        <v>59</v>
      </c>
      <c r="B32" s="123" t="s">
        <v>136</v>
      </c>
      <c r="C32" s="125" t="s">
        <v>147</v>
      </c>
      <c r="D32" s="158" t="s">
        <v>157</v>
      </c>
      <c r="E32" s="123" t="s">
        <v>166</v>
      </c>
      <c r="F32" s="125" t="s">
        <v>174</v>
      </c>
      <c r="G32" s="158" t="s">
        <v>184</v>
      </c>
      <c r="H32" s="123" t="s">
        <v>199</v>
      </c>
      <c r="I32" s="124" t="s">
        <v>216</v>
      </c>
      <c r="J32" s="162" t="s">
        <v>233</v>
      </c>
      <c r="K32" s="123" t="s">
        <v>250</v>
      </c>
      <c r="L32" s="124" t="s">
        <v>268</v>
      </c>
      <c r="M32" s="162" t="s">
        <v>286</v>
      </c>
      <c r="N32" s="123" t="s">
        <v>304</v>
      </c>
      <c r="O32" s="124" t="s">
        <v>322</v>
      </c>
      <c r="P32" s="158" t="s">
        <v>340</v>
      </c>
      <c r="Q32" s="123" t="s">
        <v>357</v>
      </c>
      <c r="R32" s="125" t="s">
        <v>374</v>
      </c>
      <c r="S32" s="162" t="s">
        <v>391</v>
      </c>
      <c r="T32" s="123" t="s">
        <v>459</v>
      </c>
      <c r="U32" s="124" t="s">
        <v>475</v>
      </c>
      <c r="V32" s="162" t="s">
        <v>492</v>
      </c>
      <c r="W32" s="123" t="s">
        <v>409</v>
      </c>
      <c r="X32" s="124" t="s">
        <v>426</v>
      </c>
      <c r="Y32" s="162" t="s">
        <v>443</v>
      </c>
    </row>
    <row r="33" spans="1:25" x14ac:dyDescent="0.35">
      <c r="A33" s="122" t="s">
        <v>69</v>
      </c>
      <c r="B33" s="123" t="s">
        <v>128</v>
      </c>
      <c r="C33" s="124" t="s">
        <v>128</v>
      </c>
      <c r="D33" s="158" t="s">
        <v>138</v>
      </c>
      <c r="E33" s="123" t="s">
        <v>128</v>
      </c>
      <c r="F33" s="124" t="s">
        <v>128</v>
      </c>
      <c r="G33" s="158" t="s">
        <v>138</v>
      </c>
      <c r="H33" s="123" t="s">
        <v>200</v>
      </c>
      <c r="I33" s="124" t="s">
        <v>217</v>
      </c>
      <c r="J33" s="162" t="s">
        <v>234</v>
      </c>
      <c r="K33" s="123" t="s">
        <v>251</v>
      </c>
      <c r="L33" s="124" t="s">
        <v>269</v>
      </c>
      <c r="M33" s="162" t="s">
        <v>287</v>
      </c>
      <c r="N33" s="123" t="s">
        <v>305</v>
      </c>
      <c r="O33" s="124" t="s">
        <v>323</v>
      </c>
      <c r="P33" s="158" t="s">
        <v>341</v>
      </c>
      <c r="Q33" s="123" t="s">
        <v>358</v>
      </c>
      <c r="R33" s="125" t="s">
        <v>375</v>
      </c>
      <c r="S33" s="162" t="s">
        <v>392</v>
      </c>
      <c r="T33" s="123" t="s">
        <v>460</v>
      </c>
      <c r="U33" s="124" t="s">
        <v>476</v>
      </c>
      <c r="V33" s="162" t="s">
        <v>493</v>
      </c>
      <c r="W33" s="123" t="s">
        <v>410</v>
      </c>
      <c r="X33" s="124" t="s">
        <v>427</v>
      </c>
      <c r="Y33" s="162" t="s">
        <v>444</v>
      </c>
    </row>
    <row r="34" spans="1:25" x14ac:dyDescent="0.35">
      <c r="A34" s="122" t="s">
        <v>115</v>
      </c>
      <c r="B34" s="123" t="s">
        <v>128</v>
      </c>
      <c r="C34" s="124" t="s">
        <v>128</v>
      </c>
      <c r="D34" s="158" t="s">
        <v>138</v>
      </c>
      <c r="E34" s="123" t="s">
        <v>128</v>
      </c>
      <c r="F34" s="124" t="s">
        <v>128</v>
      </c>
      <c r="G34" s="158" t="s">
        <v>138</v>
      </c>
      <c r="H34" s="123" t="s">
        <v>201</v>
      </c>
      <c r="I34" s="124" t="s">
        <v>218</v>
      </c>
      <c r="J34" s="162" t="s">
        <v>235</v>
      </c>
      <c r="K34" s="123" t="s">
        <v>252</v>
      </c>
      <c r="L34" s="124" t="s">
        <v>270</v>
      </c>
      <c r="M34" s="162" t="s">
        <v>288</v>
      </c>
      <c r="N34" s="123" t="s">
        <v>306</v>
      </c>
      <c r="O34" s="124" t="s">
        <v>324</v>
      </c>
      <c r="P34" s="158" t="s">
        <v>342</v>
      </c>
      <c r="Q34" s="123" t="s">
        <v>359</v>
      </c>
      <c r="R34" s="124" t="s">
        <v>376</v>
      </c>
      <c r="S34" s="162" t="s">
        <v>393</v>
      </c>
      <c r="T34" s="123" t="s">
        <v>393</v>
      </c>
      <c r="U34" s="124" t="s">
        <v>393</v>
      </c>
      <c r="V34" s="162" t="s">
        <v>393</v>
      </c>
      <c r="W34" s="123" t="s">
        <v>393</v>
      </c>
      <c r="X34" s="124" t="s">
        <v>393</v>
      </c>
      <c r="Y34" s="162" t="s">
        <v>393</v>
      </c>
    </row>
    <row r="35" spans="1:25" x14ac:dyDescent="0.35">
      <c r="A35" s="122" t="s">
        <v>89</v>
      </c>
      <c r="B35" s="123" t="s">
        <v>128</v>
      </c>
      <c r="C35" s="124" t="s">
        <v>128</v>
      </c>
      <c r="D35" s="158" t="s">
        <v>138</v>
      </c>
      <c r="E35" s="123" t="s">
        <v>128</v>
      </c>
      <c r="F35" s="124" t="s">
        <v>128</v>
      </c>
      <c r="G35" s="158" t="s">
        <v>138</v>
      </c>
      <c r="H35" s="123" t="s">
        <v>128</v>
      </c>
      <c r="I35" s="124" t="s">
        <v>541</v>
      </c>
      <c r="J35" s="162" t="s">
        <v>549</v>
      </c>
      <c r="K35" s="123" t="s">
        <v>557</v>
      </c>
      <c r="L35" s="124" t="s">
        <v>565</v>
      </c>
      <c r="M35" s="162" t="s">
        <v>574</v>
      </c>
      <c r="N35" s="123" t="s">
        <v>582</v>
      </c>
      <c r="O35" s="124" t="s">
        <v>591</v>
      </c>
      <c r="P35" s="158" t="s">
        <v>600</v>
      </c>
      <c r="Q35" s="123" t="s">
        <v>609</v>
      </c>
      <c r="R35" s="125" t="s">
        <v>618</v>
      </c>
      <c r="S35" s="162" t="s">
        <v>627</v>
      </c>
      <c r="T35" s="123" t="s">
        <v>627</v>
      </c>
      <c r="U35" s="124" t="s">
        <v>627</v>
      </c>
      <c r="V35" s="162" t="s">
        <v>627</v>
      </c>
      <c r="W35" s="123" t="s">
        <v>627</v>
      </c>
      <c r="X35" s="124" t="s">
        <v>627</v>
      </c>
      <c r="Y35" s="162" t="s">
        <v>627</v>
      </c>
    </row>
    <row r="36" spans="1:25" x14ac:dyDescent="0.35">
      <c r="A36" s="122" t="s">
        <v>499</v>
      </c>
      <c r="B36" s="123" t="s">
        <v>501</v>
      </c>
      <c r="C36" s="124" t="s">
        <v>507</v>
      </c>
      <c r="D36" s="158" t="s">
        <v>507</v>
      </c>
      <c r="E36" s="123" t="s">
        <v>501</v>
      </c>
      <c r="F36" s="124" t="s">
        <v>521</v>
      </c>
      <c r="G36" s="158" t="s">
        <v>527</v>
      </c>
      <c r="H36" s="126" t="s">
        <v>534</v>
      </c>
      <c r="I36" s="127" t="s">
        <v>542</v>
      </c>
      <c r="J36" s="163" t="s">
        <v>550</v>
      </c>
      <c r="K36" s="123" t="s">
        <v>558</v>
      </c>
      <c r="L36" s="124" t="s">
        <v>566</v>
      </c>
      <c r="M36" s="162" t="s">
        <v>575</v>
      </c>
      <c r="N36" s="126" t="s">
        <v>583</v>
      </c>
      <c r="O36" s="127" t="s">
        <v>592</v>
      </c>
      <c r="P36" s="152" t="s">
        <v>601</v>
      </c>
      <c r="Q36" s="123" t="s">
        <v>610</v>
      </c>
      <c r="R36" s="124" t="s">
        <v>619</v>
      </c>
      <c r="S36" s="162" t="s">
        <v>628</v>
      </c>
      <c r="T36" s="126" t="s">
        <v>636</v>
      </c>
      <c r="U36" s="127" t="s">
        <v>644</v>
      </c>
      <c r="V36" s="163" t="s">
        <v>652</v>
      </c>
      <c r="W36" s="123" t="s">
        <v>660</v>
      </c>
      <c r="X36" s="124" t="s">
        <v>668</v>
      </c>
      <c r="Y36" s="162" t="s">
        <v>676</v>
      </c>
    </row>
    <row r="37" spans="1:25" x14ac:dyDescent="0.35">
      <c r="A37" s="122" t="s">
        <v>494</v>
      </c>
      <c r="B37" s="123" t="s">
        <v>502</v>
      </c>
      <c r="C37" s="124" t="s">
        <v>508</v>
      </c>
      <c r="D37" s="158" t="s">
        <v>512</v>
      </c>
      <c r="E37" s="123" t="s">
        <v>517</v>
      </c>
      <c r="F37" s="124" t="s">
        <v>522</v>
      </c>
      <c r="G37" s="158" t="s">
        <v>528</v>
      </c>
      <c r="H37" s="123" t="s">
        <v>535</v>
      </c>
      <c r="I37" s="124" t="s">
        <v>543</v>
      </c>
      <c r="J37" s="162" t="s">
        <v>551</v>
      </c>
      <c r="K37" s="123" t="s">
        <v>559</v>
      </c>
      <c r="L37" s="124" t="s">
        <v>567</v>
      </c>
      <c r="M37" s="162" t="s">
        <v>576</v>
      </c>
      <c r="N37" s="123" t="s">
        <v>584</v>
      </c>
      <c r="O37" s="124" t="s">
        <v>593</v>
      </c>
      <c r="P37" s="158" t="s">
        <v>602</v>
      </c>
      <c r="Q37" s="123" t="s">
        <v>611</v>
      </c>
      <c r="R37" s="124" t="s">
        <v>620</v>
      </c>
      <c r="S37" s="162" t="s">
        <v>629</v>
      </c>
      <c r="T37" s="123" t="s">
        <v>637</v>
      </c>
      <c r="U37" s="124" t="s">
        <v>645</v>
      </c>
      <c r="V37" s="162" t="s">
        <v>653</v>
      </c>
      <c r="W37" s="123" t="s">
        <v>661</v>
      </c>
      <c r="X37" s="124" t="s">
        <v>669</v>
      </c>
      <c r="Y37" s="162" t="s">
        <v>677</v>
      </c>
    </row>
    <row r="38" spans="1:25" x14ac:dyDescent="0.35">
      <c r="A38" s="122" t="s">
        <v>58</v>
      </c>
      <c r="B38" s="123" t="s">
        <v>503</v>
      </c>
      <c r="C38" s="124" t="s">
        <v>509</v>
      </c>
      <c r="D38" s="158" t="s">
        <v>513</v>
      </c>
      <c r="E38" s="126" t="s">
        <v>518</v>
      </c>
      <c r="F38" s="127" t="s">
        <v>523</v>
      </c>
      <c r="G38" s="152" t="s">
        <v>529</v>
      </c>
      <c r="H38" s="126" t="s">
        <v>536</v>
      </c>
      <c r="I38" s="127" t="s">
        <v>544</v>
      </c>
      <c r="J38" s="163" t="s">
        <v>552</v>
      </c>
      <c r="K38" s="123" t="s">
        <v>560</v>
      </c>
      <c r="L38" s="124" t="s">
        <v>568</v>
      </c>
      <c r="M38" s="162" t="s">
        <v>577</v>
      </c>
      <c r="N38" s="126" t="s">
        <v>585</v>
      </c>
      <c r="O38" s="127" t="s">
        <v>594</v>
      </c>
      <c r="P38" s="152" t="s">
        <v>603</v>
      </c>
      <c r="Q38" s="123" t="s">
        <v>612</v>
      </c>
      <c r="R38" s="124" t="s">
        <v>621</v>
      </c>
      <c r="S38" s="162" t="s">
        <v>630</v>
      </c>
      <c r="T38" s="126" t="s">
        <v>638</v>
      </c>
      <c r="U38" s="127" t="s">
        <v>646</v>
      </c>
      <c r="V38" s="163" t="s">
        <v>654</v>
      </c>
      <c r="W38" s="126" t="s">
        <v>662</v>
      </c>
      <c r="X38" s="127" t="s">
        <v>670</v>
      </c>
      <c r="Y38" s="163" t="s">
        <v>678</v>
      </c>
    </row>
    <row r="39" spans="1:25" x14ac:dyDescent="0.35">
      <c r="A39" s="122" t="s">
        <v>49</v>
      </c>
      <c r="B39" s="123" t="s">
        <v>504</v>
      </c>
      <c r="C39" s="124" t="s">
        <v>510</v>
      </c>
      <c r="D39" s="158" t="s">
        <v>514</v>
      </c>
      <c r="E39" s="123" t="s">
        <v>519</v>
      </c>
      <c r="F39" s="124" t="s">
        <v>524</v>
      </c>
      <c r="G39" s="158" t="s">
        <v>530</v>
      </c>
      <c r="H39" s="123" t="s">
        <v>537</v>
      </c>
      <c r="I39" s="124" t="s">
        <v>545</v>
      </c>
      <c r="J39" s="162" t="s">
        <v>553</v>
      </c>
      <c r="K39" s="123" t="s">
        <v>561</v>
      </c>
      <c r="L39" s="124" t="s">
        <v>569</v>
      </c>
      <c r="M39" s="162" t="s">
        <v>578</v>
      </c>
      <c r="N39" s="123" t="s">
        <v>586</v>
      </c>
      <c r="O39" s="124" t="s">
        <v>595</v>
      </c>
      <c r="P39" s="158" t="s">
        <v>604</v>
      </c>
      <c r="Q39" s="123" t="s">
        <v>613</v>
      </c>
      <c r="R39" s="124" t="s">
        <v>622</v>
      </c>
      <c r="S39" s="162" t="s">
        <v>631</v>
      </c>
      <c r="T39" s="123" t="s">
        <v>639</v>
      </c>
      <c r="U39" s="124" t="s">
        <v>647</v>
      </c>
      <c r="V39" s="162" t="s">
        <v>655</v>
      </c>
      <c r="W39" s="123" t="s">
        <v>663</v>
      </c>
      <c r="X39" s="124" t="s">
        <v>671</v>
      </c>
      <c r="Y39" s="162" t="s">
        <v>679</v>
      </c>
    </row>
    <row r="40" spans="1:25" x14ac:dyDescent="0.35">
      <c r="A40" s="122" t="s">
        <v>109</v>
      </c>
      <c r="B40" s="123" t="s">
        <v>130</v>
      </c>
      <c r="C40" s="124" t="s">
        <v>130</v>
      </c>
      <c r="D40" s="158" t="s">
        <v>130</v>
      </c>
      <c r="E40" s="123" t="s">
        <v>130</v>
      </c>
      <c r="F40" s="124" t="s">
        <v>130</v>
      </c>
      <c r="G40" s="158" t="s">
        <v>130</v>
      </c>
      <c r="H40" s="123" t="s">
        <v>130</v>
      </c>
      <c r="I40" s="124" t="s">
        <v>130</v>
      </c>
      <c r="J40" s="162" t="s">
        <v>130</v>
      </c>
      <c r="K40" s="123" t="s">
        <v>141</v>
      </c>
      <c r="L40" s="124" t="s">
        <v>570</v>
      </c>
      <c r="M40" s="162" t="s">
        <v>570</v>
      </c>
      <c r="N40" s="123" t="s">
        <v>587</v>
      </c>
      <c r="O40" s="124" t="s">
        <v>596</v>
      </c>
      <c r="P40" s="158" t="s">
        <v>605</v>
      </c>
      <c r="Q40" s="123" t="s">
        <v>614</v>
      </c>
      <c r="R40" s="124" t="s">
        <v>623</v>
      </c>
      <c r="S40" s="162" t="s">
        <v>632</v>
      </c>
      <c r="T40" s="123" t="s">
        <v>640</v>
      </c>
      <c r="U40" s="124" t="s">
        <v>648</v>
      </c>
      <c r="V40" s="162" t="s">
        <v>656</v>
      </c>
      <c r="W40" s="123" t="s">
        <v>664</v>
      </c>
      <c r="X40" s="124" t="s">
        <v>672</v>
      </c>
      <c r="Y40" s="162" t="s">
        <v>680</v>
      </c>
    </row>
    <row r="41" spans="1:25" x14ac:dyDescent="0.35">
      <c r="A41" s="122" t="s">
        <v>50</v>
      </c>
      <c r="B41" s="123" t="s">
        <v>505</v>
      </c>
      <c r="C41" s="124" t="s">
        <v>505</v>
      </c>
      <c r="D41" s="158" t="s">
        <v>515</v>
      </c>
      <c r="E41" s="123" t="s">
        <v>515</v>
      </c>
      <c r="F41" s="124" t="s">
        <v>525</v>
      </c>
      <c r="G41" s="158" t="s">
        <v>531</v>
      </c>
      <c r="H41" s="123" t="s">
        <v>538</v>
      </c>
      <c r="I41" s="124" t="s">
        <v>546</v>
      </c>
      <c r="J41" s="162" t="s">
        <v>554</v>
      </c>
      <c r="K41" s="123" t="s">
        <v>562</v>
      </c>
      <c r="L41" s="124" t="s">
        <v>571</v>
      </c>
      <c r="M41" s="162" t="s">
        <v>579</v>
      </c>
      <c r="N41" s="123" t="s">
        <v>588</v>
      </c>
      <c r="O41" s="124" t="s">
        <v>597</v>
      </c>
      <c r="P41" s="158" t="s">
        <v>606</v>
      </c>
      <c r="Q41" s="123" t="s">
        <v>615</v>
      </c>
      <c r="R41" s="124" t="s">
        <v>624</v>
      </c>
      <c r="S41" s="162" t="s">
        <v>633</v>
      </c>
      <c r="T41" s="123" t="s">
        <v>641</v>
      </c>
      <c r="U41" s="124" t="s">
        <v>649</v>
      </c>
      <c r="V41" s="162" t="s">
        <v>657</v>
      </c>
      <c r="W41" s="126" t="s">
        <v>665</v>
      </c>
      <c r="X41" s="127" t="s">
        <v>673</v>
      </c>
      <c r="Y41" s="163" t="s">
        <v>681</v>
      </c>
    </row>
    <row r="42" spans="1:25" x14ac:dyDescent="0.35">
      <c r="A42" s="122" t="s">
        <v>500</v>
      </c>
      <c r="B42" s="123" t="s">
        <v>138</v>
      </c>
      <c r="C42" s="124" t="s">
        <v>138</v>
      </c>
      <c r="D42" s="158" t="s">
        <v>138</v>
      </c>
      <c r="E42" s="123" t="s">
        <v>128</v>
      </c>
      <c r="F42" s="124" t="s">
        <v>138</v>
      </c>
      <c r="G42" s="158" t="s">
        <v>532</v>
      </c>
      <c r="H42" s="123" t="s">
        <v>539</v>
      </c>
      <c r="I42" s="124" t="s">
        <v>547</v>
      </c>
      <c r="J42" s="162" t="s">
        <v>555</v>
      </c>
      <c r="K42" s="123" t="s">
        <v>563</v>
      </c>
      <c r="L42" s="124" t="s">
        <v>572</v>
      </c>
      <c r="M42" s="162" t="s">
        <v>580</v>
      </c>
      <c r="N42" s="123" t="s">
        <v>589</v>
      </c>
      <c r="O42" s="124" t="s">
        <v>598</v>
      </c>
      <c r="P42" s="158" t="s">
        <v>607</v>
      </c>
      <c r="Q42" s="123" t="s">
        <v>616</v>
      </c>
      <c r="R42" s="124" t="s">
        <v>625</v>
      </c>
      <c r="S42" s="162" t="s">
        <v>634</v>
      </c>
      <c r="T42" s="123" t="s">
        <v>642</v>
      </c>
      <c r="U42" s="124" t="s">
        <v>650</v>
      </c>
      <c r="V42" s="162" t="s">
        <v>658</v>
      </c>
      <c r="W42" s="123" t="s">
        <v>666</v>
      </c>
      <c r="X42" s="124" t="s">
        <v>674</v>
      </c>
      <c r="Y42" s="162" t="s">
        <v>682</v>
      </c>
    </row>
    <row r="43" spans="1:25" x14ac:dyDescent="0.35">
      <c r="A43" s="122" t="s">
        <v>495</v>
      </c>
      <c r="B43" s="123" t="s">
        <v>506</v>
      </c>
      <c r="C43" s="124" t="s">
        <v>511</v>
      </c>
      <c r="D43" s="158" t="s">
        <v>516</v>
      </c>
      <c r="E43" s="123" t="s">
        <v>520</v>
      </c>
      <c r="F43" s="124" t="s">
        <v>526</v>
      </c>
      <c r="G43" s="158" t="s">
        <v>533</v>
      </c>
      <c r="H43" s="123" t="s">
        <v>540</v>
      </c>
      <c r="I43" s="124" t="s">
        <v>548</v>
      </c>
      <c r="J43" s="162" t="s">
        <v>556</v>
      </c>
      <c r="K43" s="123" t="s">
        <v>564</v>
      </c>
      <c r="L43" s="124" t="s">
        <v>573</v>
      </c>
      <c r="M43" s="162" t="s">
        <v>581</v>
      </c>
      <c r="N43" s="123" t="s">
        <v>590</v>
      </c>
      <c r="O43" s="124" t="s">
        <v>599</v>
      </c>
      <c r="P43" s="158" t="s">
        <v>608</v>
      </c>
      <c r="Q43" s="123" t="s">
        <v>617</v>
      </c>
      <c r="R43" s="124" t="s">
        <v>626</v>
      </c>
      <c r="S43" s="162" t="s">
        <v>635</v>
      </c>
      <c r="T43" s="126" t="s">
        <v>643</v>
      </c>
      <c r="U43" s="127" t="s">
        <v>651</v>
      </c>
      <c r="V43" s="163" t="s">
        <v>659</v>
      </c>
      <c r="W43" s="123" t="s">
        <v>667</v>
      </c>
      <c r="X43" s="124" t="s">
        <v>675</v>
      </c>
      <c r="Y43" s="162" t="s">
        <v>683</v>
      </c>
    </row>
    <row r="44" spans="1:25" x14ac:dyDescent="0.35">
      <c r="A44" s="122" t="s">
        <v>496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CI137"/>
  <sheetViews>
    <sheetView zoomScaleNormal="100" zoomScaleSheetLayoutView="25" workbookViewId="0">
      <selection activeCell="E3" sqref="E3:BR23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20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4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18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18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18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18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18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18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/>
      <c r="F10" s="112"/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18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18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18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18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18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18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18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18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13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79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79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79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79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79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98">
        <v>1</v>
      </c>
      <c r="F33" s="102">
        <f>IF(G3&gt;F3,1,0)</f>
        <v>0</v>
      </c>
      <c r="G33" s="102">
        <f t="shared" ref="G33:BR33" si="3">IF(H3&gt;G3,1,0)</f>
        <v>0</v>
      </c>
      <c r="H33" s="102">
        <f t="shared" si="3"/>
        <v>0</v>
      </c>
      <c r="I33" s="102">
        <f t="shared" si="3"/>
        <v>0</v>
      </c>
      <c r="J33" s="102">
        <f t="shared" si="3"/>
        <v>0</v>
      </c>
      <c r="K33" s="102">
        <f t="shared" si="3"/>
        <v>0</v>
      </c>
      <c r="L33" s="102">
        <f t="shared" si="3"/>
        <v>0</v>
      </c>
      <c r="M33" s="102">
        <f t="shared" si="3"/>
        <v>0</v>
      </c>
      <c r="N33" s="102">
        <f t="shared" si="3"/>
        <v>0</v>
      </c>
      <c r="O33" s="102">
        <f t="shared" si="3"/>
        <v>0</v>
      </c>
      <c r="P33" s="102">
        <f t="shared" si="3"/>
        <v>0</v>
      </c>
      <c r="Q33" s="102">
        <f t="shared" si="3"/>
        <v>0</v>
      </c>
      <c r="R33" s="102">
        <f t="shared" si="3"/>
        <v>0</v>
      </c>
      <c r="S33" s="102">
        <f t="shared" si="3"/>
        <v>0</v>
      </c>
      <c r="T33" s="102">
        <f t="shared" si="3"/>
        <v>0</v>
      </c>
      <c r="U33" s="102">
        <f t="shared" si="3"/>
        <v>0</v>
      </c>
      <c r="V33" s="102">
        <f t="shared" si="3"/>
        <v>0</v>
      </c>
      <c r="W33" s="102">
        <f t="shared" si="3"/>
        <v>0</v>
      </c>
      <c r="X33" s="102">
        <f t="shared" si="3"/>
        <v>0</v>
      </c>
      <c r="Y33" s="102">
        <f t="shared" si="3"/>
        <v>0</v>
      </c>
      <c r="Z33" s="102">
        <f t="shared" si="3"/>
        <v>0</v>
      </c>
      <c r="AA33" s="102">
        <f t="shared" si="3"/>
        <v>0</v>
      </c>
      <c r="AB33" s="102">
        <f t="shared" si="3"/>
        <v>0</v>
      </c>
      <c r="AC33" s="102">
        <f t="shared" si="3"/>
        <v>0</v>
      </c>
      <c r="AD33" s="102">
        <f t="shared" si="3"/>
        <v>0</v>
      </c>
      <c r="AE33" s="102">
        <f t="shared" si="3"/>
        <v>0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0</v>
      </c>
      <c r="C34" s="104" t="s">
        <v>26</v>
      </c>
      <c r="D34" s="44">
        <v>15</v>
      </c>
      <c r="E34" s="11">
        <f ca="1">OFFSET($E$3:$AL$3,$D34,0)</f>
        <v>0</v>
      </c>
      <c r="F34" s="14">
        <f ca="1">OFFSET($E$3:$BR$3,$D34,0)</f>
        <v>0</v>
      </c>
      <c r="G34" s="14">
        <f t="shared" ref="G34:BR37" ca="1" si="4">OFFSET($E$3:$BR$3,$D34,0)</f>
        <v>0</v>
      </c>
      <c r="H34" s="14">
        <f t="shared" ca="1" si="4"/>
        <v>0</v>
      </c>
      <c r="I34" s="14">
        <f t="shared" ca="1" si="4"/>
        <v>0</v>
      </c>
      <c r="J34" s="14">
        <f t="shared" ca="1" si="4"/>
        <v>0</v>
      </c>
      <c r="K34" s="14">
        <f t="shared" ca="1" si="4"/>
        <v>0</v>
      </c>
      <c r="L34" s="14">
        <f t="shared" ca="1" si="4"/>
        <v>0</v>
      </c>
      <c r="M34" s="14">
        <f t="shared" ca="1" si="4"/>
        <v>0</v>
      </c>
      <c r="N34" s="14">
        <f t="shared" ca="1" si="4"/>
        <v>0</v>
      </c>
      <c r="O34" s="14">
        <f t="shared" ca="1" si="4"/>
        <v>0</v>
      </c>
      <c r="P34" s="14">
        <f t="shared" ca="1" si="4"/>
        <v>0</v>
      </c>
      <c r="Q34" s="14">
        <f t="shared" ca="1" si="4"/>
        <v>0</v>
      </c>
      <c r="R34" s="14">
        <f t="shared" ca="1" si="4"/>
        <v>0</v>
      </c>
      <c r="S34" s="14">
        <f t="shared" ca="1" si="4"/>
        <v>0</v>
      </c>
      <c r="T34" s="14">
        <f t="shared" ca="1" si="4"/>
        <v>0</v>
      </c>
      <c r="U34" s="14">
        <f t="shared" ca="1" si="4"/>
        <v>0</v>
      </c>
      <c r="V34" s="14">
        <f t="shared" ca="1" si="4"/>
        <v>0</v>
      </c>
      <c r="W34" s="14">
        <f t="shared" ca="1" si="4"/>
        <v>0</v>
      </c>
      <c r="X34" s="14">
        <f t="shared" ca="1" si="4"/>
        <v>0</v>
      </c>
      <c r="Y34" s="14">
        <f t="shared" ca="1" si="4"/>
        <v>0</v>
      </c>
      <c r="Z34" s="14">
        <f t="shared" ca="1" si="4"/>
        <v>0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95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5">IF(E35=C35,1,0)</f>
        <v>#N/A</v>
      </c>
      <c r="C35" s="104" t="s">
        <v>5</v>
      </c>
      <c r="D35" s="44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 t="e">
        <f t="shared" ca="1" si="4"/>
        <v>#N/A</v>
      </c>
      <c r="AN35" s="14" t="e">
        <f t="shared" ca="1" si="4"/>
        <v>#N/A</v>
      </c>
      <c r="AO35" s="14" t="e">
        <f t="shared" ca="1" si="4"/>
        <v>#N/A</v>
      </c>
      <c r="AP35" s="14" t="e">
        <f t="shared" ca="1" si="4"/>
        <v>#N/A</v>
      </c>
      <c r="AQ35" s="14" t="e">
        <f t="shared" ca="1" si="4"/>
        <v>#N/A</v>
      </c>
      <c r="AR35" s="14" t="e">
        <f t="shared" ca="1" si="4"/>
        <v>#N/A</v>
      </c>
      <c r="AS35" s="14" t="e">
        <f t="shared" ca="1" si="4"/>
        <v>#N/A</v>
      </c>
      <c r="AT35" s="14" t="e">
        <f t="shared" ca="1" si="4"/>
        <v>#N/A</v>
      </c>
      <c r="AU35" s="14" t="e">
        <f t="shared" ca="1" si="4"/>
        <v>#N/A</v>
      </c>
      <c r="AV35" s="14" t="e">
        <f t="shared" ca="1" si="4"/>
        <v>#N/A</v>
      </c>
      <c r="AW35" s="14" t="e">
        <f t="shared" ca="1" si="4"/>
        <v>#N/A</v>
      </c>
      <c r="AX35" s="14" t="e">
        <f t="shared" ca="1" si="4"/>
        <v>#N/A</v>
      </c>
      <c r="AY35" s="14" t="e">
        <f t="shared" ca="1" si="4"/>
        <v>#N/A</v>
      </c>
      <c r="AZ35" s="14" t="e">
        <f t="shared" ca="1" si="4"/>
        <v>#N/A</v>
      </c>
      <c r="BA35" s="14" t="e">
        <f t="shared" ca="1" si="4"/>
        <v>#N/A</v>
      </c>
      <c r="BB35" s="14" t="e">
        <f t="shared" ca="1" si="4"/>
        <v>#N/A</v>
      </c>
      <c r="BC35" s="14" t="e">
        <f t="shared" ca="1" si="4"/>
        <v>#N/A</v>
      </c>
      <c r="BD35" s="14" t="e">
        <f t="shared" ca="1" si="4"/>
        <v>#N/A</v>
      </c>
      <c r="BE35" s="14" t="e">
        <f t="shared" ca="1" si="4"/>
        <v>#N/A</v>
      </c>
      <c r="BF35" s="14" t="e">
        <f t="shared" ca="1" si="4"/>
        <v>#N/A</v>
      </c>
      <c r="BG35" s="14" t="e">
        <f t="shared" ca="1" si="4"/>
        <v>#N/A</v>
      </c>
      <c r="BH35" s="14" t="e">
        <f t="shared" ca="1" si="4"/>
        <v>#N/A</v>
      </c>
      <c r="BI35" s="14" t="e">
        <f t="shared" ca="1" si="4"/>
        <v>#N/A</v>
      </c>
      <c r="BJ35" s="14" t="e">
        <f t="shared" ca="1" si="4"/>
        <v>#N/A</v>
      </c>
      <c r="BK35" s="14" t="e">
        <f t="shared" ca="1" si="4"/>
        <v>#N/A</v>
      </c>
      <c r="BL35" s="14" t="e">
        <f t="shared" ca="1" si="4"/>
        <v>#N/A</v>
      </c>
      <c r="BM35" s="14" t="e">
        <f t="shared" ca="1" si="4"/>
        <v>#N/A</v>
      </c>
      <c r="BN35" s="14" t="e">
        <f t="shared" ca="1" si="4"/>
        <v>#N/A</v>
      </c>
      <c r="BO35" s="14" t="e">
        <f t="shared" ca="1" si="4"/>
        <v>#N/A</v>
      </c>
      <c r="BP35" s="14" t="e">
        <f t="shared" ca="1" si="4"/>
        <v>#N/A</v>
      </c>
      <c r="BQ35" s="14" t="e">
        <f t="shared" ca="1" si="4"/>
        <v>#N/A</v>
      </c>
      <c r="BR35" s="14" t="e">
        <f t="shared" ca="1" si="4"/>
        <v>#N/A</v>
      </c>
      <c r="BS35" s="95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5"/>
        <v>#N/A</v>
      </c>
      <c r="C36" s="104" t="s">
        <v>6</v>
      </c>
      <c r="D36" s="44" t="e">
        <f t="shared" si="6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 t="e">
        <f t="shared" ca="1" si="4"/>
        <v>#N/A</v>
      </c>
      <c r="AN36" s="14" t="e">
        <f t="shared" ca="1" si="4"/>
        <v>#N/A</v>
      </c>
      <c r="AO36" s="14" t="e">
        <f t="shared" ca="1" si="4"/>
        <v>#N/A</v>
      </c>
      <c r="AP36" s="14" t="e">
        <f t="shared" ca="1" si="4"/>
        <v>#N/A</v>
      </c>
      <c r="AQ36" s="14" t="e">
        <f t="shared" ca="1" si="4"/>
        <v>#N/A</v>
      </c>
      <c r="AR36" s="14" t="e">
        <f t="shared" ca="1" si="4"/>
        <v>#N/A</v>
      </c>
      <c r="AS36" s="14" t="e">
        <f t="shared" ca="1" si="4"/>
        <v>#N/A</v>
      </c>
      <c r="AT36" s="14" t="e">
        <f t="shared" ca="1" si="4"/>
        <v>#N/A</v>
      </c>
      <c r="AU36" s="14" t="e">
        <f t="shared" ca="1" si="4"/>
        <v>#N/A</v>
      </c>
      <c r="AV36" s="14" t="e">
        <f t="shared" ca="1" si="4"/>
        <v>#N/A</v>
      </c>
      <c r="AW36" s="14" t="e">
        <f t="shared" ca="1" si="4"/>
        <v>#N/A</v>
      </c>
      <c r="AX36" s="14" t="e">
        <f t="shared" ca="1" si="4"/>
        <v>#N/A</v>
      </c>
      <c r="AY36" s="14" t="e">
        <f t="shared" ca="1" si="4"/>
        <v>#N/A</v>
      </c>
      <c r="AZ36" s="14" t="e">
        <f t="shared" ca="1" si="4"/>
        <v>#N/A</v>
      </c>
      <c r="BA36" s="14" t="e">
        <f t="shared" ca="1" si="4"/>
        <v>#N/A</v>
      </c>
      <c r="BB36" s="14" t="e">
        <f t="shared" ca="1" si="4"/>
        <v>#N/A</v>
      </c>
      <c r="BC36" s="14" t="e">
        <f t="shared" ca="1" si="4"/>
        <v>#N/A</v>
      </c>
      <c r="BD36" s="14" t="e">
        <f t="shared" ca="1" si="4"/>
        <v>#N/A</v>
      </c>
      <c r="BE36" s="14" t="e">
        <f t="shared" ca="1" si="4"/>
        <v>#N/A</v>
      </c>
      <c r="BF36" s="14" t="e">
        <f t="shared" ca="1" si="4"/>
        <v>#N/A</v>
      </c>
      <c r="BG36" s="14" t="e">
        <f t="shared" ca="1" si="4"/>
        <v>#N/A</v>
      </c>
      <c r="BH36" s="14" t="e">
        <f t="shared" ca="1" si="4"/>
        <v>#N/A</v>
      </c>
      <c r="BI36" s="14" t="e">
        <f t="shared" ca="1" si="4"/>
        <v>#N/A</v>
      </c>
      <c r="BJ36" s="14" t="e">
        <f t="shared" ca="1" si="4"/>
        <v>#N/A</v>
      </c>
      <c r="BK36" s="14" t="e">
        <f t="shared" ca="1" si="4"/>
        <v>#N/A</v>
      </c>
      <c r="BL36" s="14" t="e">
        <f t="shared" ca="1" si="4"/>
        <v>#N/A</v>
      </c>
      <c r="BM36" s="14" t="e">
        <f t="shared" ca="1" si="4"/>
        <v>#N/A</v>
      </c>
      <c r="BN36" s="14" t="e">
        <f t="shared" ca="1" si="4"/>
        <v>#N/A</v>
      </c>
      <c r="BO36" s="14" t="e">
        <f t="shared" ca="1" si="4"/>
        <v>#N/A</v>
      </c>
      <c r="BP36" s="14" t="e">
        <f t="shared" ca="1" si="4"/>
        <v>#N/A</v>
      </c>
      <c r="BQ36" s="14" t="e">
        <f t="shared" ca="1" si="4"/>
        <v>#N/A</v>
      </c>
      <c r="BR36" s="14" t="e">
        <f t="shared" ca="1" si="4"/>
        <v>#N/A</v>
      </c>
      <c r="BS36" s="95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5"/>
        <v>#N/A</v>
      </c>
      <c r="C37" s="104" t="s">
        <v>7</v>
      </c>
      <c r="D37" s="44" t="e">
        <f t="shared" si="6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14" t="e">
        <f t="shared" ca="1" si="4"/>
        <v>#N/A</v>
      </c>
      <c r="AN37" s="14" t="e">
        <f t="shared" ca="1" si="4"/>
        <v>#N/A</v>
      </c>
      <c r="AO37" s="14" t="e">
        <f t="shared" ca="1" si="4"/>
        <v>#N/A</v>
      </c>
      <c r="AP37" s="14" t="e">
        <f t="shared" ca="1" si="4"/>
        <v>#N/A</v>
      </c>
      <c r="AQ37" s="14" t="e">
        <f t="shared" ca="1" si="4"/>
        <v>#N/A</v>
      </c>
      <c r="AR37" s="14" t="e">
        <f t="shared" ca="1" si="4"/>
        <v>#N/A</v>
      </c>
      <c r="AS37" s="14" t="e">
        <f t="shared" ca="1" si="4"/>
        <v>#N/A</v>
      </c>
      <c r="AT37" s="14" t="e">
        <f t="shared" ca="1" si="4"/>
        <v>#N/A</v>
      </c>
      <c r="AU37" s="14" t="e">
        <f t="shared" ca="1" si="4"/>
        <v>#N/A</v>
      </c>
      <c r="AV37" s="14" t="e">
        <f t="shared" ca="1" si="4"/>
        <v>#N/A</v>
      </c>
      <c r="AW37" s="14" t="e">
        <f t="shared" ca="1" si="4"/>
        <v>#N/A</v>
      </c>
      <c r="AX37" s="14" t="e">
        <f t="shared" ca="1" si="4"/>
        <v>#N/A</v>
      </c>
      <c r="AY37" s="14" t="e">
        <f t="shared" ca="1" si="4"/>
        <v>#N/A</v>
      </c>
      <c r="AZ37" s="14" t="e">
        <f t="shared" ca="1" si="4"/>
        <v>#N/A</v>
      </c>
      <c r="BA37" s="14" t="e">
        <f t="shared" ca="1" si="4"/>
        <v>#N/A</v>
      </c>
      <c r="BB37" s="14" t="e">
        <f t="shared" ca="1" si="4"/>
        <v>#N/A</v>
      </c>
      <c r="BC37" s="14" t="e">
        <f t="shared" ca="1" si="4"/>
        <v>#N/A</v>
      </c>
      <c r="BD37" s="14" t="e">
        <f t="shared" ca="1" si="4"/>
        <v>#N/A</v>
      </c>
      <c r="BE37" s="14" t="e">
        <f t="shared" ca="1" si="4"/>
        <v>#N/A</v>
      </c>
      <c r="BF37" s="14" t="e">
        <f t="shared" ca="1" si="4"/>
        <v>#N/A</v>
      </c>
      <c r="BG37" s="14" t="e">
        <f t="shared" ca="1" si="4"/>
        <v>#N/A</v>
      </c>
      <c r="BH37" s="14" t="e">
        <f t="shared" ca="1" si="4"/>
        <v>#N/A</v>
      </c>
      <c r="BI37" s="14" t="e">
        <f t="shared" ca="1" si="4"/>
        <v>#N/A</v>
      </c>
      <c r="BJ37" s="14" t="e">
        <f t="shared" ca="1" si="4"/>
        <v>#N/A</v>
      </c>
      <c r="BK37" s="14" t="e">
        <f t="shared" ca="1" si="4"/>
        <v>#N/A</v>
      </c>
      <c r="BL37" s="14" t="e">
        <f t="shared" ca="1" si="4"/>
        <v>#N/A</v>
      </c>
      <c r="BM37" s="14" t="e">
        <f t="shared" ca="1" si="4"/>
        <v>#N/A</v>
      </c>
      <c r="BN37" s="14" t="e">
        <f t="shared" ca="1" si="4"/>
        <v>#N/A</v>
      </c>
      <c r="BO37" s="14" t="e">
        <f t="shared" ca="1" si="4"/>
        <v>#N/A</v>
      </c>
      <c r="BP37" s="14" t="e">
        <f t="shared" ca="1" si="4"/>
        <v>#N/A</v>
      </c>
      <c r="BQ37" s="14" t="e">
        <f t="shared" ca="1" si="4"/>
        <v>#N/A</v>
      </c>
      <c r="BR37" s="14" t="e">
        <f t="shared" ca="1" si="4"/>
        <v>#N/A</v>
      </c>
      <c r="BS37" s="95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4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 t="e">
        <f t="shared" ref="F41:BQ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 t="e">
        <f t="shared" ca="1" si="10"/>
        <v>#N/A</v>
      </c>
      <c r="AN41" s="10" t="e">
        <f t="shared" ca="1" si="10"/>
        <v>#N/A</v>
      </c>
      <c r="AO41" s="10" t="e">
        <f t="shared" ca="1" si="10"/>
        <v>#N/A</v>
      </c>
      <c r="AP41" s="10" t="e">
        <f t="shared" ca="1" si="10"/>
        <v>#N/A</v>
      </c>
      <c r="AQ41" s="10" t="e">
        <f t="shared" ca="1" si="10"/>
        <v>#N/A</v>
      </c>
      <c r="AR41" s="10" t="e">
        <f t="shared" ca="1" si="10"/>
        <v>#N/A</v>
      </c>
      <c r="AS41" s="10" t="e">
        <f t="shared" ca="1" si="10"/>
        <v>#N/A</v>
      </c>
      <c r="AT41" s="10" t="e">
        <f t="shared" ca="1" si="10"/>
        <v>#N/A</v>
      </c>
      <c r="AU41" s="10" t="e">
        <f t="shared" ca="1" si="10"/>
        <v>#N/A</v>
      </c>
      <c r="AV41" s="10" t="e">
        <f t="shared" ca="1" si="10"/>
        <v>#N/A</v>
      </c>
      <c r="AW41" s="10" t="e">
        <f t="shared" ca="1" si="10"/>
        <v>#N/A</v>
      </c>
      <c r="AX41" s="10" t="e">
        <f t="shared" ca="1" si="10"/>
        <v>#N/A</v>
      </c>
      <c r="AY41" s="10" t="e">
        <f t="shared" ca="1" si="10"/>
        <v>#N/A</v>
      </c>
      <c r="AZ41" s="10" t="e">
        <f t="shared" ca="1" si="10"/>
        <v>#N/A</v>
      </c>
      <c r="BA41" s="10" t="e">
        <f t="shared" ca="1" si="10"/>
        <v>#N/A</v>
      </c>
      <c r="BB41" s="10" t="e">
        <f t="shared" ca="1" si="10"/>
        <v>#N/A</v>
      </c>
      <c r="BC41" s="10" t="e">
        <f t="shared" ca="1" si="10"/>
        <v>#N/A</v>
      </c>
      <c r="BD41" s="10" t="e">
        <f t="shared" ca="1" si="10"/>
        <v>#N/A</v>
      </c>
      <c r="BE41" s="10" t="e">
        <f t="shared" ca="1" si="10"/>
        <v>#N/A</v>
      </c>
      <c r="BF41" s="10" t="e">
        <f t="shared" ca="1" si="10"/>
        <v>#N/A</v>
      </c>
      <c r="BG41" s="10" t="e">
        <f t="shared" ca="1" si="10"/>
        <v>#N/A</v>
      </c>
      <c r="BH41" s="10" t="e">
        <f t="shared" ca="1" si="10"/>
        <v>#N/A</v>
      </c>
      <c r="BI41" s="10" t="e">
        <f t="shared" ca="1" si="10"/>
        <v>#N/A</v>
      </c>
      <c r="BJ41" s="10" t="e">
        <f t="shared" ca="1" si="10"/>
        <v>#N/A</v>
      </c>
      <c r="BK41" s="10" t="e">
        <f t="shared" ca="1" si="10"/>
        <v>#N/A</v>
      </c>
      <c r="BL41" s="10" t="e">
        <f t="shared" ca="1" si="10"/>
        <v>#N/A</v>
      </c>
      <c r="BM41" s="10" t="e">
        <f t="shared" ca="1" si="10"/>
        <v>#N/A</v>
      </c>
      <c r="BN41" s="10" t="e">
        <f t="shared" ca="1" si="10"/>
        <v>#N/A</v>
      </c>
      <c r="BO41" s="10" t="e">
        <f t="shared" ca="1" si="10"/>
        <v>#N/A</v>
      </c>
      <c r="BP41" s="10" t="e">
        <f t="shared" ca="1" si="10"/>
        <v>#N/A</v>
      </c>
      <c r="BQ41" s="10" t="e">
        <f t="shared" ca="1" si="10"/>
        <v>#N/A</v>
      </c>
      <c r="BR41" s="10" t="e">
        <f t="shared" ref="BR41" ca="1" si="11">($B$41*H.Ge+$C$41*H.Ga+$D$41*H.Se)*BR$40*$B$2/1000</f>
        <v>#N/A</v>
      </c>
      <c r="BS41" s="10"/>
    </row>
    <row r="42" spans="1:87" ht="176.25" hidden="1" customHeight="1" outlineLevel="1" x14ac:dyDescent="0.35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</row>
    <row r="43" spans="1:87" ht="21" customHeight="1" collapsed="1" thickTop="1" x14ac:dyDescent="0.35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14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14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14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14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14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14"/>
    </row>
    <row r="52" spans="1:71" ht="2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14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14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14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1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1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1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14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1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1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1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1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1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1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1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1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1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1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1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1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1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1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1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1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35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 x14ac:dyDescent="0.35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>
        <f t="shared" ref="F80" si="32">F4*$C$78</f>
        <v>0</v>
      </c>
      <c r="G80" s="14">
        <f t="shared" ref="G80:BR80" si="33">G4*$C$78</f>
        <v>0</v>
      </c>
      <c r="H80" s="14">
        <f t="shared" si="33"/>
        <v>0</v>
      </c>
      <c r="I80" s="14">
        <f t="shared" si="33"/>
        <v>0</v>
      </c>
      <c r="J80" s="14">
        <f t="shared" si="33"/>
        <v>0</v>
      </c>
      <c r="K80" s="14">
        <f t="shared" si="33"/>
        <v>0</v>
      </c>
      <c r="L80" s="14">
        <f t="shared" si="33"/>
        <v>0</v>
      </c>
      <c r="M80" s="14">
        <f t="shared" si="33"/>
        <v>0</v>
      </c>
      <c r="N80" s="14">
        <f t="shared" si="33"/>
        <v>0</v>
      </c>
      <c r="O80" s="14">
        <f t="shared" si="33"/>
        <v>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0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0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0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0</v>
      </c>
      <c r="P86" s="14">
        <f t="shared" si="46"/>
        <v>0</v>
      </c>
      <c r="Q86" s="14">
        <f t="shared" si="46"/>
        <v>0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0</v>
      </c>
      <c r="P87" s="14">
        <f t="shared" si="48"/>
        <v>0</v>
      </c>
      <c r="Q87" s="14">
        <f t="shared" si="48"/>
        <v>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0</v>
      </c>
      <c r="P88" s="14">
        <f t="shared" si="50"/>
        <v>0</v>
      </c>
      <c r="Q88" s="14">
        <f t="shared" si="50"/>
        <v>0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0</v>
      </c>
      <c r="P89" s="14">
        <f t="shared" si="52"/>
        <v>0</v>
      </c>
      <c r="Q89" s="14">
        <f t="shared" si="52"/>
        <v>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0</v>
      </c>
      <c r="P90" s="14">
        <f t="shared" si="54"/>
        <v>0</v>
      </c>
      <c r="Q90" s="14">
        <f t="shared" si="54"/>
        <v>0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0</v>
      </c>
      <c r="O91" s="14">
        <f t="shared" si="56"/>
        <v>0</v>
      </c>
      <c r="P91" s="14">
        <f t="shared" si="56"/>
        <v>0</v>
      </c>
      <c r="Q91" s="14">
        <f t="shared" si="56"/>
        <v>0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0</v>
      </c>
      <c r="M92" s="14">
        <f t="shared" si="58"/>
        <v>0</v>
      </c>
      <c r="N92" s="14">
        <f t="shared" si="58"/>
        <v>0</v>
      </c>
      <c r="O92" s="14">
        <f t="shared" si="58"/>
        <v>0</v>
      </c>
      <c r="P92" s="14">
        <f t="shared" si="58"/>
        <v>0</v>
      </c>
      <c r="Q92" s="14">
        <f t="shared" si="58"/>
        <v>0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0</v>
      </c>
      <c r="I93" s="14">
        <f t="shared" si="60"/>
        <v>0</v>
      </c>
      <c r="J93" s="14">
        <f t="shared" si="60"/>
        <v>0</v>
      </c>
      <c r="K93" s="14">
        <f t="shared" si="60"/>
        <v>0</v>
      </c>
      <c r="L93" s="14">
        <f t="shared" si="60"/>
        <v>0</v>
      </c>
      <c r="M93" s="14">
        <f t="shared" si="60"/>
        <v>0</v>
      </c>
      <c r="N93" s="14">
        <f t="shared" si="60"/>
        <v>0</v>
      </c>
      <c r="O93" s="14">
        <f t="shared" si="60"/>
        <v>0</v>
      </c>
      <c r="P93" s="14">
        <f t="shared" si="60"/>
        <v>0</v>
      </c>
      <c r="Q93" s="14">
        <f t="shared" si="60"/>
        <v>0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>
        <f t="shared" ref="F94" si="61">F18*$C$78</f>
        <v>0</v>
      </c>
      <c r="G94" s="14">
        <f t="shared" ref="G94:BR94" si="62">G18*$C$78</f>
        <v>0</v>
      </c>
      <c r="H94" s="14">
        <f t="shared" si="62"/>
        <v>0</v>
      </c>
      <c r="I94" s="14">
        <f t="shared" si="62"/>
        <v>0</v>
      </c>
      <c r="J94" s="14">
        <f t="shared" si="62"/>
        <v>0</v>
      </c>
      <c r="K94" s="14">
        <f t="shared" si="62"/>
        <v>0</v>
      </c>
      <c r="L94" s="14">
        <f t="shared" si="62"/>
        <v>0</v>
      </c>
      <c r="M94" s="14">
        <f t="shared" si="62"/>
        <v>0</v>
      </c>
      <c r="N94" s="14">
        <f t="shared" si="62"/>
        <v>0</v>
      </c>
      <c r="O94" s="14">
        <f t="shared" si="62"/>
        <v>0</v>
      </c>
      <c r="P94" s="14">
        <f t="shared" si="62"/>
        <v>0</v>
      </c>
      <c r="Q94" s="14">
        <f t="shared" si="62"/>
        <v>0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0</v>
      </c>
      <c r="I95" s="14">
        <f t="shared" si="64"/>
        <v>0</v>
      </c>
      <c r="J95" s="14">
        <f t="shared" si="64"/>
        <v>0</v>
      </c>
      <c r="K95" s="14">
        <f t="shared" si="64"/>
        <v>0</v>
      </c>
      <c r="L95" s="14">
        <f t="shared" si="64"/>
        <v>0</v>
      </c>
      <c r="M95" s="14">
        <f t="shared" si="64"/>
        <v>0</v>
      </c>
      <c r="N95" s="14">
        <f t="shared" si="64"/>
        <v>0</v>
      </c>
      <c r="O95" s="14">
        <f t="shared" si="64"/>
        <v>0</v>
      </c>
      <c r="P95" s="14">
        <f t="shared" si="64"/>
        <v>0</v>
      </c>
      <c r="Q95" s="14">
        <f t="shared" si="64"/>
        <v>0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 x14ac:dyDescent="0.35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 x14ac:dyDescent="0.4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hidden="1" customHeight="1" outlineLevel="1" thickTop="1" thickBot="1" x14ac:dyDescent="0.4">
      <c r="A113" s="119"/>
      <c r="B113" s="119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 ca="1">F$113*$B$2*SUMPRODUCT(F$90:F$92,F$56:F$58)/1000</f>
        <v>#N/A</v>
      </c>
      <c r="G114" s="46" t="e">
        <f t="shared" ref="G114:AL114" ca="1" si="93">G$113*$B$2*SUMPRODUCT(G$90:G$92,G$56:G$58)/1000</f>
        <v>#N/A</v>
      </c>
      <c r="H114" s="46" t="e">
        <f t="shared" ca="1" si="93"/>
        <v>#N/A</v>
      </c>
      <c r="I114" s="46" t="e">
        <f t="shared" ca="1" si="93"/>
        <v>#N/A</v>
      </c>
      <c r="J114" s="46" t="e">
        <f t="shared" ca="1" si="93"/>
        <v>#N/A</v>
      </c>
      <c r="K114" s="46" t="e">
        <f t="shared" ca="1" si="93"/>
        <v>#N/A</v>
      </c>
      <c r="L114" s="46" t="e">
        <f t="shared" ca="1" si="93"/>
        <v>#N/A</v>
      </c>
      <c r="M114" s="46" t="e">
        <f t="shared" ca="1" si="93"/>
        <v>#N/A</v>
      </c>
      <c r="N114" s="46" t="e">
        <f t="shared" ca="1" si="93"/>
        <v>#N/A</v>
      </c>
      <c r="O114" s="46" t="e">
        <f t="shared" ca="1" si="93"/>
        <v>#N/A</v>
      </c>
      <c r="P114" s="46" t="e">
        <f t="shared" ca="1" si="93"/>
        <v>#N/A</v>
      </c>
      <c r="Q114" s="46" t="e">
        <f t="shared" ca="1" si="93"/>
        <v>#N/A</v>
      </c>
      <c r="R114" s="46" t="e">
        <f t="shared" ca="1" si="93"/>
        <v>#N/A</v>
      </c>
      <c r="S114" s="46" t="e">
        <f t="shared" ca="1" si="93"/>
        <v>#N/A</v>
      </c>
      <c r="T114" s="46" t="e">
        <f t="shared" ca="1" si="93"/>
        <v>#N/A</v>
      </c>
      <c r="U114" s="46" t="e">
        <f t="shared" ca="1" si="93"/>
        <v>#N/A</v>
      </c>
      <c r="V114" s="46" t="e">
        <f t="shared" ca="1" si="93"/>
        <v>#N/A</v>
      </c>
      <c r="W114" s="46" t="e">
        <f t="shared" ca="1" si="93"/>
        <v>#N/A</v>
      </c>
      <c r="X114" s="46" t="e">
        <f t="shared" ca="1" si="93"/>
        <v>#N/A</v>
      </c>
      <c r="Y114" s="46" t="e">
        <f t="shared" ca="1" si="93"/>
        <v>#N/A</v>
      </c>
      <c r="Z114" s="46" t="e">
        <f t="shared" ca="1" si="93"/>
        <v>#N/A</v>
      </c>
      <c r="AA114" s="46" t="e">
        <f t="shared" ca="1" si="93"/>
        <v>#N/A</v>
      </c>
      <c r="AB114" s="46" t="e">
        <f t="shared" ca="1" si="93"/>
        <v>#N/A</v>
      </c>
      <c r="AC114" s="46" t="e">
        <f t="shared" ca="1" si="93"/>
        <v>#N/A</v>
      </c>
      <c r="AD114" s="46" t="e">
        <f t="shared" ca="1" si="93"/>
        <v>#N/A</v>
      </c>
      <c r="AE114" s="46" t="e">
        <f t="shared" ca="1" si="93"/>
        <v>#N/A</v>
      </c>
      <c r="AF114" s="46" t="e">
        <f t="shared" ca="1" si="93"/>
        <v>#N/A</v>
      </c>
      <c r="AG114" s="46" t="e">
        <f t="shared" ca="1" si="93"/>
        <v>#N/A</v>
      </c>
      <c r="AH114" s="46" t="e">
        <f t="shared" ca="1" si="93"/>
        <v>#N/A</v>
      </c>
      <c r="AI114" s="46" t="e">
        <f t="shared" ca="1" si="93"/>
        <v>#N/A</v>
      </c>
      <c r="AJ114" s="46" t="e">
        <f t="shared" ca="1" si="93"/>
        <v>#N/A</v>
      </c>
      <c r="AK114" s="46" t="e">
        <f t="shared" ca="1" si="93"/>
        <v>#N/A</v>
      </c>
      <c r="AL114" s="46" t="e">
        <f t="shared" ca="1" si="93"/>
        <v>#N/A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ca="1">F$113*$B$2*SUMPRODUCT(F$80:F$88,F$46:F$54)/1000</f>
        <v>#N/A</v>
      </c>
      <c r="G115" s="14" t="e">
        <f t="shared" ref="G115:AL115" ca="1" si="94">G$113*$B$2*SUMPRODUCT(G$80:G$88,G$46:G$54)/1000</f>
        <v>#N/A</v>
      </c>
      <c r="H115" s="14" t="e">
        <f t="shared" ca="1" si="94"/>
        <v>#N/A</v>
      </c>
      <c r="I115" s="14" t="e">
        <f t="shared" ca="1" si="94"/>
        <v>#N/A</v>
      </c>
      <c r="J115" s="14" t="e">
        <f t="shared" ca="1" si="94"/>
        <v>#N/A</v>
      </c>
      <c r="K115" s="14" t="e">
        <f t="shared" ca="1" si="94"/>
        <v>#N/A</v>
      </c>
      <c r="L115" s="14" t="e">
        <f t="shared" ca="1" si="94"/>
        <v>#N/A</v>
      </c>
      <c r="M115" s="14" t="e">
        <f t="shared" ca="1" si="94"/>
        <v>#N/A</v>
      </c>
      <c r="N115" s="14" t="e">
        <f t="shared" ca="1" si="94"/>
        <v>#N/A</v>
      </c>
      <c r="O115" s="14" t="e">
        <f t="shared" ca="1" si="94"/>
        <v>#N/A</v>
      </c>
      <c r="P115" s="14" t="e">
        <f t="shared" ca="1" si="94"/>
        <v>#N/A</v>
      </c>
      <c r="Q115" s="14" t="e">
        <f t="shared" ca="1" si="94"/>
        <v>#N/A</v>
      </c>
      <c r="R115" s="14" t="e">
        <f t="shared" ca="1" si="94"/>
        <v>#N/A</v>
      </c>
      <c r="S115" s="14" t="e">
        <f t="shared" ca="1" si="94"/>
        <v>#N/A</v>
      </c>
      <c r="T115" s="14" t="e">
        <f t="shared" ca="1" si="94"/>
        <v>#N/A</v>
      </c>
      <c r="U115" s="14" t="e">
        <f t="shared" ca="1" si="94"/>
        <v>#N/A</v>
      </c>
      <c r="V115" s="14" t="e">
        <f t="shared" ca="1" si="94"/>
        <v>#N/A</v>
      </c>
      <c r="W115" s="14" t="e">
        <f t="shared" ca="1" si="94"/>
        <v>#N/A</v>
      </c>
      <c r="X115" s="14" t="e">
        <f t="shared" ca="1" si="94"/>
        <v>#N/A</v>
      </c>
      <c r="Y115" s="14" t="e">
        <f t="shared" ca="1" si="94"/>
        <v>#N/A</v>
      </c>
      <c r="Z115" s="14" t="e">
        <f t="shared" ca="1" si="94"/>
        <v>#N/A</v>
      </c>
      <c r="AA115" s="14" t="e">
        <f t="shared" ca="1" si="94"/>
        <v>#N/A</v>
      </c>
      <c r="AB115" s="14" t="e">
        <f t="shared" ca="1" si="94"/>
        <v>#N/A</v>
      </c>
      <c r="AC115" s="14" t="e">
        <f t="shared" ca="1" si="94"/>
        <v>#N/A</v>
      </c>
      <c r="AD115" s="14" t="e">
        <f t="shared" ca="1" si="94"/>
        <v>#N/A</v>
      </c>
      <c r="AE115" s="14" t="e">
        <f t="shared" ca="1" si="94"/>
        <v>#N/A</v>
      </c>
      <c r="AF115" s="14" t="e">
        <f t="shared" ca="1" si="94"/>
        <v>#N/A</v>
      </c>
      <c r="AG115" s="14" t="e">
        <f t="shared" ca="1" si="94"/>
        <v>#N/A</v>
      </c>
      <c r="AH115" s="14" t="e">
        <f t="shared" ca="1" si="94"/>
        <v>#N/A</v>
      </c>
      <c r="AI115" s="14" t="e">
        <f t="shared" ca="1" si="94"/>
        <v>#N/A</v>
      </c>
      <c r="AJ115" s="14" t="e">
        <f t="shared" ca="1" si="94"/>
        <v>#N/A</v>
      </c>
      <c r="AK115" s="14" t="e">
        <f t="shared" ca="1" si="94"/>
        <v>#N/A</v>
      </c>
      <c r="AL115" s="14" t="e">
        <f t="shared" ca="1" si="94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ca="1" si="95">F115+F114</f>
        <v>#N/A</v>
      </c>
      <c r="G116" s="14" t="e">
        <f t="shared" ca="1" si="95"/>
        <v>#N/A</v>
      </c>
      <c r="H116" s="14" t="e">
        <f t="shared" ca="1" si="95"/>
        <v>#N/A</v>
      </c>
      <c r="I116" s="14" t="e">
        <f t="shared" ca="1" si="95"/>
        <v>#N/A</v>
      </c>
      <c r="J116" s="14" t="e">
        <f t="shared" ca="1" si="95"/>
        <v>#N/A</v>
      </c>
      <c r="K116" s="14" t="e">
        <f t="shared" ca="1" si="95"/>
        <v>#N/A</v>
      </c>
      <c r="L116" s="14" t="e">
        <f t="shared" ca="1" si="95"/>
        <v>#N/A</v>
      </c>
      <c r="M116" s="14" t="e">
        <f t="shared" ca="1" si="95"/>
        <v>#N/A</v>
      </c>
      <c r="N116" s="14" t="e">
        <f t="shared" ca="1" si="95"/>
        <v>#N/A</v>
      </c>
      <c r="O116" s="14" t="e">
        <f t="shared" ca="1" si="95"/>
        <v>#N/A</v>
      </c>
      <c r="P116" s="14" t="e">
        <f t="shared" ca="1" si="95"/>
        <v>#N/A</v>
      </c>
      <c r="Q116" s="14" t="e">
        <f t="shared" ca="1" si="95"/>
        <v>#N/A</v>
      </c>
      <c r="R116" s="14" t="e">
        <f t="shared" ca="1" si="95"/>
        <v>#N/A</v>
      </c>
      <c r="S116" s="14" t="e">
        <f t="shared" ca="1" si="95"/>
        <v>#N/A</v>
      </c>
      <c r="T116" s="14" t="e">
        <f t="shared" ca="1" si="95"/>
        <v>#N/A</v>
      </c>
      <c r="U116" s="14" t="e">
        <f t="shared" ca="1" si="95"/>
        <v>#N/A</v>
      </c>
      <c r="V116" s="14" t="e">
        <f t="shared" ca="1" si="95"/>
        <v>#N/A</v>
      </c>
      <c r="W116" s="14" t="e">
        <f t="shared" ca="1" si="95"/>
        <v>#N/A</v>
      </c>
      <c r="X116" s="14" t="e">
        <f t="shared" ca="1" si="95"/>
        <v>#N/A</v>
      </c>
      <c r="Y116" s="14" t="e">
        <f t="shared" ca="1" si="95"/>
        <v>#N/A</v>
      </c>
      <c r="Z116" s="14" t="e">
        <f t="shared" ca="1" si="95"/>
        <v>#N/A</v>
      </c>
      <c r="AA116" s="14" t="e">
        <f t="shared" ca="1" si="95"/>
        <v>#N/A</v>
      </c>
      <c r="AB116" s="14" t="e">
        <f t="shared" ca="1" si="95"/>
        <v>#N/A</v>
      </c>
      <c r="AC116" s="14" t="e">
        <f t="shared" ca="1" si="95"/>
        <v>#N/A</v>
      </c>
      <c r="AD116" s="14" t="e">
        <f t="shared" ca="1" si="95"/>
        <v>#N/A</v>
      </c>
      <c r="AE116" s="14" t="e">
        <f t="shared" ca="1" si="95"/>
        <v>#N/A</v>
      </c>
      <c r="AF116" s="14" t="e">
        <f t="shared" ca="1" si="95"/>
        <v>#N/A</v>
      </c>
      <c r="AG116" s="14" t="e">
        <f t="shared" ca="1" si="95"/>
        <v>#N/A</v>
      </c>
      <c r="AH116" s="14" t="e">
        <f t="shared" ca="1" si="95"/>
        <v>#N/A</v>
      </c>
      <c r="AI116" s="14" t="e">
        <f t="shared" ca="1" si="95"/>
        <v>#N/A</v>
      </c>
      <c r="AJ116" s="14" t="e">
        <f t="shared" ca="1" si="95"/>
        <v>#N/A</v>
      </c>
      <c r="AK116" s="14" t="e">
        <f t="shared" ca="1" si="95"/>
        <v>#N/A</v>
      </c>
      <c r="AL116" s="14" t="e">
        <f t="shared" ca="1" si="95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2">
        <f ca="1"/>
        <v>0</v>
      </c>
      <c r="V122" s="53">
        <f ca="1"/>
        <v>0</v>
      </c>
      <c r="W122" s="55">
        <f ca="1"/>
        <v>0</v>
      </c>
      <c r="X122" s="50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str">
        <f ca="1"/>
        <v xml:space="preserve">Раствор (жид): </v>
      </c>
      <c r="G123" s="47" t="str">
        <f ca="1"/>
        <v xml:space="preserve">Раствор (жид): </v>
      </c>
      <c r="H123" s="47" t="str">
        <f ca="1"/>
        <v xml:space="preserve">Раствор (жид): </v>
      </c>
      <c r="I123" s="47" t="str">
        <f ca="1"/>
        <v xml:space="preserve">Раствор (жид): </v>
      </c>
      <c r="J123" s="47" t="str">
        <f ca="1"/>
        <v xml:space="preserve">Раствор (жид): </v>
      </c>
      <c r="K123" s="47" t="str">
        <f ca="1"/>
        <v xml:space="preserve">Раствор (жид): </v>
      </c>
      <c r="L123" s="47" t="str">
        <f ca="1"/>
        <v xml:space="preserve">Раствор (жид): </v>
      </c>
      <c r="M123" s="47" t="str">
        <f ca="1"/>
        <v xml:space="preserve">Раствор (жид): </v>
      </c>
      <c r="N123" s="47" t="str">
        <f ca="1"/>
        <v xml:space="preserve">Раствор (жид): </v>
      </c>
      <c r="O123" s="47" t="str">
        <f ca="1"/>
        <v xml:space="preserve">Раствор (жид): </v>
      </c>
      <c r="P123" s="47" t="str">
        <f ca="1"/>
        <v xml:space="preserve">Раствор (жид): </v>
      </c>
      <c r="Q123" s="47" t="str">
        <f ca="1"/>
        <v xml:space="preserve">Раствор (жид): </v>
      </c>
      <c r="R123" s="47" t="str">
        <f ca="1"/>
        <v xml:space="preserve">Раствор (жид): </v>
      </c>
      <c r="S123" s="47" t="str">
        <f ca="1"/>
        <v xml:space="preserve">Раствор (жид): </v>
      </c>
      <c r="T123" s="47" t="str">
        <f ca="1"/>
        <v xml:space="preserve">Раствор (жид): </v>
      </c>
      <c r="U123" s="47" t="str">
        <f ca="1"/>
        <v xml:space="preserve">Раствор (жид): </v>
      </c>
      <c r="V123" s="47" t="str">
        <f ca="1"/>
        <v xml:space="preserve">Раствор (жид): </v>
      </c>
      <c r="W123" s="47" t="str">
        <f ca="1"/>
        <v xml:space="preserve">Раствор (жид): </v>
      </c>
      <c r="X123" s="47" t="str">
        <f ca="1"/>
        <v xml:space="preserve">Раствор (жид): </v>
      </c>
      <c r="Y123" s="47" t="str">
        <f ca="1"/>
        <v xml:space="preserve">Раствор (жид): </v>
      </c>
      <c r="Z123" s="47" t="str">
        <f ca="1"/>
        <v xml:space="preserve">Раствор (жид): </v>
      </c>
      <c r="AA123" s="47" t="str">
        <f ca="1"/>
        <v xml:space="preserve">Раствор (жид): </v>
      </c>
      <c r="AB123" s="47" t="str">
        <f ca="1"/>
        <v xml:space="preserve">Раствор (жид): </v>
      </c>
      <c r="AC123" s="47" t="str">
        <f ca="1"/>
        <v xml:space="preserve">Раствор (жид): </v>
      </c>
      <c r="AD123" s="47" t="str">
        <f ca="1"/>
        <v xml:space="preserve">Раствор (жид): </v>
      </c>
      <c r="AE123" s="47" t="str">
        <f ca="1"/>
        <v xml:space="preserve">Раствор (жид): </v>
      </c>
      <c r="AF123" s="47" t="str">
        <f ca="1"/>
        <v xml:space="preserve">Раствор (жид): </v>
      </c>
      <c r="AG123" s="47" t="str">
        <f ca="1"/>
        <v xml:space="preserve">Раствор (жид): </v>
      </c>
      <c r="AH123" s="47" t="str">
        <f ca="1"/>
        <v xml:space="preserve">Раствор (жид): </v>
      </c>
      <c r="AI123" s="47" t="str">
        <f ca="1"/>
        <v xml:space="preserve">Раствор (жид): </v>
      </c>
      <c r="AJ123" s="47" t="str">
        <f ca="1"/>
        <v xml:space="preserve">Раствор (жид): </v>
      </c>
      <c r="AK123" s="47" t="str">
        <f ca="1"/>
        <v xml:space="preserve">Раствор (жид): </v>
      </c>
      <c r="AL123" s="47" t="str">
        <f ca="1"/>
        <v xml:space="preserve">Раствор (жид): </v>
      </c>
      <c r="AM123" s="47" t="str">
        <f ca="1"/>
        <v xml:space="preserve">Раствор (жид): </v>
      </c>
      <c r="AN123" s="47" t="str">
        <f ca="1"/>
        <v xml:space="preserve">Раствор (жид): </v>
      </c>
      <c r="AO123" s="47" t="str">
        <f ca="1"/>
        <v xml:space="preserve">Раствор (жид): </v>
      </c>
      <c r="AP123" s="47" t="str">
        <f ca="1"/>
        <v xml:space="preserve">Раствор (жид): </v>
      </c>
      <c r="AQ123" s="47" t="str">
        <f ca="1"/>
        <v xml:space="preserve">Раствор (жид): </v>
      </c>
      <c r="AR123" s="47" t="str">
        <f ca="1"/>
        <v xml:space="preserve">Раствор (жид): </v>
      </c>
      <c r="AS123" s="47" t="str">
        <f ca="1"/>
        <v xml:space="preserve">Раствор (жид): </v>
      </c>
      <c r="AT123" s="47" t="str">
        <f ca="1"/>
        <v xml:space="preserve">Раствор (жид): </v>
      </c>
      <c r="AU123" s="47" t="str">
        <f ca="1"/>
        <v xml:space="preserve">Раствор (жид): </v>
      </c>
      <c r="AV123" s="47" t="str">
        <f ca="1"/>
        <v xml:space="preserve">Раствор (жид): </v>
      </c>
      <c r="AW123" s="47" t="str">
        <f ca="1"/>
        <v xml:space="preserve">Раствор (жид): </v>
      </c>
      <c r="AX123" s="47" t="str">
        <f ca="1"/>
        <v xml:space="preserve">Раствор (жид): </v>
      </c>
      <c r="AY123" s="47" t="str">
        <f ca="1"/>
        <v xml:space="preserve">Раствор (жид): </v>
      </c>
      <c r="AZ123" s="47" t="str">
        <f ca="1"/>
        <v xml:space="preserve">Раствор (жид): </v>
      </c>
      <c r="BA123" s="47" t="str">
        <f ca="1"/>
        <v xml:space="preserve">Раствор (жид): </v>
      </c>
      <c r="BB123" s="47" t="str">
        <f ca="1"/>
        <v xml:space="preserve">Раствор (жид): </v>
      </c>
      <c r="BC123" s="47" t="str">
        <f ca="1"/>
        <v xml:space="preserve">Раствор (жид): </v>
      </c>
      <c r="BD123" s="47" t="str">
        <f ca="1"/>
        <v xml:space="preserve">Раствор (жид): </v>
      </c>
      <c r="BE123" s="47" t="str">
        <f ca="1"/>
        <v xml:space="preserve">Раствор (жид): </v>
      </c>
      <c r="BF123" s="47" t="str">
        <f ca="1"/>
        <v xml:space="preserve">Раствор (жид): </v>
      </c>
      <c r="BG123" s="47" t="str">
        <f ca="1"/>
        <v xml:space="preserve">Раствор (жид): </v>
      </c>
      <c r="BH123" s="47" t="str">
        <f ca="1"/>
        <v xml:space="preserve">Раствор (жид): </v>
      </c>
      <c r="BI123" s="47" t="str">
        <f ca="1"/>
        <v xml:space="preserve">Раствор (жид): </v>
      </c>
      <c r="BJ123" s="47" t="str">
        <f ca="1"/>
        <v xml:space="preserve">Раствор (жид): </v>
      </c>
      <c r="BK123" s="47" t="str">
        <f ca="1"/>
        <v xml:space="preserve">Раствор (жид): </v>
      </c>
      <c r="BL123" s="47" t="str">
        <f ca="1"/>
        <v xml:space="preserve">Раствор (жид): </v>
      </c>
      <c r="BM123" s="47" t="str">
        <f ca="1"/>
        <v xml:space="preserve">Раствор (жид): </v>
      </c>
      <c r="BN123" s="47" t="str">
        <f ca="1"/>
        <v xml:space="preserve">Раствор (жид): </v>
      </c>
      <c r="BO123" s="47" t="str">
        <f ca="1"/>
        <v xml:space="preserve">Раствор (жид): </v>
      </c>
      <c r="BP123" s="47" t="str">
        <f ca="1"/>
        <v xml:space="preserve">Раствор (жид): </v>
      </c>
      <c r="BQ123" s="47" t="str">
        <f ca="1"/>
        <v xml:space="preserve">Раствор (жид): </v>
      </c>
      <c r="BR123" s="47" t="str">
        <f ca="1"/>
        <v xml:space="preserve">Раствор (жид): 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str">
        <f ca="1"/>
        <v xml:space="preserve">Раствор + газовая без Ar: </v>
      </c>
      <c r="G125" s="47" t="str">
        <f ca="1"/>
        <v xml:space="preserve">Раствор + газовая без Ar: </v>
      </c>
      <c r="H125" s="47" t="str">
        <f ca="1"/>
        <v xml:space="preserve">Раствор + газовая без Ar: </v>
      </c>
      <c r="I125" s="47" t="str">
        <f ca="1"/>
        <v xml:space="preserve">Раствор + газовая без Ar: </v>
      </c>
      <c r="J125" s="47" t="str">
        <f ca="1"/>
        <v xml:space="preserve">Раствор + газовая без Ar: </v>
      </c>
      <c r="K125" s="47" t="str">
        <f ca="1"/>
        <v xml:space="preserve">Раствор + газовая без Ar: </v>
      </c>
      <c r="L125" s="47" t="str">
        <f ca="1"/>
        <v xml:space="preserve">Раствор + газовая без Ar: </v>
      </c>
      <c r="M125" s="47" t="str">
        <f ca="1"/>
        <v xml:space="preserve">Раствор + газовая без Ar: </v>
      </c>
      <c r="N125" s="47" t="str">
        <f ca="1"/>
        <v xml:space="preserve">Раствор + газовая без Ar: </v>
      </c>
      <c r="O125" s="47" t="str">
        <f ca="1"/>
        <v xml:space="preserve">Раствор + газовая без Ar: </v>
      </c>
      <c r="P125" s="47" t="str">
        <f ca="1"/>
        <v xml:space="preserve">Раствор + газовая без Ar: </v>
      </c>
      <c r="Q125" s="47" t="str">
        <f ca="1"/>
        <v xml:space="preserve">Раствор + газовая без Ar: </v>
      </c>
      <c r="R125" s="47" t="str">
        <f ca="1"/>
        <v xml:space="preserve">Раствор + газовая без Ar: </v>
      </c>
      <c r="S125" s="47" t="str">
        <f ca="1"/>
        <v xml:space="preserve">Раствор + газовая без Ar: </v>
      </c>
      <c r="T125" s="47" t="str">
        <f ca="1"/>
        <v xml:space="preserve">Раствор + газовая без Ar: </v>
      </c>
      <c r="U125" s="47" t="str">
        <f ca="1"/>
        <v xml:space="preserve">Раствор + газовая без Ar: </v>
      </c>
      <c r="V125" s="47" t="str">
        <f ca="1"/>
        <v xml:space="preserve">Раствор + газовая без Ar: </v>
      </c>
      <c r="W125" s="47" t="str">
        <f ca="1"/>
        <v xml:space="preserve">Раствор + газовая без Ar: </v>
      </c>
      <c r="X125" s="47" t="str">
        <f ca="1"/>
        <v xml:space="preserve">Раствор + газовая без Ar: </v>
      </c>
      <c r="Y125" s="47" t="str">
        <f ca="1"/>
        <v xml:space="preserve">Раствор + газовая без Ar: </v>
      </c>
      <c r="Z125" s="47" t="str">
        <f ca="1"/>
        <v xml:space="preserve">Раствор + газовая без Ar: </v>
      </c>
      <c r="AA125" s="47" t="str">
        <f ca="1"/>
        <v xml:space="preserve">Раствор + газовая без Ar: </v>
      </c>
      <c r="AB125" s="47" t="str">
        <f ca="1"/>
        <v xml:space="preserve">Раствор + газовая без Ar: </v>
      </c>
      <c r="AC125" s="47" t="str">
        <f ca="1"/>
        <v xml:space="preserve">Раствор + газовая без Ar: </v>
      </c>
      <c r="AD125" s="47" t="str">
        <f ca="1"/>
        <v xml:space="preserve">Раствор + газовая без Ar: </v>
      </c>
      <c r="AE125" s="47" t="str">
        <f ca="1"/>
        <v xml:space="preserve">Раствор + газовая без Ar: </v>
      </c>
      <c r="AF125" s="47" t="str">
        <f ca="1"/>
        <v xml:space="preserve">Раствор + газовая без Ar: </v>
      </c>
      <c r="AG125" s="47" t="str">
        <f ca="1"/>
        <v xml:space="preserve">Раствор + газовая без Ar: </v>
      </c>
      <c r="AH125" s="47" t="str">
        <f ca="1"/>
        <v xml:space="preserve">Раствор + газовая без Ar: </v>
      </c>
      <c r="AI125" s="47" t="str">
        <f ca="1"/>
        <v xml:space="preserve">Раствор + газовая без Ar: </v>
      </c>
      <c r="AJ125" s="47" t="str">
        <f ca="1"/>
        <v xml:space="preserve">Раствор + газовая без Ar: </v>
      </c>
      <c r="AK125" s="47" t="str">
        <f ca="1"/>
        <v xml:space="preserve">Раствор + газовая без Ar: </v>
      </c>
      <c r="AL125" s="47" t="str">
        <f ca="1"/>
        <v xml:space="preserve">Раствор + газовая без Ar: </v>
      </c>
      <c r="AM125" s="47" t="str">
        <f ca="1"/>
        <v xml:space="preserve">Раствор + газовая без Ar: </v>
      </c>
      <c r="AN125" s="47" t="str">
        <f ca="1"/>
        <v xml:space="preserve">Раствор + газовая без Ar: </v>
      </c>
      <c r="AO125" s="47" t="str">
        <f ca="1"/>
        <v xml:space="preserve">Раствор + газовая без Ar: </v>
      </c>
      <c r="AP125" s="47" t="str">
        <f ca="1"/>
        <v xml:space="preserve">Раствор + газовая без Ar: </v>
      </c>
      <c r="AQ125" s="47" t="str">
        <f ca="1"/>
        <v xml:space="preserve">Раствор + газовая без Ar: </v>
      </c>
      <c r="AR125" s="47" t="str">
        <f ca="1"/>
        <v xml:space="preserve">Раствор + газовая без Ar: </v>
      </c>
      <c r="AS125" s="47" t="str">
        <f ca="1"/>
        <v xml:space="preserve">Раствор + газовая без Ar: </v>
      </c>
      <c r="AT125" s="47" t="str">
        <f ca="1"/>
        <v xml:space="preserve">Раствор + газовая без Ar: </v>
      </c>
      <c r="AU125" s="47" t="str">
        <f ca="1"/>
        <v xml:space="preserve">Раствор + газовая без Ar: </v>
      </c>
      <c r="AV125" s="47" t="str">
        <f ca="1"/>
        <v xml:space="preserve">Раствор + газовая без Ar: </v>
      </c>
      <c r="AW125" s="47" t="str">
        <f ca="1"/>
        <v xml:space="preserve">Раствор + газовая без Ar: </v>
      </c>
      <c r="AX125" s="47" t="str">
        <f ca="1"/>
        <v xml:space="preserve">Раствор + газовая без Ar: </v>
      </c>
      <c r="AY125" s="47" t="str">
        <f ca="1"/>
        <v xml:space="preserve">Раствор + газовая без Ar: </v>
      </c>
      <c r="AZ125" s="47" t="str">
        <f ca="1"/>
        <v xml:space="preserve">Раствор + газовая без Ar: </v>
      </c>
      <c r="BA125" s="47" t="str">
        <f ca="1"/>
        <v xml:space="preserve">Раствор + газовая без Ar: </v>
      </c>
      <c r="BB125" s="47" t="str">
        <f ca="1"/>
        <v xml:space="preserve">Раствор + газовая без Ar: </v>
      </c>
      <c r="BC125" s="47" t="str">
        <f ca="1"/>
        <v xml:space="preserve">Раствор + газовая без Ar: </v>
      </c>
      <c r="BD125" s="47" t="str">
        <f ca="1"/>
        <v xml:space="preserve">Раствор + газовая без Ar: </v>
      </c>
      <c r="BE125" s="47" t="str">
        <f ca="1"/>
        <v xml:space="preserve">Раствор + газовая без Ar: </v>
      </c>
      <c r="BF125" s="47" t="str">
        <f ca="1"/>
        <v xml:space="preserve">Раствор + газовая без Ar: </v>
      </c>
      <c r="BG125" s="47" t="str">
        <f ca="1"/>
        <v xml:space="preserve">Раствор + газовая без Ar: </v>
      </c>
      <c r="BH125" s="47" t="str">
        <f ca="1"/>
        <v xml:space="preserve">Раствор + газовая без Ar: </v>
      </c>
      <c r="BI125" s="47" t="str">
        <f ca="1"/>
        <v xml:space="preserve">Раствор + газовая без Ar: </v>
      </c>
      <c r="BJ125" s="47" t="str">
        <f ca="1"/>
        <v xml:space="preserve">Раствор + газовая без Ar: </v>
      </c>
      <c r="BK125" s="47" t="str">
        <f ca="1"/>
        <v xml:space="preserve">Раствор + газовая без Ar: </v>
      </c>
      <c r="BL125" s="47" t="str">
        <f ca="1"/>
        <v xml:space="preserve">Раствор + газовая без Ar: </v>
      </c>
      <c r="BM125" s="47" t="str">
        <f ca="1"/>
        <v xml:space="preserve">Раствор + газовая без Ar: </v>
      </c>
      <c r="BN125" s="47" t="str">
        <f ca="1"/>
        <v xml:space="preserve">Раствор + газовая без Ar: </v>
      </c>
      <c r="BO125" s="47" t="str">
        <f ca="1"/>
        <v xml:space="preserve">Раствор + газовая без Ar: </v>
      </c>
      <c r="BP125" s="47" t="str">
        <f ca="1"/>
        <v xml:space="preserve">Раствор + газовая без Ar: </v>
      </c>
      <c r="BQ125" s="47" t="str">
        <f ca="1"/>
        <v xml:space="preserve">Раствор + газовая без Ar: </v>
      </c>
      <c r="BR125" s="47" t="str">
        <f ca="1"/>
        <v xml:space="preserve">Раствор + газовая без Ar: 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B22"/>
  <sheetViews>
    <sheetView zoomScaleNormal="100" workbookViewId="0">
      <selection sqref="A1:XFD1"/>
    </sheetView>
  </sheetViews>
  <sheetFormatPr defaultRowHeight="21" x14ac:dyDescent="0.35"/>
  <cols>
    <col min="1" max="16384" width="8.7265625" style="103"/>
  </cols>
  <sheetData>
    <row r="1" spans="1:28" s="18" customFormat="1" ht="21.75" thickBot="1" x14ac:dyDescent="0.4">
      <c r="A1" s="6" t="s">
        <v>53</v>
      </c>
      <c r="B1" s="6" t="s">
        <v>67</v>
      </c>
      <c r="C1" s="6" t="s">
        <v>137</v>
      </c>
      <c r="D1" s="6" t="s">
        <v>149</v>
      </c>
      <c r="E1" s="6" t="s">
        <v>158</v>
      </c>
      <c r="F1" s="6" t="s">
        <v>72</v>
      </c>
      <c r="G1" s="6" t="s">
        <v>748</v>
      </c>
      <c r="H1" s="6" t="s">
        <v>762</v>
      </c>
      <c r="I1" s="6" t="s">
        <v>776</v>
      </c>
      <c r="J1" s="6" t="s">
        <v>73</v>
      </c>
      <c r="K1" s="6" t="s">
        <v>74</v>
      </c>
      <c r="L1" s="6" t="s">
        <v>75</v>
      </c>
      <c r="M1" s="6" t="s">
        <v>76</v>
      </c>
      <c r="N1" s="6" t="s">
        <v>77</v>
      </c>
      <c r="O1" s="6" t="s">
        <v>78</v>
      </c>
      <c r="P1" s="6" t="s">
        <v>82</v>
      </c>
      <c r="Q1" s="6" t="s">
        <v>895</v>
      </c>
      <c r="R1" s="6" t="s">
        <v>912</v>
      </c>
      <c r="S1" s="6" t="s">
        <v>929</v>
      </c>
      <c r="T1" s="6" t="s">
        <v>83</v>
      </c>
      <c r="U1" s="6" t="s">
        <v>116</v>
      </c>
      <c r="V1" s="6" t="s">
        <v>117</v>
      </c>
      <c r="W1" s="6" t="s">
        <v>118</v>
      </c>
      <c r="X1" s="6" t="s">
        <v>84</v>
      </c>
      <c r="Y1" s="6" t="s">
        <v>85</v>
      </c>
      <c r="Z1" s="6" t="s">
        <v>86</v>
      </c>
      <c r="AA1" s="6" t="s">
        <v>87</v>
      </c>
      <c r="AB1" s="6" t="s">
        <v>88</v>
      </c>
    </row>
    <row r="2" spans="1:28" x14ac:dyDescent="0.35">
      <c r="A2" s="168"/>
      <c r="B2" s="171" t="s">
        <v>114</v>
      </c>
      <c r="C2" s="172" t="s">
        <v>114</v>
      </c>
      <c r="D2" s="173" t="s">
        <v>114</v>
      </c>
      <c r="E2" s="171" t="s">
        <v>114</v>
      </c>
      <c r="F2" s="182" t="s">
        <v>114</v>
      </c>
      <c r="G2" s="173" t="s">
        <v>114</v>
      </c>
      <c r="H2" s="184" t="s">
        <v>114</v>
      </c>
      <c r="I2" s="172" t="s">
        <v>114</v>
      </c>
      <c r="J2" s="173" t="s">
        <v>114</v>
      </c>
      <c r="K2" s="171" t="s">
        <v>114</v>
      </c>
      <c r="L2" s="172" t="s">
        <v>114</v>
      </c>
      <c r="M2" s="173" t="s">
        <v>114</v>
      </c>
      <c r="N2" s="171" t="s">
        <v>114</v>
      </c>
      <c r="O2" s="172" t="s">
        <v>114</v>
      </c>
      <c r="P2" s="173" t="s">
        <v>114</v>
      </c>
      <c r="Q2" s="171" t="s">
        <v>114</v>
      </c>
      <c r="R2" s="182" t="s">
        <v>114</v>
      </c>
      <c r="S2" s="173" t="s">
        <v>114</v>
      </c>
      <c r="T2" s="171" t="s">
        <v>114</v>
      </c>
      <c r="U2" s="172" t="s">
        <v>114</v>
      </c>
      <c r="V2" s="173" t="s">
        <v>114</v>
      </c>
      <c r="W2" s="171" t="s">
        <v>114</v>
      </c>
      <c r="X2" s="172" t="s">
        <v>114</v>
      </c>
      <c r="Y2" s="173" t="s">
        <v>114</v>
      </c>
      <c r="Z2" s="171" t="s">
        <v>114</v>
      </c>
      <c r="AA2" s="182" t="s">
        <v>114</v>
      </c>
      <c r="AB2" s="173" t="s">
        <v>114</v>
      </c>
    </row>
    <row r="3" spans="1:28" x14ac:dyDescent="0.35">
      <c r="A3" s="167" t="s">
        <v>54</v>
      </c>
      <c r="B3" s="174" t="s">
        <v>689</v>
      </c>
      <c r="C3" s="175" t="s">
        <v>701</v>
      </c>
      <c r="D3" s="176" t="s">
        <v>712</v>
      </c>
      <c r="E3" s="174" t="s">
        <v>724</v>
      </c>
      <c r="F3" s="183" t="s">
        <v>736</v>
      </c>
      <c r="G3" s="176" t="s">
        <v>749</v>
      </c>
      <c r="H3" s="174" t="s">
        <v>763</v>
      </c>
      <c r="I3" s="183" t="s">
        <v>777</v>
      </c>
      <c r="J3" s="176" t="s">
        <v>790</v>
      </c>
      <c r="K3" s="174" t="s">
        <v>802</v>
      </c>
      <c r="L3" s="175" t="s">
        <v>819</v>
      </c>
      <c r="M3" s="176" t="s">
        <v>832</v>
      </c>
      <c r="N3" s="174" t="s">
        <v>847</v>
      </c>
      <c r="O3" s="175" t="s">
        <v>863</v>
      </c>
      <c r="P3" s="187" t="s">
        <v>879</v>
      </c>
      <c r="Q3" s="174" t="s">
        <v>896</v>
      </c>
      <c r="R3" s="183" t="s">
        <v>913</v>
      </c>
      <c r="S3" s="187" t="s">
        <v>930</v>
      </c>
      <c r="T3" s="174" t="s">
        <v>946</v>
      </c>
      <c r="U3" s="183" t="s">
        <v>961</v>
      </c>
      <c r="V3" s="187" t="s">
        <v>973</v>
      </c>
      <c r="W3" s="174" t="s">
        <v>975</v>
      </c>
      <c r="X3" s="175" t="s">
        <v>991</v>
      </c>
      <c r="Y3" s="187" t="s">
        <v>1007</v>
      </c>
      <c r="Z3" s="174" t="s">
        <v>1023</v>
      </c>
      <c r="AA3" s="183" t="s">
        <v>1024</v>
      </c>
      <c r="AB3" s="187" t="s">
        <v>1025</v>
      </c>
    </row>
    <row r="4" spans="1:28" x14ac:dyDescent="0.35">
      <c r="A4" s="167" t="s">
        <v>55</v>
      </c>
      <c r="B4" s="177" t="s">
        <v>690</v>
      </c>
      <c r="C4" s="178" t="s">
        <v>702</v>
      </c>
      <c r="D4" s="170" t="s">
        <v>713</v>
      </c>
      <c r="E4" s="177" t="s">
        <v>725</v>
      </c>
      <c r="F4" s="169" t="s">
        <v>737</v>
      </c>
      <c r="G4" s="170" t="s">
        <v>750</v>
      </c>
      <c r="H4" s="177" t="s">
        <v>764</v>
      </c>
      <c r="I4" s="169" t="s">
        <v>778</v>
      </c>
      <c r="J4" s="185" t="s">
        <v>791</v>
      </c>
      <c r="K4" s="177" t="s">
        <v>803</v>
      </c>
      <c r="L4" s="169" t="s">
        <v>820</v>
      </c>
      <c r="M4" s="170" t="s">
        <v>833</v>
      </c>
      <c r="N4" s="177" t="s">
        <v>848</v>
      </c>
      <c r="O4" s="178" t="s">
        <v>864</v>
      </c>
      <c r="P4" s="185" t="s">
        <v>880</v>
      </c>
      <c r="Q4" s="177" t="s">
        <v>897</v>
      </c>
      <c r="R4" s="169" t="s">
        <v>914</v>
      </c>
      <c r="S4" s="185" t="s">
        <v>931</v>
      </c>
      <c r="T4" s="179" t="s">
        <v>947</v>
      </c>
      <c r="U4" s="180" t="s">
        <v>962</v>
      </c>
      <c r="V4" s="186" t="s">
        <v>382</v>
      </c>
      <c r="W4" s="177" t="s">
        <v>976</v>
      </c>
      <c r="X4" s="169" t="s">
        <v>992</v>
      </c>
      <c r="Y4" s="185" t="s">
        <v>1008</v>
      </c>
      <c r="Z4" s="177" t="s">
        <v>400</v>
      </c>
      <c r="AA4" s="169" t="s">
        <v>417</v>
      </c>
      <c r="AB4" s="185" t="s">
        <v>434</v>
      </c>
    </row>
    <row r="5" spans="1:28" x14ac:dyDescent="0.35">
      <c r="A5" s="167" t="s">
        <v>71</v>
      </c>
      <c r="B5" s="177" t="s">
        <v>691</v>
      </c>
      <c r="C5" s="178" t="s">
        <v>703</v>
      </c>
      <c r="D5" s="170" t="s">
        <v>714</v>
      </c>
      <c r="E5" s="179" t="s">
        <v>726</v>
      </c>
      <c r="F5" s="180" t="s">
        <v>738</v>
      </c>
      <c r="G5" s="181" t="s">
        <v>751</v>
      </c>
      <c r="H5" s="177" t="s">
        <v>765</v>
      </c>
      <c r="I5" s="169" t="s">
        <v>779</v>
      </c>
      <c r="J5" s="170" t="s">
        <v>792</v>
      </c>
      <c r="K5" s="177" t="s">
        <v>804</v>
      </c>
      <c r="L5" s="169" t="s">
        <v>821</v>
      </c>
      <c r="M5" s="170" t="s">
        <v>834</v>
      </c>
      <c r="N5" s="177" t="s">
        <v>849</v>
      </c>
      <c r="O5" s="178" t="s">
        <v>865</v>
      </c>
      <c r="P5" s="185" t="s">
        <v>881</v>
      </c>
      <c r="Q5" s="177" t="s">
        <v>898</v>
      </c>
      <c r="R5" s="169" t="s">
        <v>915</v>
      </c>
      <c r="S5" s="185" t="s">
        <v>932</v>
      </c>
      <c r="T5" s="177" t="s">
        <v>948</v>
      </c>
      <c r="U5" s="169" t="s">
        <v>963</v>
      </c>
      <c r="V5" s="185" t="s">
        <v>381</v>
      </c>
      <c r="W5" s="177" t="s">
        <v>977</v>
      </c>
      <c r="X5" s="169" t="s">
        <v>993</v>
      </c>
      <c r="Y5" s="185" t="s">
        <v>1009</v>
      </c>
      <c r="Z5" s="177" t="s">
        <v>399</v>
      </c>
      <c r="AA5" s="169" t="s">
        <v>416</v>
      </c>
      <c r="AB5" s="185" t="s">
        <v>433</v>
      </c>
    </row>
    <row r="6" spans="1:28" x14ac:dyDescent="0.35">
      <c r="A6" s="167" t="s">
        <v>127</v>
      </c>
      <c r="B6" s="177" t="s">
        <v>692</v>
      </c>
      <c r="C6" s="178" t="s">
        <v>704</v>
      </c>
      <c r="D6" s="170" t="s">
        <v>715</v>
      </c>
      <c r="E6" s="177" t="s">
        <v>727</v>
      </c>
      <c r="F6" s="169" t="s">
        <v>739</v>
      </c>
      <c r="G6" s="170" t="s">
        <v>752</v>
      </c>
      <c r="H6" s="177" t="s">
        <v>766</v>
      </c>
      <c r="I6" s="169" t="s">
        <v>780</v>
      </c>
      <c r="J6" s="185" t="s">
        <v>793</v>
      </c>
      <c r="K6" s="179" t="s">
        <v>805</v>
      </c>
      <c r="L6" s="180" t="s">
        <v>822</v>
      </c>
      <c r="M6" s="181" t="s">
        <v>835</v>
      </c>
      <c r="N6" s="177" t="s">
        <v>850</v>
      </c>
      <c r="O6" s="178" t="s">
        <v>866</v>
      </c>
      <c r="P6" s="185" t="s">
        <v>882</v>
      </c>
      <c r="Q6" s="177" t="s">
        <v>899</v>
      </c>
      <c r="R6" s="169" t="s">
        <v>916</v>
      </c>
      <c r="S6" s="185" t="s">
        <v>933</v>
      </c>
      <c r="T6" s="179" t="s">
        <v>949</v>
      </c>
      <c r="U6" s="180" t="s">
        <v>964</v>
      </c>
      <c r="V6" s="186" t="s">
        <v>380</v>
      </c>
      <c r="W6" s="177" t="s">
        <v>978</v>
      </c>
      <c r="X6" s="169" t="s">
        <v>994</v>
      </c>
      <c r="Y6" s="185" t="s">
        <v>1010</v>
      </c>
      <c r="Z6" s="177" t="s">
        <v>398</v>
      </c>
      <c r="AA6" s="169" t="s">
        <v>415</v>
      </c>
      <c r="AB6" s="185" t="s">
        <v>432</v>
      </c>
    </row>
    <row r="7" spans="1:28" x14ac:dyDescent="0.35">
      <c r="A7" s="168"/>
      <c r="B7" s="177" t="s">
        <v>693</v>
      </c>
      <c r="C7" s="169" t="s">
        <v>705</v>
      </c>
      <c r="D7" s="170" t="s">
        <v>716</v>
      </c>
      <c r="E7" s="177" t="s">
        <v>728</v>
      </c>
      <c r="F7" s="169" t="s">
        <v>740</v>
      </c>
      <c r="G7" s="170" t="s">
        <v>753</v>
      </c>
      <c r="H7" s="177" t="s">
        <v>767</v>
      </c>
      <c r="I7" s="169" t="s">
        <v>781</v>
      </c>
      <c r="J7" s="170" t="s">
        <v>794</v>
      </c>
      <c r="K7" s="177" t="s">
        <v>806</v>
      </c>
      <c r="L7" s="169" t="s">
        <v>823</v>
      </c>
      <c r="M7" s="170" t="s">
        <v>836</v>
      </c>
      <c r="N7" s="179" t="s">
        <v>851</v>
      </c>
      <c r="O7" s="188" t="s">
        <v>867</v>
      </c>
      <c r="P7" s="186" t="s">
        <v>883</v>
      </c>
      <c r="Q7" s="179" t="s">
        <v>900</v>
      </c>
      <c r="R7" s="180" t="s">
        <v>917</v>
      </c>
      <c r="S7" s="186" t="s">
        <v>934</v>
      </c>
      <c r="T7" s="177" t="s">
        <v>950</v>
      </c>
      <c r="U7" s="169" t="s">
        <v>965</v>
      </c>
      <c r="V7" s="185" t="s">
        <v>379</v>
      </c>
      <c r="W7" s="177" t="s">
        <v>979</v>
      </c>
      <c r="X7" s="169" t="s">
        <v>995</v>
      </c>
      <c r="Y7" s="185" t="s">
        <v>1011</v>
      </c>
      <c r="Z7" s="177" t="s">
        <v>397</v>
      </c>
      <c r="AA7" s="169" t="s">
        <v>414</v>
      </c>
      <c r="AB7" s="185" t="s">
        <v>431</v>
      </c>
    </row>
    <row r="8" spans="1:28" x14ac:dyDescent="0.35">
      <c r="A8" s="167" t="s">
        <v>65</v>
      </c>
      <c r="B8" s="177" t="s">
        <v>694</v>
      </c>
      <c r="C8" s="169" t="s">
        <v>706</v>
      </c>
      <c r="D8" s="170" t="s">
        <v>717</v>
      </c>
      <c r="E8" s="177" t="s">
        <v>729</v>
      </c>
      <c r="F8" s="169" t="s">
        <v>741</v>
      </c>
      <c r="G8" s="170" t="s">
        <v>754</v>
      </c>
      <c r="H8" s="177" t="s">
        <v>768</v>
      </c>
      <c r="I8" s="169" t="s">
        <v>782</v>
      </c>
      <c r="J8" s="185" t="s">
        <v>795</v>
      </c>
      <c r="K8" s="177" t="s">
        <v>807</v>
      </c>
      <c r="L8" s="169" t="s">
        <v>824</v>
      </c>
      <c r="M8" s="170" t="s">
        <v>837</v>
      </c>
      <c r="N8" s="177" t="s">
        <v>852</v>
      </c>
      <c r="O8" s="178" t="s">
        <v>868</v>
      </c>
      <c r="P8" s="185" t="s">
        <v>884</v>
      </c>
      <c r="Q8" s="177" t="s">
        <v>901</v>
      </c>
      <c r="R8" s="169" t="s">
        <v>918</v>
      </c>
      <c r="S8" s="185" t="s">
        <v>935</v>
      </c>
      <c r="T8" s="177" t="s">
        <v>951</v>
      </c>
      <c r="U8" s="169" t="s">
        <v>966</v>
      </c>
      <c r="V8" s="185" t="s">
        <v>378</v>
      </c>
      <c r="W8" s="177" t="s">
        <v>980</v>
      </c>
      <c r="X8" s="169" t="s">
        <v>996</v>
      </c>
      <c r="Y8" s="185" t="s">
        <v>1012</v>
      </c>
      <c r="Z8" s="177" t="s">
        <v>396</v>
      </c>
      <c r="AA8" s="169" t="s">
        <v>413</v>
      </c>
      <c r="AB8" s="185" t="s">
        <v>430</v>
      </c>
    </row>
    <row r="9" spans="1:28" x14ac:dyDescent="0.35">
      <c r="A9" s="167" t="s">
        <v>56</v>
      </c>
      <c r="B9" s="177" t="s">
        <v>695</v>
      </c>
      <c r="C9" s="169" t="s">
        <v>707</v>
      </c>
      <c r="D9" s="170" t="s">
        <v>718</v>
      </c>
      <c r="E9" s="177" t="s">
        <v>730</v>
      </c>
      <c r="F9" s="169" t="s">
        <v>742</v>
      </c>
      <c r="G9" s="170" t="s">
        <v>755</v>
      </c>
      <c r="H9" s="177" t="s">
        <v>769</v>
      </c>
      <c r="I9" s="169" t="s">
        <v>783</v>
      </c>
      <c r="J9" s="170" t="s">
        <v>796</v>
      </c>
      <c r="K9" s="179" t="s">
        <v>808</v>
      </c>
      <c r="L9" s="180" t="s">
        <v>825</v>
      </c>
      <c r="M9" s="181" t="s">
        <v>838</v>
      </c>
      <c r="N9" s="177" t="s">
        <v>853</v>
      </c>
      <c r="O9" s="178" t="s">
        <v>869</v>
      </c>
      <c r="P9" s="185" t="s">
        <v>885</v>
      </c>
      <c r="Q9" s="177" t="s">
        <v>902</v>
      </c>
      <c r="R9" s="169" t="s">
        <v>919</v>
      </c>
      <c r="S9" s="185" t="s">
        <v>936</v>
      </c>
      <c r="T9" s="179" t="s">
        <v>952</v>
      </c>
      <c r="U9" s="180" t="s">
        <v>967</v>
      </c>
      <c r="V9" s="186" t="s">
        <v>383</v>
      </c>
      <c r="W9" s="177" t="s">
        <v>981</v>
      </c>
      <c r="X9" s="169" t="s">
        <v>997</v>
      </c>
      <c r="Y9" s="185" t="s">
        <v>1013</v>
      </c>
      <c r="Z9" s="177" t="s">
        <v>401</v>
      </c>
      <c r="AA9" s="169" t="s">
        <v>418</v>
      </c>
      <c r="AB9" s="185" t="s">
        <v>435</v>
      </c>
    </row>
    <row r="10" spans="1:28" x14ac:dyDescent="0.35">
      <c r="A10" s="167" t="s">
        <v>57</v>
      </c>
      <c r="B10" s="177" t="s">
        <v>696</v>
      </c>
      <c r="C10" s="169" t="s">
        <v>708</v>
      </c>
      <c r="D10" s="170" t="s">
        <v>719</v>
      </c>
      <c r="E10" s="177" t="s">
        <v>731</v>
      </c>
      <c r="F10" s="169" t="s">
        <v>743</v>
      </c>
      <c r="G10" s="170" t="s">
        <v>756</v>
      </c>
      <c r="H10" s="177" t="s">
        <v>770</v>
      </c>
      <c r="I10" s="169" t="s">
        <v>784</v>
      </c>
      <c r="J10" s="185" t="s">
        <v>797</v>
      </c>
      <c r="K10" s="177" t="s">
        <v>809</v>
      </c>
      <c r="L10" s="169" t="s">
        <v>826</v>
      </c>
      <c r="M10" s="170" t="s">
        <v>839</v>
      </c>
      <c r="N10" s="177" t="s">
        <v>854</v>
      </c>
      <c r="O10" s="178" t="s">
        <v>870</v>
      </c>
      <c r="P10" s="185" t="s">
        <v>886</v>
      </c>
      <c r="Q10" s="177" t="s">
        <v>903</v>
      </c>
      <c r="R10" s="169" t="s">
        <v>920</v>
      </c>
      <c r="S10" s="185" t="s">
        <v>937</v>
      </c>
      <c r="T10" s="177" t="s">
        <v>953</v>
      </c>
      <c r="U10" s="169" t="s">
        <v>968</v>
      </c>
      <c r="V10" s="185" t="s">
        <v>384</v>
      </c>
      <c r="W10" s="177" t="s">
        <v>982</v>
      </c>
      <c r="X10" s="169" t="s">
        <v>998</v>
      </c>
      <c r="Y10" s="185" t="s">
        <v>1014</v>
      </c>
      <c r="Z10" s="177" t="s">
        <v>402</v>
      </c>
      <c r="AA10" s="169" t="s">
        <v>419</v>
      </c>
      <c r="AB10" s="185" t="s">
        <v>436</v>
      </c>
    </row>
    <row r="11" spans="1:28" x14ac:dyDescent="0.35">
      <c r="A11" s="167" t="s">
        <v>2</v>
      </c>
      <c r="B11" s="177" t="s">
        <v>128</v>
      </c>
      <c r="C11" s="169" t="s">
        <v>128</v>
      </c>
      <c r="D11" s="170" t="s">
        <v>720</v>
      </c>
      <c r="E11" s="177" t="s">
        <v>732</v>
      </c>
      <c r="F11" s="169" t="s">
        <v>744</v>
      </c>
      <c r="G11" s="170" t="s">
        <v>757</v>
      </c>
      <c r="H11" s="177" t="s">
        <v>771</v>
      </c>
      <c r="I11" s="169" t="s">
        <v>785</v>
      </c>
      <c r="J11" s="185" t="s">
        <v>798</v>
      </c>
      <c r="K11" s="177" t="s">
        <v>810</v>
      </c>
      <c r="L11" s="169" t="s">
        <v>827</v>
      </c>
      <c r="M11" s="170" t="s">
        <v>840</v>
      </c>
      <c r="N11" s="177" t="s">
        <v>855</v>
      </c>
      <c r="O11" s="169" t="s">
        <v>871</v>
      </c>
      <c r="P11" s="185" t="s">
        <v>887</v>
      </c>
      <c r="Q11" s="177" t="s">
        <v>904</v>
      </c>
      <c r="R11" s="169" t="s">
        <v>921</v>
      </c>
      <c r="S11" s="185" t="s">
        <v>938</v>
      </c>
      <c r="T11" s="177" t="s">
        <v>954</v>
      </c>
      <c r="U11" s="169" t="s">
        <v>969</v>
      </c>
      <c r="V11" s="185" t="s">
        <v>385</v>
      </c>
      <c r="W11" s="177" t="s">
        <v>983</v>
      </c>
      <c r="X11" s="169" t="s">
        <v>999</v>
      </c>
      <c r="Y11" s="185" t="s">
        <v>1015</v>
      </c>
      <c r="Z11" s="177" t="s">
        <v>403</v>
      </c>
      <c r="AA11" s="169" t="s">
        <v>420</v>
      </c>
      <c r="AB11" s="185" t="s">
        <v>437</v>
      </c>
    </row>
    <row r="12" spans="1:28" x14ac:dyDescent="0.35">
      <c r="A12" s="167" t="s">
        <v>1</v>
      </c>
      <c r="B12" s="177" t="s">
        <v>130</v>
      </c>
      <c r="C12" s="169" t="s">
        <v>130</v>
      </c>
      <c r="D12" s="170" t="s">
        <v>130</v>
      </c>
      <c r="E12" s="177" t="s">
        <v>130</v>
      </c>
      <c r="F12" s="169" t="s">
        <v>130</v>
      </c>
      <c r="G12" s="170" t="s">
        <v>130</v>
      </c>
      <c r="H12" s="177" t="s">
        <v>130</v>
      </c>
      <c r="I12" s="169" t="s">
        <v>130</v>
      </c>
      <c r="J12" s="170" t="s">
        <v>130</v>
      </c>
      <c r="K12" s="177" t="s">
        <v>811</v>
      </c>
      <c r="L12" s="169" t="s">
        <v>811</v>
      </c>
      <c r="M12" s="170" t="s">
        <v>811</v>
      </c>
      <c r="N12" s="177" t="s">
        <v>811</v>
      </c>
      <c r="O12" s="169" t="s">
        <v>811</v>
      </c>
      <c r="P12" s="185" t="s">
        <v>811</v>
      </c>
      <c r="Q12" s="177" t="s">
        <v>130</v>
      </c>
      <c r="R12" s="169" t="s">
        <v>130</v>
      </c>
      <c r="S12" s="185" t="s">
        <v>130</v>
      </c>
      <c r="T12" s="177" t="s">
        <v>130</v>
      </c>
      <c r="U12" s="169" t="s">
        <v>130</v>
      </c>
      <c r="V12" s="185" t="s">
        <v>130</v>
      </c>
      <c r="W12" s="177" t="s">
        <v>811</v>
      </c>
      <c r="X12" s="178" t="s">
        <v>811</v>
      </c>
      <c r="Y12" s="185" t="s">
        <v>811</v>
      </c>
      <c r="Z12" s="177" t="s">
        <v>130</v>
      </c>
      <c r="AA12" s="169" t="s">
        <v>130</v>
      </c>
      <c r="AB12" s="185" t="s">
        <v>130</v>
      </c>
    </row>
    <row r="13" spans="1:28" x14ac:dyDescent="0.35">
      <c r="A13" s="167" t="s">
        <v>684</v>
      </c>
      <c r="B13" s="177" t="s">
        <v>627</v>
      </c>
      <c r="C13" s="169" t="s">
        <v>627</v>
      </c>
      <c r="D13" s="170" t="s">
        <v>627</v>
      </c>
      <c r="E13" s="177" t="s">
        <v>627</v>
      </c>
      <c r="F13" s="169" t="s">
        <v>627</v>
      </c>
      <c r="G13" s="170" t="s">
        <v>627</v>
      </c>
      <c r="H13" s="177" t="s">
        <v>627</v>
      </c>
      <c r="I13" s="169" t="s">
        <v>627</v>
      </c>
      <c r="J13" s="170" t="s">
        <v>627</v>
      </c>
      <c r="K13" s="177" t="s">
        <v>812</v>
      </c>
      <c r="L13" s="169" t="s">
        <v>812</v>
      </c>
      <c r="M13" s="170" t="s">
        <v>841</v>
      </c>
      <c r="N13" s="177" t="s">
        <v>856</v>
      </c>
      <c r="O13" s="169" t="s">
        <v>872</v>
      </c>
      <c r="P13" s="185" t="s">
        <v>888</v>
      </c>
      <c r="Q13" s="177" t="s">
        <v>905</v>
      </c>
      <c r="R13" s="169" t="s">
        <v>922</v>
      </c>
      <c r="S13" s="185" t="s">
        <v>939</v>
      </c>
      <c r="T13" s="177" t="s">
        <v>955</v>
      </c>
      <c r="U13" s="169" t="s">
        <v>970</v>
      </c>
      <c r="V13" s="185" t="s">
        <v>392</v>
      </c>
      <c r="W13" s="177" t="s">
        <v>984</v>
      </c>
      <c r="X13" s="178" t="s">
        <v>1000</v>
      </c>
      <c r="Y13" s="185" t="s">
        <v>1016</v>
      </c>
      <c r="Z13" s="177" t="s">
        <v>410</v>
      </c>
      <c r="AA13" s="169" t="s">
        <v>427</v>
      </c>
      <c r="AB13" s="185" t="s">
        <v>444</v>
      </c>
    </row>
    <row r="14" spans="1:28" x14ac:dyDescent="0.35">
      <c r="A14" s="167" t="s">
        <v>107</v>
      </c>
      <c r="B14" s="177" t="s">
        <v>393</v>
      </c>
      <c r="C14" s="169" t="s">
        <v>393</v>
      </c>
      <c r="D14" s="170" t="s">
        <v>393</v>
      </c>
      <c r="E14" s="177" t="s">
        <v>393</v>
      </c>
      <c r="F14" s="169" t="s">
        <v>393</v>
      </c>
      <c r="G14" s="170" t="s">
        <v>393</v>
      </c>
      <c r="H14" s="177" t="s">
        <v>393</v>
      </c>
      <c r="I14" s="169" t="s">
        <v>393</v>
      </c>
      <c r="J14" s="170" t="s">
        <v>393</v>
      </c>
      <c r="K14" s="179" t="s">
        <v>813</v>
      </c>
      <c r="L14" s="180" t="s">
        <v>813</v>
      </c>
      <c r="M14" s="181" t="s">
        <v>813</v>
      </c>
      <c r="N14" s="179" t="s">
        <v>813</v>
      </c>
      <c r="O14" s="180" t="s">
        <v>813</v>
      </c>
      <c r="P14" s="186" t="s">
        <v>813</v>
      </c>
      <c r="Q14" s="177" t="s">
        <v>393</v>
      </c>
      <c r="R14" s="169" t="s">
        <v>393</v>
      </c>
      <c r="S14" s="185" t="s">
        <v>393</v>
      </c>
      <c r="T14" s="177" t="s">
        <v>393</v>
      </c>
      <c r="U14" s="169" t="s">
        <v>393</v>
      </c>
      <c r="V14" s="185" t="s">
        <v>393</v>
      </c>
      <c r="W14" s="179" t="s">
        <v>813</v>
      </c>
      <c r="X14" s="180" t="s">
        <v>813</v>
      </c>
      <c r="Y14" s="186" t="s">
        <v>813</v>
      </c>
      <c r="Z14" s="177" t="s">
        <v>393</v>
      </c>
      <c r="AA14" s="169" t="s">
        <v>393</v>
      </c>
      <c r="AB14" s="185" t="s">
        <v>393</v>
      </c>
    </row>
    <row r="15" spans="1:28" x14ac:dyDescent="0.35">
      <c r="A15" s="167" t="s">
        <v>688</v>
      </c>
      <c r="B15" s="177" t="s">
        <v>627</v>
      </c>
      <c r="C15" s="169" t="s">
        <v>627</v>
      </c>
      <c r="D15" s="170" t="s">
        <v>627</v>
      </c>
      <c r="E15" s="177" t="s">
        <v>627</v>
      </c>
      <c r="F15" s="169" t="s">
        <v>627</v>
      </c>
      <c r="G15" s="170" t="s">
        <v>627</v>
      </c>
      <c r="H15" s="177" t="s">
        <v>627</v>
      </c>
      <c r="I15" s="169" t="s">
        <v>627</v>
      </c>
      <c r="J15" s="170" t="s">
        <v>627</v>
      </c>
      <c r="K15" s="177" t="s">
        <v>812</v>
      </c>
      <c r="L15" s="169" t="s">
        <v>812</v>
      </c>
      <c r="M15" s="170" t="s">
        <v>812</v>
      </c>
      <c r="N15" s="177" t="s">
        <v>812</v>
      </c>
      <c r="O15" s="169" t="s">
        <v>812</v>
      </c>
      <c r="P15" s="185" t="s">
        <v>812</v>
      </c>
      <c r="Q15" s="177" t="s">
        <v>627</v>
      </c>
      <c r="R15" s="169" t="s">
        <v>627</v>
      </c>
      <c r="S15" s="185" t="s">
        <v>627</v>
      </c>
      <c r="T15" s="177" t="s">
        <v>627</v>
      </c>
      <c r="U15" s="169" t="s">
        <v>627</v>
      </c>
      <c r="V15" s="185" t="s">
        <v>627</v>
      </c>
      <c r="W15" s="177" t="s">
        <v>812</v>
      </c>
      <c r="X15" s="169" t="s">
        <v>812</v>
      </c>
      <c r="Y15" s="185" t="s">
        <v>812</v>
      </c>
      <c r="Z15" s="177" t="s">
        <v>627</v>
      </c>
      <c r="AA15" s="169" t="s">
        <v>627</v>
      </c>
      <c r="AB15" s="185" t="s">
        <v>627</v>
      </c>
    </row>
    <row r="16" spans="1:28" x14ac:dyDescent="0.35">
      <c r="A16" s="167" t="s">
        <v>685</v>
      </c>
      <c r="B16" s="177" t="s">
        <v>501</v>
      </c>
      <c r="C16" s="169" t="s">
        <v>507</v>
      </c>
      <c r="D16" s="170" t="s">
        <v>507</v>
      </c>
      <c r="E16" s="177" t="s">
        <v>501</v>
      </c>
      <c r="F16" s="169" t="s">
        <v>521</v>
      </c>
      <c r="G16" s="170" t="s">
        <v>758</v>
      </c>
      <c r="H16" s="179" t="s">
        <v>772</v>
      </c>
      <c r="I16" s="180" t="s">
        <v>786</v>
      </c>
      <c r="J16" s="186" t="s">
        <v>527</v>
      </c>
      <c r="K16" s="179" t="s">
        <v>814</v>
      </c>
      <c r="L16" s="180" t="s">
        <v>828</v>
      </c>
      <c r="M16" s="181" t="s">
        <v>842</v>
      </c>
      <c r="N16" s="179" t="s">
        <v>857</v>
      </c>
      <c r="O16" s="180" t="s">
        <v>873</v>
      </c>
      <c r="P16" s="186" t="s">
        <v>889</v>
      </c>
      <c r="Q16" s="177" t="s">
        <v>906</v>
      </c>
      <c r="R16" s="169" t="s">
        <v>923</v>
      </c>
      <c r="S16" s="185" t="s">
        <v>940</v>
      </c>
      <c r="T16" s="177" t="s">
        <v>610</v>
      </c>
      <c r="U16" s="169" t="s">
        <v>619</v>
      </c>
      <c r="V16" s="185" t="s">
        <v>628</v>
      </c>
      <c r="W16" s="179" t="s">
        <v>985</v>
      </c>
      <c r="X16" s="180" t="s">
        <v>1001</v>
      </c>
      <c r="Y16" s="186" t="s">
        <v>1017</v>
      </c>
      <c r="Z16" s="177" t="s">
        <v>660</v>
      </c>
      <c r="AA16" s="169" t="s">
        <v>668</v>
      </c>
      <c r="AB16" s="185" t="s">
        <v>676</v>
      </c>
    </row>
    <row r="17" spans="1:28" x14ac:dyDescent="0.35">
      <c r="A17" s="167" t="s">
        <v>686</v>
      </c>
      <c r="B17" s="177" t="s">
        <v>697</v>
      </c>
      <c r="C17" s="169" t="s">
        <v>709</v>
      </c>
      <c r="D17" s="170" t="s">
        <v>721</v>
      </c>
      <c r="E17" s="177" t="s">
        <v>733</v>
      </c>
      <c r="F17" s="169" t="s">
        <v>745</v>
      </c>
      <c r="G17" s="170" t="s">
        <v>759</v>
      </c>
      <c r="H17" s="177" t="s">
        <v>773</v>
      </c>
      <c r="I17" s="169" t="s">
        <v>787</v>
      </c>
      <c r="J17" s="170" t="s">
        <v>799</v>
      </c>
      <c r="K17" s="177" t="s">
        <v>815</v>
      </c>
      <c r="L17" s="169" t="s">
        <v>829</v>
      </c>
      <c r="M17" s="170" t="s">
        <v>843</v>
      </c>
      <c r="N17" s="177" t="s">
        <v>858</v>
      </c>
      <c r="O17" s="169" t="s">
        <v>874</v>
      </c>
      <c r="P17" s="185" t="s">
        <v>890</v>
      </c>
      <c r="Q17" s="177" t="s">
        <v>907</v>
      </c>
      <c r="R17" s="169" t="s">
        <v>924</v>
      </c>
      <c r="S17" s="185" t="s">
        <v>941</v>
      </c>
      <c r="T17" s="177" t="s">
        <v>956</v>
      </c>
      <c r="U17" s="169" t="s">
        <v>620</v>
      </c>
      <c r="V17" s="185" t="s">
        <v>629</v>
      </c>
      <c r="W17" s="177" t="s">
        <v>986</v>
      </c>
      <c r="X17" s="169" t="s">
        <v>1002</v>
      </c>
      <c r="Y17" s="185" t="s">
        <v>1018</v>
      </c>
      <c r="Z17" s="177" t="s">
        <v>661</v>
      </c>
      <c r="AA17" s="169" t="s">
        <v>669</v>
      </c>
      <c r="AB17" s="185" t="s">
        <v>677</v>
      </c>
    </row>
    <row r="18" spans="1:28" x14ac:dyDescent="0.35">
      <c r="A18" s="167" t="s">
        <v>108</v>
      </c>
      <c r="B18" s="177" t="s">
        <v>698</v>
      </c>
      <c r="C18" s="169" t="s">
        <v>710</v>
      </c>
      <c r="D18" s="170" t="s">
        <v>722</v>
      </c>
      <c r="E18" s="177" t="s">
        <v>734</v>
      </c>
      <c r="F18" s="169" t="s">
        <v>746</v>
      </c>
      <c r="G18" s="170" t="s">
        <v>760</v>
      </c>
      <c r="H18" s="177" t="s">
        <v>774</v>
      </c>
      <c r="I18" s="169" t="s">
        <v>788</v>
      </c>
      <c r="J18" s="170" t="s">
        <v>800</v>
      </c>
      <c r="K18" s="179" t="s">
        <v>816</v>
      </c>
      <c r="L18" s="180" t="s">
        <v>830</v>
      </c>
      <c r="M18" s="181" t="s">
        <v>844</v>
      </c>
      <c r="N18" s="179" t="s">
        <v>859</v>
      </c>
      <c r="O18" s="180" t="s">
        <v>875</v>
      </c>
      <c r="P18" s="186" t="s">
        <v>891</v>
      </c>
      <c r="Q18" s="177" t="s">
        <v>908</v>
      </c>
      <c r="R18" s="169" t="s">
        <v>925</v>
      </c>
      <c r="S18" s="185" t="s">
        <v>942</v>
      </c>
      <c r="T18" s="177" t="s">
        <v>957</v>
      </c>
      <c r="U18" s="169" t="s">
        <v>621</v>
      </c>
      <c r="V18" s="185" t="s">
        <v>630</v>
      </c>
      <c r="W18" s="179" t="s">
        <v>987</v>
      </c>
      <c r="X18" s="180" t="s">
        <v>1003</v>
      </c>
      <c r="Y18" s="186" t="s">
        <v>1019</v>
      </c>
      <c r="Z18" s="179" t="s">
        <v>662</v>
      </c>
      <c r="AA18" s="180" t="s">
        <v>670</v>
      </c>
      <c r="AB18" s="186" t="s">
        <v>678</v>
      </c>
    </row>
    <row r="19" spans="1:28" x14ac:dyDescent="0.35">
      <c r="A19" s="167" t="s">
        <v>687</v>
      </c>
      <c r="B19" s="177" t="s">
        <v>699</v>
      </c>
      <c r="C19" s="169" t="s">
        <v>711</v>
      </c>
      <c r="D19" s="170" t="s">
        <v>723</v>
      </c>
      <c r="E19" s="177" t="s">
        <v>735</v>
      </c>
      <c r="F19" s="169" t="s">
        <v>747</v>
      </c>
      <c r="G19" s="170" t="s">
        <v>761</v>
      </c>
      <c r="H19" s="177" t="s">
        <v>775</v>
      </c>
      <c r="I19" s="169" t="s">
        <v>789</v>
      </c>
      <c r="J19" s="170" t="s">
        <v>801</v>
      </c>
      <c r="K19" s="177" t="s">
        <v>817</v>
      </c>
      <c r="L19" s="169" t="s">
        <v>831</v>
      </c>
      <c r="M19" s="170" t="s">
        <v>845</v>
      </c>
      <c r="N19" s="177" t="s">
        <v>860</v>
      </c>
      <c r="O19" s="169" t="s">
        <v>876</v>
      </c>
      <c r="P19" s="185" t="s">
        <v>892</v>
      </c>
      <c r="Q19" s="177" t="s">
        <v>909</v>
      </c>
      <c r="R19" s="169" t="s">
        <v>926</v>
      </c>
      <c r="S19" s="185" t="s">
        <v>943</v>
      </c>
      <c r="T19" s="177" t="s">
        <v>958</v>
      </c>
      <c r="U19" s="169" t="s">
        <v>971</v>
      </c>
      <c r="V19" s="185" t="s">
        <v>631</v>
      </c>
      <c r="W19" s="177" t="s">
        <v>988</v>
      </c>
      <c r="X19" s="169" t="s">
        <v>1004</v>
      </c>
      <c r="Y19" s="185" t="s">
        <v>1020</v>
      </c>
      <c r="Z19" s="177" t="s">
        <v>663</v>
      </c>
      <c r="AA19" s="169" t="s">
        <v>671</v>
      </c>
      <c r="AB19" s="185" t="s">
        <v>679</v>
      </c>
    </row>
    <row r="20" spans="1:28" x14ac:dyDescent="0.35">
      <c r="A20" s="167" t="s">
        <v>50</v>
      </c>
      <c r="B20" s="177" t="s">
        <v>130</v>
      </c>
      <c r="C20" s="169" t="s">
        <v>130</v>
      </c>
      <c r="D20" s="170" t="s">
        <v>130</v>
      </c>
      <c r="E20" s="177" t="s">
        <v>130</v>
      </c>
      <c r="F20" s="169" t="s">
        <v>130</v>
      </c>
      <c r="G20" s="170" t="s">
        <v>130</v>
      </c>
      <c r="H20" s="177" t="s">
        <v>130</v>
      </c>
      <c r="I20" s="169" t="s">
        <v>130</v>
      </c>
      <c r="J20" s="170" t="s">
        <v>130</v>
      </c>
      <c r="K20" s="177" t="s">
        <v>811</v>
      </c>
      <c r="L20" s="169" t="s">
        <v>811</v>
      </c>
      <c r="M20" s="170" t="s">
        <v>811</v>
      </c>
      <c r="N20" s="177" t="s">
        <v>861</v>
      </c>
      <c r="O20" s="169" t="s">
        <v>877</v>
      </c>
      <c r="P20" s="185" t="s">
        <v>893</v>
      </c>
      <c r="Q20" s="177" t="s">
        <v>910</v>
      </c>
      <c r="R20" s="169" t="s">
        <v>927</v>
      </c>
      <c r="S20" s="185" t="s">
        <v>944</v>
      </c>
      <c r="T20" s="177" t="s">
        <v>959</v>
      </c>
      <c r="U20" s="169" t="s">
        <v>623</v>
      </c>
      <c r="V20" s="185" t="s">
        <v>632</v>
      </c>
      <c r="W20" s="177" t="s">
        <v>989</v>
      </c>
      <c r="X20" s="169" t="s">
        <v>1005</v>
      </c>
      <c r="Y20" s="185" t="s">
        <v>1021</v>
      </c>
      <c r="Z20" s="177" t="s">
        <v>664</v>
      </c>
      <c r="AA20" s="169" t="s">
        <v>672</v>
      </c>
      <c r="AB20" s="185" t="s">
        <v>680</v>
      </c>
    </row>
    <row r="21" spans="1:28" x14ac:dyDescent="0.35">
      <c r="A21" s="168"/>
      <c r="B21" s="179" t="s">
        <v>700</v>
      </c>
      <c r="C21" s="180" t="s">
        <v>700</v>
      </c>
      <c r="D21" s="181" t="s">
        <v>700</v>
      </c>
      <c r="E21" s="177" t="s">
        <v>700</v>
      </c>
      <c r="F21" s="169" t="s">
        <v>700</v>
      </c>
      <c r="G21" s="170" t="s">
        <v>700</v>
      </c>
      <c r="H21" s="177" t="s">
        <v>700</v>
      </c>
      <c r="I21" s="169" t="s">
        <v>700</v>
      </c>
      <c r="J21" s="170" t="s">
        <v>700</v>
      </c>
      <c r="K21" s="177" t="s">
        <v>818</v>
      </c>
      <c r="L21" s="169" t="s">
        <v>818</v>
      </c>
      <c r="M21" s="170" t="s">
        <v>818</v>
      </c>
      <c r="N21" s="177" t="s">
        <v>862</v>
      </c>
      <c r="O21" s="169" t="s">
        <v>878</v>
      </c>
      <c r="P21" s="185" t="s">
        <v>894</v>
      </c>
      <c r="Q21" s="177" t="s">
        <v>911</v>
      </c>
      <c r="R21" s="169" t="s">
        <v>928</v>
      </c>
      <c r="S21" s="185" t="s">
        <v>945</v>
      </c>
      <c r="T21" s="177" t="s">
        <v>960</v>
      </c>
      <c r="U21" s="169" t="s">
        <v>972</v>
      </c>
      <c r="V21" s="185" t="s">
        <v>974</v>
      </c>
      <c r="W21" s="177" t="s">
        <v>990</v>
      </c>
      <c r="X21" s="169" t="s">
        <v>1006</v>
      </c>
      <c r="Y21" s="185" t="s">
        <v>1022</v>
      </c>
      <c r="Z21" s="177" t="s">
        <v>666</v>
      </c>
      <c r="AA21" s="169" t="s">
        <v>674</v>
      </c>
      <c r="AB21" s="185" t="s">
        <v>682</v>
      </c>
    </row>
    <row r="22" spans="1:28" x14ac:dyDescent="0.35">
      <c r="A22" s="167" t="s">
        <v>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70C0"/>
  </sheetPr>
  <dimension ref="A1:CI136"/>
  <sheetViews>
    <sheetView zoomScale="70" zoomScaleNormal="70" zoomScaleSheetLayoutView="25" workbookViewId="0">
      <selection activeCell="E3" sqref="E3:BR28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4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21" t="s">
        <v>24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121"/>
      <c r="AU1" s="121"/>
      <c r="AV1" s="121"/>
      <c r="AW1" s="121"/>
      <c r="AX1" s="121"/>
      <c r="AY1" s="121"/>
      <c r="AZ1" s="121"/>
      <c r="BA1" s="121"/>
      <c r="BB1" s="121"/>
      <c r="BC1" s="121"/>
      <c r="BD1" s="121"/>
      <c r="BE1" s="121"/>
      <c r="BF1" s="121"/>
      <c r="BG1" s="121"/>
      <c r="BH1" s="121"/>
      <c r="BI1" s="121"/>
      <c r="BJ1" s="121"/>
      <c r="BK1" s="121"/>
      <c r="BL1" s="121"/>
      <c r="BM1" s="121"/>
      <c r="BN1" s="121"/>
      <c r="BO1" s="121"/>
      <c r="BP1" s="121"/>
      <c r="BQ1" s="121"/>
      <c r="BR1" s="121"/>
      <c r="BS1" s="121"/>
      <c r="BT1" s="121"/>
      <c r="BU1" s="121"/>
      <c r="BV1" s="121"/>
      <c r="BW1" s="121"/>
      <c r="BX1" s="121"/>
      <c r="BY1" s="121"/>
      <c r="BZ1" s="121"/>
      <c r="CA1" s="121"/>
      <c r="CB1" s="121"/>
      <c r="CC1" s="121"/>
      <c r="CD1" s="121"/>
      <c r="CE1" s="121"/>
      <c r="CF1" s="121"/>
      <c r="CG1" s="121"/>
      <c r="CH1" s="121"/>
      <c r="CI1" s="121"/>
    </row>
    <row r="2" spans="1:87" ht="21" customHeight="1" thickBot="1" x14ac:dyDescent="0.45">
      <c r="A2" s="72">
        <f>Values!B1</f>
        <v>700</v>
      </c>
      <c r="B2" s="73">
        <v>8.3145000000000007</v>
      </c>
      <c r="C2" s="62"/>
      <c r="D2" s="62"/>
      <c r="E2" s="61" t="s">
        <v>18</v>
      </c>
      <c r="F2" s="62"/>
      <c r="G2" s="61"/>
      <c r="H2" s="61"/>
      <c r="I2" s="61"/>
      <c r="J2" s="61"/>
      <c r="K2" s="63"/>
      <c r="L2" s="63"/>
      <c r="M2" s="63"/>
      <c r="N2" s="63"/>
      <c r="O2" s="63"/>
      <c r="P2" s="63"/>
      <c r="Q2" s="63"/>
      <c r="R2" s="63"/>
      <c r="S2" s="63"/>
      <c r="T2" s="63"/>
      <c r="U2" s="64"/>
      <c r="V2" s="65"/>
      <c r="W2" s="66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4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115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18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18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18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18"/>
      <c r="F7" s="112"/>
      <c r="G7" s="112"/>
      <c r="H7" s="112"/>
      <c r="I7" s="112"/>
      <c r="J7" s="112"/>
      <c r="K7" s="114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4"/>
      <c r="W7" s="112"/>
      <c r="X7" s="112"/>
      <c r="Y7" s="112"/>
      <c r="Z7" s="112"/>
      <c r="AA7" s="112"/>
      <c r="AB7" s="112"/>
      <c r="AC7" s="112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18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18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4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/>
      <c r="F10" s="112"/>
      <c r="G10" s="112"/>
      <c r="H10" s="112"/>
      <c r="I10" s="112"/>
      <c r="J10" s="112"/>
      <c r="K10" s="112"/>
      <c r="L10" s="112"/>
      <c r="M10" s="112"/>
      <c r="N10" s="114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18"/>
      <c r="F11" s="112"/>
      <c r="G11" s="112"/>
      <c r="H11" s="112"/>
      <c r="I11" s="112"/>
      <c r="J11" s="112"/>
      <c r="K11" s="112"/>
      <c r="L11" s="112"/>
      <c r="M11" s="114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18"/>
      <c r="F12" s="112"/>
      <c r="G12" s="112"/>
      <c r="H12" s="112"/>
      <c r="I12" s="112"/>
      <c r="J12" s="112"/>
      <c r="K12" s="112"/>
      <c r="L12" s="114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  <c r="BA12" s="81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18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18"/>
      <c r="F14" s="112"/>
      <c r="G14" s="112"/>
      <c r="H14" s="112"/>
      <c r="I14" s="112"/>
      <c r="J14" s="112"/>
      <c r="K14" s="112"/>
      <c r="L14" s="114"/>
      <c r="M14" s="114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  <c r="BA14" s="81"/>
      <c r="BB14" s="81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18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18"/>
      <c r="F17" s="112"/>
      <c r="G17" s="112"/>
      <c r="H17" s="114"/>
      <c r="I17" s="112"/>
      <c r="J17" s="112"/>
      <c r="K17" s="112"/>
      <c r="L17" s="112"/>
      <c r="M17" s="112"/>
      <c r="N17" s="112"/>
      <c r="O17" s="112"/>
      <c r="P17" s="112"/>
      <c r="Q17" s="112"/>
      <c r="R17" s="114"/>
      <c r="S17" s="114"/>
      <c r="T17" s="114"/>
      <c r="U17" s="112"/>
      <c r="V17" s="112"/>
      <c r="W17" s="112"/>
      <c r="X17" s="112"/>
      <c r="Y17" s="112"/>
      <c r="Z17" s="112"/>
      <c r="AA17" s="112"/>
      <c r="AB17" s="112"/>
      <c r="AC17" s="112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  <c r="BA17" s="81"/>
      <c r="BB17" s="81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18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  <c r="BA18" s="81"/>
      <c r="BB18" s="81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18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4"/>
      <c r="V19" s="114"/>
      <c r="W19" s="114"/>
      <c r="X19" s="114"/>
      <c r="Y19" s="114"/>
      <c r="Z19" s="114"/>
      <c r="AA19" s="112"/>
      <c r="AB19" s="112"/>
      <c r="AC19" s="112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12"/>
      <c r="G20" s="112"/>
      <c r="H20" s="112"/>
      <c r="I20" s="112"/>
      <c r="J20" s="114"/>
      <c r="K20" s="114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  <c r="BA20" s="81"/>
      <c r="BB20" s="81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13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113"/>
      <c r="F23" s="112"/>
      <c r="G23" s="112"/>
      <c r="H23" s="112"/>
      <c r="I23" s="112"/>
      <c r="J23" s="112"/>
      <c r="K23" s="112"/>
      <c r="L23" s="114"/>
      <c r="M23" s="114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113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  <c r="BA24" s="81"/>
      <c r="BB24" s="81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113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113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  <c r="BA26" s="81"/>
      <c r="BB26" s="81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113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79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79"/>
      <c r="F29" s="81"/>
      <c r="G29" s="81"/>
      <c r="H29" s="81"/>
      <c r="I29" s="81"/>
      <c r="J29" s="81"/>
      <c r="K29" s="81"/>
      <c r="L29" s="81"/>
      <c r="M29" s="81"/>
      <c r="N29" s="8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  <c r="BA29" s="81"/>
      <c r="BB29" s="81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79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79"/>
      <c r="F31" s="81"/>
      <c r="G31" s="81"/>
      <c r="H31" s="81"/>
      <c r="I31" s="81"/>
      <c r="J31" s="81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79"/>
      <c r="F32" s="81"/>
      <c r="G32" s="81"/>
      <c r="H32" s="81"/>
      <c r="I32" s="81"/>
      <c r="J32" s="81"/>
      <c r="K32" s="81"/>
      <c r="L32" s="81"/>
      <c r="M32" s="81"/>
      <c r="N32" s="8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  <c r="BA32" s="81"/>
      <c r="BB32" s="81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2">
        <f>IF(G3&gt;F3,1,0)</f>
        <v>0</v>
      </c>
      <c r="G33" s="102">
        <f t="shared" ref="G33:BR33" si="3">IF(H3&gt;G3,1,0)</f>
        <v>0</v>
      </c>
      <c r="H33" s="102">
        <f t="shared" si="3"/>
        <v>0</v>
      </c>
      <c r="I33" s="102">
        <f t="shared" si="3"/>
        <v>0</v>
      </c>
      <c r="J33" s="102">
        <f t="shared" si="3"/>
        <v>0</v>
      </c>
      <c r="K33" s="102">
        <f t="shared" si="3"/>
        <v>0</v>
      </c>
      <c r="L33" s="102">
        <f t="shared" si="3"/>
        <v>0</v>
      </c>
      <c r="M33" s="102">
        <f t="shared" si="3"/>
        <v>0</v>
      </c>
      <c r="N33" s="102">
        <f t="shared" si="3"/>
        <v>0</v>
      </c>
      <c r="O33" s="102">
        <f t="shared" si="3"/>
        <v>0</v>
      </c>
      <c r="P33" s="102">
        <f t="shared" si="3"/>
        <v>0</v>
      </c>
      <c r="Q33" s="102">
        <f t="shared" si="3"/>
        <v>0</v>
      </c>
      <c r="R33" s="102">
        <f t="shared" si="3"/>
        <v>0</v>
      </c>
      <c r="S33" s="102">
        <f t="shared" si="3"/>
        <v>0</v>
      </c>
      <c r="T33" s="102">
        <f t="shared" si="3"/>
        <v>0</v>
      </c>
      <c r="U33" s="102">
        <f t="shared" si="3"/>
        <v>0</v>
      </c>
      <c r="V33" s="102">
        <f t="shared" si="3"/>
        <v>0</v>
      </c>
      <c r="W33" s="102">
        <f t="shared" si="3"/>
        <v>0</v>
      </c>
      <c r="X33" s="102">
        <f t="shared" si="3"/>
        <v>0</v>
      </c>
      <c r="Y33" s="102">
        <f t="shared" si="3"/>
        <v>0</v>
      </c>
      <c r="Z33" s="102">
        <f t="shared" si="3"/>
        <v>0</v>
      </c>
      <c r="AA33" s="102">
        <f t="shared" si="3"/>
        <v>0</v>
      </c>
      <c r="AB33" s="102">
        <f t="shared" si="3"/>
        <v>0</v>
      </c>
      <c r="AC33" s="102">
        <f t="shared" si="3"/>
        <v>0</v>
      </c>
      <c r="AD33" s="102">
        <f t="shared" si="3"/>
        <v>0</v>
      </c>
      <c r="AE33" s="102">
        <f t="shared" si="3"/>
        <v>0</v>
      </c>
      <c r="AF33" s="102">
        <f t="shared" si="3"/>
        <v>0</v>
      </c>
      <c r="AG33" s="102">
        <f t="shared" si="3"/>
        <v>0</v>
      </c>
      <c r="AH33" s="102">
        <f t="shared" si="3"/>
        <v>0</v>
      </c>
      <c r="AI33" s="102">
        <f t="shared" si="3"/>
        <v>0</v>
      </c>
      <c r="AJ33" s="102">
        <f t="shared" si="3"/>
        <v>0</v>
      </c>
      <c r="AK33" s="102">
        <f t="shared" si="3"/>
        <v>0</v>
      </c>
      <c r="AL33" s="102">
        <f t="shared" si="3"/>
        <v>0</v>
      </c>
      <c r="AM33" s="102">
        <f t="shared" si="3"/>
        <v>0</v>
      </c>
      <c r="AN33" s="102">
        <f t="shared" si="3"/>
        <v>0</v>
      </c>
      <c r="AO33" s="102">
        <f t="shared" si="3"/>
        <v>0</v>
      </c>
      <c r="AP33" s="102">
        <f t="shared" si="3"/>
        <v>0</v>
      </c>
      <c r="AQ33" s="102">
        <f t="shared" si="3"/>
        <v>0</v>
      </c>
      <c r="AR33" s="102">
        <f t="shared" si="3"/>
        <v>0</v>
      </c>
      <c r="AS33" s="102">
        <f t="shared" si="3"/>
        <v>0</v>
      </c>
      <c r="AT33" s="102">
        <f t="shared" si="3"/>
        <v>0</v>
      </c>
      <c r="AU33" s="102">
        <f t="shared" si="3"/>
        <v>0</v>
      </c>
      <c r="AV33" s="102">
        <f t="shared" si="3"/>
        <v>0</v>
      </c>
      <c r="AW33" s="102">
        <f t="shared" si="3"/>
        <v>0</v>
      </c>
      <c r="AX33" s="102">
        <f t="shared" si="3"/>
        <v>0</v>
      </c>
      <c r="AY33" s="102">
        <f t="shared" si="3"/>
        <v>0</v>
      </c>
      <c r="AZ33" s="102">
        <f t="shared" si="3"/>
        <v>0</v>
      </c>
      <c r="BA33" s="102">
        <f t="shared" si="3"/>
        <v>0</v>
      </c>
      <c r="BB33" s="102">
        <f t="shared" si="3"/>
        <v>0</v>
      </c>
      <c r="BC33" s="102">
        <f t="shared" si="3"/>
        <v>0</v>
      </c>
      <c r="BD33" s="102">
        <f t="shared" si="3"/>
        <v>0</v>
      </c>
      <c r="BE33" s="102">
        <f t="shared" si="3"/>
        <v>0</v>
      </c>
      <c r="BF33" s="102">
        <f t="shared" si="3"/>
        <v>0</v>
      </c>
      <c r="BG33" s="102">
        <f t="shared" si="3"/>
        <v>0</v>
      </c>
      <c r="BH33" s="102">
        <f t="shared" si="3"/>
        <v>0</v>
      </c>
      <c r="BI33" s="102">
        <f t="shared" si="3"/>
        <v>0</v>
      </c>
      <c r="BJ33" s="102">
        <f t="shared" si="3"/>
        <v>0</v>
      </c>
      <c r="BK33" s="102">
        <f t="shared" si="3"/>
        <v>0</v>
      </c>
      <c r="BL33" s="102">
        <f t="shared" si="3"/>
        <v>0</v>
      </c>
      <c r="BM33" s="102">
        <f t="shared" si="3"/>
        <v>0</v>
      </c>
      <c r="BN33" s="102">
        <f t="shared" si="3"/>
        <v>0</v>
      </c>
      <c r="BO33" s="102">
        <f t="shared" si="3"/>
        <v>0</v>
      </c>
      <c r="BP33" s="102">
        <f t="shared" si="3"/>
        <v>0</v>
      </c>
      <c r="BQ33" s="102">
        <f t="shared" si="3"/>
        <v>0</v>
      </c>
      <c r="BR33" s="102">
        <f t="shared" si="3"/>
        <v>0</v>
      </c>
      <c r="BS33" s="99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4">OFFSET($E$3:$BR$3,$D34,0)</f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 t="e">
        <f t="shared" ca="1" si="4"/>
        <v>#N/A</v>
      </c>
      <c r="AN34" s="14" t="e">
        <f t="shared" ca="1" si="4"/>
        <v>#N/A</v>
      </c>
      <c r="AO34" s="14" t="e">
        <f t="shared" ca="1" si="4"/>
        <v>#N/A</v>
      </c>
      <c r="AP34" s="14" t="e">
        <f t="shared" ca="1" si="4"/>
        <v>#N/A</v>
      </c>
      <c r="AQ34" s="14" t="e">
        <f t="shared" ca="1" si="4"/>
        <v>#N/A</v>
      </c>
      <c r="AR34" s="14" t="e">
        <f t="shared" ca="1" si="4"/>
        <v>#N/A</v>
      </c>
      <c r="AS34" s="14" t="e">
        <f t="shared" ca="1" si="4"/>
        <v>#N/A</v>
      </c>
      <c r="AT34" s="14" t="e">
        <f t="shared" ca="1" si="4"/>
        <v>#N/A</v>
      </c>
      <c r="AU34" s="14" t="e">
        <f t="shared" ca="1" si="4"/>
        <v>#N/A</v>
      </c>
      <c r="AV34" s="14" t="e">
        <f t="shared" ca="1" si="4"/>
        <v>#N/A</v>
      </c>
      <c r="AW34" s="14" t="e">
        <f t="shared" ca="1" si="4"/>
        <v>#N/A</v>
      </c>
      <c r="AX34" s="14" t="e">
        <f t="shared" ca="1" si="4"/>
        <v>#N/A</v>
      </c>
      <c r="AY34" s="14" t="e">
        <f t="shared" ca="1" si="4"/>
        <v>#N/A</v>
      </c>
      <c r="AZ34" s="14" t="e">
        <f t="shared" ca="1" si="4"/>
        <v>#N/A</v>
      </c>
      <c r="BA34" s="14" t="e">
        <f t="shared" ca="1" si="4"/>
        <v>#N/A</v>
      </c>
      <c r="BB34" s="14" t="e">
        <f t="shared" ca="1" si="4"/>
        <v>#N/A</v>
      </c>
      <c r="BC34" s="14" t="e">
        <f t="shared" ca="1" si="4"/>
        <v>#N/A</v>
      </c>
      <c r="BD34" s="14" t="e">
        <f t="shared" ca="1" si="4"/>
        <v>#N/A</v>
      </c>
      <c r="BE34" s="14" t="e">
        <f t="shared" ca="1" si="4"/>
        <v>#N/A</v>
      </c>
      <c r="BF34" s="14" t="e">
        <f t="shared" ca="1" si="4"/>
        <v>#N/A</v>
      </c>
      <c r="BG34" s="14" t="e">
        <f t="shared" ca="1" si="4"/>
        <v>#N/A</v>
      </c>
      <c r="BH34" s="14" t="e">
        <f t="shared" ca="1" si="4"/>
        <v>#N/A</v>
      </c>
      <c r="BI34" s="14" t="e">
        <f t="shared" ca="1" si="4"/>
        <v>#N/A</v>
      </c>
      <c r="BJ34" s="14" t="e">
        <f t="shared" ca="1" si="4"/>
        <v>#N/A</v>
      </c>
      <c r="BK34" s="14" t="e">
        <f t="shared" ca="1" si="4"/>
        <v>#N/A</v>
      </c>
      <c r="BL34" s="14" t="e">
        <f t="shared" ca="1" si="4"/>
        <v>#N/A</v>
      </c>
      <c r="BM34" s="14" t="e">
        <f t="shared" ca="1" si="4"/>
        <v>#N/A</v>
      </c>
      <c r="BN34" s="14" t="e">
        <f t="shared" ca="1" si="4"/>
        <v>#N/A</v>
      </c>
      <c r="BO34" s="14" t="e">
        <f t="shared" ca="1" si="4"/>
        <v>#N/A</v>
      </c>
      <c r="BP34" s="14" t="e">
        <f t="shared" ca="1" si="4"/>
        <v>#N/A</v>
      </c>
      <c r="BQ34" s="14" t="e">
        <f t="shared" ca="1" si="4"/>
        <v>#N/A</v>
      </c>
      <c r="BR34" s="14" t="e">
        <f t="shared" ca="1" si="4"/>
        <v>#N/A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5">IF(E35=C35,1,0)</f>
        <v>#N/A</v>
      </c>
      <c r="C35" s="11" t="s">
        <v>5</v>
      </c>
      <c r="D35" s="44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 t="e">
        <f t="shared" ca="1" si="4"/>
        <v>#N/A</v>
      </c>
      <c r="AN35" s="14" t="e">
        <f t="shared" ca="1" si="4"/>
        <v>#N/A</v>
      </c>
      <c r="AO35" s="14" t="e">
        <f t="shared" ca="1" si="4"/>
        <v>#N/A</v>
      </c>
      <c r="AP35" s="14" t="e">
        <f t="shared" ca="1" si="4"/>
        <v>#N/A</v>
      </c>
      <c r="AQ35" s="14" t="e">
        <f t="shared" ca="1" si="4"/>
        <v>#N/A</v>
      </c>
      <c r="AR35" s="14" t="e">
        <f t="shared" ca="1" si="4"/>
        <v>#N/A</v>
      </c>
      <c r="AS35" s="14" t="e">
        <f t="shared" ca="1" si="4"/>
        <v>#N/A</v>
      </c>
      <c r="AT35" s="14" t="e">
        <f t="shared" ca="1" si="4"/>
        <v>#N/A</v>
      </c>
      <c r="AU35" s="14" t="e">
        <f t="shared" ca="1" si="4"/>
        <v>#N/A</v>
      </c>
      <c r="AV35" s="14" t="e">
        <f t="shared" ca="1" si="4"/>
        <v>#N/A</v>
      </c>
      <c r="AW35" s="14" t="e">
        <f t="shared" ca="1" si="4"/>
        <v>#N/A</v>
      </c>
      <c r="AX35" s="14" t="e">
        <f t="shared" ca="1" si="4"/>
        <v>#N/A</v>
      </c>
      <c r="AY35" s="14" t="e">
        <f t="shared" ca="1" si="4"/>
        <v>#N/A</v>
      </c>
      <c r="AZ35" s="14" t="e">
        <f t="shared" ca="1" si="4"/>
        <v>#N/A</v>
      </c>
      <c r="BA35" s="14" t="e">
        <f t="shared" ca="1" si="4"/>
        <v>#N/A</v>
      </c>
      <c r="BB35" s="14" t="e">
        <f t="shared" ca="1" si="4"/>
        <v>#N/A</v>
      </c>
      <c r="BC35" s="14" t="e">
        <f t="shared" ca="1" si="4"/>
        <v>#N/A</v>
      </c>
      <c r="BD35" s="14" t="e">
        <f t="shared" ca="1" si="4"/>
        <v>#N/A</v>
      </c>
      <c r="BE35" s="14" t="e">
        <f t="shared" ca="1" si="4"/>
        <v>#N/A</v>
      </c>
      <c r="BF35" s="14" t="e">
        <f t="shared" ca="1" si="4"/>
        <v>#N/A</v>
      </c>
      <c r="BG35" s="14" t="e">
        <f t="shared" ca="1" si="4"/>
        <v>#N/A</v>
      </c>
      <c r="BH35" s="14" t="e">
        <f t="shared" ca="1" si="4"/>
        <v>#N/A</v>
      </c>
      <c r="BI35" s="14" t="e">
        <f t="shared" ca="1" si="4"/>
        <v>#N/A</v>
      </c>
      <c r="BJ35" s="14" t="e">
        <f t="shared" ca="1" si="4"/>
        <v>#N/A</v>
      </c>
      <c r="BK35" s="14" t="e">
        <f t="shared" ca="1" si="4"/>
        <v>#N/A</v>
      </c>
      <c r="BL35" s="14" t="e">
        <f t="shared" ca="1" si="4"/>
        <v>#N/A</v>
      </c>
      <c r="BM35" s="14" t="e">
        <f t="shared" ca="1" si="4"/>
        <v>#N/A</v>
      </c>
      <c r="BN35" s="14" t="e">
        <f t="shared" ca="1" si="4"/>
        <v>#N/A</v>
      </c>
      <c r="BO35" s="14" t="e">
        <f t="shared" ca="1" si="4"/>
        <v>#N/A</v>
      </c>
      <c r="BP35" s="14" t="e">
        <f t="shared" ca="1" si="4"/>
        <v>#N/A</v>
      </c>
      <c r="BQ35" s="14" t="e">
        <f t="shared" ca="1" si="4"/>
        <v>#N/A</v>
      </c>
      <c r="BR35" s="14" t="e">
        <f t="shared" ca="1" si="4"/>
        <v>#N/A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5"/>
        <v>#N/A</v>
      </c>
      <c r="C36" s="11" t="s">
        <v>6</v>
      </c>
      <c r="D36" s="44" t="e">
        <f t="shared" si="6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 t="e">
        <f t="shared" ca="1" si="4"/>
        <v>#N/A</v>
      </c>
      <c r="AN36" s="14" t="e">
        <f t="shared" ca="1" si="4"/>
        <v>#N/A</v>
      </c>
      <c r="AO36" s="14" t="e">
        <f t="shared" ca="1" si="4"/>
        <v>#N/A</v>
      </c>
      <c r="AP36" s="14" t="e">
        <f t="shared" ca="1" si="4"/>
        <v>#N/A</v>
      </c>
      <c r="AQ36" s="14" t="e">
        <f t="shared" ca="1" si="4"/>
        <v>#N/A</v>
      </c>
      <c r="AR36" s="14" t="e">
        <f t="shared" ca="1" si="4"/>
        <v>#N/A</v>
      </c>
      <c r="AS36" s="14" t="e">
        <f t="shared" ca="1" si="4"/>
        <v>#N/A</v>
      </c>
      <c r="AT36" s="14" t="e">
        <f t="shared" ca="1" si="4"/>
        <v>#N/A</v>
      </c>
      <c r="AU36" s="14" t="e">
        <f t="shared" ca="1" si="4"/>
        <v>#N/A</v>
      </c>
      <c r="AV36" s="14" t="e">
        <f t="shared" ca="1" si="4"/>
        <v>#N/A</v>
      </c>
      <c r="AW36" s="14" t="e">
        <f t="shared" ca="1" si="4"/>
        <v>#N/A</v>
      </c>
      <c r="AX36" s="14" t="e">
        <f t="shared" ca="1" si="4"/>
        <v>#N/A</v>
      </c>
      <c r="AY36" s="14" t="e">
        <f t="shared" ca="1" si="4"/>
        <v>#N/A</v>
      </c>
      <c r="AZ36" s="14" t="e">
        <f t="shared" ca="1" si="4"/>
        <v>#N/A</v>
      </c>
      <c r="BA36" s="14" t="e">
        <f t="shared" ca="1" si="4"/>
        <v>#N/A</v>
      </c>
      <c r="BB36" s="14" t="e">
        <f t="shared" ca="1" si="4"/>
        <v>#N/A</v>
      </c>
      <c r="BC36" s="14" t="e">
        <f t="shared" ca="1" si="4"/>
        <v>#N/A</v>
      </c>
      <c r="BD36" s="14" t="e">
        <f t="shared" ca="1" si="4"/>
        <v>#N/A</v>
      </c>
      <c r="BE36" s="14" t="e">
        <f t="shared" ca="1" si="4"/>
        <v>#N/A</v>
      </c>
      <c r="BF36" s="14" t="e">
        <f t="shared" ca="1" si="4"/>
        <v>#N/A</v>
      </c>
      <c r="BG36" s="14" t="e">
        <f t="shared" ca="1" si="4"/>
        <v>#N/A</v>
      </c>
      <c r="BH36" s="14" t="e">
        <f t="shared" ca="1" si="4"/>
        <v>#N/A</v>
      </c>
      <c r="BI36" s="14" t="e">
        <f t="shared" ca="1" si="4"/>
        <v>#N/A</v>
      </c>
      <c r="BJ36" s="14" t="e">
        <f t="shared" ca="1" si="4"/>
        <v>#N/A</v>
      </c>
      <c r="BK36" s="14" t="e">
        <f t="shared" ca="1" si="4"/>
        <v>#N/A</v>
      </c>
      <c r="BL36" s="14" t="e">
        <f t="shared" ca="1" si="4"/>
        <v>#N/A</v>
      </c>
      <c r="BM36" s="14" t="e">
        <f t="shared" ca="1" si="4"/>
        <v>#N/A</v>
      </c>
      <c r="BN36" s="14" t="e">
        <f t="shared" ca="1" si="4"/>
        <v>#N/A</v>
      </c>
      <c r="BO36" s="14" t="e">
        <f t="shared" ca="1" si="4"/>
        <v>#N/A</v>
      </c>
      <c r="BP36" s="14" t="e">
        <f t="shared" ca="1" si="4"/>
        <v>#N/A</v>
      </c>
      <c r="BQ36" s="14" t="e">
        <f t="shared" ca="1" si="4"/>
        <v>#N/A</v>
      </c>
      <c r="BR36" s="14" t="e">
        <f t="shared" ca="1" si="4"/>
        <v>#N/A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5"/>
        <v>#N/A</v>
      </c>
      <c r="C37" s="11" t="s">
        <v>7</v>
      </c>
      <c r="D37" s="44" t="e">
        <f t="shared" si="6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14" t="e">
        <f t="shared" ca="1" si="4"/>
        <v>#N/A</v>
      </c>
      <c r="AN37" s="14" t="e">
        <f t="shared" ca="1" si="4"/>
        <v>#N/A</v>
      </c>
      <c r="AO37" s="14" t="e">
        <f t="shared" ca="1" si="4"/>
        <v>#N/A</v>
      </c>
      <c r="AP37" s="14" t="e">
        <f t="shared" ca="1" si="4"/>
        <v>#N/A</v>
      </c>
      <c r="AQ37" s="14" t="e">
        <f t="shared" ca="1" si="4"/>
        <v>#N/A</v>
      </c>
      <c r="AR37" s="14" t="e">
        <f t="shared" ca="1" si="4"/>
        <v>#N/A</v>
      </c>
      <c r="AS37" s="14" t="e">
        <f t="shared" ca="1" si="4"/>
        <v>#N/A</v>
      </c>
      <c r="AT37" s="14" t="e">
        <f t="shared" ca="1" si="4"/>
        <v>#N/A</v>
      </c>
      <c r="AU37" s="14" t="e">
        <f t="shared" ca="1" si="4"/>
        <v>#N/A</v>
      </c>
      <c r="AV37" s="14" t="e">
        <f t="shared" ca="1" si="4"/>
        <v>#N/A</v>
      </c>
      <c r="AW37" s="14" t="e">
        <f t="shared" ca="1" si="4"/>
        <v>#N/A</v>
      </c>
      <c r="AX37" s="14" t="e">
        <f t="shared" ca="1" si="4"/>
        <v>#N/A</v>
      </c>
      <c r="AY37" s="14" t="e">
        <f t="shared" ca="1" si="4"/>
        <v>#N/A</v>
      </c>
      <c r="AZ37" s="14" t="e">
        <f t="shared" ca="1" si="4"/>
        <v>#N/A</v>
      </c>
      <c r="BA37" s="14" t="e">
        <f t="shared" ca="1" si="4"/>
        <v>#N/A</v>
      </c>
      <c r="BB37" s="14" t="e">
        <f t="shared" ca="1" si="4"/>
        <v>#N/A</v>
      </c>
      <c r="BC37" s="14" t="e">
        <f t="shared" ca="1" si="4"/>
        <v>#N/A</v>
      </c>
      <c r="BD37" s="14" t="e">
        <f t="shared" ca="1" si="4"/>
        <v>#N/A</v>
      </c>
      <c r="BE37" s="14" t="e">
        <f t="shared" ca="1" si="4"/>
        <v>#N/A</v>
      </c>
      <c r="BF37" s="14" t="e">
        <f t="shared" ca="1" si="4"/>
        <v>#N/A</v>
      </c>
      <c r="BG37" s="14" t="e">
        <f t="shared" ca="1" si="4"/>
        <v>#N/A</v>
      </c>
      <c r="BH37" s="14" t="e">
        <f t="shared" ca="1" si="4"/>
        <v>#N/A</v>
      </c>
      <c r="BI37" s="14" t="e">
        <f t="shared" ca="1" si="4"/>
        <v>#N/A</v>
      </c>
      <c r="BJ37" s="14" t="e">
        <f t="shared" ca="1" si="4"/>
        <v>#N/A</v>
      </c>
      <c r="BK37" s="14" t="e">
        <f t="shared" ca="1" si="4"/>
        <v>#N/A</v>
      </c>
      <c r="BL37" s="14" t="e">
        <f t="shared" ca="1" si="4"/>
        <v>#N/A</v>
      </c>
      <c r="BM37" s="14" t="e">
        <f t="shared" ca="1" si="4"/>
        <v>#N/A</v>
      </c>
      <c r="BN37" s="14" t="e">
        <f t="shared" ca="1" si="4"/>
        <v>#N/A</v>
      </c>
      <c r="BO37" s="14" t="e">
        <f t="shared" ca="1" si="4"/>
        <v>#N/A</v>
      </c>
      <c r="BP37" s="14" t="e">
        <f t="shared" ca="1" si="4"/>
        <v>#N/A</v>
      </c>
      <c r="BQ37" s="14" t="e">
        <f t="shared" ca="1" si="4"/>
        <v>#N/A</v>
      </c>
      <c r="BR37" s="14" t="e">
        <f t="shared" ca="1" si="4"/>
        <v>#N/A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  <c r="AX38" s="94"/>
      <c r="AY38" s="94"/>
      <c r="AZ38" s="94"/>
      <c r="BA38" s="94"/>
      <c r="BB38" s="94"/>
      <c r="BC38" s="94"/>
      <c r="BD38" s="94"/>
      <c r="BE38" s="94"/>
      <c r="BF38" s="94"/>
      <c r="BG38" s="94"/>
      <c r="BH38" s="94"/>
      <c r="BI38" s="94"/>
      <c r="BJ38" s="94"/>
      <c r="BK38" s="94"/>
      <c r="BL38" s="94"/>
      <c r="BM38" s="94"/>
      <c r="BN38" s="94"/>
      <c r="BO38" s="94"/>
      <c r="BP38" s="94"/>
      <c r="BQ38" s="94"/>
      <c r="BR38" s="94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68" t="s">
        <v>8</v>
      </c>
      <c r="B39" s="69"/>
      <c r="C39" s="69"/>
      <c r="D39" s="70"/>
      <c r="E39" s="61" t="s">
        <v>19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2"/>
      <c r="CB39" s="62"/>
      <c r="CC39" s="62"/>
      <c r="CD39" s="62"/>
      <c r="CE39" s="62"/>
      <c r="CF39" s="62"/>
      <c r="CG39" s="62"/>
      <c r="CH39" s="62"/>
      <c r="CI39" s="62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4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 t="e">
        <f t="shared" ref="F41:BQ41" ca="1" si="10">($B$41*H.Ge+$C$41*H.Ga+$D$41*H.Se)*F$40*$B$2/1000</f>
        <v>#N/A</v>
      </c>
      <c r="G41" s="10" t="e">
        <f t="shared" ca="1" si="10"/>
        <v>#N/A</v>
      </c>
      <c r="H41" s="10" t="e">
        <f t="shared" ca="1" si="10"/>
        <v>#N/A</v>
      </c>
      <c r="I41" s="10" t="e">
        <f t="shared" ca="1" si="10"/>
        <v>#N/A</v>
      </c>
      <c r="J41" s="10" t="e">
        <f t="shared" ca="1" si="10"/>
        <v>#N/A</v>
      </c>
      <c r="K41" s="10" t="e">
        <f t="shared" ca="1" si="10"/>
        <v>#N/A</v>
      </c>
      <c r="L41" s="10" t="e">
        <f t="shared" ca="1" si="10"/>
        <v>#N/A</v>
      </c>
      <c r="M41" s="10" t="e">
        <f t="shared" ca="1" si="10"/>
        <v>#N/A</v>
      </c>
      <c r="N41" s="10" t="e">
        <f t="shared" ca="1" si="10"/>
        <v>#N/A</v>
      </c>
      <c r="O41" s="10" t="e">
        <f t="shared" ca="1" si="10"/>
        <v>#N/A</v>
      </c>
      <c r="P41" s="10" t="e">
        <f t="shared" ca="1" si="10"/>
        <v>#N/A</v>
      </c>
      <c r="Q41" s="10" t="e">
        <f t="shared" ca="1" si="10"/>
        <v>#N/A</v>
      </c>
      <c r="R41" s="10" t="e">
        <f t="shared" ca="1" si="10"/>
        <v>#N/A</v>
      </c>
      <c r="S41" s="10" t="e">
        <f t="shared" ca="1" si="10"/>
        <v>#N/A</v>
      </c>
      <c r="T41" s="10" t="e">
        <f t="shared" ca="1" si="10"/>
        <v>#N/A</v>
      </c>
      <c r="U41" s="10" t="e">
        <f t="shared" ca="1" si="10"/>
        <v>#N/A</v>
      </c>
      <c r="V41" s="10" t="e">
        <f t="shared" ca="1" si="10"/>
        <v>#N/A</v>
      </c>
      <c r="W41" s="10" t="e">
        <f t="shared" ca="1" si="10"/>
        <v>#N/A</v>
      </c>
      <c r="X41" s="10" t="e">
        <f t="shared" ca="1" si="10"/>
        <v>#N/A</v>
      </c>
      <c r="Y41" s="10" t="e">
        <f t="shared" ca="1" si="10"/>
        <v>#N/A</v>
      </c>
      <c r="Z41" s="10" t="e">
        <f t="shared" ca="1" si="10"/>
        <v>#N/A</v>
      </c>
      <c r="AA41" s="10" t="e">
        <f t="shared" ca="1" si="10"/>
        <v>#N/A</v>
      </c>
      <c r="AB41" s="10" t="e">
        <f t="shared" ca="1" si="10"/>
        <v>#N/A</v>
      </c>
      <c r="AC41" s="10" t="e">
        <f t="shared" ca="1" si="10"/>
        <v>#N/A</v>
      </c>
      <c r="AD41" s="10" t="e">
        <f t="shared" ca="1" si="10"/>
        <v>#N/A</v>
      </c>
      <c r="AE41" s="10" t="e">
        <f t="shared" ca="1" si="10"/>
        <v>#N/A</v>
      </c>
      <c r="AF41" s="10" t="e">
        <f t="shared" ca="1" si="10"/>
        <v>#N/A</v>
      </c>
      <c r="AG41" s="10" t="e">
        <f t="shared" ca="1" si="10"/>
        <v>#N/A</v>
      </c>
      <c r="AH41" s="10" t="e">
        <f t="shared" ca="1" si="10"/>
        <v>#N/A</v>
      </c>
      <c r="AI41" s="10" t="e">
        <f t="shared" ca="1" si="10"/>
        <v>#N/A</v>
      </c>
      <c r="AJ41" s="10" t="e">
        <f t="shared" ca="1" si="10"/>
        <v>#N/A</v>
      </c>
      <c r="AK41" s="10" t="e">
        <f t="shared" ca="1" si="10"/>
        <v>#N/A</v>
      </c>
      <c r="AL41" s="10" t="e">
        <f t="shared" ca="1" si="10"/>
        <v>#N/A</v>
      </c>
      <c r="AM41" s="10" t="e">
        <f t="shared" ca="1" si="10"/>
        <v>#N/A</v>
      </c>
      <c r="AN41" s="10" t="e">
        <f t="shared" ca="1" si="10"/>
        <v>#N/A</v>
      </c>
      <c r="AO41" s="10" t="e">
        <f t="shared" ca="1" si="10"/>
        <v>#N/A</v>
      </c>
      <c r="AP41" s="10" t="e">
        <f t="shared" ca="1" si="10"/>
        <v>#N/A</v>
      </c>
      <c r="AQ41" s="10" t="e">
        <f t="shared" ca="1" si="10"/>
        <v>#N/A</v>
      </c>
      <c r="AR41" s="10" t="e">
        <f t="shared" ca="1" si="10"/>
        <v>#N/A</v>
      </c>
      <c r="AS41" s="10" t="e">
        <f t="shared" ca="1" si="10"/>
        <v>#N/A</v>
      </c>
      <c r="AT41" s="10" t="e">
        <f t="shared" ca="1" si="10"/>
        <v>#N/A</v>
      </c>
      <c r="AU41" s="10" t="e">
        <f t="shared" ca="1" si="10"/>
        <v>#N/A</v>
      </c>
      <c r="AV41" s="10" t="e">
        <f t="shared" ca="1" si="10"/>
        <v>#N/A</v>
      </c>
      <c r="AW41" s="10" t="e">
        <f t="shared" ca="1" si="10"/>
        <v>#N/A</v>
      </c>
      <c r="AX41" s="10" t="e">
        <f t="shared" ca="1" si="10"/>
        <v>#N/A</v>
      </c>
      <c r="AY41" s="10" t="e">
        <f t="shared" ca="1" si="10"/>
        <v>#N/A</v>
      </c>
      <c r="AZ41" s="10" t="e">
        <f t="shared" ca="1" si="10"/>
        <v>#N/A</v>
      </c>
      <c r="BA41" s="10" t="e">
        <f t="shared" ca="1" si="10"/>
        <v>#N/A</v>
      </c>
      <c r="BB41" s="10" t="e">
        <f t="shared" ca="1" si="10"/>
        <v>#N/A</v>
      </c>
      <c r="BC41" s="10" t="e">
        <f t="shared" ca="1" si="10"/>
        <v>#N/A</v>
      </c>
      <c r="BD41" s="10" t="e">
        <f t="shared" ca="1" si="10"/>
        <v>#N/A</v>
      </c>
      <c r="BE41" s="10" t="e">
        <f t="shared" ca="1" si="10"/>
        <v>#N/A</v>
      </c>
      <c r="BF41" s="10" t="e">
        <f t="shared" ca="1" si="10"/>
        <v>#N/A</v>
      </c>
      <c r="BG41" s="10" t="e">
        <f t="shared" ca="1" si="10"/>
        <v>#N/A</v>
      </c>
      <c r="BH41" s="10" t="e">
        <f t="shared" ca="1" si="10"/>
        <v>#N/A</v>
      </c>
      <c r="BI41" s="10" t="e">
        <f t="shared" ca="1" si="10"/>
        <v>#N/A</v>
      </c>
      <c r="BJ41" s="10" t="e">
        <f t="shared" ca="1" si="10"/>
        <v>#N/A</v>
      </c>
      <c r="BK41" s="10" t="e">
        <f t="shared" ca="1" si="10"/>
        <v>#N/A</v>
      </c>
      <c r="BL41" s="10" t="e">
        <f t="shared" ca="1" si="10"/>
        <v>#N/A</v>
      </c>
      <c r="BM41" s="10" t="e">
        <f t="shared" ca="1" si="10"/>
        <v>#N/A</v>
      </c>
      <c r="BN41" s="10" t="e">
        <f t="shared" ca="1" si="10"/>
        <v>#N/A</v>
      </c>
      <c r="BO41" s="10" t="e">
        <f t="shared" ca="1" si="10"/>
        <v>#N/A</v>
      </c>
      <c r="BP41" s="10" t="e">
        <f t="shared" ca="1" si="10"/>
        <v>#N/A</v>
      </c>
      <c r="BQ41" s="10" t="e">
        <f t="shared" ca="1" si="10"/>
        <v>#N/A</v>
      </c>
      <c r="BR41" s="10" t="e">
        <f t="shared" ref="BR41" ca="1" si="11">($B$41*H.Ge+$C$41*H.Ga+$D$41*H.Se)*BR$40*$B$2/1000</f>
        <v>#N/A</v>
      </c>
      <c r="BS41" s="94"/>
    </row>
    <row r="42" spans="1:87" ht="176.25" customHeight="1" outlineLevel="1" x14ac:dyDescent="0.35"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  <c r="AX42" s="94"/>
      <c r="AY42" s="94"/>
      <c r="AZ42" s="94"/>
      <c r="BA42" s="94"/>
      <c r="BB42" s="94"/>
      <c r="BC42" s="94"/>
      <c r="BD42" s="94"/>
      <c r="BE42" s="94"/>
      <c r="BF42" s="94"/>
      <c r="BG42" s="94"/>
      <c r="BH42" s="94"/>
      <c r="BI42" s="94"/>
      <c r="BJ42" s="94"/>
      <c r="BK42" s="94"/>
      <c r="BL42" s="94"/>
      <c r="BM42" s="94"/>
      <c r="BN42" s="94"/>
      <c r="BO42" s="94"/>
      <c r="BP42" s="94"/>
      <c r="BQ42" s="94"/>
      <c r="BR42" s="94"/>
      <c r="BS42" s="94"/>
    </row>
    <row r="43" spans="1:87" ht="21" customHeight="1" x14ac:dyDescent="0.35"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  <c r="AX43" s="94"/>
      <c r="AY43" s="94"/>
      <c r="AZ43" s="94"/>
      <c r="BA43" s="94"/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</row>
    <row r="44" spans="1:87" ht="21" customHeight="1" thickBot="1" x14ac:dyDescent="0.45">
      <c r="A44" s="62"/>
      <c r="B44" s="62"/>
      <c r="C44" s="62"/>
      <c r="D44" s="62"/>
      <c r="E44" s="61" t="s">
        <v>20</v>
      </c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2"/>
      <c r="CB44" s="62"/>
      <c r="CC44" s="62"/>
      <c r="CD44" s="62"/>
      <c r="CE44" s="62"/>
      <c r="CF44" s="62"/>
      <c r="CG44" s="62"/>
      <c r="CH44" s="62"/>
      <c r="CI44" s="62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4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94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94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94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94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94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94"/>
    </row>
    <row r="52" spans="1:71" ht="2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94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94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94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94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94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94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94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94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94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94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94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94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94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94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94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94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94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94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94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94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94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94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94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4"/>
    </row>
    <row r="76" spans="1:87" ht="21" customHeight="1" outlineLevel="1" x14ac:dyDescent="0.35"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87" ht="21" customHeight="1" x14ac:dyDescent="0.35"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  <c r="AX77" s="94"/>
      <c r="AY77" s="94"/>
      <c r="AZ77" s="94"/>
      <c r="BA77" s="94"/>
      <c r="BB77" s="94"/>
      <c r="BC77" s="94"/>
      <c r="BD77" s="94"/>
      <c r="BE77" s="94"/>
      <c r="BF77" s="94"/>
      <c r="BG77" s="94"/>
      <c r="BH77" s="94"/>
      <c r="BI77" s="94"/>
      <c r="BJ77" s="94"/>
      <c r="BK77" s="94"/>
      <c r="BL77" s="94"/>
      <c r="BM77" s="94"/>
      <c r="BN77" s="94"/>
      <c r="BO77" s="94"/>
      <c r="BP77" s="94"/>
      <c r="BQ77" s="94"/>
      <c r="BR77" s="94"/>
    </row>
    <row r="78" spans="1:87" ht="21" customHeight="1" x14ac:dyDescent="0.4">
      <c r="A78" s="75"/>
      <c r="B78" s="75"/>
      <c r="C78" s="76">
        <f>E41</f>
        <v>6.25</v>
      </c>
      <c r="D78" s="62"/>
      <c r="E78" s="61" t="s">
        <v>21</v>
      </c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2"/>
      <c r="CB78" s="62"/>
      <c r="CC78" s="62"/>
      <c r="CD78" s="62"/>
      <c r="CE78" s="62"/>
      <c r="CF78" s="62"/>
      <c r="CG78" s="62"/>
      <c r="CH78" s="62"/>
      <c r="CI78" s="62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4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>
        <f t="shared" ref="F80" si="32">F4*$C$78</f>
        <v>0</v>
      </c>
      <c r="G80" s="14">
        <f t="shared" ref="G80:BR80" si="33">G4*$C$78</f>
        <v>0</v>
      </c>
      <c r="H80" s="14">
        <f t="shared" si="33"/>
        <v>0</v>
      </c>
      <c r="I80" s="14">
        <f t="shared" si="33"/>
        <v>0</v>
      </c>
      <c r="J80" s="14">
        <f t="shared" si="33"/>
        <v>0</v>
      </c>
      <c r="K80" s="14">
        <f t="shared" si="33"/>
        <v>0</v>
      </c>
      <c r="L80" s="14">
        <f t="shared" si="33"/>
        <v>0</v>
      </c>
      <c r="M80" s="14">
        <f t="shared" si="33"/>
        <v>0</v>
      </c>
      <c r="N80" s="14">
        <f t="shared" si="33"/>
        <v>0</v>
      </c>
      <c r="O80" s="14">
        <f t="shared" si="33"/>
        <v>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0</v>
      </c>
      <c r="L81" s="14">
        <f t="shared" si="36"/>
        <v>0</v>
      </c>
      <c r="M81" s="14">
        <f t="shared" si="36"/>
        <v>0</v>
      </c>
      <c r="N81" s="14">
        <f t="shared" si="36"/>
        <v>0</v>
      </c>
      <c r="O81" s="14">
        <f t="shared" si="36"/>
        <v>0</v>
      </c>
      <c r="P81" s="14">
        <f t="shared" si="36"/>
        <v>0</v>
      </c>
      <c r="Q81" s="14">
        <f t="shared" si="36"/>
        <v>0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0</v>
      </c>
      <c r="M82" s="14">
        <f t="shared" si="38"/>
        <v>0</v>
      </c>
      <c r="N82" s="14">
        <f t="shared" si="38"/>
        <v>0</v>
      </c>
      <c r="O82" s="14">
        <f t="shared" si="38"/>
        <v>0</v>
      </c>
      <c r="P82" s="14">
        <f t="shared" si="38"/>
        <v>0</v>
      </c>
      <c r="Q82" s="14">
        <f t="shared" si="38"/>
        <v>0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0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0</v>
      </c>
      <c r="P85" s="14">
        <f t="shared" si="44"/>
        <v>0</v>
      </c>
      <c r="Q85" s="14">
        <f t="shared" si="44"/>
        <v>0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0</v>
      </c>
      <c r="P86" s="14">
        <f t="shared" si="46"/>
        <v>0</v>
      </c>
      <c r="Q86" s="14">
        <f t="shared" si="46"/>
        <v>0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0</v>
      </c>
      <c r="P87" s="14">
        <f t="shared" si="48"/>
        <v>0</v>
      </c>
      <c r="Q87" s="14">
        <f t="shared" si="48"/>
        <v>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0</v>
      </c>
      <c r="K88" s="14">
        <f t="shared" si="50"/>
        <v>0</v>
      </c>
      <c r="L88" s="14">
        <f t="shared" si="50"/>
        <v>0</v>
      </c>
      <c r="M88" s="14">
        <f t="shared" si="50"/>
        <v>0</v>
      </c>
      <c r="N88" s="14">
        <f t="shared" si="50"/>
        <v>0</v>
      </c>
      <c r="O88" s="14">
        <f t="shared" si="50"/>
        <v>0</v>
      </c>
      <c r="P88" s="14">
        <f t="shared" si="50"/>
        <v>0</v>
      </c>
      <c r="Q88" s="14">
        <f t="shared" si="50"/>
        <v>0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0</v>
      </c>
      <c r="L89" s="14">
        <f t="shared" si="52"/>
        <v>0</v>
      </c>
      <c r="M89" s="14">
        <f t="shared" si="52"/>
        <v>0</v>
      </c>
      <c r="N89" s="14">
        <f t="shared" si="52"/>
        <v>0</v>
      </c>
      <c r="O89" s="14">
        <f t="shared" si="52"/>
        <v>0</v>
      </c>
      <c r="P89" s="14">
        <f t="shared" si="52"/>
        <v>0</v>
      </c>
      <c r="Q89" s="14">
        <f t="shared" si="52"/>
        <v>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0</v>
      </c>
      <c r="L90" s="14">
        <f t="shared" si="54"/>
        <v>0</v>
      </c>
      <c r="M90" s="14">
        <f t="shared" si="54"/>
        <v>0</v>
      </c>
      <c r="N90" s="14">
        <f t="shared" si="54"/>
        <v>0</v>
      </c>
      <c r="O90" s="14">
        <f t="shared" si="54"/>
        <v>0</v>
      </c>
      <c r="P90" s="14">
        <f t="shared" si="54"/>
        <v>0</v>
      </c>
      <c r="Q90" s="14">
        <f t="shared" si="54"/>
        <v>0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0</v>
      </c>
      <c r="L91" s="14">
        <f t="shared" si="56"/>
        <v>0</v>
      </c>
      <c r="M91" s="14">
        <f t="shared" si="56"/>
        <v>0</v>
      </c>
      <c r="N91" s="14">
        <f t="shared" si="56"/>
        <v>0</v>
      </c>
      <c r="O91" s="14">
        <f t="shared" si="56"/>
        <v>0</v>
      </c>
      <c r="P91" s="14">
        <f t="shared" si="56"/>
        <v>0</v>
      </c>
      <c r="Q91" s="14">
        <f t="shared" si="56"/>
        <v>0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>
        <f t="shared" ref="F92" si="57">F16*$C$78</f>
        <v>0</v>
      </c>
      <c r="G92" s="14">
        <f t="shared" ref="G92:BR92" si="58">G16*$C$78</f>
        <v>0</v>
      </c>
      <c r="H92" s="14">
        <f t="shared" si="58"/>
        <v>0</v>
      </c>
      <c r="I92" s="14">
        <f t="shared" si="58"/>
        <v>0</v>
      </c>
      <c r="J92" s="14">
        <f t="shared" si="58"/>
        <v>0</v>
      </c>
      <c r="K92" s="14">
        <f t="shared" si="58"/>
        <v>0</v>
      </c>
      <c r="L92" s="14">
        <f t="shared" si="58"/>
        <v>0</v>
      </c>
      <c r="M92" s="14">
        <f t="shared" si="58"/>
        <v>0</v>
      </c>
      <c r="N92" s="14">
        <f t="shared" si="58"/>
        <v>0</v>
      </c>
      <c r="O92" s="14">
        <f t="shared" si="58"/>
        <v>0</v>
      </c>
      <c r="P92" s="14">
        <f t="shared" si="58"/>
        <v>0</v>
      </c>
      <c r="Q92" s="14">
        <f t="shared" si="58"/>
        <v>0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0</v>
      </c>
      <c r="I93" s="14">
        <f t="shared" si="60"/>
        <v>0</v>
      </c>
      <c r="J93" s="14">
        <f t="shared" si="60"/>
        <v>0</v>
      </c>
      <c r="K93" s="14">
        <f t="shared" si="60"/>
        <v>0</v>
      </c>
      <c r="L93" s="14">
        <f t="shared" si="60"/>
        <v>0</v>
      </c>
      <c r="M93" s="14">
        <f t="shared" si="60"/>
        <v>0</v>
      </c>
      <c r="N93" s="14">
        <f t="shared" si="60"/>
        <v>0</v>
      </c>
      <c r="O93" s="14">
        <f t="shared" si="60"/>
        <v>0</v>
      </c>
      <c r="P93" s="14">
        <f t="shared" si="60"/>
        <v>0</v>
      </c>
      <c r="Q93" s="14">
        <f t="shared" si="60"/>
        <v>0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>
        <f t="shared" ref="F94" si="61">F18*$C$78</f>
        <v>0</v>
      </c>
      <c r="G94" s="14">
        <f t="shared" ref="G94:BR94" si="62">G18*$C$78</f>
        <v>0</v>
      </c>
      <c r="H94" s="14">
        <f t="shared" si="62"/>
        <v>0</v>
      </c>
      <c r="I94" s="14">
        <f t="shared" si="62"/>
        <v>0</v>
      </c>
      <c r="J94" s="14">
        <f t="shared" si="62"/>
        <v>0</v>
      </c>
      <c r="K94" s="14">
        <f t="shared" si="62"/>
        <v>0</v>
      </c>
      <c r="L94" s="14">
        <f t="shared" si="62"/>
        <v>0</v>
      </c>
      <c r="M94" s="14">
        <f t="shared" si="62"/>
        <v>0</v>
      </c>
      <c r="N94" s="14">
        <f t="shared" si="62"/>
        <v>0</v>
      </c>
      <c r="O94" s="14">
        <f t="shared" si="62"/>
        <v>0</v>
      </c>
      <c r="P94" s="14">
        <f t="shared" si="62"/>
        <v>0</v>
      </c>
      <c r="Q94" s="14">
        <f t="shared" si="62"/>
        <v>0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0</v>
      </c>
      <c r="I95" s="14">
        <f t="shared" si="64"/>
        <v>0</v>
      </c>
      <c r="J95" s="14">
        <f t="shared" si="64"/>
        <v>0</v>
      </c>
      <c r="K95" s="14">
        <f t="shared" si="64"/>
        <v>0</v>
      </c>
      <c r="L95" s="14">
        <f t="shared" si="64"/>
        <v>0</v>
      </c>
      <c r="M95" s="14">
        <f t="shared" si="64"/>
        <v>0</v>
      </c>
      <c r="N95" s="14">
        <f t="shared" si="64"/>
        <v>0</v>
      </c>
      <c r="O95" s="14">
        <f t="shared" si="64"/>
        <v>0</v>
      </c>
      <c r="P95" s="14">
        <f t="shared" si="64"/>
        <v>0</v>
      </c>
      <c r="Q95" s="14">
        <f t="shared" si="64"/>
        <v>0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4"/>
    </row>
    <row r="110" spans="1:87" ht="21" hidden="1" customHeight="1" outlineLevel="1" x14ac:dyDescent="0.35"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  <c r="AX110" s="94"/>
      <c r="AY110" s="94"/>
      <c r="AZ110" s="94"/>
      <c r="BA110" s="94"/>
      <c r="BB110" s="94"/>
      <c r="BC110" s="94"/>
      <c r="BD110" s="94"/>
      <c r="BE110" s="94"/>
      <c r="BF110" s="94"/>
      <c r="BG110" s="94"/>
      <c r="BH110" s="94"/>
      <c r="BI110" s="94"/>
      <c r="BJ110" s="94"/>
      <c r="BK110" s="94"/>
      <c r="BL110" s="94"/>
      <c r="BM110" s="94"/>
      <c r="BN110" s="94"/>
      <c r="BO110" s="94"/>
      <c r="BP110" s="94"/>
      <c r="BQ110" s="94"/>
      <c r="BR110" s="94"/>
    </row>
    <row r="111" spans="1:87" ht="21" customHeight="1" collapsed="1" x14ac:dyDescent="0.35"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</row>
    <row r="112" spans="1:87" ht="21" customHeight="1" thickBot="1" x14ac:dyDescent="0.45">
      <c r="A112" s="62"/>
      <c r="B112" s="62"/>
      <c r="C112" s="62"/>
      <c r="D112" s="62"/>
      <c r="E112" s="61" t="s">
        <v>22</v>
      </c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2"/>
      <c r="CB112" s="62"/>
      <c r="CC112" s="62"/>
      <c r="CD112" s="62"/>
      <c r="CE112" s="62"/>
      <c r="CF112" s="62"/>
      <c r="CG112" s="62"/>
      <c r="CH112" s="62"/>
      <c r="CI112" s="62"/>
    </row>
    <row r="113" spans="1:71" ht="21" customHeight="1" outlineLevel="1" thickTop="1" thickBot="1" x14ac:dyDescent="0.4">
      <c r="A113" s="119"/>
      <c r="B113" s="119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4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 t="e">
        <f t="shared" ref="F114:AL114" ca="1" si="93">F$113*$B$2*SUMPRODUCT(F$90:F$91,F$56:F$57)/1000</f>
        <v>#N/A</v>
      </c>
      <c r="G114" s="46" t="e">
        <f t="shared" ca="1" si="93"/>
        <v>#N/A</v>
      </c>
      <c r="H114" s="46" t="e">
        <f t="shared" ca="1" si="93"/>
        <v>#N/A</v>
      </c>
      <c r="I114" s="46" t="e">
        <f t="shared" ca="1" si="93"/>
        <v>#N/A</v>
      </c>
      <c r="J114" s="46" t="e">
        <f t="shared" ca="1" si="93"/>
        <v>#N/A</v>
      </c>
      <c r="K114" s="46" t="e">
        <f t="shared" ca="1" si="93"/>
        <v>#N/A</v>
      </c>
      <c r="L114" s="46" t="e">
        <f t="shared" ca="1" si="93"/>
        <v>#N/A</v>
      </c>
      <c r="M114" s="46" t="e">
        <f t="shared" ca="1" si="93"/>
        <v>#N/A</v>
      </c>
      <c r="N114" s="46" t="e">
        <f t="shared" ca="1" si="93"/>
        <v>#N/A</v>
      </c>
      <c r="O114" s="46" t="e">
        <f t="shared" ca="1" si="93"/>
        <v>#N/A</v>
      </c>
      <c r="P114" s="46" t="e">
        <f t="shared" ca="1" si="93"/>
        <v>#N/A</v>
      </c>
      <c r="Q114" s="46" t="e">
        <f t="shared" ca="1" si="93"/>
        <v>#N/A</v>
      </c>
      <c r="R114" s="46" t="e">
        <f t="shared" ca="1" si="93"/>
        <v>#N/A</v>
      </c>
      <c r="S114" s="46" t="e">
        <f t="shared" ca="1" si="93"/>
        <v>#N/A</v>
      </c>
      <c r="T114" s="46" t="e">
        <f t="shared" ca="1" si="93"/>
        <v>#N/A</v>
      </c>
      <c r="U114" s="46" t="e">
        <f t="shared" ca="1" si="93"/>
        <v>#N/A</v>
      </c>
      <c r="V114" s="46" t="e">
        <f t="shared" ca="1" si="93"/>
        <v>#N/A</v>
      </c>
      <c r="W114" s="46" t="e">
        <f t="shared" ca="1" si="93"/>
        <v>#N/A</v>
      </c>
      <c r="X114" s="46" t="e">
        <f t="shared" ca="1" si="93"/>
        <v>#N/A</v>
      </c>
      <c r="Y114" s="46" t="e">
        <f t="shared" ca="1" si="93"/>
        <v>#N/A</v>
      </c>
      <c r="Z114" s="46" t="e">
        <f t="shared" ca="1" si="93"/>
        <v>#N/A</v>
      </c>
      <c r="AA114" s="46" t="e">
        <f t="shared" ca="1" si="93"/>
        <v>#N/A</v>
      </c>
      <c r="AB114" s="46" t="e">
        <f t="shared" ca="1" si="93"/>
        <v>#N/A</v>
      </c>
      <c r="AC114" s="46" t="e">
        <f t="shared" ca="1" si="93"/>
        <v>#N/A</v>
      </c>
      <c r="AD114" s="46" t="e">
        <f t="shared" ca="1" si="93"/>
        <v>#N/A</v>
      </c>
      <c r="AE114" s="46" t="e">
        <f t="shared" ca="1" si="93"/>
        <v>#N/A</v>
      </c>
      <c r="AF114" s="46" t="e">
        <f t="shared" ca="1" si="93"/>
        <v>#N/A</v>
      </c>
      <c r="AG114" s="46" t="e">
        <f t="shared" ca="1" si="93"/>
        <v>#N/A</v>
      </c>
      <c r="AH114" s="46" t="e">
        <f t="shared" ca="1" si="93"/>
        <v>#N/A</v>
      </c>
      <c r="AI114" s="46" t="e">
        <f t="shared" ca="1" si="93"/>
        <v>#N/A</v>
      </c>
      <c r="AJ114" s="46" t="e">
        <f t="shared" ca="1" si="93"/>
        <v>#N/A</v>
      </c>
      <c r="AK114" s="46" t="e">
        <f t="shared" ca="1" si="93"/>
        <v>#N/A</v>
      </c>
      <c r="AL114" s="46" t="e">
        <f t="shared" ca="1" si="93"/>
        <v>#N/A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4"/>
    </row>
    <row r="115" spans="1:71" ht="2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t="shared" ref="F115:AL115" ca="1" si="94">F$113*$B$2*SUMPRODUCT(F$87:F$88,F$53:F$54)/1000</f>
        <v>#N/A</v>
      </c>
      <c r="G115" s="14" t="e">
        <f t="shared" ca="1" si="94"/>
        <v>#N/A</v>
      </c>
      <c r="H115" s="14" t="e">
        <f t="shared" ca="1" si="94"/>
        <v>#N/A</v>
      </c>
      <c r="I115" s="14" t="e">
        <f t="shared" ca="1" si="94"/>
        <v>#N/A</v>
      </c>
      <c r="J115" s="14" t="e">
        <f t="shared" ca="1" si="94"/>
        <v>#N/A</v>
      </c>
      <c r="K115" s="14" t="e">
        <f t="shared" ca="1" si="94"/>
        <v>#N/A</v>
      </c>
      <c r="L115" s="14" t="e">
        <f t="shared" ca="1" si="94"/>
        <v>#N/A</v>
      </c>
      <c r="M115" s="14" t="e">
        <f t="shared" ca="1" si="94"/>
        <v>#N/A</v>
      </c>
      <c r="N115" s="14" t="e">
        <f t="shared" ca="1" si="94"/>
        <v>#N/A</v>
      </c>
      <c r="O115" s="14" t="e">
        <f t="shared" ca="1" si="94"/>
        <v>#N/A</v>
      </c>
      <c r="P115" s="14" t="e">
        <f t="shared" ca="1" si="94"/>
        <v>#N/A</v>
      </c>
      <c r="Q115" s="14" t="e">
        <f t="shared" ca="1" si="94"/>
        <v>#N/A</v>
      </c>
      <c r="R115" s="14" t="e">
        <f t="shared" ca="1" si="94"/>
        <v>#N/A</v>
      </c>
      <c r="S115" s="14" t="e">
        <f t="shared" ca="1" si="94"/>
        <v>#N/A</v>
      </c>
      <c r="T115" s="14" t="e">
        <f t="shared" ca="1" si="94"/>
        <v>#N/A</v>
      </c>
      <c r="U115" s="14" t="e">
        <f t="shared" ca="1" si="94"/>
        <v>#N/A</v>
      </c>
      <c r="V115" s="14" t="e">
        <f t="shared" ca="1" si="94"/>
        <v>#N/A</v>
      </c>
      <c r="W115" s="14" t="e">
        <f t="shared" ca="1" si="94"/>
        <v>#N/A</v>
      </c>
      <c r="X115" s="14" t="e">
        <f t="shared" ca="1" si="94"/>
        <v>#N/A</v>
      </c>
      <c r="Y115" s="14" t="e">
        <f t="shared" ca="1" si="94"/>
        <v>#N/A</v>
      </c>
      <c r="Z115" s="14" t="e">
        <f t="shared" ca="1" si="94"/>
        <v>#N/A</v>
      </c>
      <c r="AA115" s="14" t="e">
        <f t="shared" ca="1" si="94"/>
        <v>#N/A</v>
      </c>
      <c r="AB115" s="14" t="e">
        <f t="shared" ca="1" si="94"/>
        <v>#N/A</v>
      </c>
      <c r="AC115" s="14" t="e">
        <f t="shared" ca="1" si="94"/>
        <v>#N/A</v>
      </c>
      <c r="AD115" s="14" t="e">
        <f t="shared" ca="1" si="94"/>
        <v>#N/A</v>
      </c>
      <c r="AE115" s="14" t="e">
        <f t="shared" ca="1" si="94"/>
        <v>#N/A</v>
      </c>
      <c r="AF115" s="14" t="e">
        <f t="shared" ca="1" si="94"/>
        <v>#N/A</v>
      </c>
      <c r="AG115" s="14" t="e">
        <f t="shared" ca="1" si="94"/>
        <v>#N/A</v>
      </c>
      <c r="AH115" s="14" t="e">
        <f t="shared" ca="1" si="94"/>
        <v>#N/A</v>
      </c>
      <c r="AI115" s="14" t="e">
        <f t="shared" ca="1" si="94"/>
        <v>#N/A</v>
      </c>
      <c r="AJ115" s="14" t="e">
        <f t="shared" ca="1" si="94"/>
        <v>#N/A</v>
      </c>
      <c r="AK115" s="14" t="e">
        <f t="shared" ca="1" si="94"/>
        <v>#N/A</v>
      </c>
      <c r="AL115" s="14" t="e">
        <f t="shared" ca="1" si="94"/>
        <v>#N/A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4"/>
    </row>
    <row r="116" spans="1:71" ht="21" customHeight="1" outlineLevel="1" thickBot="1" x14ac:dyDescent="0.4">
      <c r="E116" s="17" t="s">
        <v>14</v>
      </c>
      <c r="F116" s="14" t="e">
        <f t="shared" ref="F116:AL116" ca="1" si="95">F$113*$B$2*SUMPRODUCT(F$87:F$89,F$53:F$55)/1000</f>
        <v>#N/A</v>
      </c>
      <c r="G116" s="14" t="e">
        <f t="shared" ca="1" si="95"/>
        <v>#N/A</v>
      </c>
      <c r="H116" s="14" t="e">
        <f t="shared" ca="1" si="95"/>
        <v>#N/A</v>
      </c>
      <c r="I116" s="14" t="e">
        <f t="shared" ca="1" si="95"/>
        <v>#N/A</v>
      </c>
      <c r="J116" s="14" t="e">
        <f t="shared" ca="1" si="95"/>
        <v>#N/A</v>
      </c>
      <c r="K116" s="14" t="e">
        <f t="shared" ca="1" si="95"/>
        <v>#N/A</v>
      </c>
      <c r="L116" s="14" t="e">
        <f t="shared" ca="1" si="95"/>
        <v>#N/A</v>
      </c>
      <c r="M116" s="14" t="e">
        <f t="shared" ca="1" si="95"/>
        <v>#N/A</v>
      </c>
      <c r="N116" s="14" t="e">
        <f t="shared" ca="1" si="95"/>
        <v>#N/A</v>
      </c>
      <c r="O116" s="14" t="e">
        <f t="shared" ca="1" si="95"/>
        <v>#N/A</v>
      </c>
      <c r="P116" s="14" t="e">
        <f t="shared" ca="1" si="95"/>
        <v>#N/A</v>
      </c>
      <c r="Q116" s="14" t="e">
        <f t="shared" ca="1" si="95"/>
        <v>#N/A</v>
      </c>
      <c r="R116" s="14" t="e">
        <f t="shared" ca="1" si="95"/>
        <v>#N/A</v>
      </c>
      <c r="S116" s="14" t="e">
        <f t="shared" ca="1" si="95"/>
        <v>#N/A</v>
      </c>
      <c r="T116" s="14" t="e">
        <f t="shared" ca="1" si="95"/>
        <v>#N/A</v>
      </c>
      <c r="U116" s="14" t="e">
        <f t="shared" ca="1" si="95"/>
        <v>#N/A</v>
      </c>
      <c r="V116" s="14" t="e">
        <f t="shared" ca="1" si="95"/>
        <v>#N/A</v>
      </c>
      <c r="W116" s="14" t="e">
        <f t="shared" ca="1" si="95"/>
        <v>#N/A</v>
      </c>
      <c r="X116" s="14" t="e">
        <f t="shared" ca="1" si="95"/>
        <v>#N/A</v>
      </c>
      <c r="Y116" s="14" t="e">
        <f t="shared" ca="1" si="95"/>
        <v>#N/A</v>
      </c>
      <c r="Z116" s="14" t="e">
        <f t="shared" ca="1" si="95"/>
        <v>#N/A</v>
      </c>
      <c r="AA116" s="14" t="e">
        <f t="shared" ca="1" si="95"/>
        <v>#N/A</v>
      </c>
      <c r="AB116" s="14" t="e">
        <f t="shared" ca="1" si="95"/>
        <v>#N/A</v>
      </c>
      <c r="AC116" s="14" t="e">
        <f t="shared" ca="1" si="95"/>
        <v>#N/A</v>
      </c>
      <c r="AD116" s="14" t="e">
        <f t="shared" ca="1" si="95"/>
        <v>#N/A</v>
      </c>
      <c r="AE116" s="14" t="e">
        <f t="shared" ca="1" si="95"/>
        <v>#N/A</v>
      </c>
      <c r="AF116" s="14" t="e">
        <f t="shared" ca="1" si="95"/>
        <v>#N/A</v>
      </c>
      <c r="AG116" s="14" t="e">
        <f t="shared" ca="1" si="95"/>
        <v>#N/A</v>
      </c>
      <c r="AH116" s="14" t="e">
        <f t="shared" ca="1" si="95"/>
        <v>#N/A</v>
      </c>
      <c r="AI116" s="14" t="e">
        <f t="shared" ca="1" si="95"/>
        <v>#N/A</v>
      </c>
      <c r="AJ116" s="14" t="e">
        <f t="shared" ca="1" si="95"/>
        <v>#N/A</v>
      </c>
      <c r="AK116" s="14" t="e">
        <f t="shared" ca="1" si="95"/>
        <v>#N/A</v>
      </c>
      <c r="AL116" s="14" t="e">
        <f t="shared" ca="1" si="95"/>
        <v>#N/A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4"/>
    </row>
    <row r="117" spans="1:71" ht="21" customHeight="1" outlineLevel="1" thickBot="1" x14ac:dyDescent="0.4">
      <c r="E117" s="17" t="s">
        <v>32</v>
      </c>
      <c r="F117" s="14" t="e">
        <f ca="1">F115+F114</f>
        <v>#N/A</v>
      </c>
      <c r="G117" s="14" t="e">
        <f t="shared" ref="G117:AL117" ca="1" si="96">G115+G114</f>
        <v>#N/A</v>
      </c>
      <c r="H117" s="14" t="e">
        <f t="shared" ca="1" si="96"/>
        <v>#N/A</v>
      </c>
      <c r="I117" s="14" t="e">
        <f t="shared" ca="1" si="96"/>
        <v>#N/A</v>
      </c>
      <c r="J117" s="14" t="e">
        <f t="shared" ca="1" si="96"/>
        <v>#N/A</v>
      </c>
      <c r="K117" s="14" t="e">
        <f t="shared" ca="1" si="96"/>
        <v>#N/A</v>
      </c>
      <c r="L117" s="14" t="e">
        <f t="shared" ca="1" si="96"/>
        <v>#N/A</v>
      </c>
      <c r="M117" s="14" t="e">
        <f t="shared" ca="1" si="96"/>
        <v>#N/A</v>
      </c>
      <c r="N117" s="14" t="e">
        <f t="shared" ca="1" si="96"/>
        <v>#N/A</v>
      </c>
      <c r="O117" s="14" t="e">
        <f t="shared" ca="1" si="96"/>
        <v>#N/A</v>
      </c>
      <c r="P117" s="14" t="e">
        <f t="shared" ca="1" si="96"/>
        <v>#N/A</v>
      </c>
      <c r="Q117" s="14" t="e">
        <f t="shared" ca="1" si="96"/>
        <v>#N/A</v>
      </c>
      <c r="R117" s="14" t="e">
        <f t="shared" ca="1" si="96"/>
        <v>#N/A</v>
      </c>
      <c r="S117" s="14" t="e">
        <f t="shared" ca="1" si="96"/>
        <v>#N/A</v>
      </c>
      <c r="T117" s="14" t="e">
        <f t="shared" ca="1" si="96"/>
        <v>#N/A</v>
      </c>
      <c r="U117" s="14" t="e">
        <f t="shared" ca="1" si="96"/>
        <v>#N/A</v>
      </c>
      <c r="V117" s="14" t="e">
        <f t="shared" ca="1" si="96"/>
        <v>#N/A</v>
      </c>
      <c r="W117" s="14" t="e">
        <f t="shared" ca="1" si="96"/>
        <v>#N/A</v>
      </c>
      <c r="X117" s="14" t="e">
        <f t="shared" ca="1" si="96"/>
        <v>#N/A</v>
      </c>
      <c r="Y117" s="14" t="e">
        <f t="shared" ca="1" si="96"/>
        <v>#N/A</v>
      </c>
      <c r="Z117" s="14" t="e">
        <f t="shared" ca="1" si="96"/>
        <v>#N/A</v>
      </c>
      <c r="AA117" s="14" t="e">
        <f t="shared" ca="1" si="96"/>
        <v>#N/A</v>
      </c>
      <c r="AB117" s="14" t="e">
        <f t="shared" ca="1" si="96"/>
        <v>#N/A</v>
      </c>
      <c r="AC117" s="14" t="e">
        <f t="shared" ca="1" si="96"/>
        <v>#N/A</v>
      </c>
      <c r="AD117" s="14" t="e">
        <f t="shared" ca="1" si="96"/>
        <v>#N/A</v>
      </c>
      <c r="AE117" s="14" t="e">
        <f t="shared" ca="1" si="96"/>
        <v>#N/A</v>
      </c>
      <c r="AF117" s="14" t="e">
        <f t="shared" ca="1" si="96"/>
        <v>#N/A</v>
      </c>
      <c r="AG117" s="14" t="e">
        <f t="shared" ca="1" si="96"/>
        <v>#N/A</v>
      </c>
      <c r="AH117" s="14" t="e">
        <f t="shared" ca="1" si="96"/>
        <v>#N/A</v>
      </c>
      <c r="AI117" s="14" t="e">
        <f t="shared" ca="1" si="96"/>
        <v>#N/A</v>
      </c>
      <c r="AJ117" s="14" t="e">
        <f t="shared" ca="1" si="96"/>
        <v>#N/A</v>
      </c>
      <c r="AK117" s="14" t="e">
        <f t="shared" ca="1" si="96"/>
        <v>#N/A</v>
      </c>
      <c r="AL117" s="14" t="e">
        <f t="shared" ca="1" si="96"/>
        <v>#N/A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4"/>
    </row>
    <row r="118" spans="1:71" ht="21" customHeight="1" outlineLevel="1" x14ac:dyDescent="0.35">
      <c r="U118" s="47"/>
      <c r="V118" s="47"/>
      <c r="W118" s="47"/>
      <c r="BS118" s="94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2">
        <f ca="1"/>
        <v>0</v>
      </c>
      <c r="V122" s="53">
        <f ca="1"/>
        <v>0</v>
      </c>
      <c r="W122" s="55">
        <f ca="1"/>
        <v>0</v>
      </c>
      <c r="X122" s="50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4"/>
    </row>
    <row r="123" spans="1:71" ht="21" customHeight="1" outlineLevel="1" thickTop="1" thickBot="1" x14ac:dyDescent="0.4">
      <c r="E123" s="17" t="str">
        <f ca="1"/>
        <v xml:space="preserve">Расвор: </v>
      </c>
      <c r="F123" s="47" t="str">
        <f ca="1"/>
        <v xml:space="preserve">Расвор: </v>
      </c>
      <c r="G123" s="47" t="str">
        <f ca="1"/>
        <v xml:space="preserve">Расвор: </v>
      </c>
      <c r="H123" s="47" t="str">
        <f ca="1"/>
        <v xml:space="preserve">Расвор: </v>
      </c>
      <c r="I123" s="47" t="str">
        <f ca="1"/>
        <v xml:space="preserve">Расвор: </v>
      </c>
      <c r="J123" s="47" t="str">
        <f ca="1"/>
        <v xml:space="preserve">Расвор: </v>
      </c>
      <c r="K123" s="47" t="str">
        <f ca="1"/>
        <v xml:space="preserve">Расвор: </v>
      </c>
      <c r="L123" s="47" t="str">
        <f ca="1"/>
        <v xml:space="preserve">Расвор: </v>
      </c>
      <c r="M123" s="47" t="str">
        <f ca="1"/>
        <v xml:space="preserve">Расвор: </v>
      </c>
      <c r="N123" s="47" t="str">
        <f ca="1"/>
        <v xml:space="preserve">Расвор: </v>
      </c>
      <c r="O123" s="47" t="str">
        <f ca="1"/>
        <v xml:space="preserve">Расвор: </v>
      </c>
      <c r="P123" s="47" t="str">
        <f ca="1"/>
        <v xml:space="preserve">Расвор: </v>
      </c>
      <c r="Q123" s="47" t="str">
        <f ca="1"/>
        <v xml:space="preserve">Расвор: </v>
      </c>
      <c r="R123" s="47" t="str">
        <f ca="1"/>
        <v xml:space="preserve">Расвор: </v>
      </c>
      <c r="S123" s="47" t="str">
        <f ca="1"/>
        <v xml:space="preserve">Расвор: </v>
      </c>
      <c r="T123" s="47" t="str">
        <f ca="1"/>
        <v xml:space="preserve">Расвор: </v>
      </c>
      <c r="U123" s="47" t="str">
        <f ca="1"/>
        <v xml:space="preserve">Расвор: </v>
      </c>
      <c r="V123" s="47" t="str">
        <f ca="1"/>
        <v xml:space="preserve">Расвор: </v>
      </c>
      <c r="W123" s="47" t="str">
        <f ca="1"/>
        <v xml:space="preserve">Расвор: </v>
      </c>
      <c r="X123" s="47" t="str">
        <f ca="1"/>
        <v xml:space="preserve">Расвор: </v>
      </c>
      <c r="Y123" s="47" t="str">
        <f ca="1"/>
        <v xml:space="preserve">Расвор: </v>
      </c>
      <c r="Z123" s="47" t="str">
        <f ca="1"/>
        <v xml:space="preserve">Расвор: </v>
      </c>
      <c r="AA123" s="47" t="str">
        <f ca="1"/>
        <v xml:space="preserve">Расвор: </v>
      </c>
      <c r="AB123" s="47" t="str">
        <f ca="1"/>
        <v xml:space="preserve">Расвор: </v>
      </c>
      <c r="AC123" s="47" t="str">
        <f ca="1"/>
        <v xml:space="preserve">Расвор: </v>
      </c>
      <c r="AD123" s="47" t="str">
        <f ca="1"/>
        <v xml:space="preserve">Расвор: </v>
      </c>
      <c r="AE123" s="47" t="str">
        <f ca="1"/>
        <v xml:space="preserve">Расвор: </v>
      </c>
      <c r="AF123" s="47" t="str">
        <f ca="1"/>
        <v xml:space="preserve">Расвор: </v>
      </c>
      <c r="AG123" s="47" t="str">
        <f ca="1"/>
        <v xml:space="preserve">Расвор: </v>
      </c>
      <c r="AH123" s="47" t="str">
        <f ca="1"/>
        <v xml:space="preserve">Расвор: </v>
      </c>
      <c r="AI123" s="47" t="str">
        <f ca="1"/>
        <v xml:space="preserve">Расвор: </v>
      </c>
      <c r="AJ123" s="47" t="str">
        <f ca="1"/>
        <v xml:space="preserve">Расвор: </v>
      </c>
      <c r="AK123" s="47" t="str">
        <f ca="1"/>
        <v xml:space="preserve">Расвор: </v>
      </c>
      <c r="AL123" s="47" t="str">
        <f ca="1"/>
        <v xml:space="preserve">Расвор: </v>
      </c>
      <c r="AM123" s="47" t="str">
        <f ca="1"/>
        <v xml:space="preserve">Расвор: </v>
      </c>
      <c r="AN123" s="47" t="str">
        <f ca="1"/>
        <v xml:space="preserve">Расвор: </v>
      </c>
      <c r="AO123" s="47" t="str">
        <f ca="1"/>
        <v xml:space="preserve">Расвор: </v>
      </c>
      <c r="AP123" s="47" t="str">
        <f ca="1"/>
        <v xml:space="preserve">Расвор: </v>
      </c>
      <c r="AQ123" s="47" t="str">
        <f ca="1"/>
        <v xml:space="preserve">Расвор: </v>
      </c>
      <c r="AR123" s="47" t="str">
        <f ca="1"/>
        <v xml:space="preserve">Расвор: </v>
      </c>
      <c r="AS123" s="47" t="str">
        <f ca="1"/>
        <v xml:space="preserve">Расвор: </v>
      </c>
      <c r="AT123" s="47" t="str">
        <f ca="1"/>
        <v xml:space="preserve">Расвор: </v>
      </c>
      <c r="AU123" s="47" t="str">
        <f ca="1"/>
        <v xml:space="preserve">Расвор: </v>
      </c>
      <c r="AV123" s="47" t="str">
        <f ca="1"/>
        <v xml:space="preserve">Расвор: </v>
      </c>
      <c r="AW123" s="47" t="str">
        <f ca="1"/>
        <v xml:space="preserve">Расвор: </v>
      </c>
      <c r="AX123" s="47" t="str">
        <f ca="1"/>
        <v xml:space="preserve">Расвор: </v>
      </c>
      <c r="AY123" s="47" t="str">
        <f ca="1"/>
        <v xml:space="preserve">Расвор: </v>
      </c>
      <c r="AZ123" s="47" t="str">
        <f ca="1"/>
        <v xml:space="preserve">Расвор: </v>
      </c>
      <c r="BA123" s="47" t="str">
        <f ca="1"/>
        <v xml:space="preserve">Расвор: </v>
      </c>
      <c r="BB123" s="47" t="str">
        <f ca="1"/>
        <v xml:space="preserve">Расвор: </v>
      </c>
      <c r="BC123" s="47" t="str">
        <f ca="1"/>
        <v xml:space="preserve">Расвор: </v>
      </c>
      <c r="BD123" s="47" t="str">
        <f ca="1"/>
        <v xml:space="preserve">Расвор: </v>
      </c>
      <c r="BE123" s="47" t="str">
        <f ca="1"/>
        <v xml:space="preserve">Расвор: </v>
      </c>
      <c r="BF123" s="47" t="str">
        <f ca="1"/>
        <v xml:space="preserve">Расвор: </v>
      </c>
      <c r="BG123" s="47" t="str">
        <f ca="1"/>
        <v xml:space="preserve">Расвор: </v>
      </c>
      <c r="BH123" s="47" t="str">
        <f ca="1"/>
        <v xml:space="preserve">Расвор: </v>
      </c>
      <c r="BI123" s="47" t="str">
        <f ca="1"/>
        <v xml:space="preserve">Расвор: </v>
      </c>
      <c r="BJ123" s="47" t="str">
        <f ca="1"/>
        <v xml:space="preserve">Расвор: </v>
      </c>
      <c r="BK123" s="47" t="str">
        <f ca="1"/>
        <v xml:space="preserve">Расвор: </v>
      </c>
      <c r="BL123" s="47" t="str">
        <f ca="1"/>
        <v xml:space="preserve">Расвор: </v>
      </c>
      <c r="BM123" s="47" t="str">
        <f ca="1"/>
        <v xml:space="preserve">Расвор: </v>
      </c>
      <c r="BN123" s="47" t="str">
        <f ca="1"/>
        <v xml:space="preserve">Расвор: </v>
      </c>
      <c r="BO123" s="47" t="str">
        <f ca="1"/>
        <v xml:space="preserve">Расвор: </v>
      </c>
      <c r="BP123" s="47" t="str">
        <f ca="1"/>
        <v xml:space="preserve">Расвор: </v>
      </c>
      <c r="BQ123" s="47" t="str">
        <f ca="1"/>
        <v xml:space="preserve">Расвор: </v>
      </c>
      <c r="BR123" s="47" t="str">
        <f ca="1"/>
        <v xml:space="preserve">Расвор: 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customHeight="1" outlineLevel="1" thickBot="1" x14ac:dyDescent="0.4">
      <c r="E125" s="17" t="str">
        <f ca="1"/>
        <v xml:space="preserve">Газовая: </v>
      </c>
      <c r="F125" s="47" t="str">
        <f ca="1"/>
        <v xml:space="preserve">Газовая: </v>
      </c>
      <c r="G125" s="47" t="str">
        <f ca="1"/>
        <v xml:space="preserve">Газовая: </v>
      </c>
      <c r="H125" s="47" t="str">
        <f ca="1"/>
        <v xml:space="preserve">Газовая: </v>
      </c>
      <c r="I125" s="47" t="str">
        <f ca="1"/>
        <v xml:space="preserve">Газовая: </v>
      </c>
      <c r="J125" s="47" t="str">
        <f ca="1"/>
        <v xml:space="preserve">Газовая: </v>
      </c>
      <c r="K125" s="47" t="str">
        <f ca="1"/>
        <v xml:space="preserve">Газовая: </v>
      </c>
      <c r="L125" s="47" t="str">
        <f ca="1"/>
        <v xml:space="preserve">Газовая: </v>
      </c>
      <c r="M125" s="47" t="str">
        <f ca="1"/>
        <v xml:space="preserve">Газовая: </v>
      </c>
      <c r="N125" s="47" t="str">
        <f ca="1"/>
        <v xml:space="preserve">Газовая: </v>
      </c>
      <c r="O125" s="47" t="str">
        <f ca="1"/>
        <v xml:space="preserve">Газовая: </v>
      </c>
      <c r="P125" s="47" t="str">
        <f ca="1"/>
        <v xml:space="preserve">Газовая: </v>
      </c>
      <c r="Q125" s="47" t="str">
        <f ca="1"/>
        <v xml:space="preserve">Газовая: </v>
      </c>
      <c r="R125" s="47" t="str">
        <f ca="1"/>
        <v xml:space="preserve">Газовая: </v>
      </c>
      <c r="S125" s="47" t="str">
        <f ca="1"/>
        <v xml:space="preserve">Газовая: </v>
      </c>
      <c r="T125" s="47" t="str">
        <f ca="1"/>
        <v xml:space="preserve">Газовая: </v>
      </c>
      <c r="U125" s="47" t="str">
        <f ca="1"/>
        <v xml:space="preserve">Газовая: </v>
      </c>
      <c r="V125" s="47" t="str">
        <f ca="1"/>
        <v xml:space="preserve">Газовая: </v>
      </c>
      <c r="W125" s="47" t="str">
        <f ca="1"/>
        <v xml:space="preserve">Газовая: </v>
      </c>
      <c r="X125" s="47" t="str">
        <f ca="1"/>
        <v xml:space="preserve">Газовая: </v>
      </c>
      <c r="Y125" s="47" t="str">
        <f ca="1"/>
        <v xml:space="preserve">Газовая: </v>
      </c>
      <c r="Z125" s="47" t="str">
        <f ca="1"/>
        <v xml:space="preserve">Газовая: </v>
      </c>
      <c r="AA125" s="47" t="str">
        <f ca="1"/>
        <v xml:space="preserve">Газовая: </v>
      </c>
      <c r="AB125" s="47" t="str">
        <f ca="1"/>
        <v xml:space="preserve">Газовая: </v>
      </c>
      <c r="AC125" s="47" t="str">
        <f ca="1"/>
        <v xml:space="preserve">Газовая: </v>
      </c>
      <c r="AD125" s="47" t="str">
        <f ca="1"/>
        <v xml:space="preserve">Газовая: </v>
      </c>
      <c r="AE125" s="47" t="str">
        <f ca="1"/>
        <v xml:space="preserve">Газовая: </v>
      </c>
      <c r="AF125" s="47" t="str">
        <f ca="1"/>
        <v xml:space="preserve">Газовая: </v>
      </c>
      <c r="AG125" s="47" t="str">
        <f ca="1"/>
        <v xml:space="preserve">Газовая: </v>
      </c>
      <c r="AH125" s="47" t="str">
        <f ca="1"/>
        <v xml:space="preserve">Газовая: </v>
      </c>
      <c r="AI125" s="47" t="str">
        <f ca="1"/>
        <v xml:space="preserve">Газовая: </v>
      </c>
      <c r="AJ125" s="47" t="str">
        <f ca="1"/>
        <v xml:space="preserve">Газовая: </v>
      </c>
      <c r="AK125" s="47" t="str">
        <f ca="1"/>
        <v xml:space="preserve">Газовая: </v>
      </c>
      <c r="AL125" s="47" t="str">
        <f ca="1"/>
        <v xml:space="preserve">Газовая: </v>
      </c>
      <c r="AM125" s="47" t="str">
        <f ca="1"/>
        <v xml:space="preserve">Газовая: </v>
      </c>
      <c r="AN125" s="47" t="str">
        <f ca="1"/>
        <v xml:space="preserve">Газовая: </v>
      </c>
      <c r="AO125" s="47" t="str">
        <f ca="1"/>
        <v xml:space="preserve">Газовая: </v>
      </c>
      <c r="AP125" s="47" t="str">
        <f ca="1"/>
        <v xml:space="preserve">Газовая: </v>
      </c>
      <c r="AQ125" s="47" t="str">
        <f ca="1"/>
        <v xml:space="preserve">Газовая: </v>
      </c>
      <c r="AR125" s="47" t="str">
        <f ca="1"/>
        <v xml:space="preserve">Газовая: </v>
      </c>
      <c r="AS125" s="47" t="str">
        <f ca="1"/>
        <v xml:space="preserve">Газовая: </v>
      </c>
      <c r="AT125" s="47" t="str">
        <f ca="1"/>
        <v xml:space="preserve">Газовая: </v>
      </c>
      <c r="AU125" s="47" t="str">
        <f ca="1"/>
        <v xml:space="preserve">Газовая: </v>
      </c>
      <c r="AV125" s="47" t="str">
        <f ca="1"/>
        <v xml:space="preserve">Газовая: </v>
      </c>
      <c r="AW125" s="47" t="str">
        <f ca="1"/>
        <v xml:space="preserve">Газовая: </v>
      </c>
      <c r="AX125" s="47" t="str">
        <f ca="1"/>
        <v xml:space="preserve">Газовая: </v>
      </c>
      <c r="AY125" s="47" t="str">
        <f ca="1"/>
        <v xml:space="preserve">Газовая: </v>
      </c>
      <c r="AZ125" s="47" t="str">
        <f ca="1"/>
        <v xml:space="preserve">Газовая: </v>
      </c>
      <c r="BA125" s="47" t="str">
        <f ca="1"/>
        <v xml:space="preserve">Газовая: </v>
      </c>
      <c r="BB125" s="47" t="str">
        <f ca="1"/>
        <v xml:space="preserve">Газовая: </v>
      </c>
      <c r="BC125" s="47" t="str">
        <f ca="1"/>
        <v xml:space="preserve">Газовая: </v>
      </c>
      <c r="BD125" s="47" t="str">
        <f ca="1"/>
        <v xml:space="preserve">Газовая: </v>
      </c>
      <c r="BE125" s="47" t="str">
        <f ca="1"/>
        <v xml:space="preserve">Газовая: </v>
      </c>
      <c r="BF125" s="47" t="str">
        <f ca="1"/>
        <v xml:space="preserve">Газовая: </v>
      </c>
      <c r="BG125" s="47" t="str">
        <f ca="1"/>
        <v xml:space="preserve">Газовая: </v>
      </c>
      <c r="BH125" s="47" t="str">
        <f ca="1"/>
        <v xml:space="preserve">Газовая: </v>
      </c>
      <c r="BI125" s="47" t="str">
        <f ca="1"/>
        <v xml:space="preserve">Газовая: </v>
      </c>
      <c r="BJ125" s="47" t="str">
        <f ca="1"/>
        <v xml:space="preserve">Газовая: </v>
      </c>
      <c r="BK125" s="47" t="str">
        <f ca="1"/>
        <v xml:space="preserve">Газовая: </v>
      </c>
      <c r="BL125" s="47" t="str">
        <f ca="1"/>
        <v xml:space="preserve">Газовая: </v>
      </c>
      <c r="BM125" s="47" t="str">
        <f ca="1"/>
        <v xml:space="preserve">Газовая: </v>
      </c>
      <c r="BN125" s="47" t="str">
        <f ca="1"/>
        <v xml:space="preserve">Газовая: </v>
      </c>
      <c r="BO125" s="47" t="str">
        <f ca="1"/>
        <v xml:space="preserve">Газовая: </v>
      </c>
      <c r="BP125" s="47" t="str">
        <f ca="1"/>
        <v xml:space="preserve">Газовая: </v>
      </c>
      <c r="BQ125" s="47" t="str">
        <f ca="1"/>
        <v xml:space="preserve">Газовая: </v>
      </c>
      <c r="BR125" s="47" t="str">
        <f ca="1"/>
        <v xml:space="preserve">Газовая: 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 t="str">
        <f ca="1"/>
        <v>Раствор + газовая без Ar</v>
      </c>
      <c r="G126" s="47" t="str">
        <f ca="1"/>
        <v>Раствор + газовая без Ar</v>
      </c>
      <c r="H126" s="47" t="str">
        <f ca="1"/>
        <v>Раствор + газовая без Ar</v>
      </c>
      <c r="I126" s="47" t="str">
        <f ca="1"/>
        <v>Раствор + газовая без Ar</v>
      </c>
      <c r="J126" s="47" t="str">
        <f ca="1"/>
        <v>Раствор + газовая без Ar</v>
      </c>
      <c r="K126" s="47" t="str">
        <f ca="1"/>
        <v>Раствор + газовая без Ar</v>
      </c>
      <c r="L126" s="47" t="str">
        <f ca="1"/>
        <v>Раствор + газовая без Ar</v>
      </c>
      <c r="M126" s="47" t="str">
        <f ca="1"/>
        <v>Раствор + газовая без Ar</v>
      </c>
      <c r="N126" s="47" t="str">
        <f ca="1"/>
        <v>Раствор + газовая без Ar</v>
      </c>
      <c r="O126" s="47" t="str">
        <f ca="1"/>
        <v>Раствор + газовая без Ar</v>
      </c>
      <c r="P126" s="47" t="str">
        <f ca="1"/>
        <v>Раствор + газовая без Ar</v>
      </c>
      <c r="Q126" s="47" t="str">
        <f ca="1"/>
        <v>Раствор + газовая без Ar</v>
      </c>
      <c r="R126" s="47" t="str">
        <f ca="1"/>
        <v>Раствор + газовая без Ar</v>
      </c>
      <c r="S126" s="47" t="str">
        <f ca="1"/>
        <v>Раствор + газовая без Ar</v>
      </c>
      <c r="T126" s="47" t="str">
        <f ca="1"/>
        <v>Раствор + газовая без Ar</v>
      </c>
      <c r="U126" s="47" t="str">
        <f ca="1"/>
        <v>Раствор + газовая без Ar</v>
      </c>
      <c r="V126" s="47" t="str">
        <f ca="1"/>
        <v>Раствор + газовая без Ar</v>
      </c>
      <c r="W126" s="47" t="str">
        <f ca="1"/>
        <v>Раствор + газовая без Ar</v>
      </c>
      <c r="X126" s="47" t="str">
        <f ca="1"/>
        <v>Раствор + газовая без Ar</v>
      </c>
      <c r="Y126" s="47" t="str">
        <f ca="1"/>
        <v>Раствор + газовая без Ar</v>
      </c>
      <c r="Z126" s="47" t="str">
        <f ca="1"/>
        <v>Раствор + газовая без Ar</v>
      </c>
      <c r="AA126" s="47" t="str">
        <f ca="1"/>
        <v>Раствор + газовая без Ar</v>
      </c>
      <c r="AB126" s="47" t="str">
        <f ca="1"/>
        <v>Раствор + газовая без Ar</v>
      </c>
      <c r="AC126" s="47" t="str">
        <f ca="1"/>
        <v>Раствор + газовая без Ar</v>
      </c>
      <c r="AD126" s="47" t="str">
        <f ca="1"/>
        <v>Раствор + газовая без Ar</v>
      </c>
      <c r="AE126" s="47" t="str">
        <f ca="1"/>
        <v>Раствор + газовая без Ar</v>
      </c>
      <c r="AF126" s="47" t="str">
        <f ca="1"/>
        <v>Раствор + газовая без Ar</v>
      </c>
      <c r="AG126" s="47" t="str">
        <f ca="1"/>
        <v>Раствор + газовая без Ar</v>
      </c>
      <c r="AH126" s="47" t="str">
        <f ca="1"/>
        <v>Раствор + газовая без Ar</v>
      </c>
      <c r="AI126" s="47" t="str">
        <f ca="1"/>
        <v>Раствор + газовая без Ar</v>
      </c>
      <c r="AJ126" s="47" t="str">
        <f ca="1"/>
        <v>Раствор + газовая без Ar</v>
      </c>
      <c r="AK126" s="47" t="str">
        <f ca="1"/>
        <v>Раствор + газовая без Ar</v>
      </c>
      <c r="AL126" s="47" t="str">
        <f ca="1"/>
        <v>Раствор + газовая без Ar</v>
      </c>
      <c r="AM126" s="47" t="str">
        <f ca="1"/>
        <v>Раствор + газовая без Ar</v>
      </c>
      <c r="AN126" s="47" t="str">
        <f ca="1"/>
        <v>Раствор + газовая без Ar</v>
      </c>
      <c r="AO126" s="47" t="str">
        <f ca="1"/>
        <v>Раствор + газовая без Ar</v>
      </c>
      <c r="AP126" s="47" t="str">
        <f ca="1"/>
        <v>Раствор + газовая без Ar</v>
      </c>
      <c r="AQ126" s="47" t="str">
        <f ca="1"/>
        <v>Раствор + газовая без Ar</v>
      </c>
      <c r="AR126" s="47" t="str">
        <f ca="1"/>
        <v>Раствор + газовая без Ar</v>
      </c>
      <c r="AS126" s="47" t="str">
        <f ca="1"/>
        <v>Раствор + газовая без Ar</v>
      </c>
      <c r="AT126" s="47" t="str">
        <f ca="1"/>
        <v>Раствор + газовая без Ar</v>
      </c>
      <c r="AU126" s="47" t="str">
        <f ca="1"/>
        <v>Раствор + газовая без Ar</v>
      </c>
      <c r="AV126" s="47" t="str">
        <f ca="1"/>
        <v>Раствор + газовая без Ar</v>
      </c>
      <c r="AW126" s="47" t="str">
        <f ca="1"/>
        <v>Раствор + газовая без Ar</v>
      </c>
      <c r="AX126" s="47" t="str">
        <f ca="1"/>
        <v>Раствор + газовая без Ar</v>
      </c>
      <c r="AY126" s="47" t="str">
        <f ca="1"/>
        <v>Раствор + газовая без Ar</v>
      </c>
      <c r="AZ126" s="47" t="str">
        <f ca="1"/>
        <v>Раствор + газовая без Ar</v>
      </c>
      <c r="BA126" s="47" t="str">
        <f ca="1"/>
        <v>Раствор + газовая без Ar</v>
      </c>
      <c r="BB126" s="47" t="str">
        <f ca="1"/>
        <v>Раствор + газовая без Ar</v>
      </c>
      <c r="BC126" s="47" t="str">
        <f ca="1"/>
        <v>Раствор + газовая без Ar</v>
      </c>
      <c r="BD126" s="47" t="str">
        <f ca="1"/>
        <v>Раствор + газовая без Ar</v>
      </c>
      <c r="BE126" s="47" t="str">
        <f ca="1"/>
        <v>Раствор + газовая без Ar</v>
      </c>
      <c r="BF126" s="47" t="str">
        <f ca="1"/>
        <v>Раствор + газовая без Ar</v>
      </c>
      <c r="BG126" s="47" t="str">
        <f ca="1"/>
        <v>Раствор + газовая без Ar</v>
      </c>
      <c r="BH126" s="47" t="str">
        <f ca="1"/>
        <v>Раствор + газовая без Ar</v>
      </c>
      <c r="BI126" s="47" t="str">
        <f ca="1"/>
        <v>Раствор + газовая без Ar</v>
      </c>
      <c r="BJ126" s="47" t="str">
        <f ca="1"/>
        <v>Раствор + газовая без Ar</v>
      </c>
      <c r="BK126" s="47" t="str">
        <f ca="1"/>
        <v>Раствор + газовая без Ar</v>
      </c>
      <c r="BL126" s="47" t="str">
        <f ca="1"/>
        <v>Раствор + газовая без Ar</v>
      </c>
      <c r="BM126" s="47" t="str">
        <f ca="1"/>
        <v>Раствор + газовая без Ar</v>
      </c>
      <c r="BN126" s="47" t="str">
        <f ca="1"/>
        <v>Раствор + газовая без Ar</v>
      </c>
      <c r="BO126" s="47" t="str">
        <f ca="1"/>
        <v>Раствор + газовая без Ar</v>
      </c>
      <c r="BP126" s="47" t="str">
        <f ca="1"/>
        <v>Раствор + газовая без Ar</v>
      </c>
      <c r="BQ126" s="47" t="str">
        <f ca="1"/>
        <v>Раствор + газовая без Ar</v>
      </c>
      <c r="BR126" s="47" t="str">
        <f ca="1"/>
        <v>Раствор + газовая без Ar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Y45"/>
  <sheetViews>
    <sheetView tabSelected="1" topLeftCell="A10" zoomScale="85" zoomScaleNormal="85" workbookViewId="0">
      <selection activeCell="W22" sqref="W22"/>
    </sheetView>
  </sheetViews>
  <sheetFormatPr defaultRowHeight="21" x14ac:dyDescent="0.35"/>
  <cols>
    <col min="1" max="16384" width="8.7265625" style="103"/>
  </cols>
  <sheetData>
    <row r="1" spans="1:25" ht="54.75" x14ac:dyDescent="0.35">
      <c r="A1" s="103" t="s">
        <v>125</v>
      </c>
      <c r="B1" s="191" t="s">
        <v>67</v>
      </c>
      <c r="C1" s="192" t="s">
        <v>72</v>
      </c>
      <c r="D1" s="193" t="s">
        <v>73</v>
      </c>
      <c r="E1" s="191" t="s">
        <v>74</v>
      </c>
      <c r="F1" s="192" t="s">
        <v>75</v>
      </c>
      <c r="G1" s="193" t="s">
        <v>76</v>
      </c>
      <c r="H1" s="208" t="s">
        <v>77</v>
      </c>
      <c r="I1" s="192" t="s">
        <v>103</v>
      </c>
      <c r="J1" s="193" t="s">
        <v>104</v>
      </c>
      <c r="K1" s="208" t="s">
        <v>105</v>
      </c>
      <c r="L1" s="192" t="s">
        <v>78</v>
      </c>
      <c r="M1" s="193" t="s">
        <v>79</v>
      </c>
      <c r="N1" s="211" t="s">
        <v>80</v>
      </c>
      <c r="O1" s="192" t="s">
        <v>81</v>
      </c>
      <c r="P1" s="193" t="s">
        <v>82</v>
      </c>
      <c r="Q1" s="211" t="s">
        <v>80</v>
      </c>
      <c r="R1" s="192" t="s">
        <v>81</v>
      </c>
      <c r="S1" s="193" t="s">
        <v>82</v>
      </c>
      <c r="T1" s="191" t="s">
        <v>118</v>
      </c>
      <c r="U1" s="192" t="s">
        <v>84</v>
      </c>
      <c r="V1" s="193" t="s">
        <v>85</v>
      </c>
      <c r="W1" s="212" t="s">
        <v>86</v>
      </c>
      <c r="X1" s="192" t="s">
        <v>87</v>
      </c>
      <c r="Y1" s="193" t="s">
        <v>88</v>
      </c>
    </row>
    <row r="2" spans="1:25" x14ac:dyDescent="0.35">
      <c r="A2" s="189" t="s">
        <v>62</v>
      </c>
      <c r="B2" s="194" t="s">
        <v>114</v>
      </c>
      <c r="C2" s="195" t="s">
        <v>114</v>
      </c>
      <c r="D2" s="196" t="s">
        <v>114</v>
      </c>
      <c r="E2" s="194" t="s">
        <v>114</v>
      </c>
      <c r="F2" s="203" t="s">
        <v>114</v>
      </c>
      <c r="G2" s="196" t="s">
        <v>114</v>
      </c>
      <c r="H2" s="194" t="s">
        <v>114</v>
      </c>
      <c r="I2" s="203" t="s">
        <v>114</v>
      </c>
      <c r="J2" s="196" t="s">
        <v>114</v>
      </c>
      <c r="K2" s="194" t="s">
        <v>114</v>
      </c>
      <c r="L2" s="203" t="s">
        <v>114</v>
      </c>
      <c r="M2" s="196" t="s">
        <v>114</v>
      </c>
      <c r="N2" s="194" t="s">
        <v>114</v>
      </c>
      <c r="O2" s="203" t="s">
        <v>114</v>
      </c>
      <c r="P2" s="196" t="s">
        <v>114</v>
      </c>
      <c r="Q2" s="194" t="s">
        <v>114</v>
      </c>
      <c r="R2" s="203" t="s">
        <v>114</v>
      </c>
      <c r="S2" s="196" t="s">
        <v>114</v>
      </c>
      <c r="T2" s="194" t="s">
        <v>114</v>
      </c>
      <c r="U2" s="203" t="s">
        <v>114</v>
      </c>
      <c r="V2" s="196" t="s">
        <v>114</v>
      </c>
      <c r="W2" s="213" t="s">
        <v>114</v>
      </c>
      <c r="X2" s="203" t="s">
        <v>114</v>
      </c>
      <c r="Y2" s="196" t="s">
        <v>114</v>
      </c>
    </row>
    <row r="3" spans="1:25" x14ac:dyDescent="0.35">
      <c r="A3" s="189" t="s">
        <v>63</v>
      </c>
      <c r="B3" s="197" t="s">
        <v>627</v>
      </c>
      <c r="C3" s="198" t="s">
        <v>627</v>
      </c>
      <c r="D3" s="199" t="s">
        <v>627</v>
      </c>
      <c r="E3" s="197" t="s">
        <v>627</v>
      </c>
      <c r="F3" s="198" t="s">
        <v>627</v>
      </c>
      <c r="G3" s="204" t="s">
        <v>627</v>
      </c>
      <c r="H3" s="197" t="s">
        <v>627</v>
      </c>
      <c r="I3" s="209" t="s">
        <v>846</v>
      </c>
      <c r="J3" s="199" t="s">
        <v>145</v>
      </c>
      <c r="K3" s="197" t="s">
        <v>1130</v>
      </c>
      <c r="L3" s="209" t="s">
        <v>1146</v>
      </c>
      <c r="M3" s="199" t="s">
        <v>1162</v>
      </c>
      <c r="N3" s="197" t="s">
        <v>1180</v>
      </c>
      <c r="O3" s="209" t="s">
        <v>1195</v>
      </c>
      <c r="P3" s="204" t="s">
        <v>1209</v>
      </c>
      <c r="Q3" s="197" t="s">
        <v>1180</v>
      </c>
      <c r="R3" s="209" t="s">
        <v>1195</v>
      </c>
      <c r="S3" s="204" t="s">
        <v>1209</v>
      </c>
      <c r="T3" s="197" t="s">
        <v>1224</v>
      </c>
      <c r="U3" s="198" t="s">
        <v>1232</v>
      </c>
      <c r="V3" s="199" t="s">
        <v>1240</v>
      </c>
      <c r="W3" s="197" t="s">
        <v>138</v>
      </c>
      <c r="X3" s="198" t="s">
        <v>128</v>
      </c>
      <c r="Y3" s="204" t="s">
        <v>138</v>
      </c>
    </row>
    <row r="4" spans="1:25" x14ac:dyDescent="0.35">
      <c r="A4" s="189" t="s">
        <v>70</v>
      </c>
      <c r="B4" s="200" t="s">
        <v>627</v>
      </c>
      <c r="C4" s="201" t="s">
        <v>627</v>
      </c>
      <c r="D4" s="202" t="s">
        <v>627</v>
      </c>
      <c r="E4" s="200" t="s">
        <v>627</v>
      </c>
      <c r="F4" s="201" t="s">
        <v>627</v>
      </c>
      <c r="G4" s="205" t="s">
        <v>627</v>
      </c>
      <c r="H4" s="200" t="s">
        <v>627</v>
      </c>
      <c r="I4" s="201" t="s">
        <v>627</v>
      </c>
      <c r="J4" s="202" t="s">
        <v>627</v>
      </c>
      <c r="K4" s="200" t="s">
        <v>627</v>
      </c>
      <c r="L4" s="207" t="s">
        <v>1147</v>
      </c>
      <c r="M4" s="202" t="s">
        <v>1163</v>
      </c>
      <c r="N4" s="200" t="s">
        <v>138</v>
      </c>
      <c r="O4" s="201" t="s">
        <v>128</v>
      </c>
      <c r="P4" s="205" t="s">
        <v>138</v>
      </c>
      <c r="Q4" s="200" t="s">
        <v>138</v>
      </c>
      <c r="R4" s="201" t="s">
        <v>128</v>
      </c>
      <c r="S4" s="205" t="s">
        <v>138</v>
      </c>
      <c r="T4" s="200" t="s">
        <v>138</v>
      </c>
      <c r="U4" s="201" t="s">
        <v>128</v>
      </c>
      <c r="V4" s="202" t="s">
        <v>138</v>
      </c>
      <c r="W4" s="200" t="s">
        <v>128</v>
      </c>
      <c r="X4" s="201" t="s">
        <v>128</v>
      </c>
      <c r="Y4" s="205" t="s">
        <v>138</v>
      </c>
    </row>
    <row r="5" spans="1:25" x14ac:dyDescent="0.35">
      <c r="A5" s="189" t="s">
        <v>53</v>
      </c>
      <c r="B5" s="200" t="s">
        <v>138</v>
      </c>
      <c r="C5" s="201" t="s">
        <v>138</v>
      </c>
      <c r="D5" s="202" t="s">
        <v>138</v>
      </c>
      <c r="E5" s="200" t="s">
        <v>138</v>
      </c>
      <c r="F5" s="201" t="s">
        <v>138</v>
      </c>
      <c r="G5" s="205" t="s">
        <v>138</v>
      </c>
      <c r="H5" s="200" t="s">
        <v>1083</v>
      </c>
      <c r="I5" s="201" t="s">
        <v>1098</v>
      </c>
      <c r="J5" s="202" t="s">
        <v>1114</v>
      </c>
      <c r="K5" s="200" t="s">
        <v>1131</v>
      </c>
      <c r="L5" s="201" t="s">
        <v>128</v>
      </c>
      <c r="M5" s="202" t="s">
        <v>1164</v>
      </c>
      <c r="N5" s="200" t="s">
        <v>128</v>
      </c>
      <c r="O5" s="201" t="s">
        <v>128</v>
      </c>
      <c r="P5" s="205" t="s">
        <v>138</v>
      </c>
      <c r="Q5" s="200" t="s">
        <v>128</v>
      </c>
      <c r="R5" s="201" t="s">
        <v>128</v>
      </c>
      <c r="S5" s="205" t="s">
        <v>138</v>
      </c>
      <c r="T5" s="200" t="s">
        <v>1225</v>
      </c>
      <c r="U5" s="201" t="s">
        <v>1233</v>
      </c>
      <c r="V5" s="202" t="s">
        <v>1241</v>
      </c>
      <c r="W5" s="200" t="s">
        <v>1247</v>
      </c>
      <c r="X5" s="201" t="s">
        <v>1253</v>
      </c>
      <c r="Y5" s="205" t="s">
        <v>1259</v>
      </c>
    </row>
    <row r="6" spans="1:25" x14ac:dyDescent="0.35">
      <c r="A6" s="189" t="s">
        <v>61</v>
      </c>
      <c r="B6" s="200" t="s">
        <v>1026</v>
      </c>
      <c r="C6" s="201" t="s">
        <v>1029</v>
      </c>
      <c r="D6" s="202" t="s">
        <v>1034</v>
      </c>
      <c r="E6" s="200" t="s">
        <v>1042</v>
      </c>
      <c r="F6" s="201" t="s">
        <v>1055</v>
      </c>
      <c r="G6" s="205" t="s">
        <v>1069</v>
      </c>
      <c r="H6" s="200" t="s">
        <v>1084</v>
      </c>
      <c r="I6" s="201" t="s">
        <v>1099</v>
      </c>
      <c r="J6" s="202" t="s">
        <v>1115</v>
      </c>
      <c r="K6" s="200" t="s">
        <v>1132</v>
      </c>
      <c r="L6" s="201" t="s">
        <v>128</v>
      </c>
      <c r="M6" s="202" t="s">
        <v>1165</v>
      </c>
      <c r="N6" s="200" t="s">
        <v>128</v>
      </c>
      <c r="O6" s="201" t="s">
        <v>128</v>
      </c>
      <c r="P6" s="205" t="s">
        <v>1210</v>
      </c>
      <c r="Q6" s="200" t="s">
        <v>128</v>
      </c>
      <c r="R6" s="201" t="s">
        <v>128</v>
      </c>
      <c r="S6" s="205" t="s">
        <v>1210</v>
      </c>
      <c r="T6" s="200" t="s">
        <v>1226</v>
      </c>
      <c r="U6" s="201" t="s">
        <v>1234</v>
      </c>
      <c r="V6" s="202" t="s">
        <v>1242</v>
      </c>
      <c r="W6" s="200" t="s">
        <v>1248</v>
      </c>
      <c r="X6" s="201" t="s">
        <v>1254</v>
      </c>
      <c r="Y6" s="205" t="s">
        <v>1260</v>
      </c>
    </row>
    <row r="7" spans="1:25" x14ac:dyDescent="0.35">
      <c r="A7" s="189" t="s">
        <v>65</v>
      </c>
      <c r="B7" s="200" t="s">
        <v>627</v>
      </c>
      <c r="C7" s="201" t="s">
        <v>627</v>
      </c>
      <c r="D7" s="202" t="s">
        <v>627</v>
      </c>
      <c r="E7" s="200" t="s">
        <v>627</v>
      </c>
      <c r="F7" s="201" t="s">
        <v>627</v>
      </c>
      <c r="G7" s="205" t="s">
        <v>627</v>
      </c>
      <c r="H7" s="200" t="s">
        <v>627</v>
      </c>
      <c r="I7" s="201" t="s">
        <v>1100</v>
      </c>
      <c r="J7" s="202" t="s">
        <v>1116</v>
      </c>
      <c r="K7" s="200" t="s">
        <v>161</v>
      </c>
      <c r="L7" s="201" t="s">
        <v>1148</v>
      </c>
      <c r="M7" s="202" t="s">
        <v>1166</v>
      </c>
      <c r="N7" s="200" t="s">
        <v>1181</v>
      </c>
      <c r="O7" s="201" t="s">
        <v>1196</v>
      </c>
      <c r="P7" s="205" t="s">
        <v>1211</v>
      </c>
      <c r="Q7" s="200" t="s">
        <v>1181</v>
      </c>
      <c r="R7" s="201" t="s">
        <v>1196</v>
      </c>
      <c r="S7" s="205" t="s">
        <v>1211</v>
      </c>
      <c r="T7" s="200" t="s">
        <v>1227</v>
      </c>
      <c r="U7" s="201" t="s">
        <v>1235</v>
      </c>
      <c r="V7" s="202" t="s">
        <v>1243</v>
      </c>
      <c r="W7" s="200" t="s">
        <v>1249</v>
      </c>
      <c r="X7" s="201" t="s">
        <v>1255</v>
      </c>
      <c r="Y7" s="205" t="s">
        <v>1261</v>
      </c>
    </row>
    <row r="8" spans="1:25" x14ac:dyDescent="0.35">
      <c r="A8" s="189" t="s">
        <v>127</v>
      </c>
      <c r="B8" s="200" t="s">
        <v>138</v>
      </c>
      <c r="C8" s="201" t="s">
        <v>138</v>
      </c>
      <c r="D8" s="202" t="s">
        <v>138</v>
      </c>
      <c r="E8" s="200" t="s">
        <v>1043</v>
      </c>
      <c r="F8" s="201" t="s">
        <v>1056</v>
      </c>
      <c r="G8" s="205" t="s">
        <v>1070</v>
      </c>
      <c r="H8" s="200" t="s">
        <v>1085</v>
      </c>
      <c r="I8" s="201" t="s">
        <v>1101</v>
      </c>
      <c r="J8" s="202" t="s">
        <v>1117</v>
      </c>
      <c r="K8" s="206" t="s">
        <v>1133</v>
      </c>
      <c r="L8" s="192" t="s">
        <v>1149</v>
      </c>
      <c r="M8" s="210" t="s">
        <v>1167</v>
      </c>
      <c r="N8" s="206" t="s">
        <v>1182</v>
      </c>
      <c r="O8" s="192" t="s">
        <v>1197</v>
      </c>
      <c r="P8" s="193" t="s">
        <v>1212</v>
      </c>
      <c r="Q8" s="206" t="s">
        <v>1182</v>
      </c>
      <c r="R8" s="192" t="s">
        <v>1197</v>
      </c>
      <c r="S8" s="193" t="s">
        <v>1212</v>
      </c>
      <c r="T8" s="200" t="s">
        <v>446</v>
      </c>
      <c r="U8" s="201" t="s">
        <v>462</v>
      </c>
      <c r="V8" s="202" t="s">
        <v>479</v>
      </c>
      <c r="W8" s="200" t="s">
        <v>396</v>
      </c>
      <c r="X8" s="201" t="s">
        <v>413</v>
      </c>
      <c r="Y8" s="205" t="s">
        <v>430</v>
      </c>
    </row>
    <row r="9" spans="1:25" x14ac:dyDescent="0.35">
      <c r="A9" s="189" t="s">
        <v>71</v>
      </c>
      <c r="B9" s="200" t="s">
        <v>128</v>
      </c>
      <c r="C9" s="201" t="s">
        <v>128</v>
      </c>
      <c r="D9" s="202" t="s">
        <v>138</v>
      </c>
      <c r="E9" s="206" t="s">
        <v>1044</v>
      </c>
      <c r="F9" s="192" t="s">
        <v>1057</v>
      </c>
      <c r="G9" s="193" t="s">
        <v>1071</v>
      </c>
      <c r="H9" s="206" t="s">
        <v>1086</v>
      </c>
      <c r="I9" s="192" t="s">
        <v>1102</v>
      </c>
      <c r="J9" s="210" t="s">
        <v>1118</v>
      </c>
      <c r="K9" s="206" t="s">
        <v>1134</v>
      </c>
      <c r="L9" s="192" t="s">
        <v>1150</v>
      </c>
      <c r="M9" s="210" t="s">
        <v>1168</v>
      </c>
      <c r="N9" s="200" t="s">
        <v>1183</v>
      </c>
      <c r="O9" s="201" t="s">
        <v>1198</v>
      </c>
      <c r="P9" s="205" t="s">
        <v>1213</v>
      </c>
      <c r="Q9" s="200" t="s">
        <v>1183</v>
      </c>
      <c r="R9" s="201" t="s">
        <v>1198</v>
      </c>
      <c r="S9" s="205" t="s">
        <v>1213</v>
      </c>
      <c r="T9" s="200" t="s">
        <v>1228</v>
      </c>
      <c r="U9" s="201" t="s">
        <v>463</v>
      </c>
      <c r="V9" s="202" t="s">
        <v>480</v>
      </c>
      <c r="W9" s="200" t="s">
        <v>397</v>
      </c>
      <c r="X9" s="201" t="s">
        <v>414</v>
      </c>
      <c r="Y9" s="205" t="s">
        <v>431</v>
      </c>
    </row>
    <row r="10" spans="1:25" x14ac:dyDescent="0.35">
      <c r="A10" s="190"/>
      <c r="B10" s="200" t="s">
        <v>128</v>
      </c>
      <c r="C10" s="201" t="s">
        <v>128</v>
      </c>
      <c r="D10" s="202" t="s">
        <v>138</v>
      </c>
      <c r="E10" s="206" t="s">
        <v>1045</v>
      </c>
      <c r="F10" s="192" t="s">
        <v>1058</v>
      </c>
      <c r="G10" s="193" t="s">
        <v>1072</v>
      </c>
      <c r="H10" s="200" t="s">
        <v>1087</v>
      </c>
      <c r="I10" s="201" t="s">
        <v>1103</v>
      </c>
      <c r="J10" s="202" t="s">
        <v>1119</v>
      </c>
      <c r="K10" s="200" t="s">
        <v>1135</v>
      </c>
      <c r="L10" s="201" t="s">
        <v>1151</v>
      </c>
      <c r="M10" s="202" t="s">
        <v>1169</v>
      </c>
      <c r="N10" s="200" t="s">
        <v>1184</v>
      </c>
      <c r="O10" s="201" t="s">
        <v>1199</v>
      </c>
      <c r="P10" s="205" t="s">
        <v>1214</v>
      </c>
      <c r="Q10" s="200" t="s">
        <v>1184</v>
      </c>
      <c r="R10" s="201" t="s">
        <v>1199</v>
      </c>
      <c r="S10" s="205" t="s">
        <v>1214</v>
      </c>
      <c r="T10" s="200" t="s">
        <v>448</v>
      </c>
      <c r="U10" s="201" t="s">
        <v>1236</v>
      </c>
      <c r="V10" s="202" t="s">
        <v>481</v>
      </c>
      <c r="W10" s="200" t="s">
        <v>398</v>
      </c>
      <c r="X10" s="201" t="s">
        <v>415</v>
      </c>
      <c r="Y10" s="205" t="s">
        <v>432</v>
      </c>
    </row>
    <row r="11" spans="1:25" x14ac:dyDescent="0.35">
      <c r="A11" s="189" t="s">
        <v>55</v>
      </c>
      <c r="B11" s="200" t="s">
        <v>128</v>
      </c>
      <c r="C11" s="201" t="s">
        <v>138</v>
      </c>
      <c r="D11" s="202" t="s">
        <v>138</v>
      </c>
      <c r="E11" s="200" t="s">
        <v>1046</v>
      </c>
      <c r="F11" s="201" t="s">
        <v>1059</v>
      </c>
      <c r="G11" s="205" t="s">
        <v>1073</v>
      </c>
      <c r="H11" s="200" t="s">
        <v>1088</v>
      </c>
      <c r="I11" s="201" t="s">
        <v>1104</v>
      </c>
      <c r="J11" s="202" t="s">
        <v>1120</v>
      </c>
      <c r="K11" s="200" t="s">
        <v>1136</v>
      </c>
      <c r="L11" s="201" t="s">
        <v>1152</v>
      </c>
      <c r="M11" s="202" t="s">
        <v>1170</v>
      </c>
      <c r="N11" s="200" t="s">
        <v>1185</v>
      </c>
      <c r="O11" s="201" t="s">
        <v>1200</v>
      </c>
      <c r="P11" s="205" t="s">
        <v>1215</v>
      </c>
      <c r="Q11" s="200" t="s">
        <v>1185</v>
      </c>
      <c r="R11" s="201" t="s">
        <v>1200</v>
      </c>
      <c r="S11" s="205" t="s">
        <v>1215</v>
      </c>
      <c r="T11" s="200" t="s">
        <v>449</v>
      </c>
      <c r="U11" s="201" t="s">
        <v>465</v>
      </c>
      <c r="V11" s="202" t="s">
        <v>482</v>
      </c>
      <c r="W11" s="200" t="s">
        <v>399</v>
      </c>
      <c r="X11" s="201" t="s">
        <v>416</v>
      </c>
      <c r="Y11" s="205" t="s">
        <v>433</v>
      </c>
    </row>
    <row r="12" spans="1:25" x14ac:dyDescent="0.35">
      <c r="A12" s="189" t="s">
        <v>102</v>
      </c>
      <c r="B12" s="200" t="s">
        <v>128</v>
      </c>
      <c r="C12" s="201" t="s">
        <v>1030</v>
      </c>
      <c r="D12" s="202" t="s">
        <v>1035</v>
      </c>
      <c r="E12" s="200" t="s">
        <v>1047</v>
      </c>
      <c r="F12" s="201" t="s">
        <v>1060</v>
      </c>
      <c r="G12" s="205" t="s">
        <v>1074</v>
      </c>
      <c r="H12" s="200" t="s">
        <v>1089</v>
      </c>
      <c r="I12" s="207" t="s">
        <v>1105</v>
      </c>
      <c r="J12" s="202" t="s">
        <v>1121</v>
      </c>
      <c r="K12" s="200" t="s">
        <v>1137</v>
      </c>
      <c r="L12" s="201" t="s">
        <v>1153</v>
      </c>
      <c r="M12" s="202" t="s">
        <v>1171</v>
      </c>
      <c r="N12" s="200" t="s">
        <v>1186</v>
      </c>
      <c r="O12" s="201" t="s">
        <v>1201</v>
      </c>
      <c r="P12" s="205" t="s">
        <v>1216</v>
      </c>
      <c r="Q12" s="200" t="s">
        <v>1186</v>
      </c>
      <c r="R12" s="201" t="s">
        <v>1201</v>
      </c>
      <c r="S12" s="205" t="s">
        <v>1216</v>
      </c>
      <c r="T12" s="200" t="s">
        <v>1229</v>
      </c>
      <c r="U12" s="201" t="s">
        <v>1237</v>
      </c>
      <c r="V12" s="202" t="s">
        <v>1244</v>
      </c>
      <c r="W12" s="200" t="s">
        <v>1250</v>
      </c>
      <c r="X12" s="201" t="s">
        <v>1256</v>
      </c>
      <c r="Y12" s="205" t="s">
        <v>1262</v>
      </c>
    </row>
    <row r="13" spans="1:25" x14ac:dyDescent="0.35">
      <c r="A13" s="190"/>
      <c r="B13" s="200" t="s">
        <v>128</v>
      </c>
      <c r="C13" s="201" t="s">
        <v>138</v>
      </c>
      <c r="D13" s="202" t="s">
        <v>138</v>
      </c>
      <c r="E13" s="206" t="s">
        <v>1048</v>
      </c>
      <c r="F13" s="192" t="s">
        <v>1061</v>
      </c>
      <c r="G13" s="193" t="s">
        <v>1075</v>
      </c>
      <c r="H13" s="200" t="s">
        <v>1090</v>
      </c>
      <c r="I13" s="207" t="s">
        <v>1106</v>
      </c>
      <c r="J13" s="202" t="s">
        <v>1122</v>
      </c>
      <c r="K13" s="200" t="s">
        <v>1138</v>
      </c>
      <c r="L13" s="201" t="s">
        <v>1154</v>
      </c>
      <c r="M13" s="202" t="s">
        <v>1172</v>
      </c>
      <c r="N13" s="200" t="s">
        <v>1187</v>
      </c>
      <c r="O13" s="201" t="s">
        <v>1202</v>
      </c>
      <c r="P13" s="205" t="s">
        <v>1217</v>
      </c>
      <c r="Q13" s="200" t="s">
        <v>1187</v>
      </c>
      <c r="R13" s="201" t="s">
        <v>1202</v>
      </c>
      <c r="S13" s="205" t="s">
        <v>1217</v>
      </c>
      <c r="T13" s="200" t="s">
        <v>450</v>
      </c>
      <c r="U13" s="201" t="s">
        <v>466</v>
      </c>
      <c r="V13" s="202" t="s">
        <v>483</v>
      </c>
      <c r="W13" s="200" t="s">
        <v>400</v>
      </c>
      <c r="X13" s="201" t="s">
        <v>417</v>
      </c>
      <c r="Y13" s="205" t="s">
        <v>434</v>
      </c>
    </row>
    <row r="14" spans="1:25" x14ac:dyDescent="0.35">
      <c r="A14" s="189" t="s">
        <v>54</v>
      </c>
      <c r="B14" s="200" t="s">
        <v>128</v>
      </c>
      <c r="C14" s="201" t="s">
        <v>138</v>
      </c>
      <c r="D14" s="202" t="s">
        <v>1036</v>
      </c>
      <c r="E14" s="200" t="s">
        <v>1049</v>
      </c>
      <c r="F14" s="201" t="s">
        <v>1062</v>
      </c>
      <c r="G14" s="205" t="s">
        <v>1076</v>
      </c>
      <c r="H14" s="200" t="s">
        <v>1091</v>
      </c>
      <c r="I14" s="207" t="s">
        <v>1107</v>
      </c>
      <c r="J14" s="202" t="s">
        <v>1123</v>
      </c>
      <c r="K14" s="200" t="s">
        <v>1139</v>
      </c>
      <c r="L14" s="201" t="s">
        <v>1155</v>
      </c>
      <c r="M14" s="202" t="s">
        <v>1173</v>
      </c>
      <c r="N14" s="200" t="s">
        <v>1188</v>
      </c>
      <c r="O14" s="201" t="s">
        <v>1203</v>
      </c>
      <c r="P14" s="205" t="s">
        <v>1218</v>
      </c>
      <c r="Q14" s="200" t="s">
        <v>1188</v>
      </c>
      <c r="R14" s="201" t="s">
        <v>1203</v>
      </c>
      <c r="S14" s="205" t="s">
        <v>1218</v>
      </c>
      <c r="T14" s="200" t="s">
        <v>451</v>
      </c>
      <c r="U14" s="201" t="s">
        <v>467</v>
      </c>
      <c r="V14" s="202" t="s">
        <v>484</v>
      </c>
      <c r="W14" s="200" t="s">
        <v>401</v>
      </c>
      <c r="X14" s="201" t="s">
        <v>418</v>
      </c>
      <c r="Y14" s="205" t="s">
        <v>435</v>
      </c>
    </row>
    <row r="15" spans="1:25" x14ac:dyDescent="0.35">
      <c r="A15" s="189" t="s">
        <v>56</v>
      </c>
      <c r="B15" s="200" t="s">
        <v>128</v>
      </c>
      <c r="C15" s="201" t="s">
        <v>1031</v>
      </c>
      <c r="D15" s="202" t="s">
        <v>1037</v>
      </c>
      <c r="E15" s="200" t="s">
        <v>1050</v>
      </c>
      <c r="F15" s="201" t="s">
        <v>1063</v>
      </c>
      <c r="G15" s="205" t="s">
        <v>1077</v>
      </c>
      <c r="H15" s="200" t="s">
        <v>1092</v>
      </c>
      <c r="I15" s="207" t="s">
        <v>1108</v>
      </c>
      <c r="J15" s="202" t="s">
        <v>1124</v>
      </c>
      <c r="K15" s="200" t="s">
        <v>1140</v>
      </c>
      <c r="L15" s="201" t="s">
        <v>1156</v>
      </c>
      <c r="M15" s="202" t="s">
        <v>1174</v>
      </c>
      <c r="N15" s="206" t="s">
        <v>1189</v>
      </c>
      <c r="O15" s="192" t="s">
        <v>1204</v>
      </c>
      <c r="P15" s="193" t="s">
        <v>1219</v>
      </c>
      <c r="Q15" s="206" t="s">
        <v>1189</v>
      </c>
      <c r="R15" s="192" t="s">
        <v>1204</v>
      </c>
      <c r="S15" s="193" t="s">
        <v>1219</v>
      </c>
      <c r="T15" s="200" t="s">
        <v>452</v>
      </c>
      <c r="U15" s="201" t="s">
        <v>468</v>
      </c>
      <c r="V15" s="202" t="s">
        <v>485</v>
      </c>
      <c r="W15" s="200" t="s">
        <v>402</v>
      </c>
      <c r="X15" s="201" t="s">
        <v>419</v>
      </c>
      <c r="Y15" s="205" t="s">
        <v>436</v>
      </c>
    </row>
    <row r="16" spans="1:25" x14ac:dyDescent="0.35">
      <c r="A16" s="189" t="s">
        <v>57</v>
      </c>
      <c r="B16" s="200" t="s">
        <v>128</v>
      </c>
      <c r="C16" s="201" t="s">
        <v>138</v>
      </c>
      <c r="D16" s="202" t="s">
        <v>1038</v>
      </c>
      <c r="E16" s="200" t="s">
        <v>1051</v>
      </c>
      <c r="F16" s="201" t="s">
        <v>1064</v>
      </c>
      <c r="G16" s="205" t="s">
        <v>1078</v>
      </c>
      <c r="H16" s="206" t="s">
        <v>1093</v>
      </c>
      <c r="I16" s="192" t="s">
        <v>1109</v>
      </c>
      <c r="J16" s="210" t="s">
        <v>1125</v>
      </c>
      <c r="K16" s="200" t="s">
        <v>1141</v>
      </c>
      <c r="L16" s="201" t="s">
        <v>1157</v>
      </c>
      <c r="M16" s="202" t="s">
        <v>1175</v>
      </c>
      <c r="N16" s="200" t="s">
        <v>1190</v>
      </c>
      <c r="O16" s="201" t="s">
        <v>1205</v>
      </c>
      <c r="P16" s="205" t="s">
        <v>1220</v>
      </c>
      <c r="Q16" s="200" t="s">
        <v>1190</v>
      </c>
      <c r="R16" s="201" t="s">
        <v>1205</v>
      </c>
      <c r="S16" s="205" t="s">
        <v>1220</v>
      </c>
      <c r="T16" s="200" t="s">
        <v>453</v>
      </c>
      <c r="U16" s="201" t="s">
        <v>469</v>
      </c>
      <c r="V16" s="202" t="s">
        <v>486</v>
      </c>
      <c r="W16" s="200" t="s">
        <v>403</v>
      </c>
      <c r="X16" s="201" t="s">
        <v>420</v>
      </c>
      <c r="Y16" s="205" t="s">
        <v>437</v>
      </c>
    </row>
    <row r="17" spans="1:25" x14ac:dyDescent="0.35">
      <c r="A17" s="189" t="s">
        <v>2</v>
      </c>
      <c r="B17" s="200" t="s">
        <v>130</v>
      </c>
      <c r="C17" s="201" t="s">
        <v>130</v>
      </c>
      <c r="D17" s="202" t="s">
        <v>130</v>
      </c>
      <c r="E17" s="200" t="s">
        <v>130</v>
      </c>
      <c r="F17" s="201" t="s">
        <v>130</v>
      </c>
      <c r="G17" s="205" t="s">
        <v>130</v>
      </c>
      <c r="H17" s="200" t="s">
        <v>130</v>
      </c>
      <c r="I17" s="201" t="s">
        <v>130</v>
      </c>
      <c r="J17" s="202" t="s">
        <v>130</v>
      </c>
      <c r="K17" s="200" t="s">
        <v>130</v>
      </c>
      <c r="L17" s="201" t="s">
        <v>130</v>
      </c>
      <c r="M17" s="202" t="s">
        <v>130</v>
      </c>
      <c r="N17" s="200" t="s">
        <v>130</v>
      </c>
      <c r="O17" s="201" t="s">
        <v>130</v>
      </c>
      <c r="P17" s="205" t="s">
        <v>130</v>
      </c>
      <c r="Q17" s="200" t="s">
        <v>130</v>
      </c>
      <c r="R17" s="201" t="s">
        <v>130</v>
      </c>
      <c r="S17" s="205" t="s">
        <v>130</v>
      </c>
      <c r="T17" s="200" t="s">
        <v>130</v>
      </c>
      <c r="U17" s="201" t="s">
        <v>130</v>
      </c>
      <c r="V17" s="202" t="s">
        <v>130</v>
      </c>
      <c r="W17" s="200" t="s">
        <v>130</v>
      </c>
      <c r="X17" s="201" t="s">
        <v>130</v>
      </c>
      <c r="Y17" s="205" t="s">
        <v>130</v>
      </c>
    </row>
    <row r="18" spans="1:25" x14ac:dyDescent="0.35">
      <c r="A18" s="189" t="s">
        <v>1</v>
      </c>
      <c r="B18" s="200" t="s">
        <v>128</v>
      </c>
      <c r="C18" s="201" t="s">
        <v>138</v>
      </c>
      <c r="D18" s="202" t="s">
        <v>1039</v>
      </c>
      <c r="E18" s="200" t="s">
        <v>1052</v>
      </c>
      <c r="F18" s="201" t="s">
        <v>1065</v>
      </c>
      <c r="G18" s="205" t="s">
        <v>1079</v>
      </c>
      <c r="H18" s="206" t="s">
        <v>1094</v>
      </c>
      <c r="I18" s="192" t="s">
        <v>1110</v>
      </c>
      <c r="J18" s="210" t="s">
        <v>1126</v>
      </c>
      <c r="K18" s="200" t="s">
        <v>1142</v>
      </c>
      <c r="L18" s="201" t="s">
        <v>1158</v>
      </c>
      <c r="M18" s="202" t="s">
        <v>1176</v>
      </c>
      <c r="N18" s="200" t="s">
        <v>1191</v>
      </c>
      <c r="O18" s="201" t="s">
        <v>1206</v>
      </c>
      <c r="P18" s="205" t="s">
        <v>1221</v>
      </c>
      <c r="Q18" s="200" t="s">
        <v>1191</v>
      </c>
      <c r="R18" s="201" t="s">
        <v>1206</v>
      </c>
      <c r="S18" s="205" t="s">
        <v>1221</v>
      </c>
      <c r="T18" s="200" t="s">
        <v>1230</v>
      </c>
      <c r="U18" s="201" t="s">
        <v>1238</v>
      </c>
      <c r="V18" s="202" t="s">
        <v>1245</v>
      </c>
      <c r="W18" s="200" t="s">
        <v>1251</v>
      </c>
      <c r="X18" s="201" t="s">
        <v>1257</v>
      </c>
      <c r="Y18" s="205" t="s">
        <v>1263</v>
      </c>
    </row>
    <row r="19" spans="1:25" x14ac:dyDescent="0.35">
      <c r="A19" s="189" t="s">
        <v>106</v>
      </c>
      <c r="B19" s="200" t="s">
        <v>1027</v>
      </c>
      <c r="C19" s="201" t="s">
        <v>1032</v>
      </c>
      <c r="D19" s="202" t="s">
        <v>1040</v>
      </c>
      <c r="E19" s="200" t="s">
        <v>1053</v>
      </c>
      <c r="F19" s="201" t="s">
        <v>1066</v>
      </c>
      <c r="G19" s="205" t="s">
        <v>1080</v>
      </c>
      <c r="H19" s="200" t="s">
        <v>1095</v>
      </c>
      <c r="I19" s="201" t="s">
        <v>1111</v>
      </c>
      <c r="J19" s="202" t="s">
        <v>1127</v>
      </c>
      <c r="K19" s="200" t="s">
        <v>1143</v>
      </c>
      <c r="L19" s="201" t="s">
        <v>1159</v>
      </c>
      <c r="M19" s="202" t="s">
        <v>1177</v>
      </c>
      <c r="N19" s="200" t="s">
        <v>1192</v>
      </c>
      <c r="O19" s="201" t="s">
        <v>393</v>
      </c>
      <c r="P19" s="205" t="s">
        <v>393</v>
      </c>
      <c r="Q19" s="200" t="s">
        <v>1192</v>
      </c>
      <c r="R19" s="201" t="s">
        <v>393</v>
      </c>
      <c r="S19" s="205" t="s">
        <v>393</v>
      </c>
      <c r="T19" s="200" t="s">
        <v>393</v>
      </c>
      <c r="U19" s="201" t="s">
        <v>393</v>
      </c>
      <c r="V19" s="202" t="s">
        <v>393</v>
      </c>
      <c r="W19" s="200" t="s">
        <v>393</v>
      </c>
      <c r="X19" s="201" t="s">
        <v>393</v>
      </c>
      <c r="Y19" s="205" t="s">
        <v>393</v>
      </c>
    </row>
    <row r="20" spans="1:25" x14ac:dyDescent="0.35">
      <c r="A20" s="189" t="s">
        <v>107</v>
      </c>
      <c r="B20" s="200" t="s">
        <v>128</v>
      </c>
      <c r="C20" s="201" t="s">
        <v>138</v>
      </c>
      <c r="D20" s="202" t="s">
        <v>138</v>
      </c>
      <c r="E20" s="200" t="s">
        <v>128</v>
      </c>
      <c r="F20" s="201" t="s">
        <v>1067</v>
      </c>
      <c r="G20" s="205" t="s">
        <v>1081</v>
      </c>
      <c r="H20" s="200" t="s">
        <v>1096</v>
      </c>
      <c r="I20" s="201" t="s">
        <v>1112</v>
      </c>
      <c r="J20" s="202" t="s">
        <v>1128</v>
      </c>
      <c r="K20" s="200" t="s">
        <v>1144</v>
      </c>
      <c r="L20" s="201" t="s">
        <v>1160</v>
      </c>
      <c r="M20" s="202" t="s">
        <v>1178</v>
      </c>
      <c r="N20" s="200" t="s">
        <v>1193</v>
      </c>
      <c r="O20" s="201" t="s">
        <v>1207</v>
      </c>
      <c r="P20" s="205" t="s">
        <v>1222</v>
      </c>
      <c r="Q20" s="200" t="s">
        <v>1193</v>
      </c>
      <c r="R20" s="201" t="s">
        <v>1207</v>
      </c>
      <c r="S20" s="205" t="s">
        <v>1222</v>
      </c>
      <c r="T20" s="200" t="s">
        <v>1231</v>
      </c>
      <c r="U20" s="201" t="s">
        <v>1239</v>
      </c>
      <c r="V20" s="202" t="s">
        <v>1246</v>
      </c>
      <c r="W20" s="200" t="s">
        <v>1252</v>
      </c>
      <c r="X20" s="201" t="s">
        <v>1258</v>
      </c>
      <c r="Y20" s="205" t="s">
        <v>1264</v>
      </c>
    </row>
    <row r="21" spans="1:25" x14ac:dyDescent="0.35">
      <c r="A21" s="189" t="s">
        <v>110</v>
      </c>
      <c r="B21" s="200" t="s">
        <v>1028</v>
      </c>
      <c r="C21" s="201" t="s">
        <v>1033</v>
      </c>
      <c r="D21" s="202" t="s">
        <v>1041</v>
      </c>
      <c r="E21" s="200" t="s">
        <v>1054</v>
      </c>
      <c r="F21" s="207" t="s">
        <v>1068</v>
      </c>
      <c r="G21" s="205" t="s">
        <v>1082</v>
      </c>
      <c r="H21" s="200" t="s">
        <v>1097</v>
      </c>
      <c r="I21" s="207" t="s">
        <v>1113</v>
      </c>
      <c r="J21" s="202" t="s">
        <v>1129</v>
      </c>
      <c r="K21" s="200" t="s">
        <v>1145</v>
      </c>
      <c r="L21" s="201" t="s">
        <v>1161</v>
      </c>
      <c r="M21" s="202" t="s">
        <v>1179</v>
      </c>
      <c r="N21" s="200" t="s">
        <v>1194</v>
      </c>
      <c r="O21" s="207" t="s">
        <v>1208</v>
      </c>
      <c r="P21" s="205" t="s">
        <v>1223</v>
      </c>
      <c r="Q21" s="200" t="s">
        <v>1194</v>
      </c>
      <c r="R21" s="207" t="s">
        <v>1208</v>
      </c>
      <c r="S21" s="205" t="s">
        <v>1223</v>
      </c>
      <c r="T21" s="206" t="s">
        <v>460</v>
      </c>
      <c r="U21" s="192" t="s">
        <v>476</v>
      </c>
      <c r="V21" s="210" t="s">
        <v>493</v>
      </c>
      <c r="W21" s="200" t="s">
        <v>410</v>
      </c>
      <c r="X21" s="201" t="s">
        <v>427</v>
      </c>
      <c r="Y21" s="205" t="s">
        <v>444</v>
      </c>
    </row>
    <row r="22" spans="1:25" ht="54.75" x14ac:dyDescent="0.35">
      <c r="A22" s="189" t="s">
        <v>684</v>
      </c>
      <c r="B22" s="215" t="s">
        <v>67</v>
      </c>
      <c r="C22" s="201" t="s">
        <v>72</v>
      </c>
      <c r="D22" s="205" t="s">
        <v>73</v>
      </c>
      <c r="E22" s="191" t="s">
        <v>74</v>
      </c>
      <c r="F22" s="192" t="s">
        <v>75</v>
      </c>
      <c r="G22" s="193" t="s">
        <v>76</v>
      </c>
      <c r="H22" s="191" t="s">
        <v>77</v>
      </c>
      <c r="I22" s="192" t="s">
        <v>103</v>
      </c>
      <c r="J22" s="193" t="s">
        <v>104</v>
      </c>
      <c r="K22" s="216" t="s">
        <v>105</v>
      </c>
      <c r="L22" s="192" t="s">
        <v>78</v>
      </c>
      <c r="M22" s="193" t="s">
        <v>79</v>
      </c>
      <c r="N22" s="208" t="s">
        <v>80</v>
      </c>
      <c r="O22" s="192" t="s">
        <v>81</v>
      </c>
      <c r="P22" s="193" t="s">
        <v>82</v>
      </c>
      <c r="Q22" s="191" t="s">
        <v>83</v>
      </c>
      <c r="R22" s="192" t="s">
        <v>116</v>
      </c>
      <c r="S22" s="193" t="s">
        <v>117</v>
      </c>
      <c r="T22" s="211" t="s">
        <v>118</v>
      </c>
      <c r="U22" s="192" t="s">
        <v>84</v>
      </c>
      <c r="V22" s="193" t="s">
        <v>85</v>
      </c>
      <c r="W22" s="212" t="s">
        <v>86</v>
      </c>
      <c r="X22" s="192" t="s">
        <v>87</v>
      </c>
      <c r="Y22" s="193" t="s">
        <v>88</v>
      </c>
    </row>
    <row r="23" spans="1:25" x14ac:dyDescent="0.35">
      <c r="A23" s="110" t="s">
        <v>121</v>
      </c>
      <c r="B23" s="194" t="s">
        <v>114</v>
      </c>
      <c r="C23" s="203" t="s">
        <v>114</v>
      </c>
      <c r="D23" s="196" t="s">
        <v>114</v>
      </c>
      <c r="E23" s="194" t="s">
        <v>114</v>
      </c>
      <c r="F23" s="203" t="s">
        <v>114</v>
      </c>
      <c r="G23" s="196" t="s">
        <v>114</v>
      </c>
      <c r="H23" s="194" t="s">
        <v>114</v>
      </c>
      <c r="I23" s="203" t="s">
        <v>114</v>
      </c>
      <c r="J23" s="196" t="s">
        <v>114</v>
      </c>
      <c r="K23" s="213" t="s">
        <v>114</v>
      </c>
      <c r="L23" s="203" t="s">
        <v>114</v>
      </c>
      <c r="M23" s="196" t="s">
        <v>114</v>
      </c>
      <c r="N23" s="194" t="s">
        <v>114</v>
      </c>
      <c r="O23" s="203" t="s">
        <v>114</v>
      </c>
      <c r="P23" s="196" t="s">
        <v>114</v>
      </c>
      <c r="Q23" s="194" t="s">
        <v>114</v>
      </c>
      <c r="R23" s="203" t="s">
        <v>114</v>
      </c>
      <c r="S23" s="196" t="s">
        <v>114</v>
      </c>
      <c r="T23" s="194" t="s">
        <v>114</v>
      </c>
      <c r="U23" s="203" t="s">
        <v>114</v>
      </c>
      <c r="V23" s="196" t="s">
        <v>114</v>
      </c>
      <c r="W23" s="194" t="s">
        <v>114</v>
      </c>
      <c r="X23" s="203" t="s">
        <v>114</v>
      </c>
      <c r="Y23" s="196" t="s">
        <v>114</v>
      </c>
    </row>
    <row r="24" spans="1:25" x14ac:dyDescent="0.35">
      <c r="A24" s="110" t="s">
        <v>125</v>
      </c>
      <c r="B24" s="197" t="s">
        <v>138</v>
      </c>
      <c r="C24" s="198" t="s">
        <v>128</v>
      </c>
      <c r="D24" s="204" t="s">
        <v>138</v>
      </c>
      <c r="E24" s="197" t="s">
        <v>1046</v>
      </c>
      <c r="F24" s="198" t="s">
        <v>1059</v>
      </c>
      <c r="G24" s="199" t="s">
        <v>1073</v>
      </c>
      <c r="H24" s="197" t="s">
        <v>1088</v>
      </c>
      <c r="I24" s="209" t="s">
        <v>1104</v>
      </c>
      <c r="J24" s="204" t="s">
        <v>1120</v>
      </c>
      <c r="K24" s="197" t="s">
        <v>1136</v>
      </c>
      <c r="L24" s="198" t="s">
        <v>1152</v>
      </c>
      <c r="M24" s="199" t="s">
        <v>1170</v>
      </c>
      <c r="N24" s="197" t="s">
        <v>1185</v>
      </c>
      <c r="O24" s="209" t="s">
        <v>1200</v>
      </c>
      <c r="P24" s="204" t="s">
        <v>1215</v>
      </c>
      <c r="Q24" s="197" t="s">
        <v>948</v>
      </c>
      <c r="R24" s="198" t="s">
        <v>1373</v>
      </c>
      <c r="S24" s="199" t="s">
        <v>1389</v>
      </c>
      <c r="T24" s="197" t="s">
        <v>449</v>
      </c>
      <c r="U24" s="198" t="s">
        <v>465</v>
      </c>
      <c r="V24" s="204" t="s">
        <v>482</v>
      </c>
      <c r="W24" s="197" t="s">
        <v>399</v>
      </c>
      <c r="X24" s="209" t="s">
        <v>1423</v>
      </c>
      <c r="Y24" s="199" t="s">
        <v>1439</v>
      </c>
    </row>
    <row r="25" spans="1:25" x14ac:dyDescent="0.35">
      <c r="A25" s="214" t="s">
        <v>1269</v>
      </c>
      <c r="B25" s="200" t="s">
        <v>128</v>
      </c>
      <c r="C25" s="201" t="s">
        <v>1030</v>
      </c>
      <c r="D25" s="205" t="s">
        <v>1035</v>
      </c>
      <c r="E25" s="200" t="s">
        <v>1047</v>
      </c>
      <c r="F25" s="201" t="s">
        <v>1060</v>
      </c>
      <c r="G25" s="202" t="s">
        <v>1074</v>
      </c>
      <c r="H25" s="200" t="s">
        <v>1089</v>
      </c>
      <c r="I25" s="207" t="s">
        <v>1105</v>
      </c>
      <c r="J25" s="205" t="s">
        <v>1121</v>
      </c>
      <c r="K25" s="200" t="s">
        <v>1137</v>
      </c>
      <c r="L25" s="201" t="s">
        <v>1153</v>
      </c>
      <c r="M25" s="202" t="s">
        <v>1171</v>
      </c>
      <c r="N25" s="200" t="s">
        <v>1186</v>
      </c>
      <c r="O25" s="201" t="s">
        <v>1201</v>
      </c>
      <c r="P25" s="205" t="s">
        <v>1216</v>
      </c>
      <c r="Q25" s="200" t="s">
        <v>1358</v>
      </c>
      <c r="R25" s="201" t="s">
        <v>1374</v>
      </c>
      <c r="S25" s="202" t="s">
        <v>1390</v>
      </c>
      <c r="T25" s="200" t="s">
        <v>1229</v>
      </c>
      <c r="U25" s="201" t="s">
        <v>1237</v>
      </c>
      <c r="V25" s="205" t="s">
        <v>1244</v>
      </c>
      <c r="W25" s="206" t="s">
        <v>1408</v>
      </c>
      <c r="X25" s="192" t="s">
        <v>1424</v>
      </c>
      <c r="Y25" s="210" t="s">
        <v>1440</v>
      </c>
    </row>
    <row r="26" spans="1:25" x14ac:dyDescent="0.35">
      <c r="A26" s="214" t="s">
        <v>102</v>
      </c>
      <c r="B26" s="200" t="s">
        <v>128</v>
      </c>
      <c r="C26" s="201" t="s">
        <v>128</v>
      </c>
      <c r="D26" s="205" t="s">
        <v>138</v>
      </c>
      <c r="E26" s="206" t="s">
        <v>1048</v>
      </c>
      <c r="F26" s="192" t="s">
        <v>1061</v>
      </c>
      <c r="G26" s="210" t="s">
        <v>1075</v>
      </c>
      <c r="H26" s="200" t="s">
        <v>1090</v>
      </c>
      <c r="I26" s="207" t="s">
        <v>1106</v>
      </c>
      <c r="J26" s="205" t="s">
        <v>1122</v>
      </c>
      <c r="K26" s="200" t="s">
        <v>1138</v>
      </c>
      <c r="L26" s="201" t="s">
        <v>1154</v>
      </c>
      <c r="M26" s="202" t="s">
        <v>1172</v>
      </c>
      <c r="N26" s="200" t="s">
        <v>1187</v>
      </c>
      <c r="O26" s="201" t="s">
        <v>1202</v>
      </c>
      <c r="P26" s="205" t="s">
        <v>1217</v>
      </c>
      <c r="Q26" s="206" t="s">
        <v>1359</v>
      </c>
      <c r="R26" s="192" t="s">
        <v>1375</v>
      </c>
      <c r="S26" s="210" t="s">
        <v>1391</v>
      </c>
      <c r="T26" s="200" t="s">
        <v>450</v>
      </c>
      <c r="U26" s="201" t="s">
        <v>466</v>
      </c>
      <c r="V26" s="205" t="s">
        <v>483</v>
      </c>
      <c r="W26" s="200" t="s">
        <v>1409</v>
      </c>
      <c r="X26" s="201" t="s">
        <v>1425</v>
      </c>
      <c r="Y26" s="202" t="s">
        <v>1441</v>
      </c>
    </row>
    <row r="27" spans="1:25" x14ac:dyDescent="0.35">
      <c r="A27" s="190"/>
      <c r="B27" s="200" t="s">
        <v>128</v>
      </c>
      <c r="C27" s="201" t="s">
        <v>128</v>
      </c>
      <c r="D27" s="205" t="s">
        <v>1036</v>
      </c>
      <c r="E27" s="200" t="s">
        <v>1049</v>
      </c>
      <c r="F27" s="201" t="s">
        <v>1062</v>
      </c>
      <c r="G27" s="202" t="s">
        <v>1076</v>
      </c>
      <c r="H27" s="200" t="s">
        <v>1091</v>
      </c>
      <c r="I27" s="207" t="s">
        <v>1107</v>
      </c>
      <c r="J27" s="205" t="s">
        <v>1123</v>
      </c>
      <c r="K27" s="200" t="s">
        <v>1139</v>
      </c>
      <c r="L27" s="201" t="s">
        <v>1155</v>
      </c>
      <c r="M27" s="202" t="s">
        <v>1173</v>
      </c>
      <c r="N27" s="200" t="s">
        <v>1188</v>
      </c>
      <c r="O27" s="201" t="s">
        <v>1203</v>
      </c>
      <c r="P27" s="202" t="s">
        <v>1218</v>
      </c>
      <c r="Q27" s="206" t="s">
        <v>1360</v>
      </c>
      <c r="R27" s="192" t="s">
        <v>1376</v>
      </c>
      <c r="S27" s="210" t="s">
        <v>1392</v>
      </c>
      <c r="T27" s="200" t="s">
        <v>451</v>
      </c>
      <c r="U27" s="201" t="s">
        <v>467</v>
      </c>
      <c r="V27" s="205" t="s">
        <v>484</v>
      </c>
      <c r="W27" s="200" t="s">
        <v>1410</v>
      </c>
      <c r="X27" s="201" t="s">
        <v>1426</v>
      </c>
      <c r="Y27" s="202" t="s">
        <v>1442</v>
      </c>
    </row>
    <row r="28" spans="1:25" x14ac:dyDescent="0.35">
      <c r="A28" s="214" t="s">
        <v>122</v>
      </c>
      <c r="B28" s="200" t="s">
        <v>128</v>
      </c>
      <c r="C28" s="201" t="s">
        <v>1031</v>
      </c>
      <c r="D28" s="205" t="s">
        <v>1037</v>
      </c>
      <c r="E28" s="200" t="s">
        <v>1050</v>
      </c>
      <c r="F28" s="201" t="s">
        <v>1063</v>
      </c>
      <c r="G28" s="202" t="s">
        <v>1077</v>
      </c>
      <c r="H28" s="200" t="s">
        <v>1092</v>
      </c>
      <c r="I28" s="207" t="s">
        <v>1108</v>
      </c>
      <c r="J28" s="205" t="s">
        <v>1124</v>
      </c>
      <c r="K28" s="200" t="s">
        <v>1140</v>
      </c>
      <c r="L28" s="201" t="s">
        <v>1156</v>
      </c>
      <c r="M28" s="202" t="s">
        <v>1174</v>
      </c>
      <c r="N28" s="206" t="s">
        <v>1189</v>
      </c>
      <c r="O28" s="192" t="s">
        <v>1204</v>
      </c>
      <c r="P28" s="193" t="s">
        <v>1219</v>
      </c>
      <c r="Q28" s="206" t="s">
        <v>1361</v>
      </c>
      <c r="R28" s="192" t="s">
        <v>1377</v>
      </c>
      <c r="S28" s="210" t="s">
        <v>1393</v>
      </c>
      <c r="T28" s="200" t="s">
        <v>452</v>
      </c>
      <c r="U28" s="201" t="s">
        <v>468</v>
      </c>
      <c r="V28" s="205" t="s">
        <v>485</v>
      </c>
      <c r="W28" s="200" t="s">
        <v>1411</v>
      </c>
      <c r="X28" s="201" t="s">
        <v>1427</v>
      </c>
      <c r="Y28" s="202" t="s">
        <v>1443</v>
      </c>
    </row>
    <row r="29" spans="1:25" x14ac:dyDescent="0.35">
      <c r="A29" s="214" t="s">
        <v>123</v>
      </c>
      <c r="B29" s="200" t="s">
        <v>128</v>
      </c>
      <c r="C29" s="201" t="s">
        <v>128</v>
      </c>
      <c r="D29" s="205" t="s">
        <v>1038</v>
      </c>
      <c r="E29" s="200" t="s">
        <v>1051</v>
      </c>
      <c r="F29" s="201" t="s">
        <v>1064</v>
      </c>
      <c r="G29" s="202" t="s">
        <v>1078</v>
      </c>
      <c r="H29" s="206" t="s">
        <v>1093</v>
      </c>
      <c r="I29" s="192" t="s">
        <v>1109</v>
      </c>
      <c r="J29" s="193" t="s">
        <v>1125</v>
      </c>
      <c r="K29" s="200" t="s">
        <v>1141</v>
      </c>
      <c r="L29" s="201" t="s">
        <v>1157</v>
      </c>
      <c r="M29" s="202" t="s">
        <v>1175</v>
      </c>
      <c r="N29" s="200" t="s">
        <v>1190</v>
      </c>
      <c r="O29" s="201" t="s">
        <v>1205</v>
      </c>
      <c r="P29" s="205" t="s">
        <v>1220</v>
      </c>
      <c r="Q29" s="200" t="s">
        <v>1362</v>
      </c>
      <c r="R29" s="201" t="s">
        <v>1378</v>
      </c>
      <c r="S29" s="202" t="s">
        <v>1394</v>
      </c>
      <c r="T29" s="200" t="s">
        <v>453</v>
      </c>
      <c r="U29" s="201" t="s">
        <v>469</v>
      </c>
      <c r="V29" s="205" t="s">
        <v>486</v>
      </c>
      <c r="W29" s="200" t="s">
        <v>1412</v>
      </c>
      <c r="X29" s="201" t="s">
        <v>1428</v>
      </c>
      <c r="Y29" s="202" t="s">
        <v>1444</v>
      </c>
    </row>
    <row r="30" spans="1:25" x14ac:dyDescent="0.35">
      <c r="A30" s="214" t="s">
        <v>124</v>
      </c>
      <c r="B30" s="200" t="s">
        <v>130</v>
      </c>
      <c r="C30" s="201" t="s">
        <v>130</v>
      </c>
      <c r="D30" s="205" t="s">
        <v>130</v>
      </c>
      <c r="E30" s="200" t="s">
        <v>130</v>
      </c>
      <c r="F30" s="201" t="s">
        <v>130</v>
      </c>
      <c r="G30" s="202" t="s">
        <v>130</v>
      </c>
      <c r="H30" s="200" t="s">
        <v>130</v>
      </c>
      <c r="I30" s="201" t="s">
        <v>130</v>
      </c>
      <c r="J30" s="205" t="s">
        <v>130</v>
      </c>
      <c r="K30" s="200" t="s">
        <v>130</v>
      </c>
      <c r="L30" s="201" t="s">
        <v>130</v>
      </c>
      <c r="M30" s="202" t="s">
        <v>130</v>
      </c>
      <c r="N30" s="200" t="s">
        <v>130</v>
      </c>
      <c r="O30" s="201" t="s">
        <v>130</v>
      </c>
      <c r="P30" s="205" t="s">
        <v>130</v>
      </c>
      <c r="Q30" s="200" t="s">
        <v>811</v>
      </c>
      <c r="R30" s="201" t="s">
        <v>811</v>
      </c>
      <c r="S30" s="202" t="s">
        <v>811</v>
      </c>
      <c r="T30" s="200" t="s">
        <v>130</v>
      </c>
      <c r="U30" s="201" t="s">
        <v>130</v>
      </c>
      <c r="V30" s="205" t="s">
        <v>130</v>
      </c>
      <c r="W30" s="200" t="s">
        <v>811</v>
      </c>
      <c r="X30" s="201" t="s">
        <v>811</v>
      </c>
      <c r="Y30" s="202" t="s">
        <v>811</v>
      </c>
    </row>
    <row r="31" spans="1:25" x14ac:dyDescent="0.35">
      <c r="A31" s="214" t="s">
        <v>2</v>
      </c>
      <c r="B31" s="200" t="s">
        <v>128</v>
      </c>
      <c r="C31" s="201" t="s">
        <v>128</v>
      </c>
      <c r="D31" s="205" t="s">
        <v>1039</v>
      </c>
      <c r="E31" s="200" t="s">
        <v>1052</v>
      </c>
      <c r="F31" s="201" t="s">
        <v>1065</v>
      </c>
      <c r="G31" s="202" t="s">
        <v>1079</v>
      </c>
      <c r="H31" s="206" t="s">
        <v>1094</v>
      </c>
      <c r="I31" s="192" t="s">
        <v>1110</v>
      </c>
      <c r="J31" s="193" t="s">
        <v>1126</v>
      </c>
      <c r="K31" s="200" t="s">
        <v>1142</v>
      </c>
      <c r="L31" s="201" t="s">
        <v>1158</v>
      </c>
      <c r="M31" s="202" t="s">
        <v>1176</v>
      </c>
      <c r="N31" s="200" t="s">
        <v>1191</v>
      </c>
      <c r="O31" s="201" t="s">
        <v>1206</v>
      </c>
      <c r="P31" s="202" t="s">
        <v>1221</v>
      </c>
      <c r="Q31" s="200" t="s">
        <v>1363</v>
      </c>
      <c r="R31" s="201" t="s">
        <v>1379</v>
      </c>
      <c r="S31" s="202" t="s">
        <v>1395</v>
      </c>
      <c r="T31" s="200" t="s">
        <v>1230</v>
      </c>
      <c r="U31" s="201" t="s">
        <v>1238</v>
      </c>
      <c r="V31" s="205" t="s">
        <v>1245</v>
      </c>
      <c r="W31" s="206" t="s">
        <v>1413</v>
      </c>
      <c r="X31" s="192" t="s">
        <v>1429</v>
      </c>
      <c r="Y31" s="210" t="s">
        <v>1445</v>
      </c>
    </row>
    <row r="32" spans="1:25" x14ac:dyDescent="0.35">
      <c r="A32" s="214" t="s">
        <v>1</v>
      </c>
      <c r="B32" s="200" t="s">
        <v>1027</v>
      </c>
      <c r="C32" s="201" t="s">
        <v>1032</v>
      </c>
      <c r="D32" s="205" t="s">
        <v>1040</v>
      </c>
      <c r="E32" s="200" t="s">
        <v>1053</v>
      </c>
      <c r="F32" s="201" t="s">
        <v>1066</v>
      </c>
      <c r="G32" s="202" t="s">
        <v>1080</v>
      </c>
      <c r="H32" s="200" t="s">
        <v>1095</v>
      </c>
      <c r="I32" s="201" t="s">
        <v>1111</v>
      </c>
      <c r="J32" s="205" t="s">
        <v>1127</v>
      </c>
      <c r="K32" s="200" t="s">
        <v>1143</v>
      </c>
      <c r="L32" s="201" t="s">
        <v>1159</v>
      </c>
      <c r="M32" s="202" t="s">
        <v>1177</v>
      </c>
      <c r="N32" s="200" t="s">
        <v>1192</v>
      </c>
      <c r="O32" s="201" t="s">
        <v>393</v>
      </c>
      <c r="P32" s="205" t="s">
        <v>393</v>
      </c>
      <c r="Q32" s="206" t="s">
        <v>813</v>
      </c>
      <c r="R32" s="192" t="s">
        <v>813</v>
      </c>
      <c r="S32" s="210" t="s">
        <v>813</v>
      </c>
      <c r="T32" s="200" t="s">
        <v>393</v>
      </c>
      <c r="U32" s="201" t="s">
        <v>393</v>
      </c>
      <c r="V32" s="205" t="s">
        <v>393</v>
      </c>
      <c r="W32" s="206" t="s">
        <v>813</v>
      </c>
      <c r="X32" s="192" t="s">
        <v>813</v>
      </c>
      <c r="Y32" s="210" t="s">
        <v>813</v>
      </c>
    </row>
    <row r="33" spans="1:25" x14ac:dyDescent="0.35">
      <c r="A33" s="214" t="s">
        <v>119</v>
      </c>
      <c r="B33" s="200" t="s">
        <v>128</v>
      </c>
      <c r="C33" s="201" t="s">
        <v>128</v>
      </c>
      <c r="D33" s="205" t="s">
        <v>138</v>
      </c>
      <c r="E33" s="200" t="s">
        <v>128</v>
      </c>
      <c r="F33" s="201" t="s">
        <v>1067</v>
      </c>
      <c r="G33" s="202" t="s">
        <v>1081</v>
      </c>
      <c r="H33" s="206" t="s">
        <v>1096</v>
      </c>
      <c r="I33" s="192" t="s">
        <v>1112</v>
      </c>
      <c r="J33" s="193" t="s">
        <v>1128</v>
      </c>
      <c r="K33" s="200" t="s">
        <v>1144</v>
      </c>
      <c r="L33" s="201" t="s">
        <v>1160</v>
      </c>
      <c r="M33" s="202" t="s">
        <v>1178</v>
      </c>
      <c r="N33" s="200" t="s">
        <v>1193</v>
      </c>
      <c r="O33" s="201" t="s">
        <v>1207</v>
      </c>
      <c r="P33" s="205" t="s">
        <v>1222</v>
      </c>
      <c r="Q33" s="206" t="s">
        <v>1364</v>
      </c>
      <c r="R33" s="192" t="s">
        <v>1380</v>
      </c>
      <c r="S33" s="210" t="s">
        <v>1396</v>
      </c>
      <c r="T33" s="200" t="s">
        <v>1231</v>
      </c>
      <c r="U33" s="201" t="s">
        <v>1239</v>
      </c>
      <c r="V33" s="205" t="s">
        <v>1246</v>
      </c>
      <c r="W33" s="200" t="s">
        <v>1414</v>
      </c>
      <c r="X33" s="207" t="s">
        <v>1430</v>
      </c>
      <c r="Y33" s="202" t="s">
        <v>1446</v>
      </c>
    </row>
    <row r="34" spans="1:25" x14ac:dyDescent="0.35">
      <c r="A34" s="214" t="s">
        <v>1265</v>
      </c>
      <c r="B34" s="200" t="s">
        <v>1028</v>
      </c>
      <c r="C34" s="201" t="s">
        <v>1033</v>
      </c>
      <c r="D34" s="205" t="s">
        <v>1041</v>
      </c>
      <c r="E34" s="200" t="s">
        <v>1054</v>
      </c>
      <c r="F34" s="207" t="s">
        <v>1068</v>
      </c>
      <c r="G34" s="202" t="s">
        <v>1082</v>
      </c>
      <c r="H34" s="200" t="s">
        <v>1097</v>
      </c>
      <c r="I34" s="207" t="s">
        <v>1113</v>
      </c>
      <c r="J34" s="205" t="s">
        <v>1129</v>
      </c>
      <c r="K34" s="200" t="s">
        <v>1145</v>
      </c>
      <c r="L34" s="201" t="s">
        <v>1161</v>
      </c>
      <c r="M34" s="202" t="s">
        <v>1179</v>
      </c>
      <c r="N34" s="200" t="s">
        <v>1194</v>
      </c>
      <c r="O34" s="207" t="s">
        <v>1208</v>
      </c>
      <c r="P34" s="205" t="s">
        <v>1223</v>
      </c>
      <c r="Q34" s="200" t="s">
        <v>1365</v>
      </c>
      <c r="R34" s="207" t="s">
        <v>1381</v>
      </c>
      <c r="S34" s="202" t="s">
        <v>1397</v>
      </c>
      <c r="T34" s="200" t="s">
        <v>460</v>
      </c>
      <c r="U34" s="201" t="s">
        <v>476</v>
      </c>
      <c r="V34" s="205" t="s">
        <v>493</v>
      </c>
      <c r="W34" s="200" t="s">
        <v>1415</v>
      </c>
      <c r="X34" s="201" t="s">
        <v>1431</v>
      </c>
      <c r="Y34" s="202" t="s">
        <v>1447</v>
      </c>
    </row>
    <row r="35" spans="1:25" x14ac:dyDescent="0.35">
      <c r="A35" s="214" t="s">
        <v>110</v>
      </c>
      <c r="B35" s="200" t="s">
        <v>128</v>
      </c>
      <c r="C35" s="201" t="s">
        <v>1275</v>
      </c>
      <c r="D35" s="205" t="s">
        <v>1280</v>
      </c>
      <c r="E35" s="200" t="s">
        <v>1286</v>
      </c>
      <c r="F35" s="201" t="s">
        <v>1291</v>
      </c>
      <c r="G35" s="202" t="s">
        <v>1297</v>
      </c>
      <c r="H35" s="200" t="s">
        <v>1303</v>
      </c>
      <c r="I35" s="201" t="s">
        <v>1309</v>
      </c>
      <c r="J35" s="205" t="s">
        <v>1316</v>
      </c>
      <c r="K35" s="200" t="s">
        <v>1323</v>
      </c>
      <c r="L35" s="201" t="s">
        <v>1330</v>
      </c>
      <c r="M35" s="202" t="s">
        <v>627</v>
      </c>
      <c r="N35" s="200" t="s">
        <v>627</v>
      </c>
      <c r="O35" s="201" t="s">
        <v>627</v>
      </c>
      <c r="P35" s="205" t="s">
        <v>627</v>
      </c>
      <c r="Q35" s="200" t="s">
        <v>812</v>
      </c>
      <c r="R35" s="201" t="s">
        <v>812</v>
      </c>
      <c r="S35" s="202" t="s">
        <v>812</v>
      </c>
      <c r="T35" s="200" t="s">
        <v>627</v>
      </c>
      <c r="U35" s="201" t="s">
        <v>627</v>
      </c>
      <c r="V35" s="205" t="s">
        <v>627</v>
      </c>
      <c r="W35" s="200" t="s">
        <v>812</v>
      </c>
      <c r="X35" s="201" t="s">
        <v>812</v>
      </c>
      <c r="Y35" s="202" t="s">
        <v>812</v>
      </c>
    </row>
    <row r="36" spans="1:25" x14ac:dyDescent="0.35">
      <c r="A36" s="214" t="s">
        <v>684</v>
      </c>
      <c r="B36" s="200" t="s">
        <v>501</v>
      </c>
      <c r="C36" s="201" t="s">
        <v>521</v>
      </c>
      <c r="D36" s="205" t="s">
        <v>527</v>
      </c>
      <c r="E36" s="206" t="s">
        <v>534</v>
      </c>
      <c r="F36" s="192" t="s">
        <v>542</v>
      </c>
      <c r="G36" s="210" t="s">
        <v>550</v>
      </c>
      <c r="H36" s="200" t="s">
        <v>558</v>
      </c>
      <c r="I36" s="201" t="s">
        <v>1310</v>
      </c>
      <c r="J36" s="205" t="s">
        <v>1317</v>
      </c>
      <c r="K36" s="200" t="s">
        <v>1324</v>
      </c>
      <c r="L36" s="201" t="s">
        <v>566</v>
      </c>
      <c r="M36" s="202" t="s">
        <v>575</v>
      </c>
      <c r="N36" s="206" t="s">
        <v>583</v>
      </c>
      <c r="O36" s="192" t="s">
        <v>592</v>
      </c>
      <c r="P36" s="193" t="s">
        <v>530</v>
      </c>
      <c r="Q36" s="206" t="s">
        <v>1366</v>
      </c>
      <c r="R36" s="192" t="s">
        <v>1382</v>
      </c>
      <c r="S36" s="210" t="s">
        <v>1398</v>
      </c>
      <c r="T36" s="206" t="s">
        <v>636</v>
      </c>
      <c r="U36" s="192" t="s">
        <v>644</v>
      </c>
      <c r="V36" s="193" t="s">
        <v>652</v>
      </c>
      <c r="W36" s="206" t="s">
        <v>1416</v>
      </c>
      <c r="X36" s="192" t="s">
        <v>1432</v>
      </c>
      <c r="Y36" s="210" t="s">
        <v>1448</v>
      </c>
    </row>
    <row r="37" spans="1:25" x14ac:dyDescent="0.35">
      <c r="A37" s="214" t="s">
        <v>1270</v>
      </c>
      <c r="B37" s="200" t="s">
        <v>1271</v>
      </c>
      <c r="C37" s="201" t="s">
        <v>1276</v>
      </c>
      <c r="D37" s="205" t="s">
        <v>1281</v>
      </c>
      <c r="E37" s="200" t="s">
        <v>1287</v>
      </c>
      <c r="F37" s="201" t="s">
        <v>1292</v>
      </c>
      <c r="G37" s="202" t="s">
        <v>1298</v>
      </c>
      <c r="H37" s="200" t="s">
        <v>1304</v>
      </c>
      <c r="I37" s="201" t="s">
        <v>1311</v>
      </c>
      <c r="J37" s="205" t="s">
        <v>1318</v>
      </c>
      <c r="K37" s="200" t="s">
        <v>1325</v>
      </c>
      <c r="L37" s="201" t="s">
        <v>1331</v>
      </c>
      <c r="M37" s="202" t="s">
        <v>1336</v>
      </c>
      <c r="N37" s="200" t="s">
        <v>1340</v>
      </c>
      <c r="O37" s="201" t="s">
        <v>1346</v>
      </c>
      <c r="P37" s="205" t="s">
        <v>1352</v>
      </c>
      <c r="Q37" s="200" t="s">
        <v>1367</v>
      </c>
      <c r="R37" s="201" t="s">
        <v>1383</v>
      </c>
      <c r="S37" s="202" t="s">
        <v>1399</v>
      </c>
      <c r="T37" s="200" t="s">
        <v>637</v>
      </c>
      <c r="U37" s="201" t="s">
        <v>645</v>
      </c>
      <c r="V37" s="205" t="s">
        <v>653</v>
      </c>
      <c r="W37" s="200" t="s">
        <v>1417</v>
      </c>
      <c r="X37" s="201" t="s">
        <v>1433</v>
      </c>
      <c r="Y37" s="202" t="s">
        <v>1449</v>
      </c>
    </row>
    <row r="38" spans="1:25" x14ac:dyDescent="0.35">
      <c r="A38" s="214" t="s">
        <v>494</v>
      </c>
      <c r="B38" s="200" t="s">
        <v>1272</v>
      </c>
      <c r="C38" s="201" t="s">
        <v>1277</v>
      </c>
      <c r="D38" s="205" t="s">
        <v>1282</v>
      </c>
      <c r="E38" s="206" t="s">
        <v>1288</v>
      </c>
      <c r="F38" s="192" t="s">
        <v>1293</v>
      </c>
      <c r="G38" s="210" t="s">
        <v>1299</v>
      </c>
      <c r="H38" s="206" t="s">
        <v>1305</v>
      </c>
      <c r="I38" s="192" t="s">
        <v>1312</v>
      </c>
      <c r="J38" s="193" t="s">
        <v>1319</v>
      </c>
      <c r="K38" s="206" t="s">
        <v>1326</v>
      </c>
      <c r="L38" s="192" t="s">
        <v>1332</v>
      </c>
      <c r="M38" s="210" t="s">
        <v>594</v>
      </c>
      <c r="N38" s="200" t="s">
        <v>1341</v>
      </c>
      <c r="O38" s="201" t="s">
        <v>1347</v>
      </c>
      <c r="P38" s="205" t="s">
        <v>1353</v>
      </c>
      <c r="Q38" s="206" t="s">
        <v>1368</v>
      </c>
      <c r="R38" s="192" t="s">
        <v>1384</v>
      </c>
      <c r="S38" s="210" t="s">
        <v>1400</v>
      </c>
      <c r="T38" s="206" t="s">
        <v>638</v>
      </c>
      <c r="U38" s="192" t="s">
        <v>646</v>
      </c>
      <c r="V38" s="193" t="s">
        <v>654</v>
      </c>
      <c r="W38" s="206" t="s">
        <v>1418</v>
      </c>
      <c r="X38" s="192" t="s">
        <v>1434</v>
      </c>
      <c r="Y38" s="210" t="s">
        <v>1450</v>
      </c>
    </row>
    <row r="39" spans="1:25" x14ac:dyDescent="0.35">
      <c r="A39" s="214" t="s">
        <v>1266</v>
      </c>
      <c r="B39" s="200" t="s">
        <v>504</v>
      </c>
      <c r="C39" s="201" t="s">
        <v>524</v>
      </c>
      <c r="D39" s="205" t="s">
        <v>1283</v>
      </c>
      <c r="E39" s="200" t="s">
        <v>537</v>
      </c>
      <c r="F39" s="201" t="s">
        <v>1294</v>
      </c>
      <c r="G39" s="202" t="s">
        <v>1300</v>
      </c>
      <c r="H39" s="200" t="s">
        <v>1306</v>
      </c>
      <c r="I39" s="201" t="s">
        <v>1313</v>
      </c>
      <c r="J39" s="205" t="s">
        <v>1320</v>
      </c>
      <c r="K39" s="200" t="s">
        <v>1327</v>
      </c>
      <c r="L39" s="201" t="s">
        <v>1333</v>
      </c>
      <c r="M39" s="202" t="s">
        <v>1337</v>
      </c>
      <c r="N39" s="200" t="s">
        <v>1342</v>
      </c>
      <c r="O39" s="201" t="s">
        <v>1348</v>
      </c>
      <c r="P39" s="205" t="s">
        <v>1354</v>
      </c>
      <c r="Q39" s="200" t="s">
        <v>1369</v>
      </c>
      <c r="R39" s="201" t="s">
        <v>1385</v>
      </c>
      <c r="S39" s="202" t="s">
        <v>1401</v>
      </c>
      <c r="T39" s="200" t="s">
        <v>639</v>
      </c>
      <c r="U39" s="201" t="s">
        <v>647</v>
      </c>
      <c r="V39" s="205" t="s">
        <v>655</v>
      </c>
      <c r="W39" s="200" t="s">
        <v>1419</v>
      </c>
      <c r="X39" s="201" t="s">
        <v>1435</v>
      </c>
      <c r="Y39" s="202" t="s">
        <v>1451</v>
      </c>
    </row>
    <row r="40" spans="1:25" x14ac:dyDescent="0.35">
      <c r="A40" s="214" t="s">
        <v>1267</v>
      </c>
      <c r="B40" s="200" t="s">
        <v>130</v>
      </c>
      <c r="C40" s="201" t="s">
        <v>130</v>
      </c>
      <c r="D40" s="205" t="s">
        <v>130</v>
      </c>
      <c r="E40" s="200" t="s">
        <v>130</v>
      </c>
      <c r="F40" s="201" t="s">
        <v>130</v>
      </c>
      <c r="G40" s="202" t="s">
        <v>130</v>
      </c>
      <c r="H40" s="200" t="s">
        <v>130</v>
      </c>
      <c r="I40" s="201" t="s">
        <v>130</v>
      </c>
      <c r="J40" s="205" t="s">
        <v>130</v>
      </c>
      <c r="K40" s="200" t="s">
        <v>570</v>
      </c>
      <c r="L40" s="201" t="s">
        <v>587</v>
      </c>
      <c r="M40" s="202" t="s">
        <v>596</v>
      </c>
      <c r="N40" s="200" t="s">
        <v>1343</v>
      </c>
      <c r="O40" s="201" t="s">
        <v>1349</v>
      </c>
      <c r="P40" s="205" t="s">
        <v>1355</v>
      </c>
      <c r="Q40" s="200" t="s">
        <v>1370</v>
      </c>
      <c r="R40" s="201" t="s">
        <v>1386</v>
      </c>
      <c r="S40" s="202" t="s">
        <v>1402</v>
      </c>
      <c r="T40" s="200" t="s">
        <v>640</v>
      </c>
      <c r="U40" s="201" t="s">
        <v>648</v>
      </c>
      <c r="V40" s="205" t="s">
        <v>656</v>
      </c>
      <c r="W40" s="200" t="s">
        <v>1420</v>
      </c>
      <c r="X40" s="201" t="s">
        <v>1436</v>
      </c>
      <c r="Y40" s="202" t="s">
        <v>1452</v>
      </c>
    </row>
    <row r="41" spans="1:25" x14ac:dyDescent="0.35">
      <c r="A41" s="214" t="s">
        <v>109</v>
      </c>
      <c r="B41" s="200" t="s">
        <v>1273</v>
      </c>
      <c r="C41" s="201" t="s">
        <v>1278</v>
      </c>
      <c r="D41" s="205" t="s">
        <v>1284</v>
      </c>
      <c r="E41" s="200" t="s">
        <v>1289</v>
      </c>
      <c r="F41" s="201" t="s">
        <v>1295</v>
      </c>
      <c r="G41" s="202" t="s">
        <v>1301</v>
      </c>
      <c r="H41" s="200" t="s">
        <v>1307</v>
      </c>
      <c r="I41" s="201" t="s">
        <v>1314</v>
      </c>
      <c r="J41" s="205" t="s">
        <v>1321</v>
      </c>
      <c r="K41" s="200" t="s">
        <v>1328</v>
      </c>
      <c r="L41" s="201" t="s">
        <v>1334</v>
      </c>
      <c r="M41" s="202" t="s">
        <v>1338</v>
      </c>
      <c r="N41" s="200" t="s">
        <v>1344</v>
      </c>
      <c r="O41" s="201" t="s">
        <v>1350</v>
      </c>
      <c r="P41" s="205" t="s">
        <v>1356</v>
      </c>
      <c r="Q41" s="200" t="s">
        <v>1371</v>
      </c>
      <c r="R41" s="201" t="s">
        <v>1387</v>
      </c>
      <c r="S41" s="202" t="s">
        <v>1403</v>
      </c>
      <c r="T41" s="200" t="s">
        <v>642</v>
      </c>
      <c r="U41" s="201" t="s">
        <v>650</v>
      </c>
      <c r="V41" s="205" t="s">
        <v>658</v>
      </c>
      <c r="W41" s="200" t="s">
        <v>1421</v>
      </c>
      <c r="X41" s="201" t="s">
        <v>1437</v>
      </c>
      <c r="Y41" s="202" t="s">
        <v>1453</v>
      </c>
    </row>
    <row r="42" spans="1:25" x14ac:dyDescent="0.35">
      <c r="A42" s="214" t="s">
        <v>50</v>
      </c>
      <c r="B42" s="200" t="s">
        <v>1274</v>
      </c>
      <c r="C42" s="201" t="s">
        <v>1279</v>
      </c>
      <c r="D42" s="205" t="s">
        <v>1285</v>
      </c>
      <c r="E42" s="200" t="s">
        <v>1290</v>
      </c>
      <c r="F42" s="201" t="s">
        <v>1296</v>
      </c>
      <c r="G42" s="202" t="s">
        <v>1302</v>
      </c>
      <c r="H42" s="200" t="s">
        <v>1308</v>
      </c>
      <c r="I42" s="201" t="s">
        <v>1315</v>
      </c>
      <c r="J42" s="205" t="s">
        <v>1322</v>
      </c>
      <c r="K42" s="200" t="s">
        <v>1329</v>
      </c>
      <c r="L42" s="201" t="s">
        <v>1335</v>
      </c>
      <c r="M42" s="202" t="s">
        <v>1339</v>
      </c>
      <c r="N42" s="200" t="s">
        <v>1345</v>
      </c>
      <c r="O42" s="201" t="s">
        <v>1351</v>
      </c>
      <c r="P42" s="205" t="s">
        <v>1357</v>
      </c>
      <c r="Q42" s="200" t="s">
        <v>1372</v>
      </c>
      <c r="R42" s="201" t="s">
        <v>1388</v>
      </c>
      <c r="S42" s="202" t="s">
        <v>1404</v>
      </c>
      <c r="T42" s="200" t="s">
        <v>1405</v>
      </c>
      <c r="U42" s="201" t="s">
        <v>1406</v>
      </c>
      <c r="V42" s="205" t="s">
        <v>1407</v>
      </c>
      <c r="W42" s="200" t="s">
        <v>1422</v>
      </c>
      <c r="X42" s="201" t="s">
        <v>1438</v>
      </c>
      <c r="Y42" s="202" t="s">
        <v>1454</v>
      </c>
    </row>
    <row r="43" spans="1:25" x14ac:dyDescent="0.35">
      <c r="A43" s="190"/>
    </row>
    <row r="44" spans="1:25" x14ac:dyDescent="0.35">
      <c r="A44" s="214" t="s">
        <v>51</v>
      </c>
    </row>
    <row r="45" spans="1:25" x14ac:dyDescent="0.35">
      <c r="A45" s="214" t="s">
        <v>1268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FFFF00"/>
  </sheetPr>
  <dimension ref="A1:BU195"/>
  <sheetViews>
    <sheetView zoomScale="85" zoomScaleNormal="85" workbookViewId="0">
      <pane ySplit="1" topLeftCell="A102" activePane="bottomLeft" state="frozen"/>
      <selection pane="bottomLeft" activeCell="CA170" sqref="CA170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1">
        <v>300</v>
      </c>
      <c r="C1" s="56">
        <v>1000</v>
      </c>
      <c r="D1" s="57" t="s">
        <v>17</v>
      </c>
      <c r="E1" s="58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0</v>
      </c>
      <c r="C2" s="4">
        <f>IFERROR(FLUID!G45,0)</f>
        <v>0</v>
      </c>
      <c r="D2" s="4">
        <f>IFERROR(FLUID!H45,0)</f>
        <v>0</v>
      </c>
      <c r="E2" s="4">
        <f>IFERROR(FLUID!I45,0)</f>
        <v>0</v>
      </c>
      <c r="F2" s="4">
        <f>IFERROR(FLUID!J45,0)</f>
        <v>0</v>
      </c>
      <c r="G2" s="4">
        <f>IFERROR(FLUID!K45,0)</f>
        <v>0</v>
      </c>
      <c r="H2" s="4">
        <f>IFERROR(FLUID!L45,0)</f>
        <v>0</v>
      </c>
      <c r="I2" s="4">
        <f>IFERROR(FLUID!M45,0)</f>
        <v>0</v>
      </c>
      <c r="J2" s="4">
        <f>IFERROR(FLUID!N45,0)</f>
        <v>0</v>
      </c>
      <c r="K2" s="4">
        <f>IFERROR(FLUID!O45,0)</f>
        <v>0</v>
      </c>
      <c r="L2" s="4">
        <f>IFERROR(FLUID!P45,0)</f>
        <v>0</v>
      </c>
      <c r="M2" s="4">
        <f>IFERROR(FLUID!Q45,0)</f>
        <v>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3">
        <f>IFERROR(FLUID!E46,0)</f>
        <v>0</v>
      </c>
      <c r="B3" s="16">
        <f ca="1">IFERROR(FLUID!F46,0)</f>
        <v>0</v>
      </c>
      <c r="C3" s="16">
        <f ca="1">IFERROR(FLUID!G46,0)</f>
        <v>0</v>
      </c>
      <c r="D3" s="16">
        <f ca="1">IFERROR(FLUID!H46,0)</f>
        <v>0</v>
      </c>
      <c r="E3" s="16">
        <f ca="1">IFERROR(FLUID!I46,0)</f>
        <v>0</v>
      </c>
      <c r="F3" s="16">
        <f ca="1">IFERROR(FLUID!J46,0)</f>
        <v>0</v>
      </c>
      <c r="G3" s="16">
        <f ca="1">IFERROR(FLUID!K46,0)</f>
        <v>0</v>
      </c>
      <c r="H3" s="16">
        <f ca="1">IFERROR(FLUID!L46,0)</f>
        <v>0</v>
      </c>
      <c r="I3" s="16">
        <f ca="1">IFERROR(FLUID!M46,0)</f>
        <v>0</v>
      </c>
      <c r="J3" s="16">
        <f ca="1">IFERROR(FLUID!N46,0)</f>
        <v>0</v>
      </c>
      <c r="K3" s="16">
        <f ca="1">IFERROR(FLUID!O46,0)</f>
        <v>0</v>
      </c>
      <c r="L3" s="16">
        <f ca="1">IFERROR(FLUID!P46,0)</f>
        <v>0</v>
      </c>
      <c r="M3" s="16">
        <f ca="1">IFERROR(FLUID!Q46,0)</f>
        <v>0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3">
        <f>IFERROR(FLUID!E47,0)</f>
        <v>0</v>
      </c>
      <c r="B4" s="16">
        <f ca="1">IFERROR(FLUID!F47,0)</f>
        <v>0</v>
      </c>
      <c r="C4" s="16">
        <f ca="1">IFERROR(FLUID!G47,0)</f>
        <v>0</v>
      </c>
      <c r="D4" s="16">
        <f ca="1">IFERROR(FLUID!H47,0)</f>
        <v>0</v>
      </c>
      <c r="E4" s="16">
        <f ca="1">IFERROR(FLUID!I47,0)</f>
        <v>0</v>
      </c>
      <c r="F4" s="16">
        <f ca="1">IFERROR(FLUID!J47,0)</f>
        <v>0</v>
      </c>
      <c r="G4" s="16">
        <f ca="1">IFERROR(FLUID!K47,0)</f>
        <v>0</v>
      </c>
      <c r="H4" s="16">
        <f ca="1">IFERROR(FLUID!L47,0)</f>
        <v>0</v>
      </c>
      <c r="I4" s="16">
        <f ca="1">IFERROR(FLUID!M47,0)</f>
        <v>0</v>
      </c>
      <c r="J4" s="16">
        <f ca="1">IFERROR(FLUID!N47,0)</f>
        <v>0</v>
      </c>
      <c r="K4" s="16">
        <f ca="1">IFERROR(FLUID!O47,0)</f>
        <v>0</v>
      </c>
      <c r="L4" s="16">
        <f ca="1">IFERROR(FLUID!P47,0)</f>
        <v>0</v>
      </c>
      <c r="M4" s="16">
        <f ca="1">IFERROR(FLUID!Q47,0)</f>
        <v>0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3">
        <f>IFERROR(FLUID!E48,0)</f>
        <v>0</v>
      </c>
      <c r="B5" s="16">
        <f ca="1">IFERROR(FLUID!F48,0)</f>
        <v>0</v>
      </c>
      <c r="C5" s="16">
        <f ca="1">IFERROR(FLUID!G48,0)</f>
        <v>0</v>
      </c>
      <c r="D5" s="16">
        <f ca="1">IFERROR(FLUID!H48,0)</f>
        <v>0</v>
      </c>
      <c r="E5" s="16">
        <f ca="1">IFERROR(FLUID!I48,0)</f>
        <v>0</v>
      </c>
      <c r="F5" s="16">
        <f ca="1">IFERROR(FLUID!J48,0)</f>
        <v>0</v>
      </c>
      <c r="G5" s="16">
        <f ca="1">IFERROR(FLUID!K48,0)</f>
        <v>0</v>
      </c>
      <c r="H5" s="16">
        <f ca="1">IFERROR(FLUID!L48,0)</f>
        <v>0</v>
      </c>
      <c r="I5" s="16">
        <f ca="1">IFERROR(FLUID!M48,0)</f>
        <v>0</v>
      </c>
      <c r="J5" s="16">
        <f ca="1">IFERROR(FLUID!N48,0)</f>
        <v>0</v>
      </c>
      <c r="K5" s="16">
        <f ca="1">IFERROR(FLUID!O48,0)</f>
        <v>0</v>
      </c>
      <c r="L5" s="16">
        <f ca="1">IFERROR(FLUID!P48,0)</f>
        <v>0</v>
      </c>
      <c r="M5" s="16">
        <f ca="1">IFERROR(FLUID!Q48,0)</f>
        <v>0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3">
        <f>IFERROR(FLUID!E49,0)</f>
        <v>0</v>
      </c>
      <c r="B6" s="16">
        <f ca="1">IFERROR(FLUID!F49,0)</f>
        <v>0</v>
      </c>
      <c r="C6" s="16">
        <f ca="1">IFERROR(FLUID!G49,0)</f>
        <v>0</v>
      </c>
      <c r="D6" s="16">
        <f ca="1">IFERROR(FLUID!H49,0)</f>
        <v>0</v>
      </c>
      <c r="E6" s="16">
        <f ca="1">IFERROR(FLUID!I49,0)</f>
        <v>0</v>
      </c>
      <c r="F6" s="16">
        <f ca="1">IFERROR(FLUID!J49,0)</f>
        <v>0</v>
      </c>
      <c r="G6" s="16">
        <f ca="1">IFERROR(FLUID!K49,0)</f>
        <v>0</v>
      </c>
      <c r="H6" s="16">
        <f ca="1">IFERROR(FLUID!L49,0)</f>
        <v>0</v>
      </c>
      <c r="I6" s="16">
        <f ca="1">IFERROR(FLUID!M49,0)</f>
        <v>0</v>
      </c>
      <c r="J6" s="16">
        <f ca="1">IFERROR(FLUID!N49,0)</f>
        <v>0</v>
      </c>
      <c r="K6" s="16">
        <f ca="1">IFERROR(FLUID!O49,0)</f>
        <v>0</v>
      </c>
      <c r="L6" s="16">
        <f ca="1">IFERROR(FLUID!P49,0)</f>
        <v>0</v>
      </c>
      <c r="M6" s="16">
        <f ca="1">IFERROR(FLUID!Q49,0)</f>
        <v>0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3">
        <f>IFERROR(FLUID!E50,0)</f>
        <v>0</v>
      </c>
      <c r="B7" s="16">
        <f ca="1">IFERROR(FLUID!F50,0)</f>
        <v>0</v>
      </c>
      <c r="C7" s="16">
        <f ca="1">IFERROR(FLUID!G50,0)</f>
        <v>0</v>
      </c>
      <c r="D7" s="16">
        <f ca="1">IFERROR(FLUID!H50,0)</f>
        <v>0</v>
      </c>
      <c r="E7" s="16">
        <f ca="1">IFERROR(FLUID!I50,0)</f>
        <v>0</v>
      </c>
      <c r="F7" s="16">
        <f ca="1">IFERROR(FLUID!J50,0)</f>
        <v>0</v>
      </c>
      <c r="G7" s="16">
        <f ca="1">IFERROR(FLUID!K50,0)</f>
        <v>0</v>
      </c>
      <c r="H7" s="16">
        <f ca="1">IFERROR(FLUID!L50,0)</f>
        <v>0</v>
      </c>
      <c r="I7" s="16">
        <f ca="1">IFERROR(FLUID!M50,0)</f>
        <v>0</v>
      </c>
      <c r="J7" s="16">
        <f ca="1">IFERROR(FLUID!N50,0)</f>
        <v>0</v>
      </c>
      <c r="K7" s="16">
        <f ca="1">IFERROR(FLUID!O50,0)</f>
        <v>0</v>
      </c>
      <c r="L7" s="16">
        <f ca="1">IFERROR(FLUID!P50,0)</f>
        <v>0</v>
      </c>
      <c r="M7" s="16">
        <f ca="1">IFERROR(FLUID!Q50,0)</f>
        <v>0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3">
        <f>IFERROR(FLUID!E51,0)</f>
        <v>0</v>
      </c>
      <c r="B8" s="16">
        <f ca="1">IFERROR(FLUID!F51,0)</f>
        <v>0</v>
      </c>
      <c r="C8" s="16">
        <f ca="1">IFERROR(FLUID!G51,0)</f>
        <v>0</v>
      </c>
      <c r="D8" s="16">
        <f ca="1">IFERROR(FLUID!H51,0)</f>
        <v>0</v>
      </c>
      <c r="E8" s="16">
        <f ca="1">IFERROR(FLUID!I51,0)</f>
        <v>0</v>
      </c>
      <c r="F8" s="16">
        <f ca="1">IFERROR(FLUID!J51,0)</f>
        <v>0</v>
      </c>
      <c r="G8" s="16">
        <f ca="1">IFERROR(FLUID!K51,0)</f>
        <v>0</v>
      </c>
      <c r="H8" s="16">
        <f ca="1">IFERROR(FLUID!L51,0)</f>
        <v>0</v>
      </c>
      <c r="I8" s="16">
        <f ca="1">IFERROR(FLUID!M51,0)</f>
        <v>0</v>
      </c>
      <c r="J8" s="16">
        <f ca="1">IFERROR(FLUID!N51,0)</f>
        <v>0</v>
      </c>
      <c r="K8" s="16">
        <f ca="1">IFERROR(FLUID!O51,0)</f>
        <v>0</v>
      </c>
      <c r="L8" s="16">
        <f ca="1">IFERROR(FLUID!P51,0)</f>
        <v>0</v>
      </c>
      <c r="M8" s="16">
        <f ca="1">IFERROR(FLUID!Q51,0)</f>
        <v>0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3">
        <f>IFERROR(FLUID!E52,0)</f>
        <v>0</v>
      </c>
      <c r="B9" s="16">
        <f ca="1">IFERROR(FLUID!F52,0)</f>
        <v>0</v>
      </c>
      <c r="C9" s="16">
        <f ca="1">IFERROR(FLUID!G52,0)</f>
        <v>0</v>
      </c>
      <c r="D9" s="16">
        <f ca="1">IFERROR(FLUID!H52,0)</f>
        <v>0</v>
      </c>
      <c r="E9" s="16">
        <f ca="1">IFERROR(FLUID!I52,0)</f>
        <v>0</v>
      </c>
      <c r="F9" s="16">
        <f ca="1">IFERROR(FLUID!J52,0)</f>
        <v>0</v>
      </c>
      <c r="G9" s="16">
        <f ca="1">IFERROR(FLUID!K52,0)</f>
        <v>0</v>
      </c>
      <c r="H9" s="16">
        <f ca="1">IFERROR(FLUID!L52,0)</f>
        <v>0</v>
      </c>
      <c r="I9" s="16">
        <f ca="1">IFERROR(FLUID!M52,0)</f>
        <v>0</v>
      </c>
      <c r="J9" s="16">
        <f ca="1">IFERROR(FLUID!N52,0)</f>
        <v>0</v>
      </c>
      <c r="K9" s="16">
        <f ca="1">IFERROR(FLUID!O52,0)</f>
        <v>0</v>
      </c>
      <c r="L9" s="16">
        <f ca="1">IFERROR(FLUID!P52,0)</f>
        <v>0</v>
      </c>
      <c r="M9" s="16">
        <f ca="1">IFERROR(FLUID!Q52,0)</f>
        <v>0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3">
        <f>IFERROR(FLUID!E53,0)</f>
        <v>0</v>
      </c>
      <c r="B10" s="16">
        <f ca="1">IFERROR(FLUID!F53,0)</f>
        <v>0</v>
      </c>
      <c r="C10" s="16">
        <f ca="1">IFERROR(FLUID!G53,0)</f>
        <v>0</v>
      </c>
      <c r="D10" s="16">
        <f ca="1">IFERROR(FLUID!H53,0)</f>
        <v>0</v>
      </c>
      <c r="E10" s="16">
        <f ca="1">IFERROR(FLUID!I53,0)</f>
        <v>0</v>
      </c>
      <c r="F10" s="16">
        <f ca="1">IFERROR(FLUID!J53,0)</f>
        <v>0</v>
      </c>
      <c r="G10" s="16">
        <f ca="1">IFERROR(FLUID!K53,0)</f>
        <v>0</v>
      </c>
      <c r="H10" s="16">
        <f ca="1">IFERROR(FLUID!L53,0)</f>
        <v>0</v>
      </c>
      <c r="I10" s="16">
        <f ca="1">IFERROR(FLUID!M53,0)</f>
        <v>0</v>
      </c>
      <c r="J10" s="16">
        <f ca="1">IFERROR(FLUID!N53,0)</f>
        <v>0</v>
      </c>
      <c r="K10" s="16">
        <f ca="1">IFERROR(FLUID!O53,0)</f>
        <v>0</v>
      </c>
      <c r="L10" s="16">
        <f ca="1">IFERROR(FLUID!P53,0)</f>
        <v>0</v>
      </c>
      <c r="M10" s="16">
        <f ca="1">IFERROR(FLUID!Q53,0)</f>
        <v>0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3">
        <f>IFERROR(FLUID!E54,0)</f>
        <v>0</v>
      </c>
      <c r="B11" s="16">
        <f ca="1">IFERROR(FLUID!F54,0)</f>
        <v>0</v>
      </c>
      <c r="C11" s="16">
        <f ca="1">IFERROR(FLUID!G54,0)</f>
        <v>0</v>
      </c>
      <c r="D11" s="16">
        <f ca="1">IFERROR(FLUID!H54,0)</f>
        <v>0</v>
      </c>
      <c r="E11" s="16">
        <f ca="1">IFERROR(FLUID!I54,0)</f>
        <v>0</v>
      </c>
      <c r="F11" s="16">
        <f ca="1">IFERROR(FLUID!J54,0)</f>
        <v>0</v>
      </c>
      <c r="G11" s="16">
        <f ca="1">IFERROR(FLUID!K54,0)</f>
        <v>0</v>
      </c>
      <c r="H11" s="16">
        <f ca="1">IFERROR(FLUID!L54,0)</f>
        <v>0</v>
      </c>
      <c r="I11" s="16">
        <f ca="1">IFERROR(FLUID!M54,0)</f>
        <v>0</v>
      </c>
      <c r="J11" s="16">
        <f ca="1">IFERROR(FLUID!N54,0)</f>
        <v>0</v>
      </c>
      <c r="K11" s="16">
        <f ca="1">IFERROR(FLUID!O54,0)</f>
        <v>0</v>
      </c>
      <c r="L11" s="16">
        <f ca="1">IFERROR(FLUID!P54,0)</f>
        <v>0</v>
      </c>
      <c r="M11" s="16">
        <f ca="1">IFERROR(FLUID!Q54,0)</f>
        <v>0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3">
        <f>IFERROR(FLUID!E55,0)</f>
        <v>0</v>
      </c>
      <c r="B12" s="16">
        <f ca="1">IFERROR(FLUID!F55,0)</f>
        <v>0</v>
      </c>
      <c r="C12" s="16">
        <f ca="1">IFERROR(FLUID!G55,0)</f>
        <v>0</v>
      </c>
      <c r="D12" s="16">
        <f ca="1">IFERROR(FLUID!H55,0)</f>
        <v>0</v>
      </c>
      <c r="E12" s="16">
        <f ca="1">IFERROR(FLUID!I55,0)</f>
        <v>0</v>
      </c>
      <c r="F12" s="16">
        <f ca="1">IFERROR(FLUID!J55,0)</f>
        <v>0</v>
      </c>
      <c r="G12" s="16">
        <f ca="1">IFERROR(FLUID!K55,0)</f>
        <v>0</v>
      </c>
      <c r="H12" s="16">
        <f ca="1">IFERROR(FLUID!L55,0)</f>
        <v>0</v>
      </c>
      <c r="I12" s="16">
        <f ca="1">IFERROR(FLUID!M55,0)</f>
        <v>0</v>
      </c>
      <c r="J12" s="16">
        <f ca="1">IFERROR(FLUID!N55,0)</f>
        <v>0</v>
      </c>
      <c r="K12" s="16">
        <f ca="1">IFERROR(FLUID!O55,0)</f>
        <v>0</v>
      </c>
      <c r="L12" s="16">
        <f ca="1">IFERROR(FLUID!P55,0)</f>
        <v>0</v>
      </c>
      <c r="M12" s="16">
        <f ca="1">IFERROR(FLUID!Q55,0)</f>
        <v>0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3">
        <f>IFERROR(FLUID!E56,0)</f>
        <v>0</v>
      </c>
      <c r="B13" s="16">
        <f ca="1">IFERROR(FLUID!F56,0)</f>
        <v>0</v>
      </c>
      <c r="C13" s="16">
        <f ca="1">IFERROR(FLUID!G56,0)</f>
        <v>0</v>
      </c>
      <c r="D13" s="16">
        <f ca="1">IFERROR(FLUID!H56,0)</f>
        <v>0</v>
      </c>
      <c r="E13" s="16">
        <f ca="1">IFERROR(FLUID!I56,0)</f>
        <v>0</v>
      </c>
      <c r="F13" s="16">
        <f ca="1">IFERROR(FLUID!J56,0)</f>
        <v>0</v>
      </c>
      <c r="G13" s="16">
        <f ca="1">IFERROR(FLUID!K56,0)</f>
        <v>0</v>
      </c>
      <c r="H13" s="16">
        <f ca="1">IFERROR(FLUID!L56,0)</f>
        <v>0</v>
      </c>
      <c r="I13" s="16">
        <f ca="1">IFERROR(FLUID!M56,0)</f>
        <v>0</v>
      </c>
      <c r="J13" s="16">
        <f ca="1">IFERROR(FLUID!N56,0)</f>
        <v>0</v>
      </c>
      <c r="K13" s="16">
        <f ca="1">IFERROR(FLUID!O56,0)</f>
        <v>0</v>
      </c>
      <c r="L13" s="16">
        <f ca="1">IFERROR(FLUID!P56,0)</f>
        <v>0</v>
      </c>
      <c r="M13" s="16">
        <f ca="1">IFERROR(FLUID!Q56,0)</f>
        <v>0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3">
        <f>IFERROR(FLUID!E57,0)</f>
        <v>0</v>
      </c>
      <c r="B14" s="16">
        <f ca="1">IFERROR(FLUID!F57,0)</f>
        <v>0</v>
      </c>
      <c r="C14" s="16">
        <f ca="1">IFERROR(FLUID!G57,0)</f>
        <v>0</v>
      </c>
      <c r="D14" s="16">
        <f ca="1">IFERROR(FLUID!H57,0)</f>
        <v>0</v>
      </c>
      <c r="E14" s="16">
        <f ca="1">IFERROR(FLUID!I57,0)</f>
        <v>0</v>
      </c>
      <c r="F14" s="16">
        <f ca="1">IFERROR(FLUID!J57,0)</f>
        <v>0</v>
      </c>
      <c r="G14" s="16">
        <f ca="1">IFERROR(FLUID!K57,0)</f>
        <v>0</v>
      </c>
      <c r="H14" s="16">
        <f ca="1">IFERROR(FLUID!L57,0)</f>
        <v>0</v>
      </c>
      <c r="I14" s="16">
        <f ca="1">IFERROR(FLUID!M57,0)</f>
        <v>0</v>
      </c>
      <c r="J14" s="16">
        <f ca="1">IFERROR(FLUID!N57,0)</f>
        <v>0</v>
      </c>
      <c r="K14" s="16">
        <f ca="1">IFERROR(FLUID!O57,0)</f>
        <v>0</v>
      </c>
      <c r="L14" s="16">
        <f ca="1">IFERROR(FLUID!P57,0)</f>
        <v>0</v>
      </c>
      <c r="M14" s="16">
        <f ca="1">IFERROR(FLUID!Q57,0)</f>
        <v>0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3">
        <f>IFERROR(FLUID!E58,0)</f>
        <v>0</v>
      </c>
      <c r="B15" s="16">
        <f ca="1">IFERROR(FLUID!F58,0)</f>
        <v>0</v>
      </c>
      <c r="C15" s="16">
        <f ca="1">IFERROR(FLUID!G58,0)</f>
        <v>0</v>
      </c>
      <c r="D15" s="16">
        <f ca="1">IFERROR(FLUID!H58,0)</f>
        <v>0</v>
      </c>
      <c r="E15" s="16">
        <f ca="1">IFERROR(FLUID!I58,0)</f>
        <v>0</v>
      </c>
      <c r="F15" s="16">
        <f ca="1">IFERROR(FLUID!J58,0)</f>
        <v>0</v>
      </c>
      <c r="G15" s="16">
        <f ca="1">IFERROR(FLUID!K58,0)</f>
        <v>0</v>
      </c>
      <c r="H15" s="16">
        <f ca="1">IFERROR(FLUID!L58,0)</f>
        <v>0</v>
      </c>
      <c r="I15" s="16">
        <f ca="1">IFERROR(FLUID!M58,0)</f>
        <v>0</v>
      </c>
      <c r="J15" s="16">
        <f ca="1">IFERROR(FLUID!N58,0)</f>
        <v>0</v>
      </c>
      <c r="K15" s="16">
        <f ca="1">IFERROR(FLUID!O58,0)</f>
        <v>0</v>
      </c>
      <c r="L15" s="16">
        <f ca="1">IFERROR(FLUID!P58,0)</f>
        <v>0</v>
      </c>
      <c r="M15" s="16">
        <f ca="1">IFERROR(FLUID!Q58,0)</f>
        <v>0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3">
        <f>IFERROR(FLUID!E59,0)</f>
        <v>0</v>
      </c>
      <c r="B16" s="16">
        <f ca="1">IFERROR(FLUID!F59,0)</f>
        <v>0</v>
      </c>
      <c r="C16" s="16">
        <f ca="1">IFERROR(FLUID!G59,0)</f>
        <v>0</v>
      </c>
      <c r="D16" s="16">
        <f ca="1">IFERROR(FLUID!H59,0)</f>
        <v>0</v>
      </c>
      <c r="E16" s="16">
        <f ca="1">IFERROR(FLUID!I59,0)</f>
        <v>0</v>
      </c>
      <c r="F16" s="16">
        <f ca="1">IFERROR(FLUID!J59,0)</f>
        <v>0</v>
      </c>
      <c r="G16" s="16">
        <f ca="1">IFERROR(FLUID!K59,0)</f>
        <v>0</v>
      </c>
      <c r="H16" s="16">
        <f ca="1">IFERROR(FLUID!L59,0)</f>
        <v>0</v>
      </c>
      <c r="I16" s="16">
        <f ca="1">IFERROR(FLUID!M59,0)</f>
        <v>0</v>
      </c>
      <c r="J16" s="16">
        <f ca="1">IFERROR(FLUID!N59,0)</f>
        <v>0</v>
      </c>
      <c r="K16" s="16">
        <f ca="1">IFERROR(FLUID!O59,0)</f>
        <v>0</v>
      </c>
      <c r="L16" s="16">
        <f ca="1">IFERROR(FLUID!P59,0)</f>
        <v>0</v>
      </c>
      <c r="M16" s="16">
        <f ca="1">IFERROR(FLUID!Q59,0)</f>
        <v>0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3">
        <f>IFERROR(FLUID!E60,0)</f>
        <v>0</v>
      </c>
      <c r="B17" s="16">
        <f ca="1">IFERROR(FLUID!F60,0)</f>
        <v>0</v>
      </c>
      <c r="C17" s="16">
        <f ca="1">IFERROR(FLUID!G60,0)</f>
        <v>0</v>
      </c>
      <c r="D17" s="16">
        <f ca="1">IFERROR(FLUID!H60,0)</f>
        <v>0</v>
      </c>
      <c r="E17" s="16">
        <f ca="1">IFERROR(FLUID!I60,0)</f>
        <v>0</v>
      </c>
      <c r="F17" s="16">
        <f ca="1">IFERROR(FLUID!J60,0)</f>
        <v>0</v>
      </c>
      <c r="G17" s="16">
        <f ca="1">IFERROR(FLUID!K60,0)</f>
        <v>0</v>
      </c>
      <c r="H17" s="16">
        <f ca="1">IFERROR(FLUID!L60,0)</f>
        <v>0</v>
      </c>
      <c r="I17" s="16">
        <f ca="1">IFERROR(FLUID!M60,0)</f>
        <v>0</v>
      </c>
      <c r="J17" s="16">
        <f ca="1">IFERROR(FLUID!N60,0)</f>
        <v>0</v>
      </c>
      <c r="K17" s="16">
        <f ca="1">IFERROR(FLUID!O60,0)</f>
        <v>0</v>
      </c>
      <c r="L17" s="16">
        <f ca="1">IFERROR(FLUID!P60,0)</f>
        <v>0</v>
      </c>
      <c r="M17" s="16">
        <f ca="1">IFERROR(FLUID!Q60,0)</f>
        <v>0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3">
        <f>IFERROR(FLUID!E61,0)</f>
        <v>0</v>
      </c>
      <c r="B18" s="16">
        <f ca="1">IFERROR(FLUID!F61,0)</f>
        <v>0</v>
      </c>
      <c r="C18" s="16">
        <f ca="1">IFERROR(FLUID!G61,0)</f>
        <v>0</v>
      </c>
      <c r="D18" s="16">
        <f ca="1">IFERROR(FLUID!H61,0)</f>
        <v>0</v>
      </c>
      <c r="E18" s="16">
        <f ca="1">IFERROR(FLUID!I61,0)</f>
        <v>0</v>
      </c>
      <c r="F18" s="16">
        <f ca="1">IFERROR(FLUID!J61,0)</f>
        <v>0</v>
      </c>
      <c r="G18" s="16">
        <f ca="1">IFERROR(FLUID!K61,0)</f>
        <v>0</v>
      </c>
      <c r="H18" s="16">
        <f ca="1">IFERROR(FLUID!L61,0)</f>
        <v>0</v>
      </c>
      <c r="I18" s="16">
        <f ca="1">IFERROR(FLUID!M61,0)</f>
        <v>0</v>
      </c>
      <c r="J18" s="16">
        <f ca="1">IFERROR(FLUID!N61,0)</f>
        <v>0</v>
      </c>
      <c r="K18" s="16">
        <f ca="1">IFERROR(FLUID!O61,0)</f>
        <v>0</v>
      </c>
      <c r="L18" s="16">
        <f ca="1">IFERROR(FLUID!P61,0)</f>
        <v>0</v>
      </c>
      <c r="M18" s="16">
        <f ca="1">IFERROR(FLUID!Q61,0)</f>
        <v>0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3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3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3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3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3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3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3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3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3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3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3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3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3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3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96"/>
      <c r="C33" s="96"/>
      <c r="D33" s="96"/>
      <c r="E33" s="96"/>
      <c r="F33" s="96">
        <f ca="1">IFERROR(AI35,0)</f>
        <v>0</v>
      </c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96"/>
      <c r="BP33" s="96"/>
      <c r="BQ33" s="96"/>
      <c r="BR33" s="96"/>
      <c r="BS33" s="96"/>
      <c r="BT33" s="96"/>
    </row>
    <row r="34" spans="1:72" ht="22.5" thickTop="1" thickBot="1" x14ac:dyDescent="0.4">
      <c r="A34" s="4" t="s">
        <v>28</v>
      </c>
      <c r="B34" s="4">
        <f>IFERROR(SOLID!F45,0)</f>
        <v>0</v>
      </c>
      <c r="C34" s="4">
        <f>IFERROR(SOLID!G45,0)</f>
        <v>0</v>
      </c>
      <c r="D34" s="4">
        <f>IFERROR(SOLID!H45,0)</f>
        <v>0</v>
      </c>
      <c r="E34" s="4">
        <f>IFERROR(SOLID!I45,0)</f>
        <v>0</v>
      </c>
      <c r="F34" s="4">
        <f>IFERROR(SOLID!J45,0)</f>
        <v>0</v>
      </c>
      <c r="G34" s="4">
        <f>IFERROR(SOLID!K45,0)</f>
        <v>0</v>
      </c>
      <c r="H34" s="4">
        <f>IFERROR(SOLID!L45,0)</f>
        <v>0</v>
      </c>
      <c r="I34" s="4">
        <f>IFERROR(SOLID!M45,0)</f>
        <v>0</v>
      </c>
      <c r="J34" s="4">
        <f>IFERROR(SOLID!N45,0)</f>
        <v>0</v>
      </c>
      <c r="K34" s="4">
        <f>IFERROR(SOLID!O45,0)</f>
        <v>0</v>
      </c>
      <c r="L34" s="4">
        <f>IFERROR(SOLID!P45,0)</f>
        <v>0</v>
      </c>
      <c r="M34" s="4">
        <f>IFERROR(SOLID!Q45,0)</f>
        <v>0</v>
      </c>
      <c r="N34" s="4">
        <f>IFERROR(SOLID!R45,0)</f>
        <v>0</v>
      </c>
      <c r="O34" s="4">
        <f>IFERROR(SOLID!S45,0)</f>
        <v>0</v>
      </c>
      <c r="P34" s="4">
        <f>IFERROR(SOLID!T45,0)</f>
        <v>0</v>
      </c>
      <c r="Q34" s="4">
        <f>IFERROR(SOLID!U45,0)</f>
        <v>0</v>
      </c>
      <c r="R34" s="4">
        <f>IFERROR(SOLID!V45,0)</f>
        <v>0</v>
      </c>
      <c r="S34" s="4">
        <f>IFERROR(SOLID!W45,0)</f>
        <v>0</v>
      </c>
      <c r="T34" s="4">
        <f>IFERROR(SOLID!X45,0)</f>
        <v>0</v>
      </c>
      <c r="U34" s="4">
        <f>IFERROR(SOLID!Y45,0)</f>
        <v>0</v>
      </c>
      <c r="V34" s="4">
        <f>IFERROR(SOLID!Z45,0)</f>
        <v>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>
        <f>IFERROR(SOLID!E46,0)</f>
        <v>0</v>
      </c>
      <c r="B35" s="16">
        <f ca="1">IFERROR(SOLID!F46,0)</f>
        <v>0</v>
      </c>
      <c r="C35" s="16">
        <f ca="1">IFERROR(SOLID!G46,0)</f>
        <v>0</v>
      </c>
      <c r="D35" s="16">
        <f ca="1">IFERROR(SOLID!H46,0)</f>
        <v>0</v>
      </c>
      <c r="E35" s="16">
        <f ca="1">IFERROR(SOLID!I46,0)</f>
        <v>0</v>
      </c>
      <c r="F35" s="16">
        <f ca="1">IFERROR(SOLID!J46,0)</f>
        <v>0</v>
      </c>
      <c r="G35" s="16">
        <f ca="1">IFERROR(SOLID!K46,0)</f>
        <v>0</v>
      </c>
      <c r="H35" s="16">
        <f ca="1">IFERROR(SOLID!L46,0)</f>
        <v>0</v>
      </c>
      <c r="I35" s="16">
        <f ca="1">IFERROR(SOLID!M46,0)</f>
        <v>0</v>
      </c>
      <c r="J35" s="16">
        <f ca="1">IFERROR(SOLID!N46,0)</f>
        <v>0</v>
      </c>
      <c r="K35" s="16">
        <f ca="1">IFERROR(SOLID!O46,0)</f>
        <v>0</v>
      </c>
      <c r="L35" s="16">
        <f ca="1">IFERROR(SOLID!P46,0)</f>
        <v>0</v>
      </c>
      <c r="M35" s="16">
        <f ca="1">IFERROR(SOLID!Q46,0)</f>
        <v>0</v>
      </c>
      <c r="N35" s="16">
        <f ca="1">IFERROR(SOLID!R46,0)</f>
        <v>0</v>
      </c>
      <c r="O35" s="16">
        <f ca="1">IFERROR(SOLID!S46,0)</f>
        <v>0</v>
      </c>
      <c r="P35" s="16">
        <f ca="1">IFERROR(SOLID!T46,0)</f>
        <v>0</v>
      </c>
      <c r="Q35" s="16">
        <f ca="1">IFERROR(SOLID!U46,0)</f>
        <v>0</v>
      </c>
      <c r="R35" s="16">
        <f ca="1">IFERROR(SOLID!V46,0)</f>
        <v>0</v>
      </c>
      <c r="S35" s="16">
        <f ca="1">IFERROR(SOLID!W46,0)</f>
        <v>0</v>
      </c>
      <c r="T35" s="16">
        <f ca="1">IFERROR(SOLID!X46,0)</f>
        <v>0</v>
      </c>
      <c r="U35" s="16">
        <f ca="1">IFERROR(SOLID!Y46,0)</f>
        <v>0</v>
      </c>
      <c r="V35" s="16">
        <f ca="1">IFERROR(SOLID!Z46,0)</f>
        <v>0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>
        <f>IFERROR(SOLID!E47,0)</f>
        <v>0</v>
      </c>
      <c r="B36" s="16">
        <f ca="1">IFERROR(SOLID!F47,0)</f>
        <v>0</v>
      </c>
      <c r="C36" s="16">
        <f ca="1">IFERROR(SOLID!G47,0)</f>
        <v>0</v>
      </c>
      <c r="D36" s="16">
        <f ca="1">IFERROR(SOLID!H47,0)</f>
        <v>0</v>
      </c>
      <c r="E36" s="16">
        <f ca="1">IFERROR(SOLID!I47,0)</f>
        <v>0</v>
      </c>
      <c r="F36" s="16">
        <f ca="1">IFERROR(SOLID!J47,0)</f>
        <v>0</v>
      </c>
      <c r="G36" s="16">
        <f ca="1">IFERROR(SOLID!K47,0)</f>
        <v>0</v>
      </c>
      <c r="H36" s="16">
        <f ca="1">IFERROR(SOLID!L47,0)</f>
        <v>0</v>
      </c>
      <c r="I36" s="16">
        <f ca="1">IFERROR(SOLID!M47,0)</f>
        <v>0</v>
      </c>
      <c r="J36" s="16">
        <f ca="1">IFERROR(SOLID!N47,0)</f>
        <v>0</v>
      </c>
      <c r="K36" s="16">
        <f ca="1">IFERROR(SOLID!O47,0)</f>
        <v>0</v>
      </c>
      <c r="L36" s="16">
        <f ca="1">IFERROR(SOLID!P47,0)</f>
        <v>0</v>
      </c>
      <c r="M36" s="16">
        <f ca="1">IFERROR(SOLID!Q47,0)</f>
        <v>0</v>
      </c>
      <c r="N36" s="16">
        <f ca="1">IFERROR(SOLID!R47,0)</f>
        <v>0</v>
      </c>
      <c r="O36" s="16">
        <f ca="1">IFERROR(SOLID!S47,0)</f>
        <v>0</v>
      </c>
      <c r="P36" s="16">
        <f ca="1">IFERROR(SOLID!T47,0)</f>
        <v>0</v>
      </c>
      <c r="Q36" s="16">
        <f ca="1">IFERROR(SOLID!U47,0)</f>
        <v>0</v>
      </c>
      <c r="R36" s="16">
        <f ca="1">IFERROR(SOLID!V47,0)</f>
        <v>0</v>
      </c>
      <c r="S36" s="16">
        <f ca="1">IFERROR(SOLID!W47,0)</f>
        <v>0</v>
      </c>
      <c r="T36" s="16">
        <f ca="1">IFERROR(SOLID!X47,0)</f>
        <v>0</v>
      </c>
      <c r="U36" s="16">
        <f ca="1">IFERROR(SOLID!Y47,0)</f>
        <v>0</v>
      </c>
      <c r="V36" s="16">
        <f ca="1">IFERROR(SOLID!Z47,0)</f>
        <v>0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>
        <f>IFERROR(SOLID!E48,0)</f>
        <v>0</v>
      </c>
      <c r="B37" s="16">
        <f ca="1">IFERROR(SOLID!F48,0)</f>
        <v>0</v>
      </c>
      <c r="C37" s="16">
        <f ca="1">IFERROR(SOLID!G48,0)</f>
        <v>0</v>
      </c>
      <c r="D37" s="16">
        <f ca="1">IFERROR(SOLID!H48,0)</f>
        <v>0</v>
      </c>
      <c r="E37" s="16">
        <f ca="1">IFERROR(SOLID!I48,0)</f>
        <v>0</v>
      </c>
      <c r="F37" s="16">
        <f ca="1">IFERROR(SOLID!J48,0)</f>
        <v>0</v>
      </c>
      <c r="G37" s="16">
        <f ca="1">IFERROR(SOLID!K48,0)</f>
        <v>0</v>
      </c>
      <c r="H37" s="16">
        <f ca="1">IFERROR(SOLID!L48,0)</f>
        <v>0</v>
      </c>
      <c r="I37" s="16">
        <f ca="1">IFERROR(SOLID!M48,0)</f>
        <v>0</v>
      </c>
      <c r="J37" s="16">
        <f ca="1">IFERROR(SOLID!N48,0)</f>
        <v>0</v>
      </c>
      <c r="K37" s="16">
        <f ca="1">IFERROR(SOLID!O48,0)</f>
        <v>0</v>
      </c>
      <c r="L37" s="16">
        <f ca="1">IFERROR(SOLID!P48,0)</f>
        <v>0</v>
      </c>
      <c r="M37" s="16">
        <f ca="1">IFERROR(SOLID!Q48,0)</f>
        <v>0</v>
      </c>
      <c r="N37" s="16">
        <f ca="1">IFERROR(SOLID!R48,0)</f>
        <v>0</v>
      </c>
      <c r="O37" s="16">
        <f ca="1">IFERROR(SOLID!S48,0)</f>
        <v>0</v>
      </c>
      <c r="P37" s="16">
        <f ca="1">IFERROR(SOLID!T48,0)</f>
        <v>0</v>
      </c>
      <c r="Q37" s="16">
        <f ca="1">IFERROR(SOLID!U48,0)</f>
        <v>0</v>
      </c>
      <c r="R37" s="16">
        <f ca="1">IFERROR(SOLID!V48,0)</f>
        <v>0</v>
      </c>
      <c r="S37" s="16">
        <f ca="1">IFERROR(SOLID!W48,0)</f>
        <v>0</v>
      </c>
      <c r="T37" s="16">
        <f ca="1">IFERROR(SOLID!X48,0)</f>
        <v>0</v>
      </c>
      <c r="U37" s="16">
        <f ca="1">IFERROR(SOLID!Y48,0)</f>
        <v>0</v>
      </c>
      <c r="V37" s="16">
        <f ca="1">IFERROR(SOLID!Z48,0)</f>
        <v>0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>
        <f>IFERROR(SOLID!E49,0)</f>
        <v>0</v>
      </c>
      <c r="B38" s="16">
        <f ca="1">IFERROR(SOLID!F49,0)</f>
        <v>0</v>
      </c>
      <c r="C38" s="16">
        <f ca="1">IFERROR(SOLID!G49,0)</f>
        <v>0</v>
      </c>
      <c r="D38" s="16">
        <f ca="1">IFERROR(SOLID!H49,0)</f>
        <v>0</v>
      </c>
      <c r="E38" s="16">
        <f ca="1">IFERROR(SOLID!I49,0)</f>
        <v>0</v>
      </c>
      <c r="F38" s="16">
        <f ca="1">IFERROR(SOLID!J49,0)</f>
        <v>0</v>
      </c>
      <c r="G38" s="16">
        <f ca="1">IFERROR(SOLID!K49,0)</f>
        <v>0</v>
      </c>
      <c r="H38" s="16">
        <f ca="1">IFERROR(SOLID!L49,0)</f>
        <v>0</v>
      </c>
      <c r="I38" s="16">
        <f ca="1">IFERROR(SOLID!M49,0)</f>
        <v>0</v>
      </c>
      <c r="J38" s="16">
        <f ca="1">IFERROR(SOLID!N49,0)</f>
        <v>0</v>
      </c>
      <c r="K38" s="16">
        <f ca="1">IFERROR(SOLID!O49,0)</f>
        <v>0</v>
      </c>
      <c r="L38" s="16">
        <f ca="1">IFERROR(SOLID!P49,0)</f>
        <v>0</v>
      </c>
      <c r="M38" s="16">
        <f ca="1">IFERROR(SOLID!Q49,0)</f>
        <v>0</v>
      </c>
      <c r="N38" s="16">
        <f ca="1">IFERROR(SOLID!R49,0)</f>
        <v>0</v>
      </c>
      <c r="O38" s="16">
        <f ca="1">IFERROR(SOLID!S49,0)</f>
        <v>0</v>
      </c>
      <c r="P38" s="16">
        <f ca="1">IFERROR(SOLID!T49,0)</f>
        <v>0</v>
      </c>
      <c r="Q38" s="16">
        <f ca="1">IFERROR(SOLID!U49,0)</f>
        <v>0</v>
      </c>
      <c r="R38" s="16">
        <f ca="1">IFERROR(SOLID!V49,0)</f>
        <v>0</v>
      </c>
      <c r="S38" s="16">
        <f ca="1">IFERROR(SOLID!W49,0)</f>
        <v>0</v>
      </c>
      <c r="T38" s="16">
        <f ca="1">IFERROR(SOLID!X49,0)</f>
        <v>0</v>
      </c>
      <c r="U38" s="16">
        <f ca="1">IFERROR(SOLID!Y49,0)</f>
        <v>0</v>
      </c>
      <c r="V38" s="16">
        <f ca="1">IFERROR(SOLID!Z49,0)</f>
        <v>0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>
        <f>IFERROR(SOLID!E50,0)</f>
        <v>0</v>
      </c>
      <c r="B39" s="16">
        <f ca="1">IFERROR(SOLID!F50,0)</f>
        <v>0</v>
      </c>
      <c r="C39" s="16">
        <f ca="1">IFERROR(SOLID!G50,0)</f>
        <v>0</v>
      </c>
      <c r="D39" s="16">
        <f ca="1">IFERROR(SOLID!H50,0)</f>
        <v>0</v>
      </c>
      <c r="E39" s="16">
        <f ca="1">IFERROR(SOLID!I50,0)</f>
        <v>0</v>
      </c>
      <c r="F39" s="16">
        <f ca="1">IFERROR(SOLID!J50,0)</f>
        <v>0</v>
      </c>
      <c r="G39" s="16">
        <f ca="1">IFERROR(SOLID!K50,0)</f>
        <v>0</v>
      </c>
      <c r="H39" s="16">
        <f ca="1">IFERROR(SOLID!L50,0)</f>
        <v>0</v>
      </c>
      <c r="I39" s="16">
        <f ca="1">IFERROR(SOLID!M50,0)</f>
        <v>0</v>
      </c>
      <c r="J39" s="16">
        <f ca="1">IFERROR(SOLID!N50,0)</f>
        <v>0</v>
      </c>
      <c r="K39" s="16">
        <f ca="1">IFERROR(SOLID!O50,0)</f>
        <v>0</v>
      </c>
      <c r="L39" s="16">
        <f ca="1">IFERROR(SOLID!P50,0)</f>
        <v>0</v>
      </c>
      <c r="M39" s="16">
        <f ca="1">IFERROR(SOLID!Q50,0)</f>
        <v>0</v>
      </c>
      <c r="N39" s="16">
        <f ca="1">IFERROR(SOLID!R50,0)</f>
        <v>0</v>
      </c>
      <c r="O39" s="16">
        <f ca="1">IFERROR(SOLID!S50,0)</f>
        <v>0</v>
      </c>
      <c r="P39" s="16">
        <f ca="1">IFERROR(SOLID!T50,0)</f>
        <v>0</v>
      </c>
      <c r="Q39" s="16">
        <f ca="1">IFERROR(SOLID!U50,0)</f>
        <v>0</v>
      </c>
      <c r="R39" s="16">
        <f ca="1">IFERROR(SOLID!V50,0)</f>
        <v>0</v>
      </c>
      <c r="S39" s="16">
        <f ca="1">IFERROR(SOLID!W50,0)</f>
        <v>0</v>
      </c>
      <c r="T39" s="16">
        <f ca="1">IFERROR(SOLID!X50,0)</f>
        <v>0</v>
      </c>
      <c r="U39" s="16">
        <f ca="1">IFERROR(SOLID!Y50,0)</f>
        <v>0</v>
      </c>
      <c r="V39" s="16">
        <f ca="1">IFERROR(SOLID!Z50,0)</f>
        <v>0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>
        <f>IFERROR(SOLID!E51,0)</f>
        <v>0</v>
      </c>
      <c r="B40" s="16">
        <f ca="1">IFERROR(SOLID!F51,0)</f>
        <v>0</v>
      </c>
      <c r="C40" s="16">
        <f ca="1">IFERROR(SOLID!G51,0)</f>
        <v>0</v>
      </c>
      <c r="D40" s="16">
        <f ca="1">IFERROR(SOLID!H51,0)</f>
        <v>0</v>
      </c>
      <c r="E40" s="16">
        <f ca="1">IFERROR(SOLID!I51,0)</f>
        <v>0</v>
      </c>
      <c r="F40" s="16">
        <f ca="1">IFERROR(SOLID!J51,0)</f>
        <v>0</v>
      </c>
      <c r="G40" s="16">
        <f ca="1">IFERROR(SOLID!K51,0)</f>
        <v>0</v>
      </c>
      <c r="H40" s="16">
        <f ca="1">IFERROR(SOLID!L51,0)</f>
        <v>0</v>
      </c>
      <c r="I40" s="16">
        <f ca="1">IFERROR(SOLID!M51,0)</f>
        <v>0</v>
      </c>
      <c r="J40" s="16">
        <f ca="1">IFERROR(SOLID!N51,0)</f>
        <v>0</v>
      </c>
      <c r="K40" s="16">
        <f ca="1">IFERROR(SOLID!O51,0)</f>
        <v>0</v>
      </c>
      <c r="L40" s="16">
        <f ca="1">IFERROR(SOLID!P51,0)</f>
        <v>0</v>
      </c>
      <c r="M40" s="16">
        <f ca="1">IFERROR(SOLID!Q51,0)</f>
        <v>0</v>
      </c>
      <c r="N40" s="16">
        <f ca="1">IFERROR(SOLID!R51,0)</f>
        <v>0</v>
      </c>
      <c r="O40" s="16">
        <f ca="1">IFERROR(SOLID!S51,0)</f>
        <v>0</v>
      </c>
      <c r="P40" s="16">
        <f ca="1">IFERROR(SOLID!T51,0)</f>
        <v>0</v>
      </c>
      <c r="Q40" s="16">
        <f ca="1">IFERROR(SOLID!U51,0)</f>
        <v>0</v>
      </c>
      <c r="R40" s="16">
        <f ca="1">IFERROR(SOLID!V51,0)</f>
        <v>0</v>
      </c>
      <c r="S40" s="16">
        <f ca="1">IFERROR(SOLID!W51,0)</f>
        <v>0</v>
      </c>
      <c r="T40" s="16">
        <f ca="1">IFERROR(SOLID!X51,0)</f>
        <v>0</v>
      </c>
      <c r="U40" s="16">
        <f ca="1">IFERROR(SOLID!Y51,0)</f>
        <v>0</v>
      </c>
      <c r="V40" s="16">
        <f ca="1">IFERROR(SOLID!Z51,0)</f>
        <v>0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>
        <f>IFERROR(SOLID!E52,0)</f>
        <v>0</v>
      </c>
      <c r="B41" s="16">
        <f ca="1">IFERROR(SOLID!F52,0)</f>
        <v>0</v>
      </c>
      <c r="C41" s="16">
        <f ca="1">IFERROR(SOLID!G52,0)</f>
        <v>0</v>
      </c>
      <c r="D41" s="16">
        <f ca="1">IFERROR(SOLID!H52,0)</f>
        <v>0</v>
      </c>
      <c r="E41" s="16">
        <f ca="1">IFERROR(SOLID!I52,0)</f>
        <v>0</v>
      </c>
      <c r="F41" s="16">
        <f ca="1">IFERROR(SOLID!J52,0)</f>
        <v>0</v>
      </c>
      <c r="G41" s="16">
        <f ca="1">IFERROR(SOLID!K52,0)</f>
        <v>0</v>
      </c>
      <c r="H41" s="16">
        <f ca="1">IFERROR(SOLID!L52,0)</f>
        <v>0</v>
      </c>
      <c r="I41" s="16">
        <f ca="1">IFERROR(SOLID!M52,0)</f>
        <v>0</v>
      </c>
      <c r="J41" s="16">
        <f ca="1">IFERROR(SOLID!N52,0)</f>
        <v>0</v>
      </c>
      <c r="K41" s="16">
        <f ca="1">IFERROR(SOLID!O52,0)</f>
        <v>0</v>
      </c>
      <c r="L41" s="16">
        <f ca="1">IFERROR(SOLID!P52,0)</f>
        <v>0</v>
      </c>
      <c r="M41" s="16">
        <f ca="1">IFERROR(SOLID!Q52,0)</f>
        <v>0</v>
      </c>
      <c r="N41" s="16">
        <f ca="1">IFERROR(SOLID!R52,0)</f>
        <v>0</v>
      </c>
      <c r="O41" s="16">
        <f ca="1">IFERROR(SOLID!S52,0)</f>
        <v>0</v>
      </c>
      <c r="P41" s="16">
        <f ca="1">IFERROR(SOLID!T52,0)</f>
        <v>0</v>
      </c>
      <c r="Q41" s="16">
        <f ca="1">IFERROR(SOLID!U52,0)</f>
        <v>0</v>
      </c>
      <c r="R41" s="16">
        <f ca="1">IFERROR(SOLID!V52,0)</f>
        <v>0</v>
      </c>
      <c r="S41" s="16">
        <f ca="1">IFERROR(SOLID!W52,0)</f>
        <v>0</v>
      </c>
      <c r="T41" s="16">
        <f ca="1">IFERROR(SOLID!X52,0)</f>
        <v>0</v>
      </c>
      <c r="U41" s="16">
        <f ca="1">IFERROR(SOLID!Y52,0)</f>
        <v>0</v>
      </c>
      <c r="V41" s="16">
        <f ca="1">IFERROR(SOLID!Z52,0)</f>
        <v>0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>
        <f>IFERROR(SOLID!E53,0)</f>
        <v>0</v>
      </c>
      <c r="B42" s="16">
        <f ca="1">IFERROR(SOLID!F53,0)</f>
        <v>0</v>
      </c>
      <c r="C42" s="16">
        <f ca="1">IFERROR(SOLID!G53,0)</f>
        <v>0</v>
      </c>
      <c r="D42" s="16">
        <f ca="1">IFERROR(SOLID!H53,0)</f>
        <v>0</v>
      </c>
      <c r="E42" s="16">
        <f ca="1">IFERROR(SOLID!I53,0)</f>
        <v>0</v>
      </c>
      <c r="F42" s="16">
        <f ca="1">IFERROR(SOLID!J53,0)</f>
        <v>0</v>
      </c>
      <c r="G42" s="16">
        <f ca="1">IFERROR(SOLID!K53,0)</f>
        <v>0</v>
      </c>
      <c r="H42" s="16">
        <f ca="1">IFERROR(SOLID!L53,0)</f>
        <v>0</v>
      </c>
      <c r="I42" s="16">
        <f ca="1">IFERROR(SOLID!M53,0)</f>
        <v>0</v>
      </c>
      <c r="J42" s="16">
        <f ca="1">IFERROR(SOLID!N53,0)</f>
        <v>0</v>
      </c>
      <c r="K42" s="16">
        <f ca="1">IFERROR(SOLID!O53,0)</f>
        <v>0</v>
      </c>
      <c r="L42" s="16">
        <f ca="1">IFERROR(SOLID!P53,0)</f>
        <v>0</v>
      </c>
      <c r="M42" s="16">
        <f ca="1">IFERROR(SOLID!Q53,0)</f>
        <v>0</v>
      </c>
      <c r="N42" s="16">
        <f ca="1">IFERROR(SOLID!R53,0)</f>
        <v>0</v>
      </c>
      <c r="O42" s="16">
        <f ca="1">IFERROR(SOLID!S53,0)</f>
        <v>0</v>
      </c>
      <c r="P42" s="16">
        <f ca="1">IFERROR(SOLID!T53,0)</f>
        <v>0</v>
      </c>
      <c r="Q42" s="16">
        <f ca="1">IFERROR(SOLID!U53,0)</f>
        <v>0</v>
      </c>
      <c r="R42" s="16">
        <f ca="1">IFERROR(SOLID!V53,0)</f>
        <v>0</v>
      </c>
      <c r="S42" s="16">
        <f ca="1">IFERROR(SOLID!W53,0)</f>
        <v>0</v>
      </c>
      <c r="T42" s="16">
        <f ca="1">IFERROR(SOLID!X53,0)</f>
        <v>0</v>
      </c>
      <c r="U42" s="16">
        <f ca="1">IFERROR(SOLID!Y53,0)</f>
        <v>0</v>
      </c>
      <c r="V42" s="16">
        <f ca="1">IFERROR(SOLID!Z53,0)</f>
        <v>0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>
        <f>IFERROR(SOLID!E54,0)</f>
        <v>0</v>
      </c>
      <c r="B43" s="16">
        <f ca="1">IFERROR(SOLID!F54,0)</f>
        <v>0</v>
      </c>
      <c r="C43" s="16">
        <f ca="1">IFERROR(SOLID!G54,0)</f>
        <v>0</v>
      </c>
      <c r="D43" s="16">
        <f ca="1">IFERROR(SOLID!H54,0)</f>
        <v>0</v>
      </c>
      <c r="E43" s="16">
        <f ca="1">IFERROR(SOLID!I54,0)</f>
        <v>0</v>
      </c>
      <c r="F43" s="16">
        <f ca="1">IFERROR(SOLID!J54,0)</f>
        <v>0</v>
      </c>
      <c r="G43" s="16">
        <f ca="1">IFERROR(SOLID!K54,0)</f>
        <v>0</v>
      </c>
      <c r="H43" s="16">
        <f ca="1">IFERROR(SOLID!L54,0)</f>
        <v>0</v>
      </c>
      <c r="I43" s="16">
        <f ca="1">IFERROR(SOLID!M54,0)</f>
        <v>0</v>
      </c>
      <c r="J43" s="16">
        <f ca="1">IFERROR(SOLID!N54,0)</f>
        <v>0</v>
      </c>
      <c r="K43" s="16">
        <f ca="1">IFERROR(SOLID!O54,0)</f>
        <v>0</v>
      </c>
      <c r="L43" s="16">
        <f ca="1">IFERROR(SOLID!P54,0)</f>
        <v>0</v>
      </c>
      <c r="M43" s="16">
        <f ca="1">IFERROR(SOLID!Q54,0)</f>
        <v>0</v>
      </c>
      <c r="N43" s="16">
        <f ca="1">IFERROR(SOLID!R54,0)</f>
        <v>0</v>
      </c>
      <c r="O43" s="16">
        <f ca="1">IFERROR(SOLID!S54,0)</f>
        <v>0</v>
      </c>
      <c r="P43" s="16">
        <f ca="1">IFERROR(SOLID!T54,0)</f>
        <v>0</v>
      </c>
      <c r="Q43" s="16">
        <f ca="1">IFERROR(SOLID!U54,0)</f>
        <v>0</v>
      </c>
      <c r="R43" s="16">
        <f ca="1">IFERROR(SOLID!V54,0)</f>
        <v>0</v>
      </c>
      <c r="S43" s="16">
        <f ca="1">IFERROR(SOLID!W54,0)</f>
        <v>0</v>
      </c>
      <c r="T43" s="16">
        <f ca="1">IFERROR(SOLID!X54,0)</f>
        <v>0</v>
      </c>
      <c r="U43" s="16">
        <f ca="1">IFERROR(SOLID!Y54,0)</f>
        <v>0</v>
      </c>
      <c r="V43" s="16">
        <f ca="1">IFERROR(SOLID!Z54,0)</f>
        <v>0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>
        <f>IFERROR(SOLID!E55,0)</f>
        <v>0</v>
      </c>
      <c r="B44" s="16">
        <f ca="1">IFERROR(SOLID!F55,0)</f>
        <v>0</v>
      </c>
      <c r="C44" s="16">
        <f ca="1">IFERROR(SOLID!G55,0)</f>
        <v>0</v>
      </c>
      <c r="D44" s="16">
        <f ca="1">IFERROR(SOLID!H55,0)</f>
        <v>0</v>
      </c>
      <c r="E44" s="16">
        <f ca="1">IFERROR(SOLID!I55,0)</f>
        <v>0</v>
      </c>
      <c r="F44" s="16">
        <f ca="1">IFERROR(SOLID!J55,0)</f>
        <v>0</v>
      </c>
      <c r="G44" s="16">
        <f ca="1">IFERROR(SOLID!K55,0)</f>
        <v>0</v>
      </c>
      <c r="H44" s="16">
        <f ca="1">IFERROR(SOLID!L55,0)</f>
        <v>0</v>
      </c>
      <c r="I44" s="16">
        <f ca="1">IFERROR(SOLID!M55,0)</f>
        <v>0</v>
      </c>
      <c r="J44" s="16">
        <f ca="1">IFERROR(SOLID!N55,0)</f>
        <v>0</v>
      </c>
      <c r="K44" s="16">
        <f ca="1">IFERROR(SOLID!O55,0)</f>
        <v>0</v>
      </c>
      <c r="L44" s="16">
        <f ca="1">IFERROR(SOLID!P55,0)</f>
        <v>0</v>
      </c>
      <c r="M44" s="16">
        <f ca="1">IFERROR(SOLID!Q55,0)</f>
        <v>0</v>
      </c>
      <c r="N44" s="16">
        <f ca="1">IFERROR(SOLID!R55,0)</f>
        <v>0</v>
      </c>
      <c r="O44" s="16">
        <f ca="1">IFERROR(SOLID!S55,0)</f>
        <v>0</v>
      </c>
      <c r="P44" s="16">
        <f ca="1">IFERROR(SOLID!T55,0)</f>
        <v>0</v>
      </c>
      <c r="Q44" s="16">
        <f ca="1">IFERROR(SOLID!U55,0)</f>
        <v>0</v>
      </c>
      <c r="R44" s="16">
        <f ca="1">IFERROR(SOLID!V55,0)</f>
        <v>0</v>
      </c>
      <c r="S44" s="16">
        <f ca="1">IFERROR(SOLID!W55,0)</f>
        <v>0</v>
      </c>
      <c r="T44" s="16">
        <f ca="1">IFERROR(SOLID!X55,0)</f>
        <v>0</v>
      </c>
      <c r="U44" s="16">
        <f ca="1">IFERROR(SOLID!Y55,0)</f>
        <v>0</v>
      </c>
      <c r="V44" s="16">
        <f ca="1">IFERROR(SOLID!Z55,0)</f>
        <v>0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>
        <f>IFERROR(SOLID!E56,0)</f>
        <v>0</v>
      </c>
      <c r="B45" s="16">
        <f ca="1">IFERROR(SOLID!F56,0)</f>
        <v>0</v>
      </c>
      <c r="C45" s="16">
        <f ca="1">IFERROR(SOLID!G56,0)</f>
        <v>0</v>
      </c>
      <c r="D45" s="16">
        <f ca="1">IFERROR(SOLID!H56,0)</f>
        <v>0</v>
      </c>
      <c r="E45" s="16">
        <f ca="1">IFERROR(SOLID!I56,0)</f>
        <v>0</v>
      </c>
      <c r="F45" s="16">
        <f ca="1">IFERROR(SOLID!J56,0)</f>
        <v>0</v>
      </c>
      <c r="G45" s="16">
        <f ca="1">IFERROR(SOLID!K56,0)</f>
        <v>0</v>
      </c>
      <c r="H45" s="16">
        <f ca="1">IFERROR(SOLID!L56,0)</f>
        <v>0</v>
      </c>
      <c r="I45" s="16">
        <f ca="1">IFERROR(SOLID!M56,0)</f>
        <v>0</v>
      </c>
      <c r="J45" s="16">
        <f ca="1">IFERROR(SOLID!N56,0)</f>
        <v>0</v>
      </c>
      <c r="K45" s="16">
        <f ca="1">IFERROR(SOLID!O56,0)</f>
        <v>0</v>
      </c>
      <c r="L45" s="16">
        <f ca="1">IFERROR(SOLID!P56,0)</f>
        <v>0</v>
      </c>
      <c r="M45" s="16">
        <f ca="1">IFERROR(SOLID!Q56,0)</f>
        <v>0</v>
      </c>
      <c r="N45" s="16">
        <f ca="1">IFERROR(SOLID!R56,0)</f>
        <v>0</v>
      </c>
      <c r="O45" s="16">
        <f ca="1">IFERROR(SOLID!S56,0)</f>
        <v>0</v>
      </c>
      <c r="P45" s="16">
        <f ca="1">IFERROR(SOLID!T56,0)</f>
        <v>0</v>
      </c>
      <c r="Q45" s="16">
        <f ca="1">IFERROR(SOLID!U56,0)</f>
        <v>0</v>
      </c>
      <c r="R45" s="16">
        <f ca="1">IFERROR(SOLID!V56,0)</f>
        <v>0</v>
      </c>
      <c r="S45" s="16">
        <f ca="1">IFERROR(SOLID!W56,0)</f>
        <v>0</v>
      </c>
      <c r="T45" s="16">
        <f ca="1">IFERROR(SOLID!X56,0)</f>
        <v>0</v>
      </c>
      <c r="U45" s="16">
        <f ca="1">IFERROR(SOLID!Y56,0)</f>
        <v>0</v>
      </c>
      <c r="V45" s="16">
        <f ca="1">IFERROR(SOLID!Z56,0)</f>
        <v>0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>
        <f>IFERROR(SOLID!E57,0)</f>
        <v>0</v>
      </c>
      <c r="B46" s="16">
        <f ca="1">IFERROR(SOLID!F57,0)</f>
        <v>0</v>
      </c>
      <c r="C46" s="16">
        <f ca="1">IFERROR(SOLID!G57,0)</f>
        <v>0</v>
      </c>
      <c r="D46" s="16">
        <f ca="1">IFERROR(SOLID!H57,0)</f>
        <v>0</v>
      </c>
      <c r="E46" s="16">
        <f ca="1">IFERROR(SOLID!I57,0)</f>
        <v>0</v>
      </c>
      <c r="F46" s="16">
        <f ca="1">IFERROR(SOLID!J57,0)</f>
        <v>0</v>
      </c>
      <c r="G46" s="16">
        <f ca="1">IFERROR(SOLID!K57,0)</f>
        <v>0</v>
      </c>
      <c r="H46" s="16">
        <f ca="1">IFERROR(SOLID!L57,0)</f>
        <v>0</v>
      </c>
      <c r="I46" s="16">
        <f ca="1">IFERROR(SOLID!M57,0)</f>
        <v>0</v>
      </c>
      <c r="J46" s="16">
        <f ca="1">IFERROR(SOLID!N57,0)</f>
        <v>0</v>
      </c>
      <c r="K46" s="16">
        <f ca="1">IFERROR(SOLID!O57,0)</f>
        <v>0</v>
      </c>
      <c r="L46" s="16">
        <f ca="1">IFERROR(SOLID!P57,0)</f>
        <v>0</v>
      </c>
      <c r="M46" s="16">
        <f ca="1">IFERROR(SOLID!Q57,0)</f>
        <v>0</v>
      </c>
      <c r="N46" s="16">
        <f ca="1">IFERROR(SOLID!R57,0)</f>
        <v>0</v>
      </c>
      <c r="O46" s="16">
        <f ca="1">IFERROR(SOLID!S57,0)</f>
        <v>0</v>
      </c>
      <c r="P46" s="16">
        <f ca="1">IFERROR(SOLID!T57,0)</f>
        <v>0</v>
      </c>
      <c r="Q46" s="16">
        <f ca="1">IFERROR(SOLID!U57,0)</f>
        <v>0</v>
      </c>
      <c r="R46" s="16">
        <f ca="1">IFERROR(SOLID!V57,0)</f>
        <v>0</v>
      </c>
      <c r="S46" s="16">
        <f ca="1">IFERROR(SOLID!W57,0)</f>
        <v>0</v>
      </c>
      <c r="T46" s="16">
        <f ca="1">IFERROR(SOLID!X57,0)</f>
        <v>0</v>
      </c>
      <c r="U46" s="16">
        <f ca="1">IFERROR(SOLID!Y57,0)</f>
        <v>0</v>
      </c>
      <c r="V46" s="16">
        <f ca="1">IFERROR(SOLID!Z57,0)</f>
        <v>0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>
        <f>IFERROR(SOLID!E58,0)</f>
        <v>0</v>
      </c>
      <c r="B47" s="16">
        <f ca="1">IFERROR(SOLID!F58,0)</f>
        <v>0</v>
      </c>
      <c r="C47" s="16">
        <f ca="1">IFERROR(SOLID!G58,0)</f>
        <v>0</v>
      </c>
      <c r="D47" s="16">
        <f ca="1">IFERROR(SOLID!H58,0)</f>
        <v>0</v>
      </c>
      <c r="E47" s="16">
        <f ca="1">IFERROR(SOLID!I58,0)</f>
        <v>0</v>
      </c>
      <c r="F47" s="16">
        <f ca="1">IFERROR(SOLID!J58,0)</f>
        <v>0</v>
      </c>
      <c r="G47" s="16">
        <f ca="1">IFERROR(SOLID!K58,0)</f>
        <v>0</v>
      </c>
      <c r="H47" s="16">
        <f ca="1">IFERROR(SOLID!L58,0)</f>
        <v>0</v>
      </c>
      <c r="I47" s="16">
        <f ca="1">IFERROR(SOLID!M58,0)</f>
        <v>0</v>
      </c>
      <c r="J47" s="16">
        <f ca="1">IFERROR(SOLID!N58,0)</f>
        <v>0</v>
      </c>
      <c r="K47" s="16">
        <f ca="1">IFERROR(SOLID!O58,0)</f>
        <v>0</v>
      </c>
      <c r="L47" s="16">
        <f ca="1">IFERROR(SOLID!P58,0)</f>
        <v>0</v>
      </c>
      <c r="M47" s="16">
        <f ca="1">IFERROR(SOLID!Q58,0)</f>
        <v>0</v>
      </c>
      <c r="N47" s="16">
        <f ca="1">IFERROR(SOLID!R58,0)</f>
        <v>0</v>
      </c>
      <c r="O47" s="16">
        <f ca="1">IFERROR(SOLID!S58,0)</f>
        <v>0</v>
      </c>
      <c r="P47" s="16">
        <f ca="1">IFERROR(SOLID!T58,0)</f>
        <v>0</v>
      </c>
      <c r="Q47" s="16">
        <f ca="1">IFERROR(SOLID!U58,0)</f>
        <v>0</v>
      </c>
      <c r="R47" s="16">
        <f ca="1">IFERROR(SOLID!V58,0)</f>
        <v>0</v>
      </c>
      <c r="S47" s="16">
        <f ca="1">IFERROR(SOLID!W58,0)</f>
        <v>0</v>
      </c>
      <c r="T47" s="16">
        <f ca="1">IFERROR(SOLID!X58,0)</f>
        <v>0</v>
      </c>
      <c r="U47" s="16">
        <f ca="1">IFERROR(SOLID!Y58,0)</f>
        <v>0</v>
      </c>
      <c r="V47" s="16">
        <f ca="1">IFERROR(SOLID!Z58,0)</f>
        <v>0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>
        <f>IFERROR(SOLID!E59,0)</f>
        <v>0</v>
      </c>
      <c r="B48" s="16">
        <f ca="1">IFERROR(SOLID!F59,0)</f>
        <v>0</v>
      </c>
      <c r="C48" s="16">
        <f ca="1">IFERROR(SOLID!G59,0)</f>
        <v>0</v>
      </c>
      <c r="D48" s="16">
        <f ca="1">IFERROR(SOLID!H59,0)</f>
        <v>0</v>
      </c>
      <c r="E48" s="16">
        <f ca="1">IFERROR(SOLID!I59,0)</f>
        <v>0</v>
      </c>
      <c r="F48" s="16">
        <f ca="1">IFERROR(SOLID!J59,0)</f>
        <v>0</v>
      </c>
      <c r="G48" s="16">
        <f ca="1">IFERROR(SOLID!K59,0)</f>
        <v>0</v>
      </c>
      <c r="H48" s="16">
        <f ca="1">IFERROR(SOLID!L59,0)</f>
        <v>0</v>
      </c>
      <c r="I48" s="16">
        <f ca="1">IFERROR(SOLID!M59,0)</f>
        <v>0</v>
      </c>
      <c r="J48" s="16">
        <f ca="1">IFERROR(SOLID!N59,0)</f>
        <v>0</v>
      </c>
      <c r="K48" s="16">
        <f ca="1">IFERROR(SOLID!O59,0)</f>
        <v>0</v>
      </c>
      <c r="L48" s="16">
        <f ca="1">IFERROR(SOLID!P59,0)</f>
        <v>0</v>
      </c>
      <c r="M48" s="16">
        <f ca="1">IFERROR(SOLID!Q59,0)</f>
        <v>0</v>
      </c>
      <c r="N48" s="16">
        <f ca="1">IFERROR(SOLID!R59,0)</f>
        <v>0</v>
      </c>
      <c r="O48" s="16">
        <f ca="1">IFERROR(SOLID!S59,0)</f>
        <v>0</v>
      </c>
      <c r="P48" s="16">
        <f ca="1">IFERROR(SOLID!T59,0)</f>
        <v>0</v>
      </c>
      <c r="Q48" s="16">
        <f ca="1">IFERROR(SOLID!U59,0)</f>
        <v>0</v>
      </c>
      <c r="R48" s="16">
        <f ca="1">IFERROR(SOLID!V59,0)</f>
        <v>0</v>
      </c>
      <c r="S48" s="16">
        <f ca="1">IFERROR(SOLID!W59,0)</f>
        <v>0</v>
      </c>
      <c r="T48" s="16">
        <f ca="1">IFERROR(SOLID!X59,0)</f>
        <v>0</v>
      </c>
      <c r="U48" s="16">
        <f ca="1">IFERROR(SOLID!Y59,0)</f>
        <v>0</v>
      </c>
      <c r="V48" s="16">
        <f ca="1">IFERROR(SOLID!Z59,0)</f>
        <v>0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>
        <f>IFERROR(SOLID!E60,0)</f>
        <v>0</v>
      </c>
      <c r="B49" s="16">
        <f ca="1">IFERROR(SOLID!F60,0)</f>
        <v>0</v>
      </c>
      <c r="C49" s="16">
        <f ca="1">IFERROR(SOLID!G60,0)</f>
        <v>0</v>
      </c>
      <c r="D49" s="16">
        <f ca="1">IFERROR(SOLID!H60,0)</f>
        <v>0</v>
      </c>
      <c r="E49" s="16">
        <f ca="1">IFERROR(SOLID!I60,0)</f>
        <v>0</v>
      </c>
      <c r="F49" s="16">
        <f ca="1">IFERROR(SOLID!J60,0)</f>
        <v>0</v>
      </c>
      <c r="G49" s="16">
        <f ca="1">IFERROR(SOLID!K60,0)</f>
        <v>0</v>
      </c>
      <c r="H49" s="16">
        <f ca="1">IFERROR(SOLID!L60,0)</f>
        <v>0</v>
      </c>
      <c r="I49" s="16">
        <f ca="1">IFERROR(SOLID!M60,0)</f>
        <v>0</v>
      </c>
      <c r="J49" s="16">
        <f ca="1">IFERROR(SOLID!N60,0)</f>
        <v>0</v>
      </c>
      <c r="K49" s="16">
        <f ca="1">IFERROR(SOLID!O60,0)</f>
        <v>0</v>
      </c>
      <c r="L49" s="16">
        <f ca="1">IFERROR(SOLID!P60,0)</f>
        <v>0</v>
      </c>
      <c r="M49" s="16">
        <f ca="1">IFERROR(SOLID!Q60,0)</f>
        <v>0</v>
      </c>
      <c r="N49" s="16">
        <f ca="1">IFERROR(SOLID!R60,0)</f>
        <v>0</v>
      </c>
      <c r="O49" s="16">
        <f ca="1">IFERROR(SOLID!S60,0)</f>
        <v>0</v>
      </c>
      <c r="P49" s="16">
        <f ca="1">IFERROR(SOLID!T60,0)</f>
        <v>0</v>
      </c>
      <c r="Q49" s="16">
        <f ca="1">IFERROR(SOLID!U60,0)</f>
        <v>0</v>
      </c>
      <c r="R49" s="16">
        <f ca="1">IFERROR(SOLID!V60,0)</f>
        <v>0</v>
      </c>
      <c r="S49" s="16">
        <f ca="1">IFERROR(SOLID!W60,0)</f>
        <v>0</v>
      </c>
      <c r="T49" s="16">
        <f ca="1">IFERROR(SOLID!X60,0)</f>
        <v>0</v>
      </c>
      <c r="U49" s="16">
        <f ca="1">IFERROR(SOLID!Y60,0)</f>
        <v>0</v>
      </c>
      <c r="V49" s="16">
        <f ca="1">IFERROR(SOLID!Z60,0)</f>
        <v>0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>
        <f>IFERROR(SOLID!E61,0)</f>
        <v>0</v>
      </c>
      <c r="B50" s="16">
        <f ca="1">IFERROR(SOLID!F61,0)</f>
        <v>0</v>
      </c>
      <c r="C50" s="16">
        <f ca="1">IFERROR(SOLID!G61,0)</f>
        <v>0</v>
      </c>
      <c r="D50" s="16">
        <f ca="1">IFERROR(SOLID!H61,0)</f>
        <v>0</v>
      </c>
      <c r="E50" s="16">
        <f ca="1">IFERROR(SOLID!I61,0)</f>
        <v>0</v>
      </c>
      <c r="F50" s="16">
        <f ca="1">IFERROR(SOLID!J61,0)</f>
        <v>0</v>
      </c>
      <c r="G50" s="16">
        <f ca="1">IFERROR(SOLID!K61,0)</f>
        <v>0</v>
      </c>
      <c r="H50" s="16">
        <f ca="1">IFERROR(SOLID!L61,0)</f>
        <v>0</v>
      </c>
      <c r="I50" s="16">
        <f ca="1">IFERROR(SOLID!M61,0)</f>
        <v>0</v>
      </c>
      <c r="J50" s="16">
        <f ca="1">IFERROR(SOLID!N61,0)</f>
        <v>0</v>
      </c>
      <c r="K50" s="16">
        <f ca="1">IFERROR(SOLID!O61,0)</f>
        <v>0</v>
      </c>
      <c r="L50" s="16">
        <f ca="1">IFERROR(SOLID!P61,0)</f>
        <v>0</v>
      </c>
      <c r="M50" s="16">
        <f ca="1">IFERROR(SOLID!Q61,0)</f>
        <v>0</v>
      </c>
      <c r="N50" s="16">
        <f ca="1">IFERROR(SOLID!R61,0)</f>
        <v>0</v>
      </c>
      <c r="O50" s="16">
        <f ca="1">IFERROR(SOLID!S61,0)</f>
        <v>0</v>
      </c>
      <c r="P50" s="16">
        <f ca="1">IFERROR(SOLID!T61,0)</f>
        <v>0</v>
      </c>
      <c r="Q50" s="16">
        <f ca="1">IFERROR(SOLID!U61,0)</f>
        <v>0</v>
      </c>
      <c r="R50" s="16">
        <f ca="1">IFERROR(SOLID!V61,0)</f>
        <v>0</v>
      </c>
      <c r="S50" s="16">
        <f ca="1">IFERROR(SOLID!W61,0)</f>
        <v>0</v>
      </c>
      <c r="T50" s="16">
        <f ca="1">IFERROR(SOLID!X61,0)</f>
        <v>0</v>
      </c>
      <c r="U50" s="16">
        <f ca="1">IFERROR(SOLID!Y61,0)</f>
        <v>0</v>
      </c>
      <c r="V50" s="16">
        <f ca="1">IFERROR(SOLID!Z61,0)</f>
        <v>0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96"/>
      <c r="C65" s="96"/>
      <c r="D65" s="96"/>
      <c r="E65" s="96"/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</row>
    <row r="66" spans="1:73" ht="22.5" thickTop="1" thickBot="1" x14ac:dyDescent="0.4">
      <c r="A66" s="4" t="s">
        <v>29</v>
      </c>
      <c r="B66" s="4">
        <f>IFERROR(ALL!F45,0)</f>
        <v>0</v>
      </c>
      <c r="C66" s="4">
        <f>IFERROR(ALL!G45,0)</f>
        <v>0</v>
      </c>
      <c r="D66" s="4">
        <f>IFERROR(ALL!H45,0)</f>
        <v>0</v>
      </c>
      <c r="E66" s="4">
        <f>IFERROR(ALL!I45,0)</f>
        <v>0</v>
      </c>
      <c r="F66" s="4">
        <f>IFERROR(ALL!J45,0)</f>
        <v>0</v>
      </c>
      <c r="G66" s="4">
        <f>IFERROR(ALL!K45,0)</f>
        <v>0</v>
      </c>
      <c r="H66" s="4">
        <f>IFERROR(ALL!L45,0)</f>
        <v>0</v>
      </c>
      <c r="I66" s="4">
        <f>IFERROR(ALL!M45,0)</f>
        <v>0</v>
      </c>
      <c r="J66" s="4">
        <f>IFERROR(ALL!N45,0)</f>
        <v>0</v>
      </c>
      <c r="K66" s="4">
        <f>IFERROR(ALL!O45,0)</f>
        <v>0</v>
      </c>
      <c r="L66" s="4">
        <f>IFERROR(ALL!P45,0)</f>
        <v>0</v>
      </c>
      <c r="M66" s="4">
        <f>IFERROR(ALL!Q45,0)</f>
        <v>0</v>
      </c>
      <c r="N66" s="4">
        <f>IFERROR(ALL!R45,0)</f>
        <v>0</v>
      </c>
      <c r="O66" s="4">
        <f>IFERROR(ALL!S45,0)</f>
        <v>0</v>
      </c>
      <c r="P66" s="4">
        <f>IFERROR(ALL!T45,0)</f>
        <v>0</v>
      </c>
      <c r="Q66" s="4">
        <f>IFERROR(ALL!U45,0)</f>
        <v>0</v>
      </c>
      <c r="R66" s="4">
        <f>IFERROR(ALL!V45,0)</f>
        <v>0</v>
      </c>
      <c r="S66" s="4">
        <f>IFERROR(ALL!W45,0)</f>
        <v>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3">
        <f>IFERROR(ALL!E46,0)</f>
        <v>0</v>
      </c>
      <c r="B67" s="16">
        <f ca="1">IFERROR(ALL!F46,0)</f>
        <v>0</v>
      </c>
      <c r="C67" s="16">
        <f ca="1">IFERROR(ALL!G46,0)</f>
        <v>0</v>
      </c>
      <c r="D67" s="16">
        <f ca="1">IFERROR(ALL!H46,0)</f>
        <v>0</v>
      </c>
      <c r="E67" s="16">
        <f ca="1">IFERROR(ALL!I46,0)</f>
        <v>0</v>
      </c>
      <c r="F67" s="16">
        <f ca="1">IFERROR(ALL!J46,0)</f>
        <v>0</v>
      </c>
      <c r="G67" s="16">
        <f ca="1">IFERROR(ALL!K46,0)</f>
        <v>0</v>
      </c>
      <c r="H67" s="16">
        <f ca="1">IFERROR(ALL!L46,0)</f>
        <v>0</v>
      </c>
      <c r="I67" s="16">
        <f ca="1">IFERROR(ALL!M46,0)</f>
        <v>0</v>
      </c>
      <c r="J67" s="16">
        <f ca="1">IFERROR(ALL!N46,0)</f>
        <v>0</v>
      </c>
      <c r="K67" s="16">
        <f ca="1">IFERROR(ALL!O46,0)</f>
        <v>0</v>
      </c>
      <c r="L67" s="16">
        <f ca="1">IFERROR(ALL!P46,0)</f>
        <v>0</v>
      </c>
      <c r="M67" s="16">
        <f ca="1">IFERROR(ALL!Q46,0)</f>
        <v>0</v>
      </c>
      <c r="N67" s="16">
        <f ca="1">IFERROR(ALL!R46,0)</f>
        <v>0</v>
      </c>
      <c r="O67" s="16">
        <f ca="1">IFERROR(ALL!S46,0)</f>
        <v>0</v>
      </c>
      <c r="P67" s="16">
        <f ca="1">IFERROR(ALL!T46,0)</f>
        <v>0</v>
      </c>
      <c r="Q67" s="16">
        <f ca="1">IFERROR(ALL!U46,0)</f>
        <v>0</v>
      </c>
      <c r="R67" s="16">
        <f ca="1">IFERROR(ALL!V46,0)</f>
        <v>0</v>
      </c>
      <c r="S67" s="16">
        <f ca="1">IFERROR(ALL!W46,0)</f>
        <v>0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99"/>
    </row>
    <row r="68" spans="1:73" ht="21.75" hidden="1" outlineLevel="1" thickBot="1" x14ac:dyDescent="0.4">
      <c r="A68" s="83">
        <f>IFERROR(ALL!E47,0)</f>
        <v>0</v>
      </c>
      <c r="B68" s="16">
        <f ca="1">IFERROR(ALL!F47,0)</f>
        <v>0</v>
      </c>
      <c r="C68" s="16">
        <f ca="1">IFERROR(ALL!G47,0)</f>
        <v>0</v>
      </c>
      <c r="D68" s="16">
        <f ca="1">IFERROR(ALL!H47,0)</f>
        <v>0</v>
      </c>
      <c r="E68" s="16">
        <f ca="1">IFERROR(ALL!I47,0)</f>
        <v>0</v>
      </c>
      <c r="F68" s="16">
        <f ca="1">IFERROR(ALL!J47,0)</f>
        <v>0</v>
      </c>
      <c r="G68" s="16">
        <f ca="1">IFERROR(ALL!K47,0)</f>
        <v>0</v>
      </c>
      <c r="H68" s="16">
        <f ca="1">IFERROR(ALL!L47,0)</f>
        <v>0</v>
      </c>
      <c r="I68" s="16">
        <f ca="1">IFERROR(ALL!M47,0)</f>
        <v>0</v>
      </c>
      <c r="J68" s="16">
        <f ca="1">IFERROR(ALL!N47,0)</f>
        <v>0</v>
      </c>
      <c r="K68" s="16">
        <f ca="1">IFERROR(ALL!O47,0)</f>
        <v>0</v>
      </c>
      <c r="L68" s="16">
        <f ca="1">IFERROR(ALL!P47,0)</f>
        <v>0</v>
      </c>
      <c r="M68" s="16">
        <f ca="1">IFERROR(ALL!Q47,0)</f>
        <v>0</v>
      </c>
      <c r="N68" s="16">
        <f ca="1">IFERROR(ALL!R47,0)</f>
        <v>0</v>
      </c>
      <c r="O68" s="16">
        <f ca="1">IFERROR(ALL!S47,0)</f>
        <v>0</v>
      </c>
      <c r="P68" s="16">
        <f ca="1">IFERROR(ALL!T47,0)</f>
        <v>0</v>
      </c>
      <c r="Q68" s="16">
        <f ca="1">IFERROR(ALL!U47,0)</f>
        <v>0</v>
      </c>
      <c r="R68" s="16">
        <f ca="1">IFERROR(ALL!V47,0)</f>
        <v>0</v>
      </c>
      <c r="S68" s="16">
        <f ca="1">IFERROR(ALL!W47,0)</f>
        <v>0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99"/>
    </row>
    <row r="69" spans="1:73" ht="21.75" hidden="1" outlineLevel="1" thickBot="1" x14ac:dyDescent="0.4">
      <c r="A69" s="83">
        <f>IFERROR(ALL!E48,0)</f>
        <v>0</v>
      </c>
      <c r="B69" s="16">
        <f ca="1">IFERROR(ALL!F48,0)</f>
        <v>0</v>
      </c>
      <c r="C69" s="16">
        <f ca="1">IFERROR(ALL!G48,0)</f>
        <v>0</v>
      </c>
      <c r="D69" s="16">
        <f ca="1">IFERROR(ALL!H48,0)</f>
        <v>0</v>
      </c>
      <c r="E69" s="16">
        <f ca="1">IFERROR(ALL!I48,0)</f>
        <v>0</v>
      </c>
      <c r="F69" s="16">
        <f ca="1">IFERROR(ALL!J48,0)</f>
        <v>0</v>
      </c>
      <c r="G69" s="16">
        <f ca="1">IFERROR(ALL!K48,0)</f>
        <v>0</v>
      </c>
      <c r="H69" s="16">
        <f ca="1">IFERROR(ALL!L48,0)</f>
        <v>0</v>
      </c>
      <c r="I69" s="16">
        <f ca="1">IFERROR(ALL!M48,0)</f>
        <v>0</v>
      </c>
      <c r="J69" s="16">
        <f ca="1">IFERROR(ALL!N48,0)</f>
        <v>0</v>
      </c>
      <c r="K69" s="16">
        <f ca="1">IFERROR(ALL!O48,0)</f>
        <v>0</v>
      </c>
      <c r="L69" s="16">
        <f ca="1">IFERROR(ALL!P48,0)</f>
        <v>0</v>
      </c>
      <c r="M69" s="16">
        <f ca="1">IFERROR(ALL!Q48,0)</f>
        <v>0</v>
      </c>
      <c r="N69" s="16">
        <f ca="1">IFERROR(ALL!R48,0)</f>
        <v>0</v>
      </c>
      <c r="O69" s="16">
        <f ca="1">IFERROR(ALL!S48,0)</f>
        <v>0</v>
      </c>
      <c r="P69" s="16">
        <f ca="1">IFERROR(ALL!T48,0)</f>
        <v>0</v>
      </c>
      <c r="Q69" s="16">
        <f ca="1">IFERROR(ALL!U48,0)</f>
        <v>0</v>
      </c>
      <c r="R69" s="16">
        <f ca="1">IFERROR(ALL!V48,0)</f>
        <v>0</v>
      </c>
      <c r="S69" s="16">
        <f ca="1">IFERROR(ALL!W48,0)</f>
        <v>0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99"/>
    </row>
    <row r="70" spans="1:73" ht="21.75" hidden="1" outlineLevel="1" thickBot="1" x14ac:dyDescent="0.4">
      <c r="A70" s="83">
        <f>IFERROR(ALL!E49,0)</f>
        <v>0</v>
      </c>
      <c r="B70" s="16">
        <f ca="1">IFERROR(ALL!F49,0)</f>
        <v>0</v>
      </c>
      <c r="C70" s="16">
        <f ca="1">IFERROR(ALL!G49,0)</f>
        <v>0</v>
      </c>
      <c r="D70" s="16">
        <f ca="1">IFERROR(ALL!H49,0)</f>
        <v>0</v>
      </c>
      <c r="E70" s="16">
        <f ca="1">IFERROR(ALL!I49,0)</f>
        <v>0</v>
      </c>
      <c r="F70" s="16">
        <f ca="1">IFERROR(ALL!J49,0)</f>
        <v>0</v>
      </c>
      <c r="G70" s="16">
        <f ca="1">IFERROR(ALL!K49,0)</f>
        <v>0</v>
      </c>
      <c r="H70" s="16">
        <f ca="1">IFERROR(ALL!L49,0)</f>
        <v>0</v>
      </c>
      <c r="I70" s="16">
        <f ca="1">IFERROR(ALL!M49,0)</f>
        <v>0</v>
      </c>
      <c r="J70" s="16">
        <f ca="1">IFERROR(ALL!N49,0)</f>
        <v>0</v>
      </c>
      <c r="K70" s="16">
        <f ca="1">IFERROR(ALL!O49,0)</f>
        <v>0</v>
      </c>
      <c r="L70" s="16">
        <f ca="1">IFERROR(ALL!P49,0)</f>
        <v>0</v>
      </c>
      <c r="M70" s="16">
        <f ca="1">IFERROR(ALL!Q49,0)</f>
        <v>0</v>
      </c>
      <c r="N70" s="16">
        <f ca="1">IFERROR(ALL!R49,0)</f>
        <v>0</v>
      </c>
      <c r="O70" s="16">
        <f ca="1">IFERROR(ALL!S49,0)</f>
        <v>0</v>
      </c>
      <c r="P70" s="16">
        <f ca="1">IFERROR(ALL!T49,0)</f>
        <v>0</v>
      </c>
      <c r="Q70" s="16">
        <f ca="1">IFERROR(ALL!U49,0)</f>
        <v>0</v>
      </c>
      <c r="R70" s="16">
        <f ca="1">IFERROR(ALL!V49,0)</f>
        <v>0</v>
      </c>
      <c r="S70" s="16">
        <f ca="1">IFERROR(ALL!W49,0)</f>
        <v>0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99"/>
    </row>
    <row r="71" spans="1:73" ht="21.75" hidden="1" outlineLevel="1" thickBot="1" x14ac:dyDescent="0.4">
      <c r="A71" s="83">
        <f>IFERROR(ALL!E50,0)</f>
        <v>0</v>
      </c>
      <c r="B71" s="16">
        <f ca="1">IFERROR(ALL!F50,0)</f>
        <v>0</v>
      </c>
      <c r="C71" s="16">
        <f ca="1">IFERROR(ALL!G50,0)</f>
        <v>0</v>
      </c>
      <c r="D71" s="16">
        <f ca="1">IFERROR(ALL!H50,0)</f>
        <v>0</v>
      </c>
      <c r="E71" s="16">
        <f ca="1">IFERROR(ALL!I50,0)</f>
        <v>0</v>
      </c>
      <c r="F71" s="16">
        <f ca="1">IFERROR(ALL!J50,0)</f>
        <v>0</v>
      </c>
      <c r="G71" s="16">
        <f ca="1">IFERROR(ALL!K50,0)</f>
        <v>0</v>
      </c>
      <c r="H71" s="16">
        <f ca="1">IFERROR(ALL!L50,0)</f>
        <v>0</v>
      </c>
      <c r="I71" s="16">
        <f ca="1">IFERROR(ALL!M50,0)</f>
        <v>0</v>
      </c>
      <c r="J71" s="16">
        <f ca="1">IFERROR(ALL!N50,0)</f>
        <v>0</v>
      </c>
      <c r="K71" s="16">
        <f ca="1">IFERROR(ALL!O50,0)</f>
        <v>0</v>
      </c>
      <c r="L71" s="16">
        <f ca="1">IFERROR(ALL!P50,0)</f>
        <v>0</v>
      </c>
      <c r="M71" s="16">
        <f ca="1">IFERROR(ALL!Q50,0)</f>
        <v>0</v>
      </c>
      <c r="N71" s="16">
        <f ca="1">IFERROR(ALL!R50,0)</f>
        <v>0</v>
      </c>
      <c r="O71" s="16">
        <f ca="1">IFERROR(ALL!S50,0)</f>
        <v>0</v>
      </c>
      <c r="P71" s="16">
        <f ca="1">IFERROR(ALL!T50,0)</f>
        <v>0</v>
      </c>
      <c r="Q71" s="16">
        <f ca="1">IFERROR(ALL!U50,0)</f>
        <v>0</v>
      </c>
      <c r="R71" s="16">
        <f ca="1">IFERROR(ALL!V50,0)</f>
        <v>0</v>
      </c>
      <c r="S71" s="16">
        <f ca="1">IFERROR(ALL!W50,0)</f>
        <v>0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99"/>
    </row>
    <row r="72" spans="1:73" ht="21.75" hidden="1" outlineLevel="1" thickBot="1" x14ac:dyDescent="0.4">
      <c r="A72" s="83">
        <f>IFERROR(ALL!E51,0)</f>
        <v>0</v>
      </c>
      <c r="B72" s="16">
        <f ca="1">IFERROR(ALL!F51,0)</f>
        <v>0</v>
      </c>
      <c r="C72" s="16">
        <f ca="1">IFERROR(ALL!G51,0)</f>
        <v>0</v>
      </c>
      <c r="D72" s="16">
        <f ca="1">IFERROR(ALL!H51,0)</f>
        <v>0</v>
      </c>
      <c r="E72" s="16">
        <f ca="1">IFERROR(ALL!I51,0)</f>
        <v>0</v>
      </c>
      <c r="F72" s="16">
        <f ca="1">IFERROR(ALL!J51,0)</f>
        <v>0</v>
      </c>
      <c r="G72" s="16">
        <f ca="1">IFERROR(ALL!K51,0)</f>
        <v>0</v>
      </c>
      <c r="H72" s="16">
        <f ca="1">IFERROR(ALL!L51,0)</f>
        <v>0</v>
      </c>
      <c r="I72" s="16">
        <f ca="1">IFERROR(ALL!M51,0)</f>
        <v>0</v>
      </c>
      <c r="J72" s="16">
        <f ca="1">IFERROR(ALL!N51,0)</f>
        <v>0</v>
      </c>
      <c r="K72" s="16">
        <f ca="1">IFERROR(ALL!O51,0)</f>
        <v>0</v>
      </c>
      <c r="L72" s="16">
        <f ca="1">IFERROR(ALL!P51,0)</f>
        <v>0</v>
      </c>
      <c r="M72" s="16">
        <f ca="1">IFERROR(ALL!Q51,0)</f>
        <v>0</v>
      </c>
      <c r="N72" s="16">
        <f ca="1">IFERROR(ALL!R51,0)</f>
        <v>0</v>
      </c>
      <c r="O72" s="16">
        <f ca="1">IFERROR(ALL!S51,0)</f>
        <v>0</v>
      </c>
      <c r="P72" s="16">
        <f ca="1">IFERROR(ALL!T51,0)</f>
        <v>0</v>
      </c>
      <c r="Q72" s="16">
        <f ca="1">IFERROR(ALL!U51,0)</f>
        <v>0</v>
      </c>
      <c r="R72" s="16">
        <f ca="1">IFERROR(ALL!V51,0)</f>
        <v>0</v>
      </c>
      <c r="S72" s="16">
        <f ca="1">IFERROR(ALL!W51,0)</f>
        <v>0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99"/>
    </row>
    <row r="73" spans="1:73" ht="21.75" hidden="1" outlineLevel="1" thickBot="1" x14ac:dyDescent="0.4">
      <c r="A73" s="83">
        <f>IFERROR(ALL!E52,0)</f>
        <v>0</v>
      </c>
      <c r="B73" s="16">
        <f ca="1">IFERROR(ALL!F52,0)</f>
        <v>0</v>
      </c>
      <c r="C73" s="16">
        <f ca="1">IFERROR(ALL!G52,0)</f>
        <v>0</v>
      </c>
      <c r="D73" s="16">
        <f ca="1">IFERROR(ALL!H52,0)</f>
        <v>0</v>
      </c>
      <c r="E73" s="16">
        <f ca="1">IFERROR(ALL!I52,0)</f>
        <v>0</v>
      </c>
      <c r="F73" s="16">
        <f ca="1">IFERROR(ALL!J52,0)</f>
        <v>0</v>
      </c>
      <c r="G73" s="16">
        <f ca="1">IFERROR(ALL!K52,0)</f>
        <v>0</v>
      </c>
      <c r="H73" s="16">
        <f ca="1">IFERROR(ALL!L52,0)</f>
        <v>0</v>
      </c>
      <c r="I73" s="16">
        <f ca="1">IFERROR(ALL!M52,0)</f>
        <v>0</v>
      </c>
      <c r="J73" s="16">
        <f ca="1">IFERROR(ALL!N52,0)</f>
        <v>0</v>
      </c>
      <c r="K73" s="16">
        <f ca="1">IFERROR(ALL!O52,0)</f>
        <v>0</v>
      </c>
      <c r="L73" s="16">
        <f ca="1">IFERROR(ALL!P52,0)</f>
        <v>0</v>
      </c>
      <c r="M73" s="16">
        <f ca="1">IFERROR(ALL!Q52,0)</f>
        <v>0</v>
      </c>
      <c r="N73" s="16">
        <f ca="1">IFERROR(ALL!R52,0)</f>
        <v>0</v>
      </c>
      <c r="O73" s="16">
        <f ca="1">IFERROR(ALL!S52,0)</f>
        <v>0</v>
      </c>
      <c r="P73" s="16">
        <f ca="1">IFERROR(ALL!T52,0)</f>
        <v>0</v>
      </c>
      <c r="Q73" s="16">
        <f ca="1">IFERROR(ALL!U52,0)</f>
        <v>0</v>
      </c>
      <c r="R73" s="16">
        <f ca="1">IFERROR(ALL!V52,0)</f>
        <v>0</v>
      </c>
      <c r="S73" s="16">
        <f ca="1">IFERROR(ALL!W52,0)</f>
        <v>0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99"/>
    </row>
    <row r="74" spans="1:73" ht="21.75" hidden="1" outlineLevel="1" thickBot="1" x14ac:dyDescent="0.4">
      <c r="A74" s="83">
        <f>IFERROR(ALL!E53,0)</f>
        <v>0</v>
      </c>
      <c r="B74" s="16">
        <f ca="1">IFERROR(ALL!F53,0)</f>
        <v>0</v>
      </c>
      <c r="C74" s="16">
        <f ca="1">IFERROR(ALL!G53,0)</f>
        <v>0</v>
      </c>
      <c r="D74" s="16">
        <f ca="1">IFERROR(ALL!H53,0)</f>
        <v>0</v>
      </c>
      <c r="E74" s="16">
        <f ca="1">IFERROR(ALL!I53,0)</f>
        <v>0</v>
      </c>
      <c r="F74" s="16">
        <f ca="1">IFERROR(ALL!J53,0)</f>
        <v>0</v>
      </c>
      <c r="G74" s="16">
        <f ca="1">IFERROR(ALL!K53,0)</f>
        <v>0</v>
      </c>
      <c r="H74" s="16">
        <f ca="1">IFERROR(ALL!L53,0)</f>
        <v>0</v>
      </c>
      <c r="I74" s="16">
        <f ca="1">IFERROR(ALL!M53,0)</f>
        <v>0</v>
      </c>
      <c r="J74" s="16">
        <f ca="1">IFERROR(ALL!N53,0)</f>
        <v>0</v>
      </c>
      <c r="K74" s="16">
        <f ca="1">IFERROR(ALL!O53,0)</f>
        <v>0</v>
      </c>
      <c r="L74" s="16">
        <f ca="1">IFERROR(ALL!P53,0)</f>
        <v>0</v>
      </c>
      <c r="M74" s="16">
        <f ca="1">IFERROR(ALL!Q53,0)</f>
        <v>0</v>
      </c>
      <c r="N74" s="16">
        <f ca="1">IFERROR(ALL!R53,0)</f>
        <v>0</v>
      </c>
      <c r="O74" s="16">
        <f ca="1">IFERROR(ALL!S53,0)</f>
        <v>0</v>
      </c>
      <c r="P74" s="16">
        <f ca="1">IFERROR(ALL!T53,0)</f>
        <v>0</v>
      </c>
      <c r="Q74" s="16">
        <f ca="1">IFERROR(ALL!U53,0)</f>
        <v>0</v>
      </c>
      <c r="R74" s="16">
        <f ca="1">IFERROR(ALL!V53,0)</f>
        <v>0</v>
      </c>
      <c r="S74" s="16">
        <f ca="1">IFERROR(ALL!W53,0)</f>
        <v>0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99"/>
    </row>
    <row r="75" spans="1:73" ht="21.75" hidden="1" outlineLevel="1" thickBot="1" x14ac:dyDescent="0.4">
      <c r="A75" s="83">
        <f>IFERROR(ALL!E54,0)</f>
        <v>0</v>
      </c>
      <c r="B75" s="16">
        <f ca="1">IFERROR(ALL!F54,0)</f>
        <v>0</v>
      </c>
      <c r="C75" s="16">
        <f ca="1">IFERROR(ALL!G54,0)</f>
        <v>0</v>
      </c>
      <c r="D75" s="16">
        <f ca="1">IFERROR(ALL!H54,0)</f>
        <v>0</v>
      </c>
      <c r="E75" s="16">
        <f ca="1">IFERROR(ALL!I54,0)</f>
        <v>0</v>
      </c>
      <c r="F75" s="16">
        <f ca="1">IFERROR(ALL!J54,0)</f>
        <v>0</v>
      </c>
      <c r="G75" s="16">
        <f ca="1">IFERROR(ALL!K54,0)</f>
        <v>0</v>
      </c>
      <c r="H75" s="16">
        <f ca="1">IFERROR(ALL!L54,0)</f>
        <v>0</v>
      </c>
      <c r="I75" s="16">
        <f ca="1">IFERROR(ALL!M54,0)</f>
        <v>0</v>
      </c>
      <c r="J75" s="16">
        <f ca="1">IFERROR(ALL!N54,0)</f>
        <v>0</v>
      </c>
      <c r="K75" s="16">
        <f ca="1">IFERROR(ALL!O54,0)</f>
        <v>0</v>
      </c>
      <c r="L75" s="16">
        <f ca="1">IFERROR(ALL!P54,0)</f>
        <v>0</v>
      </c>
      <c r="M75" s="16">
        <f ca="1">IFERROR(ALL!Q54,0)</f>
        <v>0</v>
      </c>
      <c r="N75" s="16">
        <f ca="1">IFERROR(ALL!R54,0)</f>
        <v>0</v>
      </c>
      <c r="O75" s="16">
        <f ca="1">IFERROR(ALL!S54,0)</f>
        <v>0</v>
      </c>
      <c r="P75" s="16">
        <f ca="1">IFERROR(ALL!T54,0)</f>
        <v>0</v>
      </c>
      <c r="Q75" s="16">
        <f ca="1">IFERROR(ALL!U54,0)</f>
        <v>0</v>
      </c>
      <c r="R75" s="16">
        <f ca="1">IFERROR(ALL!V54,0)</f>
        <v>0</v>
      </c>
      <c r="S75" s="16">
        <f ca="1">IFERROR(ALL!W54,0)</f>
        <v>0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99"/>
    </row>
    <row r="76" spans="1:73" ht="21.75" hidden="1" outlineLevel="1" thickBot="1" x14ac:dyDescent="0.4">
      <c r="A76" s="83">
        <f>IFERROR(ALL!E55,0)</f>
        <v>0</v>
      </c>
      <c r="B76" s="16">
        <f ca="1">IFERROR(ALL!F55,0)</f>
        <v>0</v>
      </c>
      <c r="C76" s="16">
        <f ca="1">IFERROR(ALL!G55,0)</f>
        <v>0</v>
      </c>
      <c r="D76" s="16">
        <f ca="1">IFERROR(ALL!H55,0)</f>
        <v>0</v>
      </c>
      <c r="E76" s="16">
        <f ca="1">IFERROR(ALL!I55,0)</f>
        <v>0</v>
      </c>
      <c r="F76" s="16">
        <f ca="1">IFERROR(ALL!J55,0)</f>
        <v>0</v>
      </c>
      <c r="G76" s="16">
        <f ca="1">IFERROR(ALL!K55,0)</f>
        <v>0</v>
      </c>
      <c r="H76" s="16">
        <f ca="1">IFERROR(ALL!L55,0)</f>
        <v>0</v>
      </c>
      <c r="I76" s="16">
        <f ca="1">IFERROR(ALL!M55,0)</f>
        <v>0</v>
      </c>
      <c r="J76" s="16">
        <f ca="1">IFERROR(ALL!N55,0)</f>
        <v>0</v>
      </c>
      <c r="K76" s="16">
        <f ca="1">IFERROR(ALL!O55,0)</f>
        <v>0</v>
      </c>
      <c r="L76" s="16">
        <f ca="1">IFERROR(ALL!P55,0)</f>
        <v>0</v>
      </c>
      <c r="M76" s="16">
        <f ca="1">IFERROR(ALL!Q55,0)</f>
        <v>0</v>
      </c>
      <c r="N76" s="16">
        <f ca="1">IFERROR(ALL!R55,0)</f>
        <v>0</v>
      </c>
      <c r="O76" s="16">
        <f ca="1">IFERROR(ALL!S55,0)</f>
        <v>0</v>
      </c>
      <c r="P76" s="16">
        <f ca="1">IFERROR(ALL!T55,0)</f>
        <v>0</v>
      </c>
      <c r="Q76" s="16">
        <f ca="1">IFERROR(ALL!U55,0)</f>
        <v>0</v>
      </c>
      <c r="R76" s="16">
        <f ca="1">IFERROR(ALL!V55,0)</f>
        <v>0</v>
      </c>
      <c r="S76" s="16">
        <f ca="1">IFERROR(ALL!W55,0)</f>
        <v>0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99"/>
    </row>
    <row r="77" spans="1:73" ht="21.75" hidden="1" outlineLevel="1" thickBot="1" x14ac:dyDescent="0.4">
      <c r="A77" s="83">
        <f>IFERROR(ALL!E56,0)</f>
        <v>0</v>
      </c>
      <c r="B77" s="16">
        <f ca="1">IFERROR(ALL!F56,0)</f>
        <v>0</v>
      </c>
      <c r="C77" s="16">
        <f ca="1">IFERROR(ALL!G56,0)</f>
        <v>0</v>
      </c>
      <c r="D77" s="16">
        <f ca="1">IFERROR(ALL!H56,0)</f>
        <v>0</v>
      </c>
      <c r="E77" s="16">
        <f ca="1">IFERROR(ALL!I56,0)</f>
        <v>0</v>
      </c>
      <c r="F77" s="16">
        <f ca="1">IFERROR(ALL!J56,0)</f>
        <v>0</v>
      </c>
      <c r="G77" s="16">
        <f ca="1">IFERROR(ALL!K56,0)</f>
        <v>0</v>
      </c>
      <c r="H77" s="16">
        <f ca="1">IFERROR(ALL!L56,0)</f>
        <v>0</v>
      </c>
      <c r="I77" s="16">
        <f ca="1">IFERROR(ALL!M56,0)</f>
        <v>0</v>
      </c>
      <c r="J77" s="16">
        <f ca="1">IFERROR(ALL!N56,0)</f>
        <v>0</v>
      </c>
      <c r="K77" s="16">
        <f ca="1">IFERROR(ALL!O56,0)</f>
        <v>0</v>
      </c>
      <c r="L77" s="16">
        <f ca="1">IFERROR(ALL!P56,0)</f>
        <v>0</v>
      </c>
      <c r="M77" s="16">
        <f ca="1">IFERROR(ALL!Q56,0)</f>
        <v>0</v>
      </c>
      <c r="N77" s="16">
        <f ca="1">IFERROR(ALL!R56,0)</f>
        <v>0</v>
      </c>
      <c r="O77" s="16">
        <f ca="1">IFERROR(ALL!S56,0)</f>
        <v>0</v>
      </c>
      <c r="P77" s="16">
        <f ca="1">IFERROR(ALL!T56,0)</f>
        <v>0</v>
      </c>
      <c r="Q77" s="16">
        <f ca="1">IFERROR(ALL!U56,0)</f>
        <v>0</v>
      </c>
      <c r="R77" s="16">
        <f ca="1">IFERROR(ALL!V56,0)</f>
        <v>0</v>
      </c>
      <c r="S77" s="16">
        <f ca="1">IFERROR(ALL!W56,0)</f>
        <v>0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99"/>
    </row>
    <row r="78" spans="1:73" ht="21.75" hidden="1" outlineLevel="1" thickBot="1" x14ac:dyDescent="0.4">
      <c r="A78" s="83">
        <f>IFERROR(ALL!E57,0)</f>
        <v>0</v>
      </c>
      <c r="B78" s="16">
        <f ca="1">IFERROR(ALL!F57,0)</f>
        <v>0</v>
      </c>
      <c r="C78" s="16">
        <f ca="1">IFERROR(ALL!G57,0)</f>
        <v>0</v>
      </c>
      <c r="D78" s="16">
        <f ca="1">IFERROR(ALL!H57,0)</f>
        <v>0</v>
      </c>
      <c r="E78" s="16">
        <f ca="1">IFERROR(ALL!I57,0)</f>
        <v>0</v>
      </c>
      <c r="F78" s="16">
        <f ca="1">IFERROR(ALL!J57,0)</f>
        <v>0</v>
      </c>
      <c r="G78" s="16">
        <f ca="1">IFERROR(ALL!K57,0)</f>
        <v>0</v>
      </c>
      <c r="H78" s="16">
        <f ca="1">IFERROR(ALL!L57,0)</f>
        <v>0</v>
      </c>
      <c r="I78" s="16">
        <f ca="1">IFERROR(ALL!M57,0)</f>
        <v>0</v>
      </c>
      <c r="J78" s="16">
        <f ca="1">IFERROR(ALL!N57,0)</f>
        <v>0</v>
      </c>
      <c r="K78" s="16">
        <f ca="1">IFERROR(ALL!O57,0)</f>
        <v>0</v>
      </c>
      <c r="L78" s="16">
        <f ca="1">IFERROR(ALL!P57,0)</f>
        <v>0</v>
      </c>
      <c r="M78" s="16">
        <f ca="1">IFERROR(ALL!Q57,0)</f>
        <v>0</v>
      </c>
      <c r="N78" s="16">
        <f ca="1">IFERROR(ALL!R57,0)</f>
        <v>0</v>
      </c>
      <c r="O78" s="16">
        <f ca="1">IFERROR(ALL!S57,0)</f>
        <v>0</v>
      </c>
      <c r="P78" s="16">
        <f ca="1">IFERROR(ALL!T57,0)</f>
        <v>0</v>
      </c>
      <c r="Q78" s="16">
        <f ca="1">IFERROR(ALL!U57,0)</f>
        <v>0</v>
      </c>
      <c r="R78" s="16">
        <f ca="1">IFERROR(ALL!V57,0)</f>
        <v>0</v>
      </c>
      <c r="S78" s="16">
        <f ca="1">IFERROR(ALL!W57,0)</f>
        <v>0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99"/>
    </row>
    <row r="79" spans="1:73" ht="21.75" hidden="1" outlineLevel="1" thickBot="1" x14ac:dyDescent="0.4">
      <c r="A79" s="83">
        <f>IFERROR(ALL!E58,0)</f>
        <v>0</v>
      </c>
      <c r="B79" s="16">
        <f ca="1">IFERROR(ALL!F58,0)</f>
        <v>0</v>
      </c>
      <c r="C79" s="16">
        <f ca="1">IFERROR(ALL!G58,0)</f>
        <v>0</v>
      </c>
      <c r="D79" s="16">
        <f ca="1">IFERROR(ALL!H58,0)</f>
        <v>0</v>
      </c>
      <c r="E79" s="16">
        <f ca="1">IFERROR(ALL!I58,0)</f>
        <v>0</v>
      </c>
      <c r="F79" s="16">
        <f ca="1">IFERROR(ALL!J58,0)</f>
        <v>0</v>
      </c>
      <c r="G79" s="16">
        <f ca="1">IFERROR(ALL!K58,0)</f>
        <v>0</v>
      </c>
      <c r="H79" s="16">
        <f ca="1">IFERROR(ALL!L58,0)</f>
        <v>0</v>
      </c>
      <c r="I79" s="16">
        <f ca="1">IFERROR(ALL!M58,0)</f>
        <v>0</v>
      </c>
      <c r="J79" s="16">
        <f ca="1">IFERROR(ALL!N58,0)</f>
        <v>0</v>
      </c>
      <c r="K79" s="16">
        <f ca="1">IFERROR(ALL!O58,0)</f>
        <v>0</v>
      </c>
      <c r="L79" s="16">
        <f ca="1">IFERROR(ALL!P58,0)</f>
        <v>0</v>
      </c>
      <c r="M79" s="16">
        <f ca="1">IFERROR(ALL!Q58,0)</f>
        <v>0</v>
      </c>
      <c r="N79" s="16">
        <f ca="1">IFERROR(ALL!R58,0)</f>
        <v>0</v>
      </c>
      <c r="O79" s="16">
        <f ca="1">IFERROR(ALL!S58,0)</f>
        <v>0</v>
      </c>
      <c r="P79" s="16">
        <f ca="1">IFERROR(ALL!T58,0)</f>
        <v>0</v>
      </c>
      <c r="Q79" s="16">
        <f ca="1">IFERROR(ALL!U58,0)</f>
        <v>0</v>
      </c>
      <c r="R79" s="16">
        <f ca="1">IFERROR(ALL!V58,0)</f>
        <v>0</v>
      </c>
      <c r="S79" s="16">
        <f ca="1">IFERROR(ALL!W58,0)</f>
        <v>0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99"/>
    </row>
    <row r="80" spans="1:73" ht="21.75" hidden="1" outlineLevel="1" thickBot="1" x14ac:dyDescent="0.4">
      <c r="A80" s="83">
        <f>IFERROR(ALL!E59,0)</f>
        <v>0</v>
      </c>
      <c r="B80" s="16">
        <f ca="1">IFERROR(ALL!F59,0)</f>
        <v>0</v>
      </c>
      <c r="C80" s="16">
        <f ca="1">IFERROR(ALL!G59,0)</f>
        <v>0</v>
      </c>
      <c r="D80" s="16">
        <f ca="1">IFERROR(ALL!H59,0)</f>
        <v>0</v>
      </c>
      <c r="E80" s="16">
        <f ca="1">IFERROR(ALL!I59,0)</f>
        <v>0</v>
      </c>
      <c r="F80" s="16">
        <f ca="1">IFERROR(ALL!J59,0)</f>
        <v>0</v>
      </c>
      <c r="G80" s="16">
        <f ca="1">IFERROR(ALL!K59,0)</f>
        <v>0</v>
      </c>
      <c r="H80" s="16">
        <f ca="1">IFERROR(ALL!L59,0)</f>
        <v>0</v>
      </c>
      <c r="I80" s="16">
        <f ca="1">IFERROR(ALL!M59,0)</f>
        <v>0</v>
      </c>
      <c r="J80" s="16">
        <f ca="1">IFERROR(ALL!N59,0)</f>
        <v>0</v>
      </c>
      <c r="K80" s="16">
        <f ca="1">IFERROR(ALL!O59,0)</f>
        <v>0</v>
      </c>
      <c r="L80" s="16">
        <f ca="1">IFERROR(ALL!P59,0)</f>
        <v>0</v>
      </c>
      <c r="M80" s="16">
        <f ca="1">IFERROR(ALL!Q59,0)</f>
        <v>0</v>
      </c>
      <c r="N80" s="16">
        <f ca="1">IFERROR(ALL!R59,0)</f>
        <v>0</v>
      </c>
      <c r="O80" s="16">
        <f ca="1">IFERROR(ALL!S59,0)</f>
        <v>0</v>
      </c>
      <c r="P80" s="16">
        <f ca="1">IFERROR(ALL!T59,0)</f>
        <v>0</v>
      </c>
      <c r="Q80" s="16">
        <f ca="1">IFERROR(ALL!U59,0)</f>
        <v>0</v>
      </c>
      <c r="R80" s="16">
        <f ca="1">IFERROR(ALL!V59,0)</f>
        <v>0</v>
      </c>
      <c r="S80" s="16">
        <f ca="1">IFERROR(ALL!W59,0)</f>
        <v>0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99"/>
    </row>
    <row r="81" spans="1:73" ht="21.75" hidden="1" outlineLevel="1" thickBot="1" x14ac:dyDescent="0.4">
      <c r="A81" s="83">
        <f>IFERROR(ALL!E60,0)</f>
        <v>0</v>
      </c>
      <c r="B81" s="16">
        <f ca="1">IFERROR(ALL!F60,0)</f>
        <v>0</v>
      </c>
      <c r="C81" s="16">
        <f ca="1">IFERROR(ALL!G60,0)</f>
        <v>0</v>
      </c>
      <c r="D81" s="16">
        <f ca="1">IFERROR(ALL!H60,0)</f>
        <v>0</v>
      </c>
      <c r="E81" s="16">
        <f ca="1">IFERROR(ALL!I60,0)</f>
        <v>0</v>
      </c>
      <c r="F81" s="16">
        <f ca="1">IFERROR(ALL!J60,0)</f>
        <v>0</v>
      </c>
      <c r="G81" s="16">
        <f ca="1">IFERROR(ALL!K60,0)</f>
        <v>0</v>
      </c>
      <c r="H81" s="16">
        <f ca="1">IFERROR(ALL!L60,0)</f>
        <v>0</v>
      </c>
      <c r="I81" s="16">
        <f ca="1">IFERROR(ALL!M60,0)</f>
        <v>0</v>
      </c>
      <c r="J81" s="16">
        <f ca="1">IFERROR(ALL!N60,0)</f>
        <v>0</v>
      </c>
      <c r="K81" s="16">
        <f ca="1">IFERROR(ALL!O60,0)</f>
        <v>0</v>
      </c>
      <c r="L81" s="16">
        <f ca="1">IFERROR(ALL!P60,0)</f>
        <v>0</v>
      </c>
      <c r="M81" s="16">
        <f ca="1">IFERROR(ALL!Q60,0)</f>
        <v>0</v>
      </c>
      <c r="N81" s="16">
        <f ca="1">IFERROR(ALL!R60,0)</f>
        <v>0</v>
      </c>
      <c r="O81" s="16">
        <f ca="1">IFERROR(ALL!S60,0)</f>
        <v>0</v>
      </c>
      <c r="P81" s="16">
        <f ca="1">IFERROR(ALL!T60,0)</f>
        <v>0</v>
      </c>
      <c r="Q81" s="16">
        <f ca="1">IFERROR(ALL!U60,0)</f>
        <v>0</v>
      </c>
      <c r="R81" s="16">
        <f ca="1">IFERROR(ALL!V60,0)</f>
        <v>0</v>
      </c>
      <c r="S81" s="16">
        <f ca="1">IFERROR(ALL!W60,0)</f>
        <v>0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99"/>
    </row>
    <row r="82" spans="1:73" ht="21.75" hidden="1" outlineLevel="1" thickBot="1" x14ac:dyDescent="0.4">
      <c r="A82" s="83">
        <f>IFERROR(ALL!E61,0)</f>
        <v>0</v>
      </c>
      <c r="B82" s="16">
        <f ca="1">IFERROR(ALL!F61,0)</f>
        <v>0</v>
      </c>
      <c r="C82" s="16">
        <f ca="1">IFERROR(ALL!G61,0)</f>
        <v>0</v>
      </c>
      <c r="D82" s="16">
        <f ca="1">IFERROR(ALL!H61,0)</f>
        <v>0</v>
      </c>
      <c r="E82" s="16">
        <f ca="1">IFERROR(ALL!I61,0)</f>
        <v>0</v>
      </c>
      <c r="F82" s="16">
        <f ca="1">IFERROR(ALL!J61,0)</f>
        <v>0</v>
      </c>
      <c r="G82" s="16">
        <f ca="1">IFERROR(ALL!K61,0)</f>
        <v>0</v>
      </c>
      <c r="H82" s="16">
        <f ca="1">IFERROR(ALL!L61,0)</f>
        <v>0</v>
      </c>
      <c r="I82" s="16">
        <f ca="1">IFERROR(ALL!M61,0)</f>
        <v>0</v>
      </c>
      <c r="J82" s="16">
        <f ca="1">IFERROR(ALL!N61,0)</f>
        <v>0</v>
      </c>
      <c r="K82" s="16">
        <f ca="1">IFERROR(ALL!O61,0)</f>
        <v>0</v>
      </c>
      <c r="L82" s="16">
        <f ca="1">IFERROR(ALL!P61,0)</f>
        <v>0</v>
      </c>
      <c r="M82" s="16">
        <f ca="1">IFERROR(ALL!Q61,0)</f>
        <v>0</v>
      </c>
      <c r="N82" s="16">
        <f ca="1">IFERROR(ALL!R61,0)</f>
        <v>0</v>
      </c>
      <c r="O82" s="16">
        <f ca="1">IFERROR(ALL!S61,0)</f>
        <v>0</v>
      </c>
      <c r="P82" s="16">
        <f ca="1">IFERROR(ALL!T61,0)</f>
        <v>0</v>
      </c>
      <c r="Q82" s="16">
        <f ca="1">IFERROR(ALL!U61,0)</f>
        <v>0</v>
      </c>
      <c r="R82" s="16">
        <f ca="1">IFERROR(ALL!V61,0)</f>
        <v>0</v>
      </c>
      <c r="S82" s="16">
        <f ca="1">IFERROR(ALL!W61,0)</f>
        <v>0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99"/>
    </row>
    <row r="83" spans="1:73" ht="21.75" hidden="1" outlineLevel="1" thickBot="1" x14ac:dyDescent="0.4">
      <c r="A83" s="83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99"/>
    </row>
    <row r="84" spans="1:73" ht="21.75" hidden="1" outlineLevel="1" thickBot="1" x14ac:dyDescent="0.4">
      <c r="A84" s="83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99"/>
    </row>
    <row r="85" spans="1:73" ht="21.75" hidden="1" outlineLevel="1" thickBot="1" x14ac:dyDescent="0.4">
      <c r="A85" s="83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99"/>
    </row>
    <row r="86" spans="1:73" ht="21.75" hidden="1" outlineLevel="1" thickBot="1" x14ac:dyDescent="0.4">
      <c r="A86" s="83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99"/>
    </row>
    <row r="87" spans="1:73" ht="21.75" hidden="1" outlineLevel="1" thickBot="1" x14ac:dyDescent="0.4">
      <c r="A87" s="83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99"/>
    </row>
    <row r="88" spans="1:73" ht="21.75" hidden="1" outlineLevel="1" thickBot="1" x14ac:dyDescent="0.4">
      <c r="A88" s="83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99"/>
    </row>
    <row r="89" spans="1:73" ht="21.75" hidden="1" outlineLevel="1" thickBot="1" x14ac:dyDescent="0.4">
      <c r="A89" s="83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99"/>
    </row>
    <row r="90" spans="1:73" ht="21.75" hidden="1" outlineLevel="1" thickBot="1" x14ac:dyDescent="0.4">
      <c r="A90" s="83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99"/>
    </row>
    <row r="91" spans="1:73" ht="21.75" hidden="1" outlineLevel="1" thickBot="1" x14ac:dyDescent="0.4">
      <c r="A91" s="83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99"/>
    </row>
    <row r="92" spans="1:73" ht="21.75" hidden="1" outlineLevel="1" thickBot="1" x14ac:dyDescent="0.4">
      <c r="A92" s="83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99"/>
    </row>
    <row r="93" spans="1:73" ht="21.75" hidden="1" outlineLevel="1" thickBot="1" x14ac:dyDescent="0.4">
      <c r="A93" s="83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99"/>
    </row>
    <row r="94" spans="1:73" ht="21.75" hidden="1" outlineLevel="1" thickBot="1" x14ac:dyDescent="0.4">
      <c r="A94" s="83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99"/>
    </row>
    <row r="95" spans="1:73" ht="21.75" hidden="1" outlineLevel="1" thickBot="1" x14ac:dyDescent="0.4">
      <c r="A95" s="83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99"/>
    </row>
    <row r="96" spans="1:73" ht="21.75" hidden="1" outlineLevel="1" thickBot="1" x14ac:dyDescent="0.4">
      <c r="A96" s="83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99"/>
    </row>
    <row r="97" spans="1:72" ht="21.75" collapsed="1" thickTop="1" x14ac:dyDescent="0.35">
      <c r="A97" s="89"/>
      <c r="B97" s="97"/>
      <c r="C97" s="96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  <c r="AY97" s="96"/>
      <c r="AZ97" s="96"/>
      <c r="BA97" s="96"/>
      <c r="BB97" s="96"/>
      <c r="BC97" s="96"/>
      <c r="BD97" s="96"/>
      <c r="BE97" s="96"/>
      <c r="BF97" s="96"/>
      <c r="BG97" s="96"/>
      <c r="BH97" s="96"/>
      <c r="BI97" s="96"/>
      <c r="BJ97" s="96"/>
      <c r="BK97" s="96"/>
      <c r="BL97" s="96"/>
      <c r="BM97" s="96"/>
      <c r="BN97" s="96"/>
      <c r="BO97" s="96"/>
      <c r="BP97" s="96"/>
      <c r="BQ97" s="96"/>
      <c r="BR97" s="96"/>
      <c r="BS97" s="96"/>
      <c r="BT97" s="96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2" t="s">
        <v>48</v>
      </c>
      <c r="B99" s="90"/>
      <c r="C99" s="91"/>
      <c r="D99" s="91"/>
      <c r="E99" s="91"/>
      <c r="F99" s="90"/>
      <c r="G99" s="90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  <c r="BS99" s="90"/>
      <c r="BT99" s="90"/>
    </row>
    <row r="100" spans="1:72" ht="22.5" thickTop="1" thickBot="1" x14ac:dyDescent="0.4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9.9499999999999993" customHeight="1" thickTop="1" thickBot="1" x14ac:dyDescent="0.4">
      <c r="A101" s="45" t="s">
        <v>53</v>
      </c>
      <c r="B101" s="35">
        <v>-31.89722424242424</v>
      </c>
      <c r="C101" s="35">
        <v>-31.250533333333333</v>
      </c>
      <c r="D101" s="47">
        <v>-30.6572</v>
      </c>
      <c r="E101" s="47">
        <v>-30.1174</v>
      </c>
      <c r="F101" s="47">
        <v>-29.601715151515151</v>
      </c>
      <c r="G101" s="47">
        <v>-29.135654545454543</v>
      </c>
      <c r="H101" s="47">
        <v>-28.691783132530119</v>
      </c>
      <c r="I101" s="47">
        <v>-28.277325301204822</v>
      </c>
      <c r="J101" s="47">
        <v>-27.8978</v>
      </c>
      <c r="K101" s="47">
        <v>-27.532927272727274</v>
      </c>
      <c r="L101" s="47">
        <v>-27.198987878787882</v>
      </c>
      <c r="M101" s="47">
        <v>-26.90098033282905</v>
      </c>
      <c r="N101" s="47">
        <v>-26.643491679273829</v>
      </c>
      <c r="O101" s="47">
        <v>-26.386003025718608</v>
      </c>
      <c r="P101" s="47">
        <v>-26.128514372163391</v>
      </c>
      <c r="Q101" s="47">
        <v>-25.87102571860817</v>
      </c>
      <c r="R101" s="47">
        <v>-25.613537065052949</v>
      </c>
      <c r="S101" s="47">
        <v>-25.356048411497731</v>
      </c>
      <c r="T101" s="47">
        <v>-25.171028744326776</v>
      </c>
      <c r="U101" s="47">
        <v>-24.997806354009079</v>
      </c>
      <c r="V101" s="47">
        <v>-24.824583963691378</v>
      </c>
      <c r="W101" s="47">
        <v>-24.651361573373677</v>
      </c>
      <c r="X101" s="47">
        <v>-24.478139183055976</v>
      </c>
      <c r="Y101" s="47">
        <v>-24.304916792738275</v>
      </c>
      <c r="Z101" s="47">
        <v>-24.144810606060606</v>
      </c>
      <c r="AA101" s="47">
        <v>-24.02405303030303</v>
      </c>
      <c r="AB101" s="47">
        <v>-23.903295454545454</v>
      </c>
      <c r="AC101" s="47">
        <v>-23.782537878787878</v>
      </c>
      <c r="AD101" s="47">
        <v>-23.661780303030305</v>
      </c>
      <c r="AE101" s="47">
        <v>-23.541022727272729</v>
      </c>
      <c r="AF101" s="47">
        <v>-23.420265151515153</v>
      </c>
      <c r="AG101" s="47">
        <v>-23.322931921331318</v>
      </c>
      <c r="AH101" s="47">
        <v>-23.238211800302572</v>
      </c>
      <c r="AI101" s="47">
        <v>-23.153491679273827</v>
      </c>
      <c r="AJ101" s="47">
        <v>-23.068771558245082</v>
      </c>
      <c r="AK101" s="47">
        <v>-22.984051437216337</v>
      </c>
      <c r="AL101" s="47">
        <v>-22.899331316187592</v>
      </c>
      <c r="AM101" s="47">
        <v>-22.815652042360057</v>
      </c>
      <c r="AN101" s="47">
        <v>-22.756953101361571</v>
      </c>
      <c r="AO101" s="47">
        <v>-22.698254160363085</v>
      </c>
      <c r="AP101" s="47">
        <v>-22.639555219364599</v>
      </c>
      <c r="AQ101" s="47">
        <v>-22.58085627836611</v>
      </c>
      <c r="AR101" s="47">
        <v>-22.522157337367624</v>
      </c>
      <c r="AS101" s="47">
        <v>-22.463458396369138</v>
      </c>
      <c r="AT101" s="47">
        <v>-22.412826021180031</v>
      </c>
      <c r="AU101" s="47">
        <v>-22.372886535552194</v>
      </c>
      <c r="AV101" s="47">
        <v>-22.332947049924357</v>
      </c>
      <c r="AW101" s="47">
        <v>-22.29300756429652</v>
      </c>
      <c r="AX101" s="47">
        <v>-22.253068078668683</v>
      </c>
      <c r="AY101" s="47">
        <v>-22.213128593040846</v>
      </c>
      <c r="AZ101" s="47">
        <v>-22.173189107413009</v>
      </c>
      <c r="BA101" s="47">
        <v>-22.136181818181818</v>
      </c>
      <c r="BB101" s="47">
        <v>-22.101878787878789</v>
      </c>
      <c r="BC101" s="47">
        <v>-22.077636363636362</v>
      </c>
      <c r="BD101" s="47">
        <v>-22.050242424242423</v>
      </c>
      <c r="BE101" s="47">
        <v>-22.019939393939392</v>
      </c>
      <c r="BF101" s="47">
        <v>-21.99490909090909</v>
      </c>
      <c r="BG101" s="47">
        <v>-21.972024096385542</v>
      </c>
      <c r="BH101" s="47">
        <v>-21.953951807228915</v>
      </c>
      <c r="BI101" s="47">
        <v>-21.932763636363635</v>
      </c>
      <c r="BJ101" s="47">
        <v>-21.909127272727272</v>
      </c>
      <c r="BK101" s="47">
        <v>-21.892109090909091</v>
      </c>
      <c r="BL101" s="47">
        <v>-21.875903030303032</v>
      </c>
      <c r="BM101" s="47">
        <v>-21.860145454545453</v>
      </c>
      <c r="BN101" s="47">
        <v>-21.845127272727272</v>
      </c>
      <c r="BO101" s="47">
        <v>-21.830581818181816</v>
      </c>
      <c r="BP101" s="47">
        <v>-21.817277108433736</v>
      </c>
      <c r="BQ101" s="47">
        <v>-21.804363636363636</v>
      </c>
      <c r="BR101" s="47">
        <v>-21.792242424242424</v>
      </c>
      <c r="BS101" s="47">
        <v>-21.781303030303032</v>
      </c>
      <c r="BT101" s="47">
        <v>-21.771000000000001</v>
      </c>
    </row>
    <row r="102" spans="1:72" ht="9.9499999999999993" customHeight="1" thickBot="1" x14ac:dyDescent="0.4">
      <c r="A102" s="45" t="s">
        <v>96</v>
      </c>
      <c r="B102" s="35">
        <v>-22.6752</v>
      </c>
      <c r="C102" s="35">
        <v>-22.917042424242425</v>
      </c>
      <c r="D102" s="47">
        <v>-23.161890909090911</v>
      </c>
      <c r="E102" s="47">
        <v>-23.408509090909092</v>
      </c>
      <c r="F102" s="47">
        <v>-23.655587878787877</v>
      </c>
      <c r="G102" s="47">
        <v>-23.900436363636363</v>
      </c>
      <c r="H102" s="47">
        <v>-24.145686746987952</v>
      </c>
      <c r="I102" s="47">
        <v>-24.391469879518073</v>
      </c>
      <c r="J102" s="47">
        <v>-24.636533333333333</v>
      </c>
      <c r="K102" s="47">
        <v>-24.880800000000001</v>
      </c>
      <c r="L102" s="47">
        <v>-25.120799999999999</v>
      </c>
      <c r="M102" s="47">
        <v>-25.358354009077157</v>
      </c>
      <c r="N102" s="47">
        <v>-25.593149773071104</v>
      </c>
      <c r="O102" s="47">
        <v>-25.827945537065055</v>
      </c>
      <c r="P102" s="47">
        <v>-26.062741301059003</v>
      </c>
      <c r="Q102" s="47">
        <v>-26.29753706505295</v>
      </c>
      <c r="R102" s="47">
        <v>-26.532332829046901</v>
      </c>
      <c r="S102" s="47">
        <v>-26.767128593040848</v>
      </c>
      <c r="T102" s="47">
        <v>-26.989954614220878</v>
      </c>
      <c r="U102" s="47">
        <v>-27.210832072617247</v>
      </c>
      <c r="V102" s="47">
        <v>-27.431709531013617</v>
      </c>
      <c r="W102" s="47">
        <v>-27.652586989409986</v>
      </c>
      <c r="X102" s="47">
        <v>-27.873464447806356</v>
      </c>
      <c r="Y102" s="47">
        <v>-28.094341906202725</v>
      </c>
      <c r="Z102" s="47">
        <v>-28.311969696969697</v>
      </c>
      <c r="AA102" s="47">
        <v>-28.519848484848488</v>
      </c>
      <c r="AB102" s="47">
        <v>-28.727727272727275</v>
      </c>
      <c r="AC102" s="47">
        <v>-28.935606060606062</v>
      </c>
      <c r="AD102" s="47">
        <v>-29.143484848484849</v>
      </c>
      <c r="AE102" s="47">
        <v>-29.351363636363637</v>
      </c>
      <c r="AF102" s="47">
        <v>-29.559242424242427</v>
      </c>
      <c r="AG102" s="47">
        <v>-29.757869894099851</v>
      </c>
      <c r="AH102" s="47">
        <v>-29.951515885022694</v>
      </c>
      <c r="AI102" s="47">
        <v>-30.145161875945536</v>
      </c>
      <c r="AJ102" s="47">
        <v>-30.338807866868382</v>
      </c>
      <c r="AK102" s="47">
        <v>-30.532453857791225</v>
      </c>
      <c r="AL102" s="47">
        <v>-30.726099848714068</v>
      </c>
      <c r="AM102" s="47">
        <v>-30.919310136157335</v>
      </c>
      <c r="AN102" s="47">
        <v>-31.102063540090771</v>
      </c>
      <c r="AO102" s="47">
        <v>-31.284816944024204</v>
      </c>
      <c r="AP102" s="47">
        <v>-31.467570347957636</v>
      </c>
      <c r="AQ102" s="47">
        <v>-31.650323751891072</v>
      </c>
      <c r="AR102" s="47">
        <v>-31.833077155824505</v>
      </c>
      <c r="AS102" s="47">
        <v>-32.015830559757937</v>
      </c>
      <c r="AT102" s="47">
        <v>-32.194420574886536</v>
      </c>
      <c r="AU102" s="47">
        <v>-32.367491679273826</v>
      </c>
      <c r="AV102" s="47">
        <v>-32.540562783661116</v>
      </c>
      <c r="AW102" s="47">
        <v>-32.713633888048413</v>
      </c>
      <c r="AX102" s="47">
        <v>-32.886704992435703</v>
      </c>
      <c r="AY102" s="47">
        <v>-33.059776096823001</v>
      </c>
      <c r="AZ102" s="47">
        <v>-33.232847201210291</v>
      </c>
      <c r="BA102" s="47">
        <v>-33.403151515151514</v>
      </c>
      <c r="BB102" s="47">
        <v>-33.572848484848485</v>
      </c>
      <c r="BC102" s="47">
        <v>-33.74254545454545</v>
      </c>
      <c r="BD102" s="47">
        <v>-33.912242424242422</v>
      </c>
      <c r="BE102" s="47">
        <v>-34.081939393939393</v>
      </c>
      <c r="BF102" s="47">
        <v>-34.251636363636365</v>
      </c>
      <c r="BG102" s="47">
        <v>-34.421108433734943</v>
      </c>
      <c r="BH102" s="47">
        <v>-34.589783132530123</v>
      </c>
      <c r="BI102" s="47">
        <v>-34.760387878787881</v>
      </c>
      <c r="BJ102" s="47">
        <v>-34.932509090909093</v>
      </c>
      <c r="BK102" s="47">
        <v>-35.109042424242425</v>
      </c>
      <c r="BL102" s="47">
        <v>-35.286642424242423</v>
      </c>
      <c r="BM102" s="47">
        <v>-35.466036363636363</v>
      </c>
      <c r="BN102" s="47">
        <v>-35.648387878787879</v>
      </c>
      <c r="BO102" s="47">
        <v>-35.832630303030307</v>
      </c>
      <c r="BP102" s="47">
        <v>-36.020433734939765</v>
      </c>
      <c r="BQ102" s="47">
        <v>-36.210181818181816</v>
      </c>
      <c r="BR102" s="47">
        <v>-36.404121212121211</v>
      </c>
      <c r="BS102" s="47">
        <v>-36.602787878787879</v>
      </c>
      <c r="BT102" s="47">
        <v>-36.804000000000002</v>
      </c>
    </row>
    <row r="103" spans="1:72" ht="9.9499999999999993" customHeight="1" thickBot="1" x14ac:dyDescent="0.4">
      <c r="A103" s="45" t="s">
        <v>95</v>
      </c>
      <c r="B103" s="35">
        <v>-28.344000000000001</v>
      </c>
      <c r="C103" s="35">
        <v>-28.646303030303031</v>
      </c>
      <c r="D103" s="47">
        <v>-28.952363636363639</v>
      </c>
      <c r="E103" s="47">
        <v>-29.260636363636365</v>
      </c>
      <c r="F103" s="47">
        <v>-29.569484848484848</v>
      </c>
      <c r="G103" s="47">
        <v>-29.875545454545453</v>
      </c>
      <c r="H103" s="47">
        <v>-30.182108433734939</v>
      </c>
      <c r="I103" s="47">
        <v>-30.489337349397591</v>
      </c>
      <c r="J103" s="47">
        <v>-30.795666666666669</v>
      </c>
      <c r="K103" s="47">
        <v>-31.101000000000003</v>
      </c>
      <c r="L103" s="47">
        <v>-31.401000000000003</v>
      </c>
      <c r="M103" s="47">
        <v>-31.697942511346447</v>
      </c>
      <c r="N103" s="47">
        <v>-31.99143721633888</v>
      </c>
      <c r="O103" s="47">
        <v>-32.284931921331321</v>
      </c>
      <c r="P103" s="47">
        <v>-32.578426626323754</v>
      </c>
      <c r="Q103" s="47">
        <v>-32.871921331316187</v>
      </c>
      <c r="R103" s="47">
        <v>-33.165416036308628</v>
      </c>
      <c r="S103" s="47">
        <v>-33.458910741301061</v>
      </c>
      <c r="T103" s="47">
        <v>-33.737443267776101</v>
      </c>
      <c r="U103" s="47">
        <v>-34.013540090771556</v>
      </c>
      <c r="V103" s="47">
        <v>-34.289636913767019</v>
      </c>
      <c r="W103" s="47">
        <v>-34.565733736762482</v>
      </c>
      <c r="X103" s="47">
        <v>-34.841830559757945</v>
      </c>
      <c r="Y103" s="47">
        <v>-35.117927382753408</v>
      </c>
      <c r="Z103" s="47">
        <v>-35.389962121212122</v>
      </c>
      <c r="AA103" s="47">
        <v>-35.649810606060605</v>
      </c>
      <c r="AB103" s="47">
        <v>-35.909659090909095</v>
      </c>
      <c r="AC103" s="47">
        <v>-36.169507575757578</v>
      </c>
      <c r="AD103" s="47">
        <v>-36.429356060606061</v>
      </c>
      <c r="AE103" s="47">
        <v>-36.689204545454544</v>
      </c>
      <c r="AF103" s="47">
        <v>-36.949053030303027</v>
      </c>
      <c r="AG103" s="47">
        <v>-37.197337367624812</v>
      </c>
      <c r="AH103" s="47">
        <v>-37.439394856278362</v>
      </c>
      <c r="AI103" s="47">
        <v>-37.68145234493192</v>
      </c>
      <c r="AJ103" s="47">
        <v>-37.923509833585477</v>
      </c>
      <c r="AK103" s="47">
        <v>-38.165567322239035</v>
      </c>
      <c r="AL103" s="47">
        <v>-38.407624810892585</v>
      </c>
      <c r="AM103" s="47">
        <v>-38.649137670196673</v>
      </c>
      <c r="AN103" s="47">
        <v>-38.877579425113467</v>
      </c>
      <c r="AO103" s="47">
        <v>-39.106021180030254</v>
      </c>
      <c r="AP103" s="47">
        <v>-39.334462934947048</v>
      </c>
      <c r="AQ103" s="47">
        <v>-39.562904689863842</v>
      </c>
      <c r="AR103" s="47">
        <v>-39.791346444780636</v>
      </c>
      <c r="AS103" s="47">
        <v>-40.019788199697423</v>
      </c>
      <c r="AT103" s="47">
        <v>-40.243025718608166</v>
      </c>
      <c r="AU103" s="47">
        <v>-40.459364599092282</v>
      </c>
      <c r="AV103" s="47">
        <v>-40.675703479576399</v>
      </c>
      <c r="AW103" s="47">
        <v>-40.892042360060515</v>
      </c>
      <c r="AX103" s="47">
        <v>-41.108381240544631</v>
      </c>
      <c r="AY103" s="47">
        <v>-41.324720121028747</v>
      </c>
      <c r="AZ103" s="47">
        <v>-41.541059001512863</v>
      </c>
      <c r="BA103" s="47">
        <v>-41.753939393939397</v>
      </c>
      <c r="BB103" s="47">
        <v>-41.966060606060601</v>
      </c>
      <c r="BC103" s="47">
        <v>-42.17818181818182</v>
      </c>
      <c r="BD103" s="47">
        <v>-42.390303030303031</v>
      </c>
      <c r="BE103" s="47">
        <v>-42.602424242424242</v>
      </c>
      <c r="BF103" s="47">
        <v>-42.814545454545453</v>
      </c>
      <c r="BG103" s="47">
        <v>-43.026385542168676</v>
      </c>
      <c r="BH103" s="47">
        <v>-43.237228915662648</v>
      </c>
      <c r="BI103" s="47">
        <v>-43.450484848484848</v>
      </c>
      <c r="BJ103" s="47">
        <v>-43.665636363636366</v>
      </c>
      <c r="BK103" s="47">
        <v>-43.886303030303033</v>
      </c>
      <c r="BL103" s="47">
        <v>-44.108303030303034</v>
      </c>
      <c r="BM103" s="47">
        <v>-44.33254545454546</v>
      </c>
      <c r="BN103" s="47">
        <v>-44.560484848484855</v>
      </c>
      <c r="BO103" s="47">
        <v>-44.790787878787881</v>
      </c>
      <c r="BP103" s="47">
        <v>-45.025542168674697</v>
      </c>
      <c r="BQ103" s="47">
        <v>-45.262727272727268</v>
      </c>
      <c r="BR103" s="47">
        <v>-45.505151515151518</v>
      </c>
      <c r="BS103" s="47">
        <v>-45.753484848484852</v>
      </c>
      <c r="BT103" s="47">
        <v>-46.005000000000003</v>
      </c>
    </row>
    <row r="104" spans="1:72" ht="9.9499999999999993" customHeight="1" thickBot="1" x14ac:dyDescent="0.4">
      <c r="A104" s="45" t="s">
        <v>94</v>
      </c>
      <c r="B104" s="35">
        <v>-34.012800000000006</v>
      </c>
      <c r="C104" s="35">
        <v>-34.375563636363637</v>
      </c>
      <c r="D104" s="47">
        <v>-34.742836363636364</v>
      </c>
      <c r="E104" s="47">
        <v>-35.112763636363638</v>
      </c>
      <c r="F104" s="47">
        <v>-35.483381818181819</v>
      </c>
      <c r="G104" s="47">
        <v>-35.850654545454546</v>
      </c>
      <c r="H104" s="47">
        <v>-36.21853012048193</v>
      </c>
      <c r="I104" s="47">
        <v>-36.587204819277105</v>
      </c>
      <c r="J104" s="47">
        <v>-36.954799999999999</v>
      </c>
      <c r="K104" s="47">
        <v>-37.321199999999997</v>
      </c>
      <c r="L104" s="47">
        <v>-37.681199999999997</v>
      </c>
      <c r="M104" s="47">
        <v>-38.037531013615734</v>
      </c>
      <c r="N104" s="47">
        <v>-38.389724659606657</v>
      </c>
      <c r="O104" s="47">
        <v>-38.741918305597579</v>
      </c>
      <c r="P104" s="47">
        <v>-39.094111951588502</v>
      </c>
      <c r="Q104" s="47">
        <v>-39.446305597579425</v>
      </c>
      <c r="R104" s="47">
        <v>-39.798499243570348</v>
      </c>
      <c r="S104" s="47">
        <v>-40.150692889561277</v>
      </c>
      <c r="T104" s="47">
        <v>-40.484931921331317</v>
      </c>
      <c r="U104" s="47">
        <v>-40.816248108925876</v>
      </c>
      <c r="V104" s="47">
        <v>-41.147564296520429</v>
      </c>
      <c r="W104" s="47">
        <v>-41.478880484114981</v>
      </c>
      <c r="X104" s="47">
        <v>-41.810196671709534</v>
      </c>
      <c r="Y104" s="47">
        <v>-42.141512859304086</v>
      </c>
      <c r="Z104" s="47">
        <v>-42.467954545454546</v>
      </c>
      <c r="AA104" s="47">
        <v>-42.779772727272729</v>
      </c>
      <c r="AB104" s="47">
        <v>-43.091590909090911</v>
      </c>
      <c r="AC104" s="47">
        <v>-43.403409090909093</v>
      </c>
      <c r="AD104" s="47">
        <v>-43.715227272727276</v>
      </c>
      <c r="AE104" s="47">
        <v>-44.027045454545458</v>
      </c>
      <c r="AF104" s="47">
        <v>-44.338863636363634</v>
      </c>
      <c r="AG104" s="47">
        <v>-44.636804841149775</v>
      </c>
      <c r="AH104" s="47">
        <v>-44.927273827534037</v>
      </c>
      <c r="AI104" s="47">
        <v>-45.217742813918306</v>
      </c>
      <c r="AJ104" s="47">
        <v>-45.508211800302568</v>
      </c>
      <c r="AK104" s="47">
        <v>-45.798680786686838</v>
      </c>
      <c r="AL104" s="47">
        <v>-46.0891497730711</v>
      </c>
      <c r="AM104" s="47">
        <v>-46.378965204236003</v>
      </c>
      <c r="AN104" s="47">
        <v>-46.653095310136152</v>
      </c>
      <c r="AO104" s="47">
        <v>-46.9272254160363</v>
      </c>
      <c r="AP104" s="47">
        <v>-47.201355521936456</v>
      </c>
      <c r="AQ104" s="47">
        <v>-47.475485627836605</v>
      </c>
      <c r="AR104" s="47">
        <v>-47.749615733736753</v>
      </c>
      <c r="AS104" s="47">
        <v>-48.023745839636902</v>
      </c>
      <c r="AT104" s="47">
        <v>-48.291630862329797</v>
      </c>
      <c r="AU104" s="47">
        <v>-48.551237518910732</v>
      </c>
      <c r="AV104" s="47">
        <v>-48.810844175491674</v>
      </c>
      <c r="AW104" s="47">
        <v>-49.070450832072616</v>
      </c>
      <c r="AX104" s="47">
        <v>-49.330057488653551</v>
      </c>
      <c r="AY104" s="47">
        <v>-49.589664145234494</v>
      </c>
      <c r="AZ104" s="47">
        <v>-49.849270801815436</v>
      </c>
      <c r="BA104" s="47">
        <v>-50.104727272727274</v>
      </c>
      <c r="BB104" s="47">
        <v>-50.359272727272725</v>
      </c>
      <c r="BC104" s="47">
        <v>-50.613818181818182</v>
      </c>
      <c r="BD104" s="47">
        <v>-50.868363636363632</v>
      </c>
      <c r="BE104" s="47">
        <v>-51.12290909090909</v>
      </c>
      <c r="BF104" s="47">
        <v>-51.377454545454547</v>
      </c>
      <c r="BG104" s="47">
        <v>-51.631662650602415</v>
      </c>
      <c r="BH104" s="47">
        <v>-51.88467469879518</v>
      </c>
      <c r="BI104" s="47">
        <v>-52.140581818181822</v>
      </c>
      <c r="BJ104" s="47">
        <v>-52.398763636363633</v>
      </c>
      <c r="BK104" s="47">
        <v>-52.663563636363634</v>
      </c>
      <c r="BL104" s="47">
        <v>-52.929963636363638</v>
      </c>
      <c r="BM104" s="47">
        <v>-53.199054545454544</v>
      </c>
      <c r="BN104" s="47">
        <v>-53.472581818181823</v>
      </c>
      <c r="BO104" s="47">
        <v>-53.748945454545463</v>
      </c>
      <c r="BP104" s="47">
        <v>-54.030650602409644</v>
      </c>
      <c r="BQ104" s="47">
        <v>-54.315272727272728</v>
      </c>
      <c r="BR104" s="47">
        <v>-54.606181818181817</v>
      </c>
      <c r="BS104" s="47">
        <v>-54.904181818181819</v>
      </c>
      <c r="BT104" s="47">
        <v>-55.206000000000003</v>
      </c>
    </row>
    <row r="105" spans="1:72" ht="9.9499999999999993" customHeight="1" thickBot="1" x14ac:dyDescent="0.4">
      <c r="A105" s="45" t="s">
        <v>68</v>
      </c>
      <c r="B105" s="35">
        <v>-5.6688000000000001</v>
      </c>
      <c r="C105" s="35">
        <v>-5.7292606060606062</v>
      </c>
      <c r="D105" s="47">
        <v>-5.7904727272727277</v>
      </c>
      <c r="E105" s="47">
        <v>-5.8521272727272731</v>
      </c>
      <c r="F105" s="47">
        <v>-5.9138969696969692</v>
      </c>
      <c r="G105" s="47">
        <v>-5.9751090909090907</v>
      </c>
      <c r="H105" s="47">
        <v>-6.036421686746988</v>
      </c>
      <c r="I105" s="47">
        <v>-6.0978674698795183</v>
      </c>
      <c r="J105" s="47">
        <v>-6.1591333333333331</v>
      </c>
      <c r="K105" s="47">
        <v>-6.2202000000000002</v>
      </c>
      <c r="L105" s="47">
        <v>-6.2801999999999998</v>
      </c>
      <c r="M105" s="47">
        <v>-6.3395885022692893</v>
      </c>
      <c r="N105" s="47">
        <v>-6.3982874432677761</v>
      </c>
      <c r="O105" s="47">
        <v>-6.4569863842662638</v>
      </c>
      <c r="P105" s="47">
        <v>-6.5156853252647506</v>
      </c>
      <c r="Q105" s="47">
        <v>-6.5743842662632375</v>
      </c>
      <c r="R105" s="47">
        <v>-6.6330832072617252</v>
      </c>
      <c r="S105" s="47">
        <v>-6.691782148260212</v>
      </c>
      <c r="T105" s="47">
        <v>-6.7474886535552194</v>
      </c>
      <c r="U105" s="47">
        <v>-6.8027080181543118</v>
      </c>
      <c r="V105" s="47">
        <v>-6.8579273827534042</v>
      </c>
      <c r="W105" s="47">
        <v>-6.9131467473524966</v>
      </c>
      <c r="X105" s="47">
        <v>-6.9683661119515889</v>
      </c>
      <c r="Y105" s="47">
        <v>-7.0235854765506813</v>
      </c>
      <c r="Z105" s="47">
        <v>-7.0779924242424244</v>
      </c>
      <c r="AA105" s="47">
        <v>-7.129962121212122</v>
      </c>
      <c r="AB105" s="47">
        <v>-7.1819318181818188</v>
      </c>
      <c r="AC105" s="47">
        <v>-7.2339015151515156</v>
      </c>
      <c r="AD105" s="47">
        <v>-7.2858712121212124</v>
      </c>
      <c r="AE105" s="47">
        <v>-7.3378409090909091</v>
      </c>
      <c r="AF105" s="47">
        <v>-7.3898106060606068</v>
      </c>
      <c r="AG105" s="47">
        <v>-7.4394674735249628</v>
      </c>
      <c r="AH105" s="47">
        <v>-7.4878789712556735</v>
      </c>
      <c r="AI105" s="47">
        <v>-7.5362904689863841</v>
      </c>
      <c r="AJ105" s="47">
        <v>-7.5847019667170956</v>
      </c>
      <c r="AK105" s="47">
        <v>-7.6331134644478063</v>
      </c>
      <c r="AL105" s="47">
        <v>-7.6815249621785169</v>
      </c>
      <c r="AM105" s="47">
        <v>-7.7298275340393339</v>
      </c>
      <c r="AN105" s="47">
        <v>-7.7755158850226929</v>
      </c>
      <c r="AO105" s="47">
        <v>-7.821204236006051</v>
      </c>
      <c r="AP105" s="47">
        <v>-7.8668925869894091</v>
      </c>
      <c r="AQ105" s="47">
        <v>-7.9125809379727681</v>
      </c>
      <c r="AR105" s="47">
        <v>-7.9582692889561262</v>
      </c>
      <c r="AS105" s="47">
        <v>-8.0039576399394843</v>
      </c>
      <c r="AT105" s="47">
        <v>-8.0486051437216339</v>
      </c>
      <c r="AU105" s="47">
        <v>-8.0918729198184565</v>
      </c>
      <c r="AV105" s="47">
        <v>-8.135140695915279</v>
      </c>
      <c r="AW105" s="47">
        <v>-8.1784084720121033</v>
      </c>
      <c r="AX105" s="47">
        <v>-8.2216762481089258</v>
      </c>
      <c r="AY105" s="47">
        <v>-8.2649440242057501</v>
      </c>
      <c r="AZ105" s="47">
        <v>-8.3082118003025727</v>
      </c>
      <c r="BA105" s="47">
        <v>-8.3507878787878784</v>
      </c>
      <c r="BB105" s="47">
        <v>-8.3932121212121213</v>
      </c>
      <c r="BC105" s="47">
        <v>-8.4356363636363625</v>
      </c>
      <c r="BD105" s="47">
        <v>-8.4780606060606054</v>
      </c>
      <c r="BE105" s="47">
        <v>-8.5204848484848483</v>
      </c>
      <c r="BF105" s="47">
        <v>-8.5629090909090912</v>
      </c>
      <c r="BG105" s="47">
        <v>-8.6052771084337358</v>
      </c>
      <c r="BH105" s="47">
        <v>-8.6474457831325307</v>
      </c>
      <c r="BI105" s="47">
        <v>-8.6900969696969703</v>
      </c>
      <c r="BJ105" s="47">
        <v>-8.7331272727272733</v>
      </c>
      <c r="BK105" s="47">
        <v>-8.7772606060606062</v>
      </c>
      <c r="BL105" s="47">
        <v>-8.8216606060606058</v>
      </c>
      <c r="BM105" s="47">
        <v>-8.8665090909090907</v>
      </c>
      <c r="BN105" s="47">
        <v>-8.9120969696969699</v>
      </c>
      <c r="BO105" s="47">
        <v>-8.9581575757575767</v>
      </c>
      <c r="BP105" s="47">
        <v>-9.0051084337349412</v>
      </c>
      <c r="BQ105" s="47">
        <v>-9.052545454545454</v>
      </c>
      <c r="BR105" s="47">
        <v>-9.1010303030303028</v>
      </c>
      <c r="BS105" s="47">
        <v>-9.1506969696969698</v>
      </c>
      <c r="BT105" s="47">
        <v>-9.2010000000000005</v>
      </c>
    </row>
    <row r="106" spans="1:72" ht="9.9499999999999993" customHeight="1" thickBot="1" x14ac:dyDescent="0.4">
      <c r="A106" s="45" t="s">
        <v>97</v>
      </c>
      <c r="B106" s="35">
        <v>-17.006400000000003</v>
      </c>
      <c r="C106" s="35">
        <v>-17.187781818181818</v>
      </c>
      <c r="D106" s="47">
        <v>-17.371418181818182</v>
      </c>
      <c r="E106" s="47">
        <v>-17.556381818181819</v>
      </c>
      <c r="F106" s="47">
        <v>-17.741690909090909</v>
      </c>
      <c r="G106" s="47">
        <v>-17.925327272727273</v>
      </c>
      <c r="H106" s="47">
        <v>-18.109265060240965</v>
      </c>
      <c r="I106" s="47">
        <v>-18.293602409638552</v>
      </c>
      <c r="J106" s="47">
        <v>-18.477399999999999</v>
      </c>
      <c r="K106" s="47">
        <v>-18.660599999999999</v>
      </c>
      <c r="L106" s="47">
        <v>-18.840599999999998</v>
      </c>
      <c r="M106" s="47">
        <v>-19.018765506807867</v>
      </c>
      <c r="N106" s="47">
        <v>-19.194862329803328</v>
      </c>
      <c r="O106" s="47">
        <v>-19.37095915279879</v>
      </c>
      <c r="P106" s="47">
        <v>-19.547055975794251</v>
      </c>
      <c r="Q106" s="47">
        <v>-19.723152798789712</v>
      </c>
      <c r="R106" s="47">
        <v>-19.899249621785174</v>
      </c>
      <c r="S106" s="47">
        <v>-20.075346444780639</v>
      </c>
      <c r="T106" s="47">
        <v>-20.242465960665658</v>
      </c>
      <c r="U106" s="47">
        <v>-20.408124054462938</v>
      </c>
      <c r="V106" s="47">
        <v>-20.573782148260214</v>
      </c>
      <c r="W106" s="47">
        <v>-20.739440242057491</v>
      </c>
      <c r="X106" s="47">
        <v>-20.905098335854767</v>
      </c>
      <c r="Y106" s="47">
        <v>-21.070756429652043</v>
      </c>
      <c r="Z106" s="47">
        <v>-21.233977272727273</v>
      </c>
      <c r="AA106" s="47">
        <v>-21.389886363636364</v>
      </c>
      <c r="AB106" s="47">
        <v>-21.545795454545456</v>
      </c>
      <c r="AC106" s="47">
        <v>-21.701704545454547</v>
      </c>
      <c r="AD106" s="47">
        <v>-21.857613636363638</v>
      </c>
      <c r="AE106" s="47">
        <v>-22.013522727272729</v>
      </c>
      <c r="AF106" s="47">
        <v>-22.169431818181817</v>
      </c>
      <c r="AG106" s="47">
        <v>-22.318402420574888</v>
      </c>
      <c r="AH106" s="47">
        <v>-22.463636913767019</v>
      </c>
      <c r="AI106" s="47">
        <v>-22.608871406959153</v>
      </c>
      <c r="AJ106" s="47">
        <v>-22.754105900151284</v>
      </c>
      <c r="AK106" s="47">
        <v>-22.899340393343419</v>
      </c>
      <c r="AL106" s="47">
        <v>-23.04457488653555</v>
      </c>
      <c r="AM106" s="47">
        <v>-23.189482602118002</v>
      </c>
      <c r="AN106" s="47">
        <v>-23.326547655068076</v>
      </c>
      <c r="AO106" s="47">
        <v>-23.46361270801815</v>
      </c>
      <c r="AP106" s="47">
        <v>-23.600677760968228</v>
      </c>
      <c r="AQ106" s="47">
        <v>-23.737742813918302</v>
      </c>
      <c r="AR106" s="47">
        <v>-23.874807866868377</v>
      </c>
      <c r="AS106" s="47">
        <v>-24.011872919818451</v>
      </c>
      <c r="AT106" s="47">
        <v>-24.145815431164898</v>
      </c>
      <c r="AU106" s="47">
        <v>-24.275618759455366</v>
      </c>
      <c r="AV106" s="47">
        <v>-24.405422087745837</v>
      </c>
      <c r="AW106" s="47">
        <v>-24.535225416036308</v>
      </c>
      <c r="AX106" s="47">
        <v>-24.665028744326776</v>
      </c>
      <c r="AY106" s="47">
        <v>-24.794832072617247</v>
      </c>
      <c r="AZ106" s="47">
        <v>-24.924635400907718</v>
      </c>
      <c r="BA106" s="47">
        <v>-25.052363636363637</v>
      </c>
      <c r="BB106" s="47">
        <v>-25.179636363636362</v>
      </c>
      <c r="BC106" s="47">
        <v>-25.306909090909091</v>
      </c>
      <c r="BD106" s="47">
        <v>-25.434181818181816</v>
      </c>
      <c r="BE106" s="47">
        <v>-25.561454545454545</v>
      </c>
      <c r="BF106" s="47">
        <v>-25.688727272727274</v>
      </c>
      <c r="BG106" s="47">
        <v>-25.815831325301207</v>
      </c>
      <c r="BH106" s="47">
        <v>-25.94233734939759</v>
      </c>
      <c r="BI106" s="47">
        <v>-26.070290909090911</v>
      </c>
      <c r="BJ106" s="47">
        <v>-26.199381818181816</v>
      </c>
      <c r="BK106" s="47">
        <v>-26.331781818181817</v>
      </c>
      <c r="BL106" s="47">
        <v>-26.464981818181819</v>
      </c>
      <c r="BM106" s="47">
        <v>-26.599527272727272</v>
      </c>
      <c r="BN106" s="47">
        <v>-26.736290909090911</v>
      </c>
      <c r="BO106" s="47">
        <v>-26.874472727272732</v>
      </c>
      <c r="BP106" s="47">
        <v>-27.015325301204822</v>
      </c>
      <c r="BQ106" s="47">
        <v>-27.157636363636364</v>
      </c>
      <c r="BR106" s="47">
        <v>-27.303090909090908</v>
      </c>
      <c r="BS106" s="47">
        <v>-27.452090909090909</v>
      </c>
      <c r="BT106" s="47">
        <v>-27.603000000000002</v>
      </c>
    </row>
    <row r="107" spans="1:72" ht="9.9499999999999993" customHeight="1" thickBot="1" x14ac:dyDescent="0.4">
      <c r="A107" s="45" t="s">
        <v>97</v>
      </c>
      <c r="B107" s="35">
        <v>-17.006400000000003</v>
      </c>
      <c r="C107" s="35">
        <v>-17.187781818181818</v>
      </c>
      <c r="D107" s="47">
        <v>-17.371418181818182</v>
      </c>
      <c r="E107" s="47">
        <v>-17.556381818181819</v>
      </c>
      <c r="F107" s="47">
        <v>-17.741690909090909</v>
      </c>
      <c r="G107" s="47">
        <v>-17.925327272727273</v>
      </c>
      <c r="H107" s="47">
        <v>-18.109265060240965</v>
      </c>
      <c r="I107" s="47">
        <v>-18.293602409638552</v>
      </c>
      <c r="J107" s="47">
        <v>-18.477399999999999</v>
      </c>
      <c r="K107" s="47">
        <v>-18.660599999999999</v>
      </c>
      <c r="L107" s="47">
        <v>-18.840599999999998</v>
      </c>
      <c r="M107" s="47">
        <v>-19.018765506807867</v>
      </c>
      <c r="N107" s="47">
        <v>-19.194862329803328</v>
      </c>
      <c r="O107" s="47">
        <v>-19.37095915279879</v>
      </c>
      <c r="P107" s="47">
        <v>-19.547055975794251</v>
      </c>
      <c r="Q107" s="47">
        <v>-19.723152798789712</v>
      </c>
      <c r="R107" s="47">
        <v>-19.899249621785174</v>
      </c>
      <c r="S107" s="47">
        <v>-20.075346444780639</v>
      </c>
      <c r="T107" s="47">
        <v>-20.242465960665658</v>
      </c>
      <c r="U107" s="47">
        <v>-20.408124054462938</v>
      </c>
      <c r="V107" s="47">
        <v>-20.573782148260214</v>
      </c>
      <c r="W107" s="47">
        <v>-20.739440242057491</v>
      </c>
      <c r="X107" s="47">
        <v>-20.905098335854767</v>
      </c>
      <c r="Y107" s="47">
        <v>-21.070756429652043</v>
      </c>
      <c r="Z107" s="47">
        <v>-21.233977272727273</v>
      </c>
      <c r="AA107" s="47">
        <v>-21.389886363636364</v>
      </c>
      <c r="AB107" s="47">
        <v>-21.545795454545456</v>
      </c>
      <c r="AC107" s="47">
        <v>-21.701704545454547</v>
      </c>
      <c r="AD107" s="47">
        <v>-21.857613636363638</v>
      </c>
      <c r="AE107" s="47">
        <v>-22.013522727272729</v>
      </c>
      <c r="AF107" s="47">
        <v>-22.169431818181817</v>
      </c>
      <c r="AG107" s="47">
        <v>-22.318402420574888</v>
      </c>
      <c r="AH107" s="47">
        <v>-22.463636913767019</v>
      </c>
      <c r="AI107" s="47">
        <v>-22.608871406959153</v>
      </c>
      <c r="AJ107" s="47">
        <v>-22.754105900151284</v>
      </c>
      <c r="AK107" s="47">
        <v>-22.899340393343419</v>
      </c>
      <c r="AL107" s="47">
        <v>-23.04457488653555</v>
      </c>
      <c r="AM107" s="47">
        <v>-23.189482602118002</v>
      </c>
      <c r="AN107" s="47">
        <v>-23.326547655068076</v>
      </c>
      <c r="AO107" s="47">
        <v>-23.46361270801815</v>
      </c>
      <c r="AP107" s="47">
        <v>-23.600677760968228</v>
      </c>
      <c r="AQ107" s="47">
        <v>-23.737742813918302</v>
      </c>
      <c r="AR107" s="47">
        <v>-23.874807866868377</v>
      </c>
      <c r="AS107" s="47">
        <v>-24.011872919818451</v>
      </c>
      <c r="AT107" s="47">
        <v>-24.145815431164898</v>
      </c>
      <c r="AU107" s="47">
        <v>-24.275618759455366</v>
      </c>
      <c r="AV107" s="47">
        <v>-24.405422087745837</v>
      </c>
      <c r="AW107" s="47">
        <v>-24.535225416036308</v>
      </c>
      <c r="AX107" s="47">
        <v>-24.665028744326776</v>
      </c>
      <c r="AY107" s="47">
        <v>-24.794832072617247</v>
      </c>
      <c r="AZ107" s="47">
        <v>-24.924635400907718</v>
      </c>
      <c r="BA107" s="47">
        <v>-25.052363636363637</v>
      </c>
      <c r="BB107" s="47">
        <v>-25.179636363636362</v>
      </c>
      <c r="BC107" s="47">
        <v>-25.306909090909091</v>
      </c>
      <c r="BD107" s="47">
        <v>-25.434181818181816</v>
      </c>
      <c r="BE107" s="47">
        <v>-25.561454545454545</v>
      </c>
      <c r="BF107" s="47">
        <v>-25.688727272727274</v>
      </c>
      <c r="BG107" s="47">
        <v>-25.815831325301207</v>
      </c>
      <c r="BH107" s="47">
        <v>-25.94233734939759</v>
      </c>
      <c r="BI107" s="47">
        <v>-26.070290909090911</v>
      </c>
      <c r="BJ107" s="47">
        <v>-26.199381818181816</v>
      </c>
      <c r="BK107" s="47">
        <v>-26.331781818181817</v>
      </c>
      <c r="BL107" s="47">
        <v>-26.464981818181819</v>
      </c>
      <c r="BM107" s="47">
        <v>-26.599527272727272</v>
      </c>
      <c r="BN107" s="47">
        <v>-26.736290909090911</v>
      </c>
      <c r="BO107" s="47">
        <v>-26.874472727272732</v>
      </c>
      <c r="BP107" s="47">
        <v>-27.015325301204822</v>
      </c>
      <c r="BQ107" s="47">
        <v>-27.157636363636364</v>
      </c>
      <c r="BR107" s="47">
        <v>-27.303090909090908</v>
      </c>
      <c r="BS107" s="47">
        <v>-27.452090909090909</v>
      </c>
      <c r="BT107" s="47">
        <v>-27.603000000000002</v>
      </c>
    </row>
    <row r="108" spans="1:72" ht="9.9499999999999993" customHeight="1" thickBot="1" x14ac:dyDescent="0.4">
      <c r="A108" s="45" t="s">
        <v>98</v>
      </c>
      <c r="B108" s="35">
        <v>-11.3376</v>
      </c>
      <c r="C108" s="35">
        <v>-11.458521212121212</v>
      </c>
      <c r="D108" s="47">
        <v>-11.580945454545455</v>
      </c>
      <c r="E108" s="47">
        <v>-11.704254545454546</v>
      </c>
      <c r="F108" s="47">
        <v>-11.827793939393938</v>
      </c>
      <c r="G108" s="47">
        <v>-11.950218181818181</v>
      </c>
      <c r="H108" s="47">
        <v>-12.072843373493976</v>
      </c>
      <c r="I108" s="47">
        <v>-12.195734939759037</v>
      </c>
      <c r="J108" s="47">
        <v>-12.318266666666666</v>
      </c>
      <c r="K108" s="47">
        <v>-12.4404</v>
      </c>
      <c r="L108" s="47">
        <v>-12.5604</v>
      </c>
      <c r="M108" s="47">
        <v>-12.679177004538579</v>
      </c>
      <c r="N108" s="47">
        <v>-12.796574886535552</v>
      </c>
      <c r="O108" s="47">
        <v>-12.913972768532528</v>
      </c>
      <c r="P108" s="47">
        <v>-13.031370650529501</v>
      </c>
      <c r="Q108" s="47">
        <v>-13.148768532526475</v>
      </c>
      <c r="R108" s="47">
        <v>-13.26616641452345</v>
      </c>
      <c r="S108" s="47">
        <v>-13.383564296520424</v>
      </c>
      <c r="T108" s="47">
        <v>-13.494977307110439</v>
      </c>
      <c r="U108" s="47">
        <v>-13.605416036308624</v>
      </c>
      <c r="V108" s="47">
        <v>-13.715854765506808</v>
      </c>
      <c r="W108" s="47">
        <v>-13.826293494704993</v>
      </c>
      <c r="X108" s="47">
        <v>-13.936732223903178</v>
      </c>
      <c r="Y108" s="47">
        <v>-14.047170953101363</v>
      </c>
      <c r="Z108" s="47">
        <v>-14.155984848484849</v>
      </c>
      <c r="AA108" s="47">
        <v>-14.259924242424244</v>
      </c>
      <c r="AB108" s="47">
        <v>-14.363863636363638</v>
      </c>
      <c r="AC108" s="47">
        <v>-14.467803030303031</v>
      </c>
      <c r="AD108" s="47">
        <v>-14.571742424242425</v>
      </c>
      <c r="AE108" s="47">
        <v>-14.675681818181818</v>
      </c>
      <c r="AF108" s="47">
        <v>-14.779621212121214</v>
      </c>
      <c r="AG108" s="47">
        <v>-14.878934947049926</v>
      </c>
      <c r="AH108" s="47">
        <v>-14.975757942511347</v>
      </c>
      <c r="AI108" s="47">
        <v>-15.072580937972768</v>
      </c>
      <c r="AJ108" s="47">
        <v>-15.169403933434191</v>
      </c>
      <c r="AK108" s="47">
        <v>-15.266226928895613</v>
      </c>
      <c r="AL108" s="47">
        <v>-15.363049924357034</v>
      </c>
      <c r="AM108" s="47">
        <v>-15.459655068078668</v>
      </c>
      <c r="AN108" s="47">
        <v>-15.551031770045386</v>
      </c>
      <c r="AO108" s="47">
        <v>-15.642408472012102</v>
      </c>
      <c r="AP108" s="47">
        <v>-15.733785173978818</v>
      </c>
      <c r="AQ108" s="47">
        <v>-15.825161875945536</v>
      </c>
      <c r="AR108" s="47">
        <v>-15.916538577912252</v>
      </c>
      <c r="AS108" s="47">
        <v>-16.007915279878969</v>
      </c>
      <c r="AT108" s="47">
        <v>-16.097210287443268</v>
      </c>
      <c r="AU108" s="47">
        <v>-16.183745839636913</v>
      </c>
      <c r="AV108" s="47">
        <v>-16.270281391830558</v>
      </c>
      <c r="AW108" s="47">
        <v>-16.356816944024207</v>
      </c>
      <c r="AX108" s="47">
        <v>-16.443352496217852</v>
      </c>
      <c r="AY108" s="47">
        <v>-16.5298880484115</v>
      </c>
      <c r="AZ108" s="47">
        <v>-16.616423600605145</v>
      </c>
      <c r="BA108" s="47">
        <v>-16.701575757575757</v>
      </c>
      <c r="BB108" s="47">
        <v>-16.786424242424243</v>
      </c>
      <c r="BC108" s="47">
        <v>-16.871272727272725</v>
      </c>
      <c r="BD108" s="47">
        <v>-16.956121212121211</v>
      </c>
      <c r="BE108" s="47">
        <v>-17.040969696969697</v>
      </c>
      <c r="BF108" s="47">
        <v>-17.125818181818182</v>
      </c>
      <c r="BG108" s="47">
        <v>-17.210554216867472</v>
      </c>
      <c r="BH108" s="47">
        <v>-17.294891566265061</v>
      </c>
      <c r="BI108" s="47">
        <v>-17.380193939393941</v>
      </c>
      <c r="BJ108" s="47">
        <v>-17.466254545454547</v>
      </c>
      <c r="BK108" s="47">
        <v>-17.554521212121212</v>
      </c>
      <c r="BL108" s="47">
        <v>-17.643321212121212</v>
      </c>
      <c r="BM108" s="47">
        <v>-17.733018181818181</v>
      </c>
      <c r="BN108" s="47">
        <v>-17.82419393939394</v>
      </c>
      <c r="BO108" s="47">
        <v>-17.916315151515153</v>
      </c>
      <c r="BP108" s="47">
        <v>-18.010216867469882</v>
      </c>
      <c r="BQ108" s="47">
        <v>-18.105090909090908</v>
      </c>
      <c r="BR108" s="47">
        <v>-18.202060606060606</v>
      </c>
      <c r="BS108" s="47">
        <v>-18.30139393939394</v>
      </c>
      <c r="BT108" s="47">
        <v>-18.402000000000001</v>
      </c>
    </row>
    <row r="109" spans="1:72" ht="9.9499999999999993" customHeight="1" thickBot="1" x14ac:dyDescent="0.4">
      <c r="A109" s="45" t="s">
        <v>2</v>
      </c>
      <c r="B109" s="35">
        <v>-5.6688000000000001</v>
      </c>
      <c r="C109" s="35">
        <v>-5.7292606060606062</v>
      </c>
      <c r="D109" s="47">
        <v>-5.7904727272727277</v>
      </c>
      <c r="E109" s="47">
        <v>-5.8521272727272731</v>
      </c>
      <c r="F109" s="47">
        <v>-5.9138969696969692</v>
      </c>
      <c r="G109" s="47">
        <v>-5.9751090909090907</v>
      </c>
      <c r="H109" s="47">
        <v>-6.036421686746988</v>
      </c>
      <c r="I109" s="47">
        <v>-6.0978674698795183</v>
      </c>
      <c r="J109" s="47">
        <v>-6.1591333333333331</v>
      </c>
      <c r="K109" s="47">
        <v>-6.2202000000000002</v>
      </c>
      <c r="L109" s="47">
        <v>-6.2801999999999998</v>
      </c>
      <c r="M109" s="47">
        <v>-6.3395885022692893</v>
      </c>
      <c r="N109" s="47">
        <v>-6.3982874432677761</v>
      </c>
      <c r="O109" s="47">
        <v>-6.4569863842662638</v>
      </c>
      <c r="P109" s="47">
        <v>-6.5156853252647506</v>
      </c>
      <c r="Q109" s="47">
        <v>-6.5743842662632375</v>
      </c>
      <c r="R109" s="47">
        <v>-6.6330832072617252</v>
      </c>
      <c r="S109" s="47">
        <v>-6.691782148260212</v>
      </c>
      <c r="T109" s="47">
        <v>-6.7474886535552194</v>
      </c>
      <c r="U109" s="47">
        <v>-6.8027080181543118</v>
      </c>
      <c r="V109" s="47">
        <v>-6.8579273827534042</v>
      </c>
      <c r="W109" s="47">
        <v>-6.9131467473524966</v>
      </c>
      <c r="X109" s="47">
        <v>-6.9683661119515889</v>
      </c>
      <c r="Y109" s="47">
        <v>-7.0235854765506813</v>
      </c>
      <c r="Z109" s="47">
        <v>-7.0779924242424244</v>
      </c>
      <c r="AA109" s="47">
        <v>-7.129962121212122</v>
      </c>
      <c r="AB109" s="47">
        <v>-7.1819318181818188</v>
      </c>
      <c r="AC109" s="47">
        <v>-7.2339015151515156</v>
      </c>
      <c r="AD109" s="47">
        <v>-7.2858712121212124</v>
      </c>
      <c r="AE109" s="47">
        <v>-7.3378409090909091</v>
      </c>
      <c r="AF109" s="47">
        <v>-7.3898106060606068</v>
      </c>
      <c r="AG109" s="47">
        <v>-7.4394674735249628</v>
      </c>
      <c r="AH109" s="47">
        <v>-7.4878789712556735</v>
      </c>
      <c r="AI109" s="47">
        <v>-7.5362904689863841</v>
      </c>
      <c r="AJ109" s="47">
        <v>-7.5847019667170956</v>
      </c>
      <c r="AK109" s="47">
        <v>-7.6331134644478063</v>
      </c>
      <c r="AL109" s="47">
        <v>-7.6815249621785169</v>
      </c>
      <c r="AM109" s="47">
        <v>-7.7298275340393339</v>
      </c>
      <c r="AN109" s="47">
        <v>-7.7755158850226929</v>
      </c>
      <c r="AO109" s="47">
        <v>-7.821204236006051</v>
      </c>
      <c r="AP109" s="47">
        <v>-7.8668925869894091</v>
      </c>
      <c r="AQ109" s="47">
        <v>-7.9125809379727681</v>
      </c>
      <c r="AR109" s="47">
        <v>-7.9582692889561262</v>
      </c>
      <c r="AS109" s="47">
        <v>-8.0039576399394843</v>
      </c>
      <c r="AT109" s="47">
        <v>-8.0486051437216339</v>
      </c>
      <c r="AU109" s="47">
        <v>-8.0918729198184565</v>
      </c>
      <c r="AV109" s="47">
        <v>-8.135140695915279</v>
      </c>
      <c r="AW109" s="47">
        <v>-8.1784084720121033</v>
      </c>
      <c r="AX109" s="47">
        <v>-8.2216762481089258</v>
      </c>
      <c r="AY109" s="47">
        <v>-8.2649440242057501</v>
      </c>
      <c r="AZ109" s="47">
        <v>-8.3082118003025727</v>
      </c>
      <c r="BA109" s="47">
        <v>-8.3507878787878784</v>
      </c>
      <c r="BB109" s="47">
        <v>-8.3932121212121213</v>
      </c>
      <c r="BC109" s="47">
        <v>-8.4356363636363625</v>
      </c>
      <c r="BD109" s="47">
        <v>-8.4780606060606054</v>
      </c>
      <c r="BE109" s="47">
        <v>-8.5204848484848483</v>
      </c>
      <c r="BF109" s="47">
        <v>-8.5629090909090912</v>
      </c>
      <c r="BG109" s="47">
        <v>-8.6052771084337358</v>
      </c>
      <c r="BH109" s="47">
        <v>-8.6474457831325307</v>
      </c>
      <c r="BI109" s="47">
        <v>-8.6900969696969703</v>
      </c>
      <c r="BJ109" s="47">
        <v>-8.7331272727272733</v>
      </c>
      <c r="BK109" s="47">
        <v>-8.7772606060606062</v>
      </c>
      <c r="BL109" s="47">
        <v>-8.8216606060606058</v>
      </c>
      <c r="BM109" s="47">
        <v>-8.8665090909090907</v>
      </c>
      <c r="BN109" s="47">
        <v>-8.9120969696969699</v>
      </c>
      <c r="BO109" s="47">
        <v>-8.9581575757575767</v>
      </c>
      <c r="BP109" s="47">
        <v>-9.0051084337349412</v>
      </c>
      <c r="BQ109" s="47">
        <v>-9.052545454545454</v>
      </c>
      <c r="BR109" s="47">
        <v>-9.1010303030303028</v>
      </c>
      <c r="BS109" s="47">
        <v>-9.1506969696969698</v>
      </c>
      <c r="BT109" s="47">
        <v>-9.2010000000000005</v>
      </c>
    </row>
    <row r="110" spans="1:72" ht="9.9499999999999993" customHeight="1" thickBot="1" x14ac:dyDescent="0.4">
      <c r="A110" s="45" t="s">
        <v>1</v>
      </c>
      <c r="B110" s="35">
        <v>-18.61</v>
      </c>
      <c r="C110" s="35">
        <v>-18.612303030303028</v>
      </c>
      <c r="D110" s="47">
        <v>-18.618363636363636</v>
      </c>
      <c r="E110" s="47">
        <v>-18.624424242424244</v>
      </c>
      <c r="F110" s="47">
        <v>-18.630969696969697</v>
      </c>
      <c r="G110" s="47">
        <v>-18.643090909090908</v>
      </c>
      <c r="H110" s="47">
        <v>-18.655180722891565</v>
      </c>
      <c r="I110" s="47">
        <v>-18.667228915662651</v>
      </c>
      <c r="J110" s="47">
        <v>-18.679333333333336</v>
      </c>
      <c r="K110" s="47">
        <v>-18.692181818181819</v>
      </c>
      <c r="L110" s="47">
        <v>-18.710363636363635</v>
      </c>
      <c r="M110" s="47">
        <v>-18.728532526475036</v>
      </c>
      <c r="N110" s="47">
        <v>-18.746686838124052</v>
      </c>
      <c r="O110" s="47">
        <v>-18.764841149773069</v>
      </c>
      <c r="P110" s="47">
        <v>-18.782995461422086</v>
      </c>
      <c r="Q110" s="47">
        <v>-18.801149773071103</v>
      </c>
      <c r="R110" s="47">
        <v>-18.81930408472012</v>
      </c>
      <c r="S110" s="47">
        <v>-18.837458396369136</v>
      </c>
      <c r="T110" s="47">
        <v>-18.856913767019666</v>
      </c>
      <c r="U110" s="47">
        <v>-18.876580937972768</v>
      </c>
      <c r="V110" s="47">
        <v>-18.896248108925871</v>
      </c>
      <c r="W110" s="47">
        <v>-18.91591527987897</v>
      </c>
      <c r="X110" s="47">
        <v>-18.935582450832072</v>
      </c>
      <c r="Y110" s="47">
        <v>-18.955249621785175</v>
      </c>
      <c r="Z110" s="47">
        <v>-18.975303030303028</v>
      </c>
      <c r="AA110" s="47">
        <v>-18.996515151515151</v>
      </c>
      <c r="AB110" s="47">
        <v>-19.017727272727271</v>
      </c>
      <c r="AC110" s="47">
        <v>-19.038939393939394</v>
      </c>
      <c r="AD110" s="47">
        <v>-19.060151515151514</v>
      </c>
      <c r="AE110" s="47">
        <v>-19.081363636363637</v>
      </c>
      <c r="AF110" s="47">
        <v>-19.102575757575757</v>
      </c>
      <c r="AG110" s="47">
        <v>-19.12376701966717</v>
      </c>
      <c r="AH110" s="47">
        <v>-19.144947049924358</v>
      </c>
      <c r="AI110" s="47">
        <v>-19.166127080181543</v>
      </c>
      <c r="AJ110" s="47">
        <v>-19.187307110438727</v>
      </c>
      <c r="AK110" s="47">
        <v>-19.208487140695915</v>
      </c>
      <c r="AL110" s="47">
        <v>-19.2296671709531</v>
      </c>
      <c r="AM110" s="47">
        <v>-19.250786686838126</v>
      </c>
      <c r="AN110" s="47">
        <v>-19.270453857791225</v>
      </c>
      <c r="AO110" s="47">
        <v>-19.290121028744327</v>
      </c>
      <c r="AP110" s="47">
        <v>-19.309788199697426</v>
      </c>
      <c r="AQ110" s="47">
        <v>-19.329455370650528</v>
      </c>
      <c r="AR110" s="47">
        <v>-19.349122541603631</v>
      </c>
      <c r="AS110" s="47">
        <v>-19.36878971255673</v>
      </c>
      <c r="AT110" s="47">
        <v>-19.389107413010588</v>
      </c>
      <c r="AU110" s="47">
        <v>-19.410287443267777</v>
      </c>
      <c r="AV110" s="47">
        <v>-19.431467473524961</v>
      </c>
      <c r="AW110" s="47">
        <v>-19.452647503782149</v>
      </c>
      <c r="AX110" s="47">
        <v>-19.473827534039334</v>
      </c>
      <c r="AY110" s="47">
        <v>-19.495007564296522</v>
      </c>
      <c r="AZ110" s="47">
        <v>-19.516187594553706</v>
      </c>
      <c r="BA110" s="47">
        <v>-19.534909090909093</v>
      </c>
      <c r="BB110" s="47">
        <v>-19.553090909090908</v>
      </c>
      <c r="BC110" s="47">
        <v>-19.571272727272728</v>
      </c>
      <c r="BD110" s="47">
        <v>-19.589454545454544</v>
      </c>
      <c r="BE110" s="47">
        <v>-19.607636363636363</v>
      </c>
      <c r="BF110" s="47">
        <v>-19.631090909090908</v>
      </c>
      <c r="BG110" s="47">
        <v>-19.653975903614455</v>
      </c>
      <c r="BH110" s="47">
        <v>-19.672048192771083</v>
      </c>
      <c r="BI110" s="47">
        <v>-19.69018181818182</v>
      </c>
      <c r="BJ110" s="47">
        <v>-19.708363636363636</v>
      </c>
      <c r="BK110" s="47">
        <v>-19.726545454545455</v>
      </c>
      <c r="BL110" s="47">
        <v>-19.746303030303029</v>
      </c>
      <c r="BM110" s="47">
        <v>-19.770545454545456</v>
      </c>
      <c r="BN110" s="47">
        <v>-19.791090909090908</v>
      </c>
      <c r="BO110" s="47">
        <v>-19.809272727272727</v>
      </c>
      <c r="BP110" s="47">
        <v>-19.827349397590361</v>
      </c>
      <c r="BQ110" s="47">
        <v>-19.847272727272728</v>
      </c>
      <c r="BR110" s="47">
        <v>-19.871515151515151</v>
      </c>
      <c r="BS110" s="47">
        <v>-19.891818181818181</v>
      </c>
      <c r="BT110" s="47">
        <v>-19.91</v>
      </c>
    </row>
    <row r="111" spans="1:72" ht="9.9499999999999993" customHeight="1" thickBot="1" x14ac:dyDescent="0.4">
      <c r="A111" s="45" t="s">
        <v>119</v>
      </c>
      <c r="B111" s="35">
        <v>-58.239090909090905</v>
      </c>
      <c r="C111" s="35">
        <v>-57.012424242424245</v>
      </c>
      <c r="D111" s="47">
        <v>-55.86090909090909</v>
      </c>
      <c r="E111" s="47">
        <v>-54.784606060606059</v>
      </c>
      <c r="F111" s="47">
        <v>-53.74339393939394</v>
      </c>
      <c r="G111" s="47">
        <v>-52.785818181818179</v>
      </c>
      <c r="H111" s="47">
        <v>-51.861807228915666</v>
      </c>
      <c r="I111" s="47">
        <v>-50.982289156626507</v>
      </c>
      <c r="J111" s="47">
        <v>-50.154666666666664</v>
      </c>
      <c r="K111" s="47">
        <v>-49.349090909090904</v>
      </c>
      <c r="L111" s="47">
        <v>-48.591515151515154</v>
      </c>
      <c r="M111" s="47">
        <v>-47.891361573373672</v>
      </c>
      <c r="N111" s="47">
        <v>-47.255960665658094</v>
      </c>
      <c r="O111" s="47">
        <v>-46.620559757942509</v>
      </c>
      <c r="P111" s="47">
        <v>-45.985158850226931</v>
      </c>
      <c r="Q111" s="47">
        <v>-45.349757942511346</v>
      </c>
      <c r="R111" s="47">
        <v>-44.714357034795768</v>
      </c>
      <c r="S111" s="47">
        <v>-44.078956127080183</v>
      </c>
      <c r="T111" s="47">
        <v>-43.564553706505293</v>
      </c>
      <c r="U111" s="47">
        <v>-43.069848714069593</v>
      </c>
      <c r="V111" s="47">
        <v>-42.575143721633886</v>
      </c>
      <c r="W111" s="47">
        <v>-42.080438729198185</v>
      </c>
      <c r="X111" s="47">
        <v>-41.585733736762478</v>
      </c>
      <c r="Y111" s="47">
        <v>-41.091028744326778</v>
      </c>
      <c r="Z111" s="47">
        <v>-40.61962121212121</v>
      </c>
      <c r="AA111" s="47">
        <v>-40.218106060606061</v>
      </c>
      <c r="AB111" s="47">
        <v>-39.816590909090905</v>
      </c>
      <c r="AC111" s="47">
        <v>-39.415075757575757</v>
      </c>
      <c r="AD111" s="47">
        <v>-39.013560606060608</v>
      </c>
      <c r="AE111" s="47">
        <v>-38.612045454545452</v>
      </c>
      <c r="AF111" s="47">
        <v>-38.210530303030303</v>
      </c>
      <c r="AG111" s="47">
        <v>-37.854644478063541</v>
      </c>
      <c r="AH111" s="47">
        <v>-37.523328290468989</v>
      </c>
      <c r="AI111" s="47">
        <v>-37.192012102874436</v>
      </c>
      <c r="AJ111" s="47">
        <v>-36.860695915279884</v>
      </c>
      <c r="AK111" s="47">
        <v>-36.529379727685324</v>
      </c>
      <c r="AL111" s="47">
        <v>-36.198063540090772</v>
      </c>
      <c r="AM111" s="47">
        <v>-35.868804841149775</v>
      </c>
      <c r="AN111" s="47">
        <v>-35.588925869894105</v>
      </c>
      <c r="AO111" s="47">
        <v>-35.309046898638428</v>
      </c>
      <c r="AP111" s="47">
        <v>-35.029167927382758</v>
      </c>
      <c r="AQ111" s="47">
        <v>-34.749288956127081</v>
      </c>
      <c r="AR111" s="47">
        <v>-34.469409984871412</v>
      </c>
      <c r="AS111" s="47">
        <v>-34.189531013615735</v>
      </c>
      <c r="AT111" s="47">
        <v>-33.925264750378219</v>
      </c>
      <c r="AU111" s="47">
        <v>-33.681694402420575</v>
      </c>
      <c r="AV111" s="47">
        <v>-33.438124054462939</v>
      </c>
      <c r="AW111" s="47">
        <v>-33.194553706505296</v>
      </c>
      <c r="AX111" s="47">
        <v>-32.950983358547653</v>
      </c>
      <c r="AY111" s="47">
        <v>-32.707413010590017</v>
      </c>
      <c r="AZ111" s="47">
        <v>-32.463842662632374</v>
      </c>
      <c r="BA111" s="47">
        <v>-32.241090909090907</v>
      </c>
      <c r="BB111" s="47">
        <v>-32.022909090909089</v>
      </c>
      <c r="BC111" s="47">
        <v>-31.804727272727273</v>
      </c>
      <c r="BD111" s="47">
        <v>-31.58969696969697</v>
      </c>
      <c r="BE111" s="47">
        <v>-31.377575757575759</v>
      </c>
      <c r="BF111" s="47">
        <v>-31.170727272727273</v>
      </c>
      <c r="BG111" s="47">
        <v>-30.966265060240964</v>
      </c>
      <c r="BH111" s="47">
        <v>-30.767469879518071</v>
      </c>
      <c r="BI111" s="47">
        <v>-30.568000000000001</v>
      </c>
      <c r="BJ111" s="47">
        <v>-30.368000000000002</v>
      </c>
      <c r="BK111" s="47">
        <v>-30.173515151515151</v>
      </c>
      <c r="BL111" s="47">
        <v>-29.981151515151517</v>
      </c>
      <c r="BM111" s="47">
        <v>-29.793272727272726</v>
      </c>
      <c r="BN111" s="47">
        <v>-29.605393939393938</v>
      </c>
      <c r="BO111" s="47">
        <v>-29.417515151515151</v>
      </c>
      <c r="BP111" s="47">
        <v>-29.230722891566266</v>
      </c>
      <c r="BQ111" s="47">
        <v>-29.043636363636363</v>
      </c>
      <c r="BR111" s="47">
        <v>-28.855757575757575</v>
      </c>
      <c r="BS111" s="47">
        <v>-28.671818181818182</v>
      </c>
      <c r="BT111" s="47">
        <v>-28.49</v>
      </c>
    </row>
    <row r="112" spans="1:72" ht="9.9499999999999993" customHeight="1" thickBot="1" x14ac:dyDescent="0.4">
      <c r="A112" s="45" t="s">
        <v>120</v>
      </c>
      <c r="B112" s="35">
        <v>-5.6688000000000001</v>
      </c>
      <c r="C112" s="35">
        <v>-5.7292606060606062</v>
      </c>
      <c r="D112" s="47">
        <v>-5.7904727272727277</v>
      </c>
      <c r="E112" s="47">
        <v>-5.8521272727272731</v>
      </c>
      <c r="F112" s="47">
        <v>-5.9138969696969692</v>
      </c>
      <c r="G112" s="47">
        <v>-5.9751090909090907</v>
      </c>
      <c r="H112" s="47">
        <v>-6.036421686746988</v>
      </c>
      <c r="I112" s="47">
        <v>-6.0978674698795183</v>
      </c>
      <c r="J112" s="47">
        <v>-6.1591333333333331</v>
      </c>
      <c r="K112" s="47">
        <v>-6.2202000000000002</v>
      </c>
      <c r="L112" s="47">
        <v>-6.2801999999999998</v>
      </c>
      <c r="M112" s="47">
        <v>-6.3395885022692893</v>
      </c>
      <c r="N112" s="47">
        <v>-6.3982874432677761</v>
      </c>
      <c r="O112" s="47">
        <v>-6.4569863842662638</v>
      </c>
      <c r="P112" s="47">
        <v>-6.5156853252647506</v>
      </c>
      <c r="Q112" s="47">
        <v>-6.5743842662632375</v>
      </c>
      <c r="R112" s="47">
        <v>-6.6330832072617252</v>
      </c>
      <c r="S112" s="47">
        <v>-6.691782148260212</v>
      </c>
      <c r="T112" s="47">
        <v>-6.7474886535552194</v>
      </c>
      <c r="U112" s="47">
        <v>-6.8027080181543118</v>
      </c>
      <c r="V112" s="47">
        <v>-6.8579273827534042</v>
      </c>
      <c r="W112" s="47">
        <v>-6.9131467473524966</v>
      </c>
      <c r="X112" s="47">
        <v>-6.9683661119515889</v>
      </c>
      <c r="Y112" s="47">
        <v>-7.0235854765506813</v>
      </c>
      <c r="Z112" s="47">
        <v>-7.0779924242424244</v>
      </c>
      <c r="AA112" s="47">
        <v>-7.129962121212122</v>
      </c>
      <c r="AB112" s="47">
        <v>-7.1819318181818188</v>
      </c>
      <c r="AC112" s="47">
        <v>-7.2339015151515156</v>
      </c>
      <c r="AD112" s="47">
        <v>-7.2858712121212124</v>
      </c>
      <c r="AE112" s="47">
        <v>-7.3378409090909091</v>
      </c>
      <c r="AF112" s="47">
        <v>-7.3898106060606068</v>
      </c>
      <c r="AG112" s="47">
        <v>-7.4394674735249628</v>
      </c>
      <c r="AH112" s="47">
        <v>-7.4878789712556735</v>
      </c>
      <c r="AI112" s="47">
        <v>-7.5362904689863841</v>
      </c>
      <c r="AJ112" s="47">
        <v>-7.5847019667170956</v>
      </c>
      <c r="AK112" s="47">
        <v>-7.6331134644478063</v>
      </c>
      <c r="AL112" s="47">
        <v>-7.6815249621785169</v>
      </c>
      <c r="AM112" s="47">
        <v>-7.7298275340393339</v>
      </c>
      <c r="AN112" s="47">
        <v>-7.7755158850226929</v>
      </c>
      <c r="AO112" s="47">
        <v>-7.821204236006051</v>
      </c>
      <c r="AP112" s="47">
        <v>-7.8668925869894091</v>
      </c>
      <c r="AQ112" s="47">
        <v>-7.9125809379727681</v>
      </c>
      <c r="AR112" s="47">
        <v>-7.9582692889561262</v>
      </c>
      <c r="AS112" s="47">
        <v>-8.0039576399394843</v>
      </c>
      <c r="AT112" s="47">
        <v>-8.0486051437216339</v>
      </c>
      <c r="AU112" s="47">
        <v>-8.0918729198184565</v>
      </c>
      <c r="AV112" s="47">
        <v>-8.135140695915279</v>
      </c>
      <c r="AW112" s="47">
        <v>-8.1784084720121033</v>
      </c>
      <c r="AX112" s="47">
        <v>-8.2216762481089258</v>
      </c>
      <c r="AY112" s="47">
        <v>-8.2649440242057501</v>
      </c>
      <c r="AZ112" s="47">
        <v>-8.3082118003025727</v>
      </c>
      <c r="BA112" s="47">
        <v>-8.3507878787878784</v>
      </c>
      <c r="BB112" s="47">
        <v>-8.3932121212121213</v>
      </c>
      <c r="BC112" s="47">
        <v>-8.4356363636363625</v>
      </c>
      <c r="BD112" s="47">
        <v>-8.4780606060606054</v>
      </c>
      <c r="BE112" s="47">
        <v>-8.5204848484848483</v>
      </c>
      <c r="BF112" s="47">
        <v>-8.5629090909090912</v>
      </c>
      <c r="BG112" s="47">
        <v>-8.6052771084337358</v>
      </c>
      <c r="BH112" s="47">
        <v>-8.6474457831325307</v>
      </c>
      <c r="BI112" s="47">
        <v>-8.6900969696969703</v>
      </c>
      <c r="BJ112" s="47">
        <v>-8.7331272727272733</v>
      </c>
      <c r="BK112" s="47">
        <v>-8.7772606060606062</v>
      </c>
      <c r="BL112" s="47">
        <v>-8.8216606060606058</v>
      </c>
      <c r="BM112" s="47">
        <v>-8.8665090909090907</v>
      </c>
      <c r="BN112" s="47">
        <v>-8.9120969696969699</v>
      </c>
      <c r="BO112" s="47">
        <v>-8.9581575757575767</v>
      </c>
      <c r="BP112" s="47">
        <v>-9.0051084337349412</v>
      </c>
      <c r="BQ112" s="47">
        <v>-9.052545454545454</v>
      </c>
      <c r="BR112" s="47">
        <v>-9.1010303030303028</v>
      </c>
      <c r="BS112" s="47">
        <v>-9.1506969696969698</v>
      </c>
      <c r="BT112" s="47">
        <v>-9.2010000000000005</v>
      </c>
    </row>
    <row r="113" spans="1:72" ht="9.9499999999999993" customHeight="1" thickBot="1" x14ac:dyDescent="0.4">
      <c r="A113" s="45" t="s">
        <v>101</v>
      </c>
      <c r="B113" s="35">
        <v>-31.89722424242424</v>
      </c>
      <c r="C113" s="35">
        <v>-31.250533333333333</v>
      </c>
      <c r="D113" s="47">
        <v>-30.6572</v>
      </c>
      <c r="E113" s="47">
        <v>-30.1174</v>
      </c>
      <c r="F113" s="47">
        <v>-29.601715151515151</v>
      </c>
      <c r="G113" s="47">
        <v>-29.135654545454543</v>
      </c>
      <c r="H113" s="47">
        <v>-28.691783132530119</v>
      </c>
      <c r="I113" s="47">
        <v>-28.277325301204822</v>
      </c>
      <c r="J113" s="47">
        <v>-27.8978</v>
      </c>
      <c r="K113" s="47">
        <v>-27.532927272727274</v>
      </c>
      <c r="L113" s="47">
        <v>-27.198987878787882</v>
      </c>
      <c r="M113" s="47">
        <v>-26.90098033282905</v>
      </c>
      <c r="N113" s="47">
        <v>-26.643491679273829</v>
      </c>
      <c r="O113" s="47">
        <v>-26.386003025718608</v>
      </c>
      <c r="P113" s="47">
        <v>-26.128514372163391</v>
      </c>
      <c r="Q113" s="47">
        <v>-25.87102571860817</v>
      </c>
      <c r="R113" s="47">
        <v>-25.613537065052949</v>
      </c>
      <c r="S113" s="47">
        <v>-25.356048411497731</v>
      </c>
      <c r="T113" s="47">
        <v>-25.171028744326776</v>
      </c>
      <c r="U113" s="47">
        <v>-24.997806354009079</v>
      </c>
      <c r="V113" s="47">
        <v>-24.824583963691378</v>
      </c>
      <c r="W113" s="47">
        <v>-24.651361573373677</v>
      </c>
      <c r="X113" s="47">
        <v>-24.478139183055976</v>
      </c>
      <c r="Y113" s="47">
        <v>-24.304916792738275</v>
      </c>
      <c r="Z113" s="47">
        <v>-24.144810606060606</v>
      </c>
      <c r="AA113" s="47">
        <v>-24.02405303030303</v>
      </c>
      <c r="AB113" s="47">
        <v>-23.903295454545454</v>
      </c>
      <c r="AC113" s="47">
        <v>-23.782537878787878</v>
      </c>
      <c r="AD113" s="47">
        <v>-23.661780303030305</v>
      </c>
      <c r="AE113" s="47">
        <v>-23.541022727272729</v>
      </c>
      <c r="AF113" s="47">
        <v>-23.420265151515153</v>
      </c>
      <c r="AG113" s="47">
        <v>-23.322931921331318</v>
      </c>
      <c r="AH113" s="47">
        <v>-23.238211800302572</v>
      </c>
      <c r="AI113" s="47">
        <v>-23.153491679273827</v>
      </c>
      <c r="AJ113" s="47">
        <v>-23.068771558245082</v>
      </c>
      <c r="AK113" s="47">
        <v>-22.984051437216337</v>
      </c>
      <c r="AL113" s="47">
        <v>-22.899331316187592</v>
      </c>
      <c r="AM113" s="47">
        <v>-22.815652042360057</v>
      </c>
      <c r="AN113" s="47">
        <v>-22.756953101361571</v>
      </c>
      <c r="AO113" s="47">
        <v>-22.698254160363085</v>
      </c>
      <c r="AP113" s="47">
        <v>-22.639555219364599</v>
      </c>
      <c r="AQ113" s="47">
        <v>-22.58085627836611</v>
      </c>
      <c r="AR113" s="47">
        <v>-22.522157337367624</v>
      </c>
      <c r="AS113" s="47">
        <v>-22.463458396369138</v>
      </c>
      <c r="AT113" s="47">
        <v>-22.412826021180031</v>
      </c>
      <c r="AU113" s="47">
        <v>-22.372886535552194</v>
      </c>
      <c r="AV113" s="47">
        <v>-22.332947049924357</v>
      </c>
      <c r="AW113" s="47">
        <v>-22.29300756429652</v>
      </c>
      <c r="AX113" s="47">
        <v>-22.253068078668683</v>
      </c>
      <c r="AY113" s="47">
        <v>-22.213128593040846</v>
      </c>
      <c r="AZ113" s="47">
        <v>-22.173189107413009</v>
      </c>
      <c r="BA113" s="47">
        <v>-22.136181818181818</v>
      </c>
      <c r="BB113" s="47">
        <v>-22.101878787878789</v>
      </c>
      <c r="BC113" s="47">
        <v>-22.077636363636362</v>
      </c>
      <c r="BD113" s="47">
        <v>-22.050242424242423</v>
      </c>
      <c r="BE113" s="47">
        <v>-22.019939393939392</v>
      </c>
      <c r="BF113" s="47">
        <v>-21.99490909090909</v>
      </c>
      <c r="BG113" s="47">
        <v>-21.972024096385542</v>
      </c>
      <c r="BH113" s="47">
        <v>-21.953951807228915</v>
      </c>
      <c r="BI113" s="47">
        <v>-21.932763636363635</v>
      </c>
      <c r="BJ113" s="47">
        <v>-21.909127272727272</v>
      </c>
      <c r="BK113" s="47">
        <v>-21.892109090909091</v>
      </c>
      <c r="BL113" s="47">
        <v>-21.875903030303032</v>
      </c>
      <c r="BM113" s="47">
        <v>-21.860145454545453</v>
      </c>
      <c r="BN113" s="47">
        <v>-21.845127272727272</v>
      </c>
      <c r="BO113" s="47">
        <v>-21.830581818181816</v>
      </c>
      <c r="BP113" s="47">
        <v>-21.817277108433736</v>
      </c>
      <c r="BQ113" s="47">
        <v>-21.804363636363636</v>
      </c>
      <c r="BR113" s="47">
        <v>-21.792242424242424</v>
      </c>
      <c r="BS113" s="47">
        <v>-21.781303030303032</v>
      </c>
      <c r="BT113" s="47">
        <v>-21.771000000000001</v>
      </c>
    </row>
    <row r="114" spans="1:72" ht="9.9499999999999993" customHeight="1" thickBot="1" x14ac:dyDescent="0.4">
      <c r="A114" s="45" t="s">
        <v>100</v>
      </c>
      <c r="B114" s="35">
        <v>-133.48458181818182</v>
      </c>
      <c r="C114" s="35">
        <v>-131.21263030303029</v>
      </c>
      <c r="D114" s="47">
        <v>-129.09323636363635</v>
      </c>
      <c r="E114" s="47">
        <v>-127.12559393939394</v>
      </c>
      <c r="F114" s="47">
        <v>-125.22847878787879</v>
      </c>
      <c r="G114" s="47">
        <v>-123.49696363636365</v>
      </c>
      <c r="H114" s="47">
        <v>-121.83287951807229</v>
      </c>
      <c r="I114" s="47">
        <v>-120.25818072289157</v>
      </c>
      <c r="J114" s="47">
        <v>-118.78673333333333</v>
      </c>
      <c r="K114" s="47">
        <v>-117.35878181818181</v>
      </c>
      <c r="L114" s="47">
        <v>-116.0236303030303</v>
      </c>
      <c r="M114" s="47">
        <v>-114.80148865355523</v>
      </c>
      <c r="N114" s="47">
        <v>-113.70678366111952</v>
      </c>
      <c r="O114" s="47">
        <v>-112.61207866868382</v>
      </c>
      <c r="P114" s="47">
        <v>-111.51737367624811</v>
      </c>
      <c r="Q114" s="47">
        <v>-110.42266868381242</v>
      </c>
      <c r="R114" s="47">
        <v>-109.32796369137671</v>
      </c>
      <c r="S114" s="47">
        <v>-108.23325869894101</v>
      </c>
      <c r="T114" s="47">
        <v>-107.37157337367626</v>
      </c>
      <c r="U114" s="47">
        <v>-106.54782148260212</v>
      </c>
      <c r="V114" s="47">
        <v>-105.72406959152799</v>
      </c>
      <c r="W114" s="47">
        <v>-104.90031770045385</v>
      </c>
      <c r="X114" s="47">
        <v>-104.07656580937973</v>
      </c>
      <c r="Y114" s="47">
        <v>-103.25281391830559</v>
      </c>
      <c r="Z114" s="47">
        <v>-102.47321969696969</v>
      </c>
      <c r="AA114" s="47">
        <v>-101.82609848484847</v>
      </c>
      <c r="AB114" s="47">
        <v>-101.17897727272727</v>
      </c>
      <c r="AC114" s="47">
        <v>-100.53185606060606</v>
      </c>
      <c r="AD114" s="47">
        <v>-99.884734848484854</v>
      </c>
      <c r="AE114" s="47">
        <v>-99.237613636363633</v>
      </c>
      <c r="AF114" s="47">
        <v>-98.590492424242427</v>
      </c>
      <c r="AG114" s="47">
        <v>-98.027691376701966</v>
      </c>
      <c r="AH114" s="47">
        <v>-97.510293494704996</v>
      </c>
      <c r="AI114" s="47">
        <v>-96.992895612708026</v>
      </c>
      <c r="AJ114" s="47">
        <v>-96.475497730711055</v>
      </c>
      <c r="AK114" s="47">
        <v>-95.95809984871407</v>
      </c>
      <c r="AL114" s="47">
        <v>-95.4407019667171</v>
      </c>
      <c r="AM114" s="47">
        <v>-94.927092284417554</v>
      </c>
      <c r="AN114" s="47">
        <v>-94.504399394856279</v>
      </c>
      <c r="AO114" s="47">
        <v>-94.081706505295017</v>
      </c>
      <c r="AP114" s="47">
        <v>-93.659013615733741</v>
      </c>
      <c r="AQ114" s="47">
        <v>-93.236320726172465</v>
      </c>
      <c r="AR114" s="47">
        <v>-92.813627836611204</v>
      </c>
      <c r="AS114" s="47">
        <v>-92.390934947049928</v>
      </c>
      <c r="AT114" s="47">
        <v>-91.996344931921342</v>
      </c>
      <c r="AU114" s="47">
        <v>-91.639007564296534</v>
      </c>
      <c r="AV114" s="47">
        <v>-91.281670196671712</v>
      </c>
      <c r="AW114" s="47">
        <v>-90.924332829046904</v>
      </c>
      <c r="AX114" s="47">
        <v>-90.566995461422096</v>
      </c>
      <c r="AY114" s="47">
        <v>-90.209658093797287</v>
      </c>
      <c r="AZ114" s="47">
        <v>-89.852320726172479</v>
      </c>
      <c r="BA114" s="47">
        <v>-89.534545454545466</v>
      </c>
      <c r="BB114" s="47">
        <v>-89.225454545454554</v>
      </c>
      <c r="BC114" s="47">
        <v>-88.916363636363641</v>
      </c>
      <c r="BD114" s="47">
        <v>-88.613575757575759</v>
      </c>
      <c r="BE114" s="47">
        <v>-88.316606060606063</v>
      </c>
      <c r="BF114" s="47">
        <v>-88.030181818181816</v>
      </c>
      <c r="BG114" s="47">
        <v>-87.748361445783132</v>
      </c>
      <c r="BH114" s="47">
        <v>-87.477277108433739</v>
      </c>
      <c r="BI114" s="47">
        <v>-87.20629090909091</v>
      </c>
      <c r="BJ114" s="47">
        <v>-86.935381818181824</v>
      </c>
      <c r="BK114" s="47">
        <v>-86.678812121212133</v>
      </c>
      <c r="BL114" s="47">
        <v>-86.427284848484859</v>
      </c>
      <c r="BM114" s="47">
        <v>-86.18607272727273</v>
      </c>
      <c r="BN114" s="47">
        <v>-85.947078787878795</v>
      </c>
      <c r="BO114" s="47">
        <v>-85.709503030303026</v>
      </c>
      <c r="BP114" s="47">
        <v>-85.476771084337358</v>
      </c>
      <c r="BQ114" s="47">
        <v>-85.24490909090909</v>
      </c>
      <c r="BR114" s="47">
        <v>-85.014606060606056</v>
      </c>
      <c r="BS114" s="47">
        <v>-84.795727272727277</v>
      </c>
      <c r="BT114" s="47">
        <v>-84.582999999999998</v>
      </c>
    </row>
    <row r="115" spans="1:72" ht="9.9499999999999993" customHeight="1" thickBot="1" x14ac:dyDescent="0.4">
      <c r="A115" s="45" t="s">
        <v>26</v>
      </c>
      <c r="B115" s="35">
        <v>-18.61</v>
      </c>
      <c r="C115" s="35">
        <v>-18.612303030303028</v>
      </c>
      <c r="D115" s="47">
        <v>-18.618363636363636</v>
      </c>
      <c r="E115" s="47">
        <v>-18.624424242424244</v>
      </c>
      <c r="F115" s="47">
        <v>-18.630969696969697</v>
      </c>
      <c r="G115" s="47">
        <v>-18.643090909090908</v>
      </c>
      <c r="H115" s="47">
        <v>-18.655180722891565</v>
      </c>
      <c r="I115" s="47">
        <v>-18.667228915662651</v>
      </c>
      <c r="J115" s="47">
        <v>-18.679333333333336</v>
      </c>
      <c r="K115" s="47">
        <v>-18.692181818181819</v>
      </c>
      <c r="L115" s="47">
        <v>-18.710363636363635</v>
      </c>
      <c r="M115" s="47">
        <v>-18.728532526475036</v>
      </c>
      <c r="N115" s="47">
        <v>-18.746686838124052</v>
      </c>
      <c r="O115" s="47">
        <v>-18.764841149773069</v>
      </c>
      <c r="P115" s="47">
        <v>-18.782995461422086</v>
      </c>
      <c r="Q115" s="47">
        <v>-18.801149773071103</v>
      </c>
      <c r="R115" s="47">
        <v>-18.81930408472012</v>
      </c>
      <c r="S115" s="47">
        <v>-18.837458396369136</v>
      </c>
      <c r="T115" s="47">
        <v>-18.856913767019666</v>
      </c>
      <c r="U115" s="47">
        <v>-18.876580937972768</v>
      </c>
      <c r="V115" s="47">
        <v>-18.896248108925871</v>
      </c>
      <c r="W115" s="47">
        <v>-18.91591527987897</v>
      </c>
      <c r="X115" s="47">
        <v>-18.935582450832072</v>
      </c>
      <c r="Y115" s="47">
        <v>-18.955249621785175</v>
      </c>
      <c r="Z115" s="47">
        <v>-18.975303030303028</v>
      </c>
      <c r="AA115" s="47">
        <v>-18.996515151515151</v>
      </c>
      <c r="AB115" s="47">
        <v>-19.017727272727271</v>
      </c>
      <c r="AC115" s="47">
        <v>-19.038939393939394</v>
      </c>
      <c r="AD115" s="47">
        <v>-19.060151515151514</v>
      </c>
      <c r="AE115" s="47">
        <v>-19.081363636363637</v>
      </c>
      <c r="AF115" s="47">
        <v>-19.102575757575757</v>
      </c>
      <c r="AG115" s="47">
        <v>-19.12376701966717</v>
      </c>
      <c r="AH115" s="47">
        <v>-19.144947049924358</v>
      </c>
      <c r="AI115" s="47">
        <v>-19.166127080181543</v>
      </c>
      <c r="AJ115" s="47">
        <v>-19.187307110438727</v>
      </c>
      <c r="AK115" s="47">
        <v>-19.208487140695915</v>
      </c>
      <c r="AL115" s="47">
        <v>-19.2296671709531</v>
      </c>
      <c r="AM115" s="47">
        <v>-19.250786686838126</v>
      </c>
      <c r="AN115" s="47">
        <v>-19.270453857791225</v>
      </c>
      <c r="AO115" s="47">
        <v>-19.290121028744327</v>
      </c>
      <c r="AP115" s="47">
        <v>-19.309788199697426</v>
      </c>
      <c r="AQ115" s="47">
        <v>-19.329455370650528</v>
      </c>
      <c r="AR115" s="47">
        <v>-19.349122541603631</v>
      </c>
      <c r="AS115" s="47">
        <v>-19.36878971255673</v>
      </c>
      <c r="AT115" s="47">
        <v>-19.389107413010588</v>
      </c>
      <c r="AU115" s="47">
        <v>-19.410287443267777</v>
      </c>
      <c r="AV115" s="47">
        <v>-19.431467473524961</v>
      </c>
      <c r="AW115" s="47">
        <v>-19.452647503782149</v>
      </c>
      <c r="AX115" s="47">
        <v>-19.473827534039334</v>
      </c>
      <c r="AY115" s="47">
        <v>-19.495007564296522</v>
      </c>
      <c r="AZ115" s="47">
        <v>-19.516187594553706</v>
      </c>
      <c r="BA115" s="47">
        <v>-19.534909090909093</v>
      </c>
      <c r="BB115" s="47">
        <v>-19.553090909090908</v>
      </c>
      <c r="BC115" s="47">
        <v>-19.571272727272728</v>
      </c>
      <c r="BD115" s="47">
        <v>-19.589454545454544</v>
      </c>
      <c r="BE115" s="47">
        <v>-19.607636363636363</v>
      </c>
      <c r="BF115" s="47">
        <v>-19.631090909090908</v>
      </c>
      <c r="BG115" s="47">
        <v>-19.653975903614455</v>
      </c>
      <c r="BH115" s="47">
        <v>-19.672048192771083</v>
      </c>
      <c r="BI115" s="47">
        <v>-19.69018181818182</v>
      </c>
      <c r="BJ115" s="47">
        <v>-19.708363636363636</v>
      </c>
      <c r="BK115" s="47">
        <v>-19.726545454545455</v>
      </c>
      <c r="BL115" s="47">
        <v>-19.746303030303029</v>
      </c>
      <c r="BM115" s="47">
        <v>-19.770545454545456</v>
      </c>
      <c r="BN115" s="47">
        <v>-19.791090909090908</v>
      </c>
      <c r="BO115" s="47">
        <v>-19.809272727272727</v>
      </c>
      <c r="BP115" s="47">
        <v>-19.827349397590361</v>
      </c>
      <c r="BQ115" s="47">
        <v>-19.847272727272728</v>
      </c>
      <c r="BR115" s="47">
        <v>-19.871515151515151</v>
      </c>
      <c r="BS115" s="47">
        <v>-19.891818181818181</v>
      </c>
      <c r="BT115" s="47">
        <v>-19.91</v>
      </c>
    </row>
    <row r="116" spans="1:72" ht="9.9499999999999993" customHeight="1" thickBot="1" x14ac:dyDescent="0.4">
      <c r="A116" s="45" t="s">
        <v>5</v>
      </c>
      <c r="B116" s="35">
        <v>-58.239090909090905</v>
      </c>
      <c r="C116" s="35">
        <v>-57.012424242424245</v>
      </c>
      <c r="D116" s="47">
        <v>-55.86090909090909</v>
      </c>
      <c r="E116" s="47">
        <v>-54.784606060606059</v>
      </c>
      <c r="F116" s="47">
        <v>-53.74339393939394</v>
      </c>
      <c r="G116" s="47">
        <v>-52.785818181818179</v>
      </c>
      <c r="H116" s="47">
        <v>-51.861807228915666</v>
      </c>
      <c r="I116" s="47">
        <v>-50.982289156626507</v>
      </c>
      <c r="J116" s="47">
        <v>-50.154666666666664</v>
      </c>
      <c r="K116" s="47">
        <v>-49.349090909090904</v>
      </c>
      <c r="L116" s="47">
        <v>-48.591515151515154</v>
      </c>
      <c r="M116" s="47">
        <v>-47.891361573373672</v>
      </c>
      <c r="N116" s="47">
        <v>-47.255960665658094</v>
      </c>
      <c r="O116" s="47">
        <v>-46.620559757942509</v>
      </c>
      <c r="P116" s="47">
        <v>-45.985158850226931</v>
      </c>
      <c r="Q116" s="47">
        <v>-45.349757942511346</v>
      </c>
      <c r="R116" s="47">
        <v>-44.714357034795768</v>
      </c>
      <c r="S116" s="47">
        <v>-44.078956127080183</v>
      </c>
      <c r="T116" s="47">
        <v>-43.564553706505293</v>
      </c>
      <c r="U116" s="47">
        <v>-43.069848714069593</v>
      </c>
      <c r="V116" s="47">
        <v>-42.575143721633886</v>
      </c>
      <c r="W116" s="47">
        <v>-42.080438729198185</v>
      </c>
      <c r="X116" s="47">
        <v>-41.585733736762478</v>
      </c>
      <c r="Y116" s="47">
        <v>-41.091028744326778</v>
      </c>
      <c r="Z116" s="47">
        <v>-40.61962121212121</v>
      </c>
      <c r="AA116" s="47">
        <v>-40.218106060606061</v>
      </c>
      <c r="AB116" s="47">
        <v>-39.816590909090905</v>
      </c>
      <c r="AC116" s="47">
        <v>-39.415075757575757</v>
      </c>
      <c r="AD116" s="47">
        <v>-39.013560606060608</v>
      </c>
      <c r="AE116" s="47">
        <v>-38.612045454545452</v>
      </c>
      <c r="AF116" s="47">
        <v>-38.210530303030303</v>
      </c>
      <c r="AG116" s="47">
        <v>-37.854644478063541</v>
      </c>
      <c r="AH116" s="47">
        <v>-37.523328290468989</v>
      </c>
      <c r="AI116" s="47">
        <v>-37.192012102874436</v>
      </c>
      <c r="AJ116" s="47">
        <v>-36.860695915279884</v>
      </c>
      <c r="AK116" s="47">
        <v>-36.529379727685324</v>
      </c>
      <c r="AL116" s="47">
        <v>-36.198063540090772</v>
      </c>
      <c r="AM116" s="47">
        <v>-35.868804841149775</v>
      </c>
      <c r="AN116" s="47">
        <v>-35.588925869894105</v>
      </c>
      <c r="AO116" s="47">
        <v>-35.309046898638428</v>
      </c>
      <c r="AP116" s="47">
        <v>-35.029167927382758</v>
      </c>
      <c r="AQ116" s="47">
        <v>-34.749288956127081</v>
      </c>
      <c r="AR116" s="47">
        <v>-34.469409984871412</v>
      </c>
      <c r="AS116" s="47">
        <v>-34.189531013615735</v>
      </c>
      <c r="AT116" s="47">
        <v>-33.925264750378219</v>
      </c>
      <c r="AU116" s="47">
        <v>-33.681694402420575</v>
      </c>
      <c r="AV116" s="47">
        <v>-33.438124054462939</v>
      </c>
      <c r="AW116" s="47">
        <v>-33.194553706505296</v>
      </c>
      <c r="AX116" s="47">
        <v>-32.950983358547653</v>
      </c>
      <c r="AY116" s="47">
        <v>-32.707413010590017</v>
      </c>
      <c r="AZ116" s="47">
        <v>-32.463842662632374</v>
      </c>
      <c r="BA116" s="47">
        <v>-32.241090909090907</v>
      </c>
      <c r="BB116" s="47">
        <v>-32.022909090909089</v>
      </c>
      <c r="BC116" s="47">
        <v>-31.804727272727273</v>
      </c>
      <c r="BD116" s="47">
        <v>-31.58969696969697</v>
      </c>
      <c r="BE116" s="47">
        <v>-31.377575757575759</v>
      </c>
      <c r="BF116" s="47">
        <v>-31.170727272727273</v>
      </c>
      <c r="BG116" s="47">
        <v>-30.966265060240964</v>
      </c>
      <c r="BH116" s="47">
        <v>-30.767469879518071</v>
      </c>
      <c r="BI116" s="47">
        <v>-30.568000000000001</v>
      </c>
      <c r="BJ116" s="47">
        <v>-30.368000000000002</v>
      </c>
      <c r="BK116" s="47">
        <v>-30.173515151515151</v>
      </c>
      <c r="BL116" s="47">
        <v>-29.981151515151517</v>
      </c>
      <c r="BM116" s="47">
        <v>-29.793272727272726</v>
      </c>
      <c r="BN116" s="47">
        <v>-29.605393939393938</v>
      </c>
      <c r="BO116" s="47">
        <v>-29.417515151515151</v>
      </c>
      <c r="BP116" s="47">
        <v>-29.230722891566266</v>
      </c>
      <c r="BQ116" s="47">
        <v>-29.043636363636363</v>
      </c>
      <c r="BR116" s="47">
        <v>-28.855757575757575</v>
      </c>
      <c r="BS116" s="47">
        <v>-28.671818181818182</v>
      </c>
      <c r="BT116" s="47">
        <v>-28.49</v>
      </c>
    </row>
    <row r="117" spans="1:72" ht="9.9499999999999993" customHeight="1" thickBot="1" x14ac:dyDescent="0.4">
      <c r="A117" s="45" t="s">
        <v>6</v>
      </c>
      <c r="B117" s="35">
        <v>-26.228424242424239</v>
      </c>
      <c r="C117" s="35">
        <v>-25.521272727272727</v>
      </c>
      <c r="D117" s="47">
        <v>-24.866727272727275</v>
      </c>
      <c r="E117" s="47">
        <v>-24.265272727272727</v>
      </c>
      <c r="F117" s="47">
        <v>-23.68781818181818</v>
      </c>
      <c r="G117" s="47">
        <v>-23.160545454545453</v>
      </c>
      <c r="H117" s="47">
        <v>-22.655361445783132</v>
      </c>
      <c r="I117" s="47">
        <v>-22.179457831325301</v>
      </c>
      <c r="J117" s="47">
        <v>-21.738666666666667</v>
      </c>
      <c r="K117" s="47">
        <v>-21.312727272727273</v>
      </c>
      <c r="L117" s="47">
        <v>-20.918787878787878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-15.085824508320727</v>
      </c>
      <c r="AN117" s="47">
        <v>-14.981437216338881</v>
      </c>
      <c r="AO117" s="47">
        <v>-14.877049924357035</v>
      </c>
      <c r="AP117" s="47">
        <v>-14.772662632375189</v>
      </c>
      <c r="AQ117" s="47">
        <v>-14.668275340393343</v>
      </c>
      <c r="AR117" s="47">
        <v>-14.563888048411499</v>
      </c>
      <c r="AS117" s="47">
        <v>-14.459500756429653</v>
      </c>
      <c r="AT117" s="47">
        <v>-14.364220877458397</v>
      </c>
      <c r="AU117" s="47">
        <v>-14.281013615733738</v>
      </c>
      <c r="AV117" s="47">
        <v>-14.197806354009078</v>
      </c>
      <c r="AW117" s="47">
        <v>-14.114599092284417</v>
      </c>
      <c r="AX117" s="47">
        <v>-14.031391830559757</v>
      </c>
      <c r="AY117" s="47">
        <v>-13.948184568835098</v>
      </c>
      <c r="AZ117" s="47">
        <v>-13.864977307110438</v>
      </c>
      <c r="BA117" s="47">
        <v>-13.78539393939394</v>
      </c>
      <c r="BB117" s="47">
        <v>-13.708666666666668</v>
      </c>
      <c r="BC117" s="47">
        <v>-13.641999999999999</v>
      </c>
      <c r="BD117" s="47">
        <v>-13.572181818181818</v>
      </c>
      <c r="BE117" s="47">
        <v>-13.499454545454546</v>
      </c>
      <c r="BF117" s="47">
        <v>-13.432</v>
      </c>
      <c r="BG117" s="47">
        <v>-13.366746987951808</v>
      </c>
      <c r="BH117" s="47">
        <v>-13.306506024096386</v>
      </c>
      <c r="BI117" s="47">
        <v>-13.242666666666667</v>
      </c>
      <c r="BJ117" s="47">
        <v>-13.176</v>
      </c>
      <c r="BK117" s="47">
        <v>-13.114848484848485</v>
      </c>
      <c r="BL117" s="47">
        <v>-13.054242424242425</v>
      </c>
      <c r="BM117" s="47">
        <v>-12.993636363636364</v>
      </c>
      <c r="BN117" s="47">
        <v>-12.933030303030304</v>
      </c>
      <c r="BO117" s="47">
        <v>-12.872424242424241</v>
      </c>
      <c r="BP117" s="47">
        <v>-12.812168674698794</v>
      </c>
      <c r="BQ117" s="47">
        <v>-12.751818181818182</v>
      </c>
      <c r="BR117" s="47">
        <v>-12.691212121212121</v>
      </c>
      <c r="BS117" s="47">
        <v>-12.630606060606061</v>
      </c>
      <c r="BT117" s="47">
        <v>-12.57</v>
      </c>
    </row>
    <row r="118" spans="1:72" ht="9.9499999999999993" customHeight="1" thickBot="1" x14ac:dyDescent="0.4">
      <c r="A118" s="45" t="s">
        <v>7</v>
      </c>
      <c r="B118" s="35">
        <v>-5.6688000000000001</v>
      </c>
      <c r="C118" s="35">
        <v>-5.7292606060606062</v>
      </c>
      <c r="D118" s="47">
        <v>-5.7904727272727277</v>
      </c>
      <c r="E118" s="47">
        <v>-5.8521272727272731</v>
      </c>
      <c r="F118" s="47">
        <v>-5.9138969696969692</v>
      </c>
      <c r="G118" s="47">
        <v>-5.9751090909090907</v>
      </c>
      <c r="H118" s="47">
        <v>-6.036421686746988</v>
      </c>
      <c r="I118" s="47">
        <v>-6.0978674698795183</v>
      </c>
      <c r="J118" s="47">
        <v>-6.1591333333333331</v>
      </c>
      <c r="K118" s="47">
        <v>-6.2202000000000002</v>
      </c>
      <c r="L118" s="47">
        <v>-6.2801999999999998</v>
      </c>
      <c r="M118" s="47">
        <v>-6.3395885022692893</v>
      </c>
      <c r="N118" s="47">
        <v>-6.3982874432677761</v>
      </c>
      <c r="O118" s="47">
        <v>-6.4569863842662638</v>
      </c>
      <c r="P118" s="47">
        <v>-6.5156853252647506</v>
      </c>
      <c r="Q118" s="47">
        <v>-6.5743842662632375</v>
      </c>
      <c r="R118" s="47">
        <v>-6.6330832072617252</v>
      </c>
      <c r="S118" s="47">
        <v>-6.691782148260212</v>
      </c>
      <c r="T118" s="47">
        <v>-6.7474886535552194</v>
      </c>
      <c r="U118" s="47">
        <v>-6.8027080181543118</v>
      </c>
      <c r="V118" s="47">
        <v>-6.8579273827534042</v>
      </c>
      <c r="W118" s="47">
        <v>-6.9131467473524966</v>
      </c>
      <c r="X118" s="47">
        <v>-6.9683661119515889</v>
      </c>
      <c r="Y118" s="47">
        <v>-7.0235854765506813</v>
      </c>
      <c r="Z118" s="47">
        <v>-7.0779924242424244</v>
      </c>
      <c r="AA118" s="47">
        <v>-7.129962121212122</v>
      </c>
      <c r="AB118" s="47">
        <v>-7.1819318181818188</v>
      </c>
      <c r="AC118" s="47">
        <v>-7.2339015151515156</v>
      </c>
      <c r="AD118" s="47">
        <v>-7.2858712121212124</v>
      </c>
      <c r="AE118" s="47">
        <v>-7.3378409090909091</v>
      </c>
      <c r="AF118" s="47">
        <v>-7.3898106060606068</v>
      </c>
      <c r="AG118" s="47">
        <v>-7.4394674735249628</v>
      </c>
      <c r="AH118" s="47">
        <v>-7.4878789712556735</v>
      </c>
      <c r="AI118" s="47">
        <v>-7.5362904689863841</v>
      </c>
      <c r="AJ118" s="47">
        <v>-7.5847019667170956</v>
      </c>
      <c r="AK118" s="47">
        <v>-7.6331134644478063</v>
      </c>
      <c r="AL118" s="47">
        <v>-7.6815249621785169</v>
      </c>
      <c r="AM118" s="47">
        <v>-7.7298275340393339</v>
      </c>
      <c r="AN118" s="47">
        <v>-7.7755158850226929</v>
      </c>
      <c r="AO118" s="47">
        <v>-7.821204236006051</v>
      </c>
      <c r="AP118" s="47">
        <v>-7.8668925869894091</v>
      </c>
      <c r="AQ118" s="47">
        <v>-7.9125809379727681</v>
      </c>
      <c r="AR118" s="47">
        <v>-7.9582692889561262</v>
      </c>
      <c r="AS118" s="47">
        <v>-8.0039576399394843</v>
      </c>
      <c r="AT118" s="47">
        <v>-8.0486051437216339</v>
      </c>
      <c r="AU118" s="47">
        <v>-8.0918729198184565</v>
      </c>
      <c r="AV118" s="47">
        <v>-8.135140695915279</v>
      </c>
      <c r="AW118" s="47">
        <v>-8.1784084720121033</v>
      </c>
      <c r="AX118" s="47">
        <v>-8.2216762481089258</v>
      </c>
      <c r="AY118" s="47">
        <v>-8.2649440242057501</v>
      </c>
      <c r="AZ118" s="47">
        <v>-8.3082118003025727</v>
      </c>
      <c r="BA118" s="47">
        <v>-8.3507878787878784</v>
      </c>
      <c r="BB118" s="47">
        <v>-8.3932121212121213</v>
      </c>
      <c r="BC118" s="47">
        <v>-8.4356363636363625</v>
      </c>
      <c r="BD118" s="47">
        <v>-8.4780606060606054</v>
      </c>
      <c r="BE118" s="47">
        <v>-8.5204848484848483</v>
      </c>
      <c r="BF118" s="47">
        <v>-8.5629090909090912</v>
      </c>
      <c r="BG118" s="47">
        <v>-8.6052771084337358</v>
      </c>
      <c r="BH118" s="47">
        <v>-8.6474457831325307</v>
      </c>
      <c r="BI118" s="47">
        <v>-8.6900969696969703</v>
      </c>
      <c r="BJ118" s="47">
        <v>-8.7331272727272733</v>
      </c>
      <c r="BK118" s="47">
        <v>-8.7772606060606062</v>
      </c>
      <c r="BL118" s="47">
        <v>-8.8216606060606058</v>
      </c>
      <c r="BM118" s="47">
        <v>-8.8665090909090907</v>
      </c>
      <c r="BN118" s="47">
        <v>-8.9120969696969699</v>
      </c>
      <c r="BO118" s="47">
        <v>-8.9581575757575767</v>
      </c>
      <c r="BP118" s="47">
        <v>-9.0051084337349412</v>
      </c>
      <c r="BQ118" s="47">
        <v>-9.052545454545454</v>
      </c>
      <c r="BR118" s="47">
        <v>-9.1010303030303028</v>
      </c>
      <c r="BS118" s="47">
        <v>-9.1506969696969698</v>
      </c>
      <c r="BT118" s="47">
        <v>-9.2010000000000005</v>
      </c>
    </row>
    <row r="119" spans="1:72" ht="9.9499999999999993" customHeight="1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9.9499999999999993" customHeight="1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9.9499999999999993" customHeight="1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9.9499999999999993" customHeight="1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9.9499999999999993" customHeight="1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9.9499999999999993" customHeight="1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9.9499999999999993" customHeight="1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9.9499999999999993" customHeight="1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9.9499999999999993" customHeight="1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9.9499999999999993" customHeight="1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9.9499999999999993" customHeight="1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9.9499999999999993" hidden="1" customHeight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hidden="1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30" customHeight="1" thickTop="1" thickBot="1" x14ac:dyDescent="0.4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9.9499999999999993" customHeight="1" thickTop="1" thickBot="1" x14ac:dyDescent="0.4">
      <c r="A133" s="45" t="s">
        <v>111</v>
      </c>
      <c r="B133" s="35">
        <v>-59.812496217851738</v>
      </c>
      <c r="C133" s="35">
        <v>-58.345022692889557</v>
      </c>
      <c r="D133" s="103">
        <v>-56.877549167927377</v>
      </c>
      <c r="E133" s="103">
        <v>-55.410075642965197</v>
      </c>
      <c r="F133" s="103">
        <v>-54.006868381240537</v>
      </c>
      <c r="G133" s="103">
        <v>-53.342723146747346</v>
      </c>
      <c r="H133" s="103">
        <v>-52.678577912254156</v>
      </c>
      <c r="I133" s="103">
        <v>-52.014432677760965</v>
      </c>
      <c r="J133" s="103">
        <v>-51.350287443267774</v>
      </c>
      <c r="K133" s="103">
        <v>-50.686142208774584</v>
      </c>
      <c r="L133" s="103">
        <v>-50.021996974281393</v>
      </c>
      <c r="M133" s="103">
        <v>-49.041437216338885</v>
      </c>
      <c r="N133" s="103">
        <v>-47.70406959152799</v>
      </c>
      <c r="O133" s="103">
        <v>-46.366701966717095</v>
      </c>
      <c r="P133" s="103">
        <v>-45.0293343419062</v>
      </c>
      <c r="Q133" s="103">
        <v>-43.691966717095312</v>
      </c>
      <c r="R133" s="103">
        <v>-42.354599092284417</v>
      </c>
      <c r="S133" s="103">
        <v>-41.017231467473522</v>
      </c>
      <c r="T133" s="103">
        <v>-40.387639939485624</v>
      </c>
      <c r="U133" s="103">
        <v>-39.873267776096824</v>
      </c>
      <c r="V133" s="103">
        <v>-39.358895612708018</v>
      </c>
      <c r="W133" s="103">
        <v>-38.844523449319212</v>
      </c>
      <c r="X133" s="103">
        <v>-38.330151285930405</v>
      </c>
      <c r="Y133" s="103">
        <v>-37.815779122541606</v>
      </c>
      <c r="Z133" s="103">
        <v>-37.331893939393936</v>
      </c>
      <c r="AA133" s="103">
        <v>-36.939469696969695</v>
      </c>
      <c r="AB133" s="103">
        <v>-36.547045454545454</v>
      </c>
      <c r="AC133" s="103">
        <v>-36.154621212121214</v>
      </c>
      <c r="AD133" s="103">
        <v>-35.762196969696966</v>
      </c>
      <c r="AE133" s="103">
        <v>-35.369772727272725</v>
      </c>
      <c r="AF133" s="103">
        <v>-34.977348484848484</v>
      </c>
      <c r="AG133" s="103">
        <v>-34.639198184568833</v>
      </c>
      <c r="AH133" s="103">
        <v>-34.33027231467473</v>
      </c>
      <c r="AI133" s="103">
        <v>-34.021346444780633</v>
      </c>
      <c r="AJ133" s="103">
        <v>-33.712420574886536</v>
      </c>
      <c r="AK133" s="103">
        <v>-33.40349470499244</v>
      </c>
      <c r="AL133" s="103">
        <v>-33.094568835098336</v>
      </c>
      <c r="AM133" s="103">
        <v>-32.787139393939398</v>
      </c>
      <c r="AN133" s="103">
        <v>-32.515624242424245</v>
      </c>
      <c r="AO133" s="103">
        <v>-32.251795180722894</v>
      </c>
      <c r="AP133" s="103">
        <v>-31.999987951807228</v>
      </c>
      <c r="AQ133" s="103">
        <v>-31.754145454545455</v>
      </c>
      <c r="AR133" s="103">
        <v>-31.511284848484852</v>
      </c>
      <c r="AS133" s="103">
        <v>-31.277345454545454</v>
      </c>
      <c r="AT133" s="103">
        <v>-31.049660606060606</v>
      </c>
      <c r="AU133" s="103">
        <v>-30.830266666666663</v>
      </c>
      <c r="AV133" s="103">
        <v>-30.631672727272726</v>
      </c>
      <c r="AW133" s="103">
        <v>-30.464630303030301</v>
      </c>
      <c r="AX133" s="103">
        <v>-30.469478787878788</v>
      </c>
      <c r="AY133" s="103">
        <v>-30.474891566265061</v>
      </c>
      <c r="AZ133" s="103">
        <v>-30.480915662650602</v>
      </c>
      <c r="BA133" s="103">
        <v>-30.493181818181817</v>
      </c>
      <c r="BB133" s="103">
        <v>-30.506818181818183</v>
      </c>
      <c r="BC133" s="103">
        <v>-30.520454545454545</v>
      </c>
      <c r="BD133" s="103">
        <v>-30.53409090909091</v>
      </c>
      <c r="BE133" s="103">
        <v>-30.547727272727276</v>
      </c>
      <c r="BF133" s="103">
        <v>-30.561363636363637</v>
      </c>
      <c r="BG133" s="103">
        <v>-30.577301204819278</v>
      </c>
      <c r="BH133" s="103">
        <v>-30.601397590361447</v>
      </c>
      <c r="BI133" s="103">
        <v>-30.622860606060605</v>
      </c>
      <c r="BJ133" s="103">
        <v>-30.642254545454545</v>
      </c>
      <c r="BK133" s="103">
        <v>-30.669369696969696</v>
      </c>
      <c r="BL133" s="103">
        <v>-30.697563636363636</v>
      </c>
      <c r="BM133" s="103">
        <v>-30.726654545454547</v>
      </c>
      <c r="BN133" s="103">
        <v>-30.757224242424243</v>
      </c>
      <c r="BO133" s="103">
        <v>-30.788739393939395</v>
      </c>
      <c r="BP133" s="103">
        <v>-30.822385542168675</v>
      </c>
      <c r="BQ133" s="103">
        <v>-30.856909090909092</v>
      </c>
      <c r="BR133" s="103">
        <v>-30.893272727272727</v>
      </c>
      <c r="BS133" s="103">
        <v>-30.931999999999999</v>
      </c>
      <c r="BT133" s="103">
        <v>-30.972000000000001</v>
      </c>
    </row>
    <row r="134" spans="1:72" ht="9.9499999999999993" customHeight="1" thickBot="1" x14ac:dyDescent="0.4">
      <c r="A134" s="45" t="s">
        <v>112</v>
      </c>
      <c r="B134" s="35">
        <v>-187.43829046898639</v>
      </c>
      <c r="C134" s="35">
        <v>-182.1402571860817</v>
      </c>
      <c r="D134" s="103">
        <v>-176.842223903177</v>
      </c>
      <c r="E134" s="103">
        <v>-171.5441906202723</v>
      </c>
      <c r="F134" s="103">
        <v>-166.39042360060512</v>
      </c>
      <c r="G134" s="103">
        <v>-162.89571860816943</v>
      </c>
      <c r="H134" s="103">
        <v>-159.40101361573372</v>
      </c>
      <c r="I134" s="103">
        <v>-155.90630862329803</v>
      </c>
      <c r="J134" s="103">
        <v>-152.41160363086232</v>
      </c>
      <c r="K134" s="103">
        <v>-148.91689863842663</v>
      </c>
      <c r="L134" s="103">
        <v>-145.42219364599092</v>
      </c>
      <c r="M134" s="103">
        <v>-142.40886535552193</v>
      </c>
      <c r="N134" s="103">
        <v>-139.93836611195158</v>
      </c>
      <c r="O134" s="103">
        <v>-137.46786686838124</v>
      </c>
      <c r="P134" s="103">
        <v>-134.99736762481089</v>
      </c>
      <c r="Q134" s="103">
        <v>-132.52686838124055</v>
      </c>
      <c r="R134" s="103">
        <v>-130.05636913767017</v>
      </c>
      <c r="S134" s="103">
        <v>-127.58586989409984</v>
      </c>
      <c r="T134" s="103">
        <v>-125.67092284417548</v>
      </c>
      <c r="U134" s="103">
        <v>-123.84641452344931</v>
      </c>
      <c r="V134" s="103">
        <v>-122.02190620272314</v>
      </c>
      <c r="W134" s="103">
        <v>-120.19739788199696</v>
      </c>
      <c r="X134" s="103">
        <v>-118.3728895612708</v>
      </c>
      <c r="Y134" s="103">
        <v>-116.54838124054461</v>
      </c>
      <c r="Z134" s="103">
        <v>-114.83113636363636</v>
      </c>
      <c r="AA134" s="103">
        <v>-113.43568181818181</v>
      </c>
      <c r="AB134" s="103">
        <v>-112.04022727272726</v>
      </c>
      <c r="AC134" s="103">
        <v>-110.64477272727272</v>
      </c>
      <c r="AD134" s="103">
        <v>-109.24931818181818</v>
      </c>
      <c r="AE134" s="103">
        <v>-107.85386363636363</v>
      </c>
      <c r="AF134" s="103">
        <v>-106.45840909090909</v>
      </c>
      <c r="AG134" s="103">
        <v>-105.25922844175491</v>
      </c>
      <c r="AH134" s="103">
        <v>-104.16573373676248</v>
      </c>
      <c r="AI134" s="103">
        <v>-103.07223903177004</v>
      </c>
      <c r="AJ134" s="103">
        <v>-101.9787443267776</v>
      </c>
      <c r="AK134" s="103">
        <v>-100.88524962178516</v>
      </c>
      <c r="AL134" s="103">
        <v>-99.791754916792726</v>
      </c>
      <c r="AM134" s="103">
        <v>-98.703648484848472</v>
      </c>
      <c r="AN134" s="103">
        <v>-97.744860606060598</v>
      </c>
      <c r="AO134" s="103">
        <v>-96.814168674698792</v>
      </c>
      <c r="AP134" s="103">
        <v>-95.927421686746982</v>
      </c>
      <c r="AQ134" s="103">
        <v>-95.065066666666667</v>
      </c>
      <c r="AR134" s="103">
        <v>-94.214836363636365</v>
      </c>
      <c r="AS134" s="103">
        <v>-93.400290909090913</v>
      </c>
      <c r="AT134" s="103">
        <v>-92.606854545454553</v>
      </c>
      <c r="AU134" s="103">
        <v>-91.841400000000007</v>
      </c>
      <c r="AV134" s="103">
        <v>-91.303327272727273</v>
      </c>
      <c r="AW134" s="103">
        <v>-90.847430303030308</v>
      </c>
      <c r="AX134" s="103">
        <v>-90.512278787878785</v>
      </c>
      <c r="AY134" s="103">
        <v>-90.178963855421685</v>
      </c>
      <c r="AZ134" s="103">
        <v>-89.847638554216871</v>
      </c>
      <c r="BA134" s="103">
        <v>-89.542000000000016</v>
      </c>
      <c r="BB134" s="103">
        <v>-89.242000000000004</v>
      </c>
      <c r="BC134" s="103">
        <v>-88.942000000000007</v>
      </c>
      <c r="BD134" s="103">
        <v>-88.64200000000001</v>
      </c>
      <c r="BE134" s="103">
        <v>-88.342000000000013</v>
      </c>
      <c r="BF134" s="103">
        <v>-88.042000000000002</v>
      </c>
      <c r="BG134" s="103">
        <v>-87.748361445783132</v>
      </c>
      <c r="BH134" s="103">
        <v>-87.477277108433739</v>
      </c>
      <c r="BI134" s="103">
        <v>-87.20629090909091</v>
      </c>
      <c r="BJ134" s="103">
        <v>-86.935381818181824</v>
      </c>
      <c r="BK134" s="103">
        <v>-86.678812121212133</v>
      </c>
      <c r="BL134" s="103">
        <v>-86.427284848484859</v>
      </c>
      <c r="BM134" s="103">
        <v>-86.18607272727273</v>
      </c>
      <c r="BN134" s="103">
        <v>-85.947078787878795</v>
      </c>
      <c r="BO134" s="103">
        <v>-85.709503030303026</v>
      </c>
      <c r="BP134" s="103">
        <v>-85.476771084337358</v>
      </c>
      <c r="BQ134" s="103">
        <v>-85.24490909090909</v>
      </c>
      <c r="BR134" s="103">
        <v>-85.014606060606056</v>
      </c>
      <c r="BS134" s="103">
        <v>-84.795727272727277</v>
      </c>
      <c r="BT134" s="103">
        <v>-84.582999999999998</v>
      </c>
    </row>
    <row r="135" spans="1:72" ht="9.9499999999999993" customHeight="1" thickBot="1" x14ac:dyDescent="0.4">
      <c r="A135" s="45" t="s">
        <v>92</v>
      </c>
      <c r="B135" s="35">
        <v>-187.43829046898639</v>
      </c>
      <c r="C135" s="35">
        <v>-182.1402571860817</v>
      </c>
      <c r="D135" s="103">
        <v>-176.842223903177</v>
      </c>
      <c r="E135" s="103">
        <v>-171.5441906202723</v>
      </c>
      <c r="F135" s="103">
        <v>-166.39042360060512</v>
      </c>
      <c r="G135" s="103">
        <v>-162.89571860816943</v>
      </c>
      <c r="H135" s="103">
        <v>-159.40101361573372</v>
      </c>
      <c r="I135" s="103">
        <v>-155.90630862329803</v>
      </c>
      <c r="J135" s="103">
        <v>-152.41160363086232</v>
      </c>
      <c r="K135" s="103">
        <v>-148.91689863842663</v>
      </c>
      <c r="L135" s="103">
        <v>-145.42219364599092</v>
      </c>
      <c r="M135" s="103">
        <v>-142.40886535552193</v>
      </c>
      <c r="N135" s="103">
        <v>-139.93836611195158</v>
      </c>
      <c r="O135" s="103">
        <v>-137.46786686838124</v>
      </c>
      <c r="P135" s="103">
        <v>-134.99736762481089</v>
      </c>
      <c r="Q135" s="103">
        <v>-132.52686838124055</v>
      </c>
      <c r="R135" s="103">
        <v>-130.05636913767017</v>
      </c>
      <c r="S135" s="103">
        <v>-127.58586989409984</v>
      </c>
      <c r="T135" s="103">
        <v>-125.67092284417548</v>
      </c>
      <c r="U135" s="103">
        <v>-123.84641452344931</v>
      </c>
      <c r="V135" s="103">
        <v>-122.02190620272314</v>
      </c>
      <c r="W135" s="103">
        <v>-120.19739788199696</v>
      </c>
      <c r="X135" s="103">
        <v>-118.3728895612708</v>
      </c>
      <c r="Y135" s="103">
        <v>-116.54838124054461</v>
      </c>
      <c r="Z135" s="103">
        <v>-114.83113636363636</v>
      </c>
      <c r="AA135" s="103">
        <v>-113.43568181818181</v>
      </c>
      <c r="AB135" s="103">
        <v>-112.04022727272726</v>
      </c>
      <c r="AC135" s="103">
        <v>-110.64477272727272</v>
      </c>
      <c r="AD135" s="103">
        <v>-109.24931818181818</v>
      </c>
      <c r="AE135" s="103">
        <v>-107.85386363636363</v>
      </c>
      <c r="AF135" s="103">
        <v>-106.45840909090909</v>
      </c>
      <c r="AG135" s="103">
        <v>-105.25922844175491</v>
      </c>
      <c r="AH135" s="103">
        <v>-104.16573373676248</v>
      </c>
      <c r="AI135" s="103">
        <v>-103.07223903177004</v>
      </c>
      <c r="AJ135" s="103">
        <v>-101.9787443267776</v>
      </c>
      <c r="AK135" s="103">
        <v>-100.88524962178516</v>
      </c>
      <c r="AL135" s="103">
        <v>-99.791754916792726</v>
      </c>
      <c r="AM135" s="103">
        <v>-98.703648484848472</v>
      </c>
      <c r="AN135" s="103">
        <v>-97.744860606060598</v>
      </c>
      <c r="AO135" s="103">
        <v>-96.814168674698792</v>
      </c>
      <c r="AP135" s="103">
        <v>-95.927421686746982</v>
      </c>
      <c r="AQ135" s="103">
        <v>-95.065066666666667</v>
      </c>
      <c r="AR135" s="103">
        <v>-94.214836363636365</v>
      </c>
      <c r="AS135" s="103">
        <v>-93.400290909090913</v>
      </c>
      <c r="AT135" s="103">
        <v>-92.606854545454553</v>
      </c>
      <c r="AU135" s="103">
        <v>-91.841400000000007</v>
      </c>
      <c r="AV135" s="103">
        <v>-91.303327272727273</v>
      </c>
      <c r="AW135" s="103">
        <v>-90.847430303030308</v>
      </c>
      <c r="AX135" s="103">
        <v>-90.512278787878785</v>
      </c>
      <c r="AY135" s="103">
        <v>-90.178963855421685</v>
      </c>
      <c r="AZ135" s="103">
        <v>-89.847638554216871</v>
      </c>
      <c r="BA135" s="103">
        <v>-89.542000000000016</v>
      </c>
      <c r="BB135" s="103">
        <v>-89.242000000000004</v>
      </c>
      <c r="BC135" s="103">
        <v>-88.942000000000007</v>
      </c>
      <c r="BD135" s="103">
        <v>-88.64200000000001</v>
      </c>
      <c r="BE135" s="103">
        <v>-88.342000000000013</v>
      </c>
      <c r="BF135" s="103">
        <v>-88.042000000000002</v>
      </c>
      <c r="BG135" s="103">
        <v>-87.748361445783132</v>
      </c>
      <c r="BH135" s="103">
        <v>-87.477277108433739</v>
      </c>
      <c r="BI135" s="103">
        <v>-87.20629090909091</v>
      </c>
      <c r="BJ135" s="103">
        <v>-86.935381818181824</v>
      </c>
      <c r="BK135" s="103">
        <v>-86.678812121212133</v>
      </c>
      <c r="BL135" s="103">
        <v>-86.427284848484859</v>
      </c>
      <c r="BM135" s="103">
        <v>-86.18607272727273</v>
      </c>
      <c r="BN135" s="103">
        <v>-85.947078787878795</v>
      </c>
      <c r="BO135" s="103">
        <v>-85.709503030303026</v>
      </c>
      <c r="BP135" s="103">
        <v>-85.476771084337358</v>
      </c>
      <c r="BQ135" s="103">
        <v>-85.24490909090909</v>
      </c>
      <c r="BR135" s="103">
        <v>-85.014606060606056</v>
      </c>
      <c r="BS135" s="103">
        <v>-84.795727272727277</v>
      </c>
      <c r="BT135" s="103">
        <v>-84.582999999999998</v>
      </c>
    </row>
    <row r="136" spans="1:72" ht="9.9499999999999993" customHeight="1" thickBot="1" x14ac:dyDescent="0.4">
      <c r="A136" s="45" t="s">
        <v>53</v>
      </c>
      <c r="B136" s="35">
        <v>-37.408940998487139</v>
      </c>
      <c r="C136" s="35">
        <v>-36.516354009077155</v>
      </c>
      <c r="D136" s="103">
        <v>-35.62376701966717</v>
      </c>
      <c r="E136" s="103">
        <v>-34.731180030257185</v>
      </c>
      <c r="F136" s="103">
        <v>-33.864372163388801</v>
      </c>
      <c r="G136" s="103">
        <v>-33.294024205748862</v>
      </c>
      <c r="H136" s="103">
        <v>-32.723676248108923</v>
      </c>
      <c r="I136" s="103">
        <v>-32.153328290468984</v>
      </c>
      <c r="J136" s="103">
        <v>-31.582980332829045</v>
      </c>
      <c r="K136" s="103">
        <v>-31.012632375189106</v>
      </c>
      <c r="L136" s="103">
        <v>-30.442284417549168</v>
      </c>
      <c r="M136" s="103">
        <v>-29.957261724659606</v>
      </c>
      <c r="N136" s="103">
        <v>-29.568456883509835</v>
      </c>
      <c r="O136" s="103">
        <v>-29.179652042360061</v>
      </c>
      <c r="P136" s="103">
        <v>-28.790847201210287</v>
      </c>
      <c r="Q136" s="103">
        <v>-28.402042360060513</v>
      </c>
      <c r="R136" s="103">
        <v>-28.013237518910742</v>
      </c>
      <c r="S136" s="103">
        <v>-27.624432677760968</v>
      </c>
      <c r="T136" s="103">
        <v>-27.330605143721634</v>
      </c>
      <c r="U136" s="103">
        <v>-27.052239031770043</v>
      </c>
      <c r="V136" s="103">
        <v>-26.773872919818455</v>
      </c>
      <c r="W136" s="103">
        <v>-26.495506807866867</v>
      </c>
      <c r="X136" s="103">
        <v>-26.217140695915276</v>
      </c>
      <c r="Y136" s="103">
        <v>-25.938774583963689</v>
      </c>
      <c r="Z136" s="103">
        <v>-25.679242424242421</v>
      </c>
      <c r="AA136" s="103">
        <v>-25.476212121212118</v>
      </c>
      <c r="AB136" s="103">
        <v>-25.273181818181815</v>
      </c>
      <c r="AC136" s="103">
        <v>-25.070151515151515</v>
      </c>
      <c r="AD136" s="103">
        <v>-24.867121212121212</v>
      </c>
      <c r="AE136" s="103">
        <v>-24.664090909090909</v>
      </c>
      <c r="AF136" s="103">
        <v>-24.461060606060606</v>
      </c>
      <c r="AG136" s="103">
        <v>-24.291074130105901</v>
      </c>
      <c r="AH136" s="103">
        <v>-24.138880484114978</v>
      </c>
      <c r="AI136" s="103">
        <v>-23.986686838124054</v>
      </c>
      <c r="AJ136" s="103">
        <v>-23.834493192133131</v>
      </c>
      <c r="AK136" s="103">
        <v>-23.682299546142211</v>
      </c>
      <c r="AL136" s="103">
        <v>-23.530105900151288</v>
      </c>
      <c r="AM136" s="103">
        <v>-23.378812121212121</v>
      </c>
      <c r="AN136" s="103">
        <v>-23.249115151515152</v>
      </c>
      <c r="AO136" s="103">
        <v>-23.124421686746988</v>
      </c>
      <c r="AP136" s="103">
        <v>-23.007554216867469</v>
      </c>
      <c r="AQ136" s="103">
        <v>-22.893709090909091</v>
      </c>
      <c r="AR136" s="103">
        <v>-22.781369696969698</v>
      </c>
      <c r="AS136" s="103">
        <v>-22.673490909090912</v>
      </c>
      <c r="AT136" s="103">
        <v>-22.570042424242427</v>
      </c>
      <c r="AU136" s="103">
        <v>-22.472466666666669</v>
      </c>
      <c r="AV136" s="103">
        <v>-22.382927272727276</v>
      </c>
      <c r="AW136" s="103">
        <v>-22.300618181818184</v>
      </c>
      <c r="AX136" s="103">
        <v>-22.251527272727273</v>
      </c>
      <c r="AY136" s="103">
        <v>-22.208650602409637</v>
      </c>
      <c r="AZ136" s="103">
        <v>-22.172506024096386</v>
      </c>
      <c r="BA136" s="103">
        <v>-22.142393939393941</v>
      </c>
      <c r="BB136" s="103">
        <v>-22.11360606060606</v>
      </c>
      <c r="BC136" s="103">
        <v>-22.084818181818182</v>
      </c>
      <c r="BD136" s="103">
        <v>-22.056030303030301</v>
      </c>
      <c r="BE136" s="103">
        <v>-22.027242424242424</v>
      </c>
      <c r="BF136" s="103">
        <v>-21.998454545454546</v>
      </c>
      <c r="BG136" s="103">
        <v>-21.972024096385542</v>
      </c>
      <c r="BH136" s="103">
        <v>-21.953951807228915</v>
      </c>
      <c r="BI136" s="103">
        <v>-21.932763636363635</v>
      </c>
      <c r="BJ136" s="103">
        <v>-21.909127272727272</v>
      </c>
      <c r="BK136" s="103">
        <v>-21.892109090909091</v>
      </c>
      <c r="BL136" s="103">
        <v>-21.875903030303032</v>
      </c>
      <c r="BM136" s="103">
        <v>-21.860145454545453</v>
      </c>
      <c r="BN136" s="103">
        <v>-21.845127272727272</v>
      </c>
      <c r="BO136" s="103">
        <v>-21.830581818181816</v>
      </c>
      <c r="BP136" s="103">
        <v>-21.817277108433736</v>
      </c>
      <c r="BQ136" s="103">
        <v>-21.804363636363636</v>
      </c>
      <c r="BR136" s="103">
        <v>-21.792242424242424</v>
      </c>
      <c r="BS136" s="103">
        <v>-21.781303030303032</v>
      </c>
      <c r="BT136" s="103">
        <v>-21.771000000000001</v>
      </c>
    </row>
    <row r="137" spans="1:72" ht="9.9499999999999993" customHeight="1" thickBot="1" x14ac:dyDescent="0.4">
      <c r="A137" s="45" t="s">
        <v>61</v>
      </c>
      <c r="B137" s="35">
        <v>-37.408940998487139</v>
      </c>
      <c r="C137" s="35">
        <v>-36.516354009077155</v>
      </c>
      <c r="D137" s="103">
        <v>-35.62376701966717</v>
      </c>
      <c r="E137" s="103">
        <v>-34.731180030257185</v>
      </c>
      <c r="F137" s="103">
        <v>-33.864372163388801</v>
      </c>
      <c r="G137" s="103">
        <v>-33.294024205748862</v>
      </c>
      <c r="H137" s="103">
        <v>-32.723676248108923</v>
      </c>
      <c r="I137" s="103">
        <v>-32.153328290468984</v>
      </c>
      <c r="J137" s="103">
        <v>-31.582980332829045</v>
      </c>
      <c r="K137" s="103">
        <v>-31.012632375189106</v>
      </c>
      <c r="L137" s="103">
        <v>-30.442284417549168</v>
      </c>
      <c r="M137" s="103">
        <v>-29.957261724659606</v>
      </c>
      <c r="N137" s="103">
        <v>-29.568456883509835</v>
      </c>
      <c r="O137" s="103">
        <v>-29.179652042360061</v>
      </c>
      <c r="P137" s="103">
        <v>-28.790847201210287</v>
      </c>
      <c r="Q137" s="103">
        <v>-28.402042360060513</v>
      </c>
      <c r="R137" s="103">
        <v>-28.013237518910742</v>
      </c>
      <c r="S137" s="103">
        <v>-27.624432677760968</v>
      </c>
      <c r="T137" s="103">
        <v>-27.330605143721634</v>
      </c>
      <c r="U137" s="103">
        <v>-27.052239031770043</v>
      </c>
      <c r="V137" s="103">
        <v>-26.773872919818455</v>
      </c>
      <c r="W137" s="103">
        <v>-26.495506807866867</v>
      </c>
      <c r="X137" s="103">
        <v>-26.217140695915276</v>
      </c>
      <c r="Y137" s="103">
        <v>-25.938774583963689</v>
      </c>
      <c r="Z137" s="103">
        <v>-25.679242424242421</v>
      </c>
      <c r="AA137" s="103">
        <v>-25.476212121212118</v>
      </c>
      <c r="AB137" s="103">
        <v>-25.273181818181815</v>
      </c>
      <c r="AC137" s="103">
        <v>-25.070151515151515</v>
      </c>
      <c r="AD137" s="103">
        <v>-24.867121212121212</v>
      </c>
      <c r="AE137" s="103">
        <v>-24.664090909090909</v>
      </c>
      <c r="AF137" s="103">
        <v>-24.461060606060606</v>
      </c>
      <c r="AG137" s="103">
        <v>-24.291074130105901</v>
      </c>
      <c r="AH137" s="103">
        <v>-24.138880484114978</v>
      </c>
      <c r="AI137" s="103">
        <v>-23.986686838124054</v>
      </c>
      <c r="AJ137" s="103">
        <v>-23.834493192133131</v>
      </c>
      <c r="AK137" s="103">
        <v>-23.682299546142211</v>
      </c>
      <c r="AL137" s="103">
        <v>-23.530105900151288</v>
      </c>
      <c r="AM137" s="103">
        <v>-23.378812121212121</v>
      </c>
      <c r="AN137" s="103">
        <v>-23.249115151515152</v>
      </c>
      <c r="AO137" s="103">
        <v>-23.124421686746988</v>
      </c>
      <c r="AP137" s="103">
        <v>-23.007554216867469</v>
      </c>
      <c r="AQ137" s="103">
        <v>-22.893709090909091</v>
      </c>
      <c r="AR137" s="103">
        <v>-22.781369696969698</v>
      </c>
      <c r="AS137" s="103">
        <v>-22.673490909090912</v>
      </c>
      <c r="AT137" s="103">
        <v>-22.570042424242427</v>
      </c>
      <c r="AU137" s="103">
        <v>-22.472466666666669</v>
      </c>
      <c r="AV137" s="103">
        <v>-22.382927272727276</v>
      </c>
      <c r="AW137" s="103">
        <v>-22.300618181818184</v>
      </c>
      <c r="AX137" s="103">
        <v>-22.251527272727273</v>
      </c>
      <c r="AY137" s="103">
        <v>-22.208650602409637</v>
      </c>
      <c r="AZ137" s="103">
        <v>-22.172506024096386</v>
      </c>
      <c r="BA137" s="103">
        <v>-22.142393939393941</v>
      </c>
      <c r="BB137" s="103">
        <v>-22.11360606060606</v>
      </c>
      <c r="BC137" s="103">
        <v>-22.084818181818182</v>
      </c>
      <c r="BD137" s="103">
        <v>-22.056030303030301</v>
      </c>
      <c r="BE137" s="103">
        <v>-22.027242424242424</v>
      </c>
      <c r="BF137" s="103">
        <v>-21.998454545454546</v>
      </c>
      <c r="BG137" s="103">
        <v>-21.972024096385542</v>
      </c>
      <c r="BH137" s="103">
        <v>-21.953951807228915</v>
      </c>
      <c r="BI137" s="103">
        <v>-21.932763636363635</v>
      </c>
      <c r="BJ137" s="103">
        <v>-21.909127272727272</v>
      </c>
      <c r="BK137" s="103">
        <v>-21.892109090909091</v>
      </c>
      <c r="BL137" s="103">
        <v>-21.875903030303032</v>
      </c>
      <c r="BM137" s="103">
        <v>-21.860145454545453</v>
      </c>
      <c r="BN137" s="103">
        <v>-21.845127272727272</v>
      </c>
      <c r="BO137" s="103">
        <v>-21.830581818181816</v>
      </c>
      <c r="BP137" s="103">
        <v>-21.817277108433736</v>
      </c>
      <c r="BQ137" s="103">
        <v>-21.804363636363636</v>
      </c>
      <c r="BR137" s="103">
        <v>-21.792242424242424</v>
      </c>
      <c r="BS137" s="103">
        <v>-21.781303030303032</v>
      </c>
      <c r="BT137" s="103">
        <v>-21.771000000000001</v>
      </c>
    </row>
    <row r="138" spans="1:72" ht="9.9499999999999993" customHeight="1" thickBot="1" x14ac:dyDescent="0.4">
      <c r="A138" s="45" t="s">
        <v>93</v>
      </c>
      <c r="B138" s="35">
        <v>-179.22844175491679</v>
      </c>
      <c r="C138" s="35">
        <v>-174.62934947049922</v>
      </c>
      <c r="D138" s="103">
        <v>-170.03025718608168</v>
      </c>
      <c r="E138" s="103">
        <v>-165.43116490166415</v>
      </c>
      <c r="F138" s="103">
        <v>-161.13996974281392</v>
      </c>
      <c r="G138" s="103">
        <v>-160.38959152798787</v>
      </c>
      <c r="H138" s="103">
        <v>-159.63921331316186</v>
      </c>
      <c r="I138" s="103">
        <v>-158.88883509833585</v>
      </c>
      <c r="J138" s="103">
        <v>-158.13845688350983</v>
      </c>
      <c r="K138" s="103">
        <v>-157.38807866868382</v>
      </c>
      <c r="L138" s="103">
        <v>-156.6377004538578</v>
      </c>
      <c r="M138" s="103">
        <v>-152.6734039334342</v>
      </c>
      <c r="N138" s="103">
        <v>-145.08490166414524</v>
      </c>
      <c r="O138" s="103">
        <v>-137.49639939485627</v>
      </c>
      <c r="P138" s="103">
        <v>-129.90789712556733</v>
      </c>
      <c r="Q138" s="103">
        <v>-122.31939485627836</v>
      </c>
      <c r="R138" s="103">
        <v>-114.7308925869894</v>
      </c>
      <c r="S138" s="103">
        <v>-107.14239031770043</v>
      </c>
      <c r="T138" s="103">
        <v>-104.45627836611195</v>
      </c>
      <c r="U138" s="103">
        <v>-102.56822995461421</v>
      </c>
      <c r="V138" s="103">
        <v>-100.68018154311649</v>
      </c>
      <c r="W138" s="103">
        <v>-98.792133131618755</v>
      </c>
      <c r="X138" s="103">
        <v>-96.90408472012102</v>
      </c>
      <c r="Y138" s="103">
        <v>-95.016036308623299</v>
      </c>
      <c r="Z138" s="103">
        <v>-93.221212121212119</v>
      </c>
      <c r="AA138" s="103">
        <v>-91.706060606060603</v>
      </c>
      <c r="AB138" s="103">
        <v>-90.190909090909088</v>
      </c>
      <c r="AC138" s="103">
        <v>-88.675757575757572</v>
      </c>
      <c r="AD138" s="103">
        <v>-87.160606060606057</v>
      </c>
      <c r="AE138" s="103">
        <v>-85.645454545454541</v>
      </c>
      <c r="AF138" s="103">
        <v>-84.130303030303025</v>
      </c>
      <c r="AG138" s="103">
        <v>-82.784992435703472</v>
      </c>
      <c r="AH138" s="103">
        <v>-81.531134644478058</v>
      </c>
      <c r="AI138" s="103">
        <v>-80.277276853252644</v>
      </c>
      <c r="AJ138" s="103">
        <v>-79.02341906202723</v>
      </c>
      <c r="AK138" s="103">
        <v>-77.769561270801816</v>
      </c>
      <c r="AL138" s="103">
        <v>-76.515703479576402</v>
      </c>
      <c r="AM138" s="103">
        <v>-75.266618181818188</v>
      </c>
      <c r="AN138" s="103">
        <v>-74.132072727272728</v>
      </c>
      <c r="AO138" s="103">
        <v>-73.018987951807233</v>
      </c>
      <c r="AP138" s="103">
        <v>-71.939469879518072</v>
      </c>
      <c r="AQ138" s="103">
        <v>-70.883490909090909</v>
      </c>
      <c r="AR138" s="103">
        <v>-69.83932121212122</v>
      </c>
      <c r="AS138" s="103">
        <v>-68.830836363636365</v>
      </c>
      <c r="AT138" s="103">
        <v>-67.836945454545457</v>
      </c>
      <c r="AU138" s="103">
        <v>-66.862400000000008</v>
      </c>
      <c r="AV138" s="103">
        <v>-65.98996363636364</v>
      </c>
      <c r="AW138" s="103">
        <v>-65.312096969696967</v>
      </c>
      <c r="AX138" s="103">
        <v>-65.743612121212124</v>
      </c>
      <c r="AY138" s="103">
        <v>-66.129927710843376</v>
      </c>
      <c r="AZ138" s="103">
        <v>-66.467277108433748</v>
      </c>
      <c r="BA138" s="103">
        <v>-66.806303030303042</v>
      </c>
      <c r="BB138" s="103">
        <v>-67.145696969696971</v>
      </c>
      <c r="BC138" s="103">
        <v>-67.485090909090914</v>
      </c>
      <c r="BD138" s="103">
        <v>-67.824484848484857</v>
      </c>
      <c r="BE138" s="103">
        <v>-68.163878787878787</v>
      </c>
      <c r="BF138" s="103">
        <v>-68.50327272727273</v>
      </c>
      <c r="BG138" s="103">
        <v>-68.842216867469887</v>
      </c>
      <c r="BH138" s="103">
        <v>-69.179566265060245</v>
      </c>
      <c r="BI138" s="103">
        <v>-69.520775757575763</v>
      </c>
      <c r="BJ138" s="103">
        <v>-69.865018181818186</v>
      </c>
      <c r="BK138" s="103">
        <v>-70.21808484848485</v>
      </c>
      <c r="BL138" s="103">
        <v>-70.573284848484846</v>
      </c>
      <c r="BM138" s="103">
        <v>-70.932072727272725</v>
      </c>
      <c r="BN138" s="103">
        <v>-71.296775757575759</v>
      </c>
      <c r="BO138" s="103">
        <v>-71.665260606060613</v>
      </c>
      <c r="BP138" s="103">
        <v>-72.040867469879529</v>
      </c>
      <c r="BQ138" s="103">
        <v>-72.420363636363632</v>
      </c>
      <c r="BR138" s="103">
        <v>-72.808242424242422</v>
      </c>
      <c r="BS138" s="103">
        <v>-73.205575757575758</v>
      </c>
      <c r="BT138" s="103">
        <v>-73.608000000000004</v>
      </c>
    </row>
    <row r="139" spans="1:72" ht="9.9499999999999993" customHeight="1" thickBot="1" x14ac:dyDescent="0.4">
      <c r="A139" s="45" t="s">
        <v>68</v>
      </c>
      <c r="B139" s="35">
        <v>-22.403555219364598</v>
      </c>
      <c r="C139" s="35">
        <v>-21.828668683812403</v>
      </c>
      <c r="D139" s="103">
        <v>-21.253782148260211</v>
      </c>
      <c r="E139" s="103">
        <v>-20.678895612708018</v>
      </c>
      <c r="F139" s="103">
        <v>-20.14249621785174</v>
      </c>
      <c r="G139" s="103">
        <v>-20.048698940998484</v>
      </c>
      <c r="H139" s="103">
        <v>-19.954901664145233</v>
      </c>
      <c r="I139" s="103">
        <v>-19.861104387291981</v>
      </c>
      <c r="J139" s="103">
        <v>-19.767307110438729</v>
      </c>
      <c r="K139" s="103">
        <v>-19.673509833585477</v>
      </c>
      <c r="L139" s="103">
        <v>-19.579712556732225</v>
      </c>
      <c r="M139" s="103">
        <v>-19.084175491679275</v>
      </c>
      <c r="N139" s="103">
        <v>-18.135612708018154</v>
      </c>
      <c r="O139" s="103">
        <v>-17.187049924357034</v>
      </c>
      <c r="P139" s="103">
        <v>-16.238487140695916</v>
      </c>
      <c r="Q139" s="103">
        <v>-15.289924357034796</v>
      </c>
      <c r="R139" s="103">
        <v>-14.341361573373675</v>
      </c>
      <c r="S139" s="103">
        <v>-13.392798789712554</v>
      </c>
      <c r="T139" s="103">
        <v>-13.057034795763993</v>
      </c>
      <c r="U139" s="103">
        <v>-12.821028744326776</v>
      </c>
      <c r="V139" s="103">
        <v>-12.585022692889561</v>
      </c>
      <c r="W139" s="103">
        <v>-12.349016641452344</v>
      </c>
      <c r="X139" s="103">
        <v>-12.113010590015127</v>
      </c>
      <c r="Y139" s="103">
        <v>-11.877004538577912</v>
      </c>
      <c r="Z139" s="103">
        <v>-11.652651515151515</v>
      </c>
      <c r="AA139" s="103">
        <v>-11.463257575757575</v>
      </c>
      <c r="AB139" s="103">
        <v>-11.273863636363636</v>
      </c>
      <c r="AC139" s="103">
        <v>-11.084469696969697</v>
      </c>
      <c r="AD139" s="103">
        <v>-10.895075757575757</v>
      </c>
      <c r="AE139" s="103">
        <v>-10.705681818181818</v>
      </c>
      <c r="AF139" s="103">
        <v>-10.516287878787878</v>
      </c>
      <c r="AG139" s="103">
        <v>-10.348124054462934</v>
      </c>
      <c r="AH139" s="103">
        <v>-10.191391830559757</v>
      </c>
      <c r="AI139" s="103">
        <v>-10.034659606656581</v>
      </c>
      <c r="AJ139" s="103">
        <v>-9.8779273827534038</v>
      </c>
      <c r="AK139" s="103">
        <v>-9.721195158850227</v>
      </c>
      <c r="AL139" s="103">
        <v>-9.5644629349470502</v>
      </c>
      <c r="AM139" s="103">
        <v>-9.4083272727272735</v>
      </c>
      <c r="AN139" s="103">
        <v>-9.266509090909091</v>
      </c>
      <c r="AO139" s="103">
        <v>-9.1273734939759041</v>
      </c>
      <c r="AP139" s="103">
        <v>-8.9924337349397589</v>
      </c>
      <c r="AQ139" s="103">
        <v>-8.8604363636363637</v>
      </c>
      <c r="AR139" s="103">
        <v>-8.7299151515151525</v>
      </c>
      <c r="AS139" s="103">
        <v>-8.6038545454545456</v>
      </c>
      <c r="AT139" s="103">
        <v>-8.4796181818181822</v>
      </c>
      <c r="AU139" s="103">
        <v>-8.357800000000001</v>
      </c>
      <c r="AV139" s="103">
        <v>-8.248745454545455</v>
      </c>
      <c r="AW139" s="103">
        <v>-8.1640121212121208</v>
      </c>
      <c r="AX139" s="103">
        <v>-8.2179515151515155</v>
      </c>
      <c r="AY139" s="103">
        <v>-8.266240963855422</v>
      </c>
      <c r="AZ139" s="103">
        <v>-8.3084096385542185</v>
      </c>
      <c r="BA139" s="103">
        <v>-8.3507878787878802</v>
      </c>
      <c r="BB139" s="103">
        <v>-8.3932121212121213</v>
      </c>
      <c r="BC139" s="103">
        <v>-8.4356363636363643</v>
      </c>
      <c r="BD139" s="103">
        <v>-8.4780606060606072</v>
      </c>
      <c r="BE139" s="103">
        <v>-8.5204848484848483</v>
      </c>
      <c r="BF139" s="103">
        <v>-8.5629090909090912</v>
      </c>
      <c r="BG139" s="103">
        <v>-8.6052771084337358</v>
      </c>
      <c r="BH139" s="103">
        <v>-8.6474457831325307</v>
      </c>
      <c r="BI139" s="103">
        <v>-8.6900969696969703</v>
      </c>
      <c r="BJ139" s="103">
        <v>-8.7331272727272733</v>
      </c>
      <c r="BK139" s="103">
        <v>-8.7772606060606062</v>
      </c>
      <c r="BL139" s="103">
        <v>-8.8216606060606058</v>
      </c>
      <c r="BM139" s="103">
        <v>-8.8665090909090907</v>
      </c>
      <c r="BN139" s="103">
        <v>-8.9120969696969699</v>
      </c>
      <c r="BO139" s="103">
        <v>-8.9581575757575767</v>
      </c>
      <c r="BP139" s="103">
        <v>-9.0051084337349412</v>
      </c>
      <c r="BQ139" s="103">
        <v>-9.052545454545454</v>
      </c>
      <c r="BR139" s="103">
        <v>-9.1010303030303028</v>
      </c>
      <c r="BS139" s="103">
        <v>-9.1506969696969698</v>
      </c>
      <c r="BT139" s="103">
        <v>-9.2010000000000005</v>
      </c>
    </row>
    <row r="140" spans="1:72" ht="9.9499999999999993" customHeight="1" thickBot="1" x14ac:dyDescent="0.4">
      <c r="A140" s="45" t="s">
        <v>93</v>
      </c>
      <c r="B140" s="35">
        <v>-179.22844175491679</v>
      </c>
      <c r="C140" s="35">
        <v>-174.62934947049922</v>
      </c>
      <c r="D140" s="103">
        <v>-170.03025718608168</v>
      </c>
      <c r="E140" s="103">
        <v>-165.43116490166415</v>
      </c>
      <c r="F140" s="103">
        <v>-161.13996974281392</v>
      </c>
      <c r="G140" s="103">
        <v>-160.38959152798787</v>
      </c>
      <c r="H140" s="103">
        <v>-159.63921331316186</v>
      </c>
      <c r="I140" s="103">
        <v>-158.88883509833585</v>
      </c>
      <c r="J140" s="103">
        <v>-158.13845688350983</v>
      </c>
      <c r="K140" s="103">
        <v>-157.38807866868382</v>
      </c>
      <c r="L140" s="103">
        <v>-156.6377004538578</v>
      </c>
      <c r="M140" s="103">
        <v>-152.6734039334342</v>
      </c>
      <c r="N140" s="103">
        <v>-145.08490166414524</v>
      </c>
      <c r="O140" s="103">
        <v>-137.49639939485627</v>
      </c>
      <c r="P140" s="103">
        <v>-129.90789712556733</v>
      </c>
      <c r="Q140" s="103">
        <v>-122.31939485627836</v>
      </c>
      <c r="R140" s="103">
        <v>-114.7308925869894</v>
      </c>
      <c r="S140" s="103">
        <v>-107.14239031770043</v>
      </c>
      <c r="T140" s="103">
        <v>-104.45627836611195</v>
      </c>
      <c r="U140" s="103">
        <v>-102.56822995461421</v>
      </c>
      <c r="V140" s="103">
        <v>-100.68018154311649</v>
      </c>
      <c r="W140" s="103">
        <v>-98.792133131618755</v>
      </c>
      <c r="X140" s="103">
        <v>-96.90408472012102</v>
      </c>
      <c r="Y140" s="103">
        <v>-95.016036308623299</v>
      </c>
      <c r="Z140" s="103">
        <v>-93.221212121212119</v>
      </c>
      <c r="AA140" s="103">
        <v>-91.706060606060603</v>
      </c>
      <c r="AB140" s="103">
        <v>-90.190909090909088</v>
      </c>
      <c r="AC140" s="103">
        <v>-88.675757575757572</v>
      </c>
      <c r="AD140" s="103">
        <v>-87.160606060606057</v>
      </c>
      <c r="AE140" s="103">
        <v>-85.645454545454541</v>
      </c>
      <c r="AF140" s="103">
        <v>-84.130303030303025</v>
      </c>
      <c r="AG140" s="103">
        <v>-82.784992435703472</v>
      </c>
      <c r="AH140" s="103">
        <v>-81.531134644478058</v>
      </c>
      <c r="AI140" s="103">
        <v>-80.277276853252644</v>
      </c>
      <c r="AJ140" s="103">
        <v>-79.02341906202723</v>
      </c>
      <c r="AK140" s="103">
        <v>-77.769561270801816</v>
      </c>
      <c r="AL140" s="103">
        <v>-76.515703479576402</v>
      </c>
      <c r="AM140" s="103">
        <v>-75.266618181818188</v>
      </c>
      <c r="AN140" s="103">
        <v>-74.132072727272728</v>
      </c>
      <c r="AO140" s="103">
        <v>-73.018987951807233</v>
      </c>
      <c r="AP140" s="103">
        <v>-71.939469879518072</v>
      </c>
      <c r="AQ140" s="103">
        <v>-70.883490909090909</v>
      </c>
      <c r="AR140" s="103">
        <v>-69.83932121212122</v>
      </c>
      <c r="AS140" s="103">
        <v>-68.830836363636365</v>
      </c>
      <c r="AT140" s="103">
        <v>-67.836945454545457</v>
      </c>
      <c r="AU140" s="103">
        <v>-66.862400000000008</v>
      </c>
      <c r="AV140" s="103">
        <v>-65.98996363636364</v>
      </c>
      <c r="AW140" s="103">
        <v>-65.312096969696967</v>
      </c>
      <c r="AX140" s="103">
        <v>-65.743612121212124</v>
      </c>
      <c r="AY140" s="103">
        <v>-66.129927710843376</v>
      </c>
      <c r="AZ140" s="103">
        <v>-66.467277108433748</v>
      </c>
      <c r="BA140" s="103">
        <v>-66.806303030303042</v>
      </c>
      <c r="BB140" s="103">
        <v>-67.145696969696971</v>
      </c>
      <c r="BC140" s="103">
        <v>-67.485090909090914</v>
      </c>
      <c r="BD140" s="103">
        <v>-67.824484848484857</v>
      </c>
      <c r="BE140" s="103">
        <v>-68.163878787878787</v>
      </c>
      <c r="BF140" s="103">
        <v>-68.50327272727273</v>
      </c>
      <c r="BG140" s="103">
        <v>-68.842216867469887</v>
      </c>
      <c r="BH140" s="103">
        <v>-69.179566265060245</v>
      </c>
      <c r="BI140" s="103">
        <v>-69.520775757575763</v>
      </c>
      <c r="BJ140" s="103">
        <v>-69.865018181818186</v>
      </c>
      <c r="BK140" s="103">
        <v>-70.21808484848485</v>
      </c>
      <c r="BL140" s="103">
        <v>-70.573284848484846</v>
      </c>
      <c r="BM140" s="103">
        <v>-70.932072727272725</v>
      </c>
      <c r="BN140" s="103">
        <v>-71.296775757575759</v>
      </c>
      <c r="BO140" s="103">
        <v>-71.665260606060613</v>
      </c>
      <c r="BP140" s="103">
        <v>-72.040867469879529</v>
      </c>
      <c r="BQ140" s="103">
        <v>-72.420363636363632</v>
      </c>
      <c r="BR140" s="103">
        <v>-72.808242424242422</v>
      </c>
      <c r="BS140" s="103">
        <v>-73.205575757575758</v>
      </c>
      <c r="BT140" s="103">
        <v>-73.608000000000004</v>
      </c>
    </row>
    <row r="141" spans="1:72" ht="9.9499999999999993" customHeight="1" thickBot="1" x14ac:dyDescent="0.4">
      <c r="A141" s="45" t="s">
        <v>95</v>
      </c>
      <c r="B141" s="35">
        <v>-112.017776096823</v>
      </c>
      <c r="C141" s="35">
        <v>-109.14334341906203</v>
      </c>
      <c r="D141" s="103">
        <v>-106.26891074130106</v>
      </c>
      <c r="E141" s="103">
        <v>-103.39447806354009</v>
      </c>
      <c r="F141" s="103">
        <v>-100.7124810892587</v>
      </c>
      <c r="G141" s="103">
        <v>-100.24349470499244</v>
      </c>
      <c r="H141" s="103">
        <v>-99.77450832072617</v>
      </c>
      <c r="I141" s="103">
        <v>-99.305521936459911</v>
      </c>
      <c r="J141" s="103">
        <v>-98.836535552193652</v>
      </c>
      <c r="K141" s="103">
        <v>-98.367549167927393</v>
      </c>
      <c r="L141" s="103">
        <v>-97.89856278366112</v>
      </c>
      <c r="M141" s="103">
        <v>-95.420877458396376</v>
      </c>
      <c r="N141" s="103">
        <v>-90.678063540090776</v>
      </c>
      <c r="O141" s="103">
        <v>-85.935249621785175</v>
      </c>
      <c r="P141" s="103">
        <v>-81.192435703479575</v>
      </c>
      <c r="Q141" s="103">
        <v>-76.449621785173974</v>
      </c>
      <c r="R141" s="103">
        <v>-71.706807866868374</v>
      </c>
      <c r="S141" s="103">
        <v>-66.963993948562774</v>
      </c>
      <c r="T141" s="103">
        <v>-65.285173978819969</v>
      </c>
      <c r="U141" s="103">
        <v>-64.10514372163388</v>
      </c>
      <c r="V141" s="103">
        <v>-62.925113464447804</v>
      </c>
      <c r="W141" s="103">
        <v>-61.745083207261722</v>
      </c>
      <c r="X141" s="103">
        <v>-60.565052950075639</v>
      </c>
      <c r="Y141" s="103">
        <v>-59.385022692889564</v>
      </c>
      <c r="Z141" s="103">
        <v>-58.263257575757578</v>
      </c>
      <c r="AA141" s="103">
        <v>-57.316287878787875</v>
      </c>
      <c r="AB141" s="103">
        <v>-56.36931818181818</v>
      </c>
      <c r="AC141" s="103">
        <v>-55.422348484848484</v>
      </c>
      <c r="AD141" s="103">
        <v>-54.475378787878789</v>
      </c>
      <c r="AE141" s="103">
        <v>-53.528409090909093</v>
      </c>
      <c r="AF141" s="103">
        <v>-52.581439393939391</v>
      </c>
      <c r="AG141" s="103">
        <v>-51.740620272314672</v>
      </c>
      <c r="AH141" s="103">
        <v>-50.956959152798788</v>
      </c>
      <c r="AI141" s="103">
        <v>-50.173298033282904</v>
      </c>
      <c r="AJ141" s="103">
        <v>-49.389636913767021</v>
      </c>
      <c r="AK141" s="103">
        <v>-48.605975794251137</v>
      </c>
      <c r="AL141" s="103">
        <v>-47.822314674735253</v>
      </c>
      <c r="AM141" s="103">
        <v>-47.041636363636364</v>
      </c>
      <c r="AN141" s="103">
        <v>-46.332545454545453</v>
      </c>
      <c r="AO141" s="103">
        <v>-45.636867469879519</v>
      </c>
      <c r="AP141" s="103">
        <v>-44.962168674698802</v>
      </c>
      <c r="AQ141" s="103">
        <v>-44.302181818181822</v>
      </c>
      <c r="AR141" s="103">
        <v>-43.649575757575761</v>
      </c>
      <c r="AS141" s="103">
        <v>-43.019272727272728</v>
      </c>
      <c r="AT141" s="103">
        <v>-42.398090909090911</v>
      </c>
      <c r="AU141" s="103">
        <v>-41.789000000000001</v>
      </c>
      <c r="AV141" s="103">
        <v>-41.243727272727277</v>
      </c>
      <c r="AW141" s="103">
        <v>-40.820060606060601</v>
      </c>
      <c r="AX141" s="103">
        <v>-41.089757575757574</v>
      </c>
      <c r="AY141" s="103">
        <v>-41.331204819277112</v>
      </c>
      <c r="AZ141" s="103">
        <v>-41.542048192771091</v>
      </c>
      <c r="BA141" s="103">
        <v>-41.753939393939397</v>
      </c>
      <c r="BB141" s="103">
        <v>-41.966060606060609</v>
      </c>
      <c r="BC141" s="103">
        <v>-42.178181818181827</v>
      </c>
      <c r="BD141" s="103">
        <v>-42.390303030303038</v>
      </c>
      <c r="BE141" s="103">
        <v>-42.602424242424249</v>
      </c>
      <c r="BF141" s="103">
        <v>-42.81454545454546</v>
      </c>
      <c r="BG141" s="103">
        <v>-43.026385542168676</v>
      </c>
      <c r="BH141" s="103">
        <v>-43.237228915662648</v>
      </c>
      <c r="BI141" s="103">
        <v>-43.450484848484848</v>
      </c>
      <c r="BJ141" s="103">
        <v>-43.665636363636366</v>
      </c>
      <c r="BK141" s="103">
        <v>-43.886303030303033</v>
      </c>
      <c r="BL141" s="103">
        <v>-44.108303030303034</v>
      </c>
      <c r="BM141" s="103">
        <v>-44.33254545454546</v>
      </c>
      <c r="BN141" s="103">
        <v>-44.560484848484855</v>
      </c>
      <c r="BO141" s="103">
        <v>-44.790787878787881</v>
      </c>
      <c r="BP141" s="103">
        <v>-45.025542168674697</v>
      </c>
      <c r="BQ141" s="103">
        <v>-45.262727272727268</v>
      </c>
      <c r="BR141" s="103">
        <v>-45.505151515151518</v>
      </c>
      <c r="BS141" s="103">
        <v>-45.753484848484852</v>
      </c>
      <c r="BT141" s="103">
        <v>-46.005000000000003</v>
      </c>
    </row>
    <row r="142" spans="1:72" ht="9.9499999999999993" customHeight="1" thickBot="1" x14ac:dyDescent="0.4">
      <c r="A142" s="45" t="s">
        <v>102</v>
      </c>
      <c r="B142" s="35">
        <v>-37.408940998487139</v>
      </c>
      <c r="C142" s="35">
        <v>-36.516354009077155</v>
      </c>
      <c r="D142" s="103">
        <v>-35.62376701966717</v>
      </c>
      <c r="E142" s="103">
        <v>-34.731180030257185</v>
      </c>
      <c r="F142" s="103">
        <v>-33.864372163388801</v>
      </c>
      <c r="G142" s="103">
        <v>-33.294024205748862</v>
      </c>
      <c r="H142" s="103">
        <v>-32.723676248108923</v>
      </c>
      <c r="I142" s="103">
        <v>-32.153328290468984</v>
      </c>
      <c r="J142" s="103">
        <v>-31.582980332829045</v>
      </c>
      <c r="K142" s="103">
        <v>-31.012632375189106</v>
      </c>
      <c r="L142" s="103">
        <v>-30.442284417549168</v>
      </c>
      <c r="M142" s="103">
        <v>-29.957261724659606</v>
      </c>
      <c r="N142" s="103">
        <v>-29.568456883509835</v>
      </c>
      <c r="O142" s="103">
        <v>-29.179652042360061</v>
      </c>
      <c r="P142" s="103">
        <v>-28.790847201210287</v>
      </c>
      <c r="Q142" s="103">
        <v>-28.402042360060513</v>
      </c>
      <c r="R142" s="103">
        <v>-28.013237518910742</v>
      </c>
      <c r="S142" s="103">
        <v>-27.624432677760968</v>
      </c>
      <c r="T142" s="103">
        <v>-27.330605143721634</v>
      </c>
      <c r="U142" s="103">
        <v>-27.052239031770043</v>
      </c>
      <c r="V142" s="103">
        <v>-26.773872919818455</v>
      </c>
      <c r="W142" s="103">
        <v>-26.495506807866867</v>
      </c>
      <c r="X142" s="103">
        <v>-26.217140695915276</v>
      </c>
      <c r="Y142" s="103">
        <v>-25.938774583963689</v>
      </c>
      <c r="Z142" s="103">
        <v>-25.679242424242421</v>
      </c>
      <c r="AA142" s="103">
        <v>-25.476212121212118</v>
      </c>
      <c r="AB142" s="103">
        <v>-25.273181818181815</v>
      </c>
      <c r="AC142" s="103">
        <v>-25.070151515151515</v>
      </c>
      <c r="AD142" s="103">
        <v>-24.867121212121212</v>
      </c>
      <c r="AE142" s="103">
        <v>-24.664090909090909</v>
      </c>
      <c r="AF142" s="103">
        <v>-24.461060606060606</v>
      </c>
      <c r="AG142" s="103">
        <v>-24.291074130105901</v>
      </c>
      <c r="AH142" s="103">
        <v>-24.138880484114978</v>
      </c>
      <c r="AI142" s="103">
        <v>-23.986686838124054</v>
      </c>
      <c r="AJ142" s="103">
        <v>-23.834493192133131</v>
      </c>
      <c r="AK142" s="103">
        <v>-23.682299546142211</v>
      </c>
      <c r="AL142" s="103">
        <v>-23.530105900151288</v>
      </c>
      <c r="AM142" s="103">
        <v>-23.378812121212121</v>
      </c>
      <c r="AN142" s="103">
        <v>-23.249115151515152</v>
      </c>
      <c r="AO142" s="103">
        <v>-23.124421686746988</v>
      </c>
      <c r="AP142" s="103">
        <v>-23.007554216867469</v>
      </c>
      <c r="AQ142" s="103">
        <v>-22.893709090909091</v>
      </c>
      <c r="AR142" s="103">
        <v>-22.781369696969698</v>
      </c>
      <c r="AS142" s="103">
        <v>-22.673490909090912</v>
      </c>
      <c r="AT142" s="103">
        <v>-22.570042424242427</v>
      </c>
      <c r="AU142" s="103">
        <v>-22.472466666666669</v>
      </c>
      <c r="AV142" s="103">
        <v>-22.382927272727276</v>
      </c>
      <c r="AW142" s="103">
        <v>-22.300618181818184</v>
      </c>
      <c r="AX142" s="103">
        <v>-22.251527272727273</v>
      </c>
      <c r="AY142" s="103">
        <v>-22.208650602409637</v>
      </c>
      <c r="AZ142" s="103">
        <v>-22.172506024096386</v>
      </c>
      <c r="BA142" s="103">
        <v>-22.142393939393941</v>
      </c>
      <c r="BB142" s="103">
        <v>-22.11360606060606</v>
      </c>
      <c r="BC142" s="103">
        <v>-22.084818181818182</v>
      </c>
      <c r="BD142" s="103">
        <v>-22.056030303030301</v>
      </c>
      <c r="BE142" s="103">
        <v>-22.027242424242424</v>
      </c>
      <c r="BF142" s="103">
        <v>-21.998454545454546</v>
      </c>
      <c r="BG142" s="103">
        <v>-21.972024096385542</v>
      </c>
      <c r="BH142" s="103">
        <v>-21.953951807228915</v>
      </c>
      <c r="BI142" s="103">
        <v>-21.932763636363635</v>
      </c>
      <c r="BJ142" s="103">
        <v>-21.909127272727272</v>
      </c>
      <c r="BK142" s="103">
        <v>-21.892109090909091</v>
      </c>
      <c r="BL142" s="103">
        <v>-21.875903030303032</v>
      </c>
      <c r="BM142" s="103">
        <v>-21.860145454545453</v>
      </c>
      <c r="BN142" s="103">
        <v>-21.845127272727272</v>
      </c>
      <c r="BO142" s="103">
        <v>-21.830581818181816</v>
      </c>
      <c r="BP142" s="103">
        <v>-21.817277108433736</v>
      </c>
      <c r="BQ142" s="103">
        <v>-21.804363636363636</v>
      </c>
      <c r="BR142" s="103">
        <v>-21.792242424242424</v>
      </c>
      <c r="BS142" s="103">
        <v>-21.781303030303032</v>
      </c>
      <c r="BT142" s="103">
        <v>-21.771000000000001</v>
      </c>
    </row>
    <row r="143" spans="1:72" ht="9.9499999999999993" customHeight="1" thickBot="1" x14ac:dyDescent="0.4">
      <c r="A143" s="45" t="s">
        <v>96</v>
      </c>
      <c r="B143" s="35">
        <v>-89.614220877458393</v>
      </c>
      <c r="C143" s="35">
        <v>-87.314674735249611</v>
      </c>
      <c r="D143" s="103">
        <v>-85.015128593040842</v>
      </c>
      <c r="E143" s="103">
        <v>-82.715582450832073</v>
      </c>
      <c r="F143" s="103">
        <v>-80.569984871406959</v>
      </c>
      <c r="G143" s="103">
        <v>-80.194795763993937</v>
      </c>
      <c r="H143" s="103">
        <v>-79.81960665658093</v>
      </c>
      <c r="I143" s="103">
        <v>-79.444417549167923</v>
      </c>
      <c r="J143" s="103">
        <v>-79.069228441754916</v>
      </c>
      <c r="K143" s="103">
        <v>-78.694039334341909</v>
      </c>
      <c r="L143" s="103">
        <v>-78.318850226928902</v>
      </c>
      <c r="M143" s="103">
        <v>-76.336701966717101</v>
      </c>
      <c r="N143" s="103">
        <v>-72.542450832072618</v>
      </c>
      <c r="O143" s="103">
        <v>-68.748199697428134</v>
      </c>
      <c r="P143" s="103">
        <v>-64.953948562783665</v>
      </c>
      <c r="Q143" s="103">
        <v>-61.159697428139182</v>
      </c>
      <c r="R143" s="103">
        <v>-57.365446293494699</v>
      </c>
      <c r="S143" s="103">
        <v>-53.571195158850216</v>
      </c>
      <c r="T143" s="103">
        <v>-52.228139183055973</v>
      </c>
      <c r="U143" s="103">
        <v>-51.284114977307105</v>
      </c>
      <c r="V143" s="103">
        <v>-50.340090771558245</v>
      </c>
      <c r="W143" s="103">
        <v>-49.396066565809377</v>
      </c>
      <c r="X143" s="103">
        <v>-48.45204236006051</v>
      </c>
      <c r="Y143" s="103">
        <v>-47.50801815431165</v>
      </c>
      <c r="Z143" s="103">
        <v>-46.610606060606059</v>
      </c>
      <c r="AA143" s="103">
        <v>-45.853030303030302</v>
      </c>
      <c r="AB143" s="103">
        <v>-45.095454545454544</v>
      </c>
      <c r="AC143" s="103">
        <v>-44.337878787878786</v>
      </c>
      <c r="AD143" s="103">
        <v>-43.580303030303028</v>
      </c>
      <c r="AE143" s="103">
        <v>-42.822727272727271</v>
      </c>
      <c r="AF143" s="103">
        <v>-42.065151515151513</v>
      </c>
      <c r="AG143" s="103">
        <v>-41.392496217851736</v>
      </c>
      <c r="AH143" s="103">
        <v>-40.765567322239029</v>
      </c>
      <c r="AI143" s="103">
        <v>-40.138638426626322</v>
      </c>
      <c r="AJ143" s="103">
        <v>-39.511709531013615</v>
      </c>
      <c r="AK143" s="103">
        <v>-38.884780635400908</v>
      </c>
      <c r="AL143" s="103">
        <v>-38.257851739788201</v>
      </c>
      <c r="AM143" s="103">
        <v>-37.633309090909094</v>
      </c>
      <c r="AN143" s="103">
        <v>-37.066036363636364</v>
      </c>
      <c r="AO143" s="103">
        <v>-36.509493975903617</v>
      </c>
      <c r="AP143" s="103">
        <v>-35.969734939759036</v>
      </c>
      <c r="AQ143" s="103">
        <v>-35.441745454545455</v>
      </c>
      <c r="AR143" s="103">
        <v>-34.91966060606061</v>
      </c>
      <c r="AS143" s="103">
        <v>-34.415418181818183</v>
      </c>
      <c r="AT143" s="103">
        <v>-33.918472727272729</v>
      </c>
      <c r="AU143" s="103">
        <v>-33.431200000000004</v>
      </c>
      <c r="AV143" s="103">
        <v>-32.99498181818182</v>
      </c>
      <c r="AW143" s="103">
        <v>-32.656048484848483</v>
      </c>
      <c r="AX143" s="103">
        <v>-32.871806060606062</v>
      </c>
      <c r="AY143" s="103">
        <v>-33.064963855421688</v>
      </c>
      <c r="AZ143" s="103">
        <v>-33.233638554216874</v>
      </c>
      <c r="BA143" s="103">
        <v>-33.403151515151521</v>
      </c>
      <c r="BB143" s="103">
        <v>-33.572848484848485</v>
      </c>
      <c r="BC143" s="103">
        <v>-33.742545454545457</v>
      </c>
      <c r="BD143" s="103">
        <v>-33.912242424242429</v>
      </c>
      <c r="BE143" s="103">
        <v>-34.081939393939393</v>
      </c>
      <c r="BF143" s="103">
        <v>-34.251636363636365</v>
      </c>
      <c r="BG143" s="103">
        <v>-34.421108433734943</v>
      </c>
      <c r="BH143" s="103">
        <v>-34.589783132530123</v>
      </c>
      <c r="BI143" s="103">
        <v>-34.760387878787881</v>
      </c>
      <c r="BJ143" s="103">
        <v>-34.932509090909093</v>
      </c>
      <c r="BK143" s="103">
        <v>-35.109042424242425</v>
      </c>
      <c r="BL143" s="103">
        <v>-35.286642424242423</v>
      </c>
      <c r="BM143" s="103">
        <v>-35.466036363636363</v>
      </c>
      <c r="BN143" s="103">
        <v>-35.648387878787879</v>
      </c>
      <c r="BO143" s="103">
        <v>-35.832630303030307</v>
      </c>
      <c r="BP143" s="103">
        <v>-36.020433734939765</v>
      </c>
      <c r="BQ143" s="103">
        <v>-36.210181818181816</v>
      </c>
      <c r="BR143" s="103">
        <v>-36.404121212121211</v>
      </c>
      <c r="BS143" s="103">
        <v>-36.602787878787879</v>
      </c>
      <c r="BT143" s="103">
        <v>-36.804000000000002</v>
      </c>
    </row>
    <row r="144" spans="1:72" ht="9.9499999999999993" customHeight="1" thickBot="1" x14ac:dyDescent="0.4">
      <c r="A144" s="45" t="s">
        <v>97</v>
      </c>
      <c r="B144" s="35">
        <v>-67.210665658093788</v>
      </c>
      <c r="C144" s="35">
        <v>-65.486006051437215</v>
      </c>
      <c r="D144" s="103">
        <v>-63.761346444780628</v>
      </c>
      <c r="E144" s="103">
        <v>-62.036686838124048</v>
      </c>
      <c r="F144" s="103">
        <v>-60.427488653555216</v>
      </c>
      <c r="G144" s="103">
        <v>-60.14609682299546</v>
      </c>
      <c r="H144" s="103">
        <v>-59.864704992435705</v>
      </c>
      <c r="I144" s="103">
        <v>-59.583313161875942</v>
      </c>
      <c r="J144" s="103">
        <v>-59.301921331316187</v>
      </c>
      <c r="K144" s="103">
        <v>-59.020529500756432</v>
      </c>
      <c r="L144" s="103">
        <v>-58.739137670196676</v>
      </c>
      <c r="M144" s="103">
        <v>-57.252526475037826</v>
      </c>
      <c r="N144" s="103">
        <v>-54.406838124054467</v>
      </c>
      <c r="O144" s="103">
        <v>-51.561149773071108</v>
      </c>
      <c r="P144" s="103">
        <v>-48.715461422087749</v>
      </c>
      <c r="Q144" s="103">
        <v>-45.86977307110439</v>
      </c>
      <c r="R144" s="103">
        <v>-43.024084720121024</v>
      </c>
      <c r="S144" s="103">
        <v>-40.178396369137666</v>
      </c>
      <c r="T144" s="103">
        <v>-39.171104387291983</v>
      </c>
      <c r="U144" s="103">
        <v>-38.463086232980331</v>
      </c>
      <c r="V144" s="103">
        <v>-37.755068078668678</v>
      </c>
      <c r="W144" s="103">
        <v>-37.047049924357033</v>
      </c>
      <c r="X144" s="103">
        <v>-36.339031770045381</v>
      </c>
      <c r="Y144" s="103">
        <v>-35.631013615733735</v>
      </c>
      <c r="Z144" s="103">
        <v>-34.957954545454541</v>
      </c>
      <c r="AA144" s="103">
        <v>-34.389772727272721</v>
      </c>
      <c r="AB144" s="103">
        <v>-33.821590909090908</v>
      </c>
      <c r="AC144" s="103">
        <v>-33.253409090909088</v>
      </c>
      <c r="AD144" s="103">
        <v>-32.685227272727268</v>
      </c>
      <c r="AE144" s="103">
        <v>-32.117045454545455</v>
      </c>
      <c r="AF144" s="103">
        <v>-31.548863636363635</v>
      </c>
      <c r="AG144" s="103">
        <v>-31.044372163388804</v>
      </c>
      <c r="AH144" s="103">
        <v>-30.57417549167927</v>
      </c>
      <c r="AI144" s="103">
        <v>-30.10397881996974</v>
      </c>
      <c r="AJ144" s="103">
        <v>-29.63378214826021</v>
      </c>
      <c r="AK144" s="103">
        <v>-29.163585476550679</v>
      </c>
      <c r="AL144" s="103">
        <v>-28.693388804841149</v>
      </c>
      <c r="AM144" s="103">
        <v>-28.224981818181817</v>
      </c>
      <c r="AN144" s="103">
        <v>-27.799527272727271</v>
      </c>
      <c r="AO144" s="103">
        <v>-27.382120481927711</v>
      </c>
      <c r="AP144" s="103">
        <v>-26.977301204819277</v>
      </c>
      <c r="AQ144" s="103">
        <v>-26.581309090909091</v>
      </c>
      <c r="AR144" s="103">
        <v>-26.189745454545456</v>
      </c>
      <c r="AS144" s="103">
        <v>-25.811563636363637</v>
      </c>
      <c r="AT144" s="103">
        <v>-25.438854545454546</v>
      </c>
      <c r="AU144" s="103">
        <v>-25.073399999999999</v>
      </c>
      <c r="AV144" s="103">
        <v>-24.746236363636363</v>
      </c>
      <c r="AW144" s="103">
        <v>-24.492036363636362</v>
      </c>
      <c r="AX144" s="103">
        <v>-24.653854545454543</v>
      </c>
      <c r="AY144" s="103">
        <v>-24.798722891566264</v>
      </c>
      <c r="AZ144" s="103">
        <v>-24.92522891566265</v>
      </c>
      <c r="BA144" s="103">
        <v>-25.052363636363637</v>
      </c>
      <c r="BB144" s="103">
        <v>-25.179636363636366</v>
      </c>
      <c r="BC144" s="103">
        <v>-25.306909090909091</v>
      </c>
      <c r="BD144" s="103">
        <v>-25.43418181818182</v>
      </c>
      <c r="BE144" s="103">
        <v>-25.561454545454545</v>
      </c>
      <c r="BF144" s="103">
        <v>-25.688727272727274</v>
      </c>
      <c r="BG144" s="103">
        <v>-25.815831325301207</v>
      </c>
      <c r="BH144" s="103">
        <v>-25.94233734939759</v>
      </c>
      <c r="BI144" s="103">
        <v>-26.070290909090911</v>
      </c>
      <c r="BJ144" s="103">
        <v>-26.199381818181816</v>
      </c>
      <c r="BK144" s="103">
        <v>-26.331781818181817</v>
      </c>
      <c r="BL144" s="103">
        <v>-26.464981818181819</v>
      </c>
      <c r="BM144" s="103">
        <v>-26.599527272727272</v>
      </c>
      <c r="BN144" s="103">
        <v>-26.736290909090911</v>
      </c>
      <c r="BO144" s="103">
        <v>-26.874472727272732</v>
      </c>
      <c r="BP144" s="103">
        <v>-27.015325301204822</v>
      </c>
      <c r="BQ144" s="103">
        <v>-27.157636363636364</v>
      </c>
      <c r="BR144" s="103">
        <v>-27.303090909090908</v>
      </c>
      <c r="BS144" s="103">
        <v>-27.452090909090909</v>
      </c>
      <c r="BT144" s="103">
        <v>-27.603000000000002</v>
      </c>
    </row>
    <row r="145" spans="1:72" ht="9.9499999999999993" customHeight="1" thickBot="1" x14ac:dyDescent="0.4">
      <c r="A145" s="45" t="s">
        <v>98</v>
      </c>
      <c r="B145" s="35">
        <v>-44.807110438729197</v>
      </c>
      <c r="C145" s="35">
        <v>-43.657337367624805</v>
      </c>
      <c r="D145" s="103">
        <v>-42.507564296520421</v>
      </c>
      <c r="E145" s="103">
        <v>-41.357791225416037</v>
      </c>
      <c r="F145" s="103">
        <v>-40.284992435703479</v>
      </c>
      <c r="G145" s="103">
        <v>-40.097397881996969</v>
      </c>
      <c r="H145" s="103">
        <v>-39.909803328290465</v>
      </c>
      <c r="I145" s="103">
        <v>-39.722208774583962</v>
      </c>
      <c r="J145" s="103">
        <v>-39.534614220877458</v>
      </c>
      <c r="K145" s="103">
        <v>-39.347019667170954</v>
      </c>
      <c r="L145" s="103">
        <v>-39.159425113464451</v>
      </c>
      <c r="M145" s="103">
        <v>-38.16835098335855</v>
      </c>
      <c r="N145" s="103">
        <v>-36.271225416036309</v>
      </c>
      <c r="O145" s="103">
        <v>-34.374099848714067</v>
      </c>
      <c r="P145" s="103">
        <v>-32.476974281391833</v>
      </c>
      <c r="Q145" s="103">
        <v>-30.579848714069591</v>
      </c>
      <c r="R145" s="103">
        <v>-28.68272314674735</v>
      </c>
      <c r="S145" s="103">
        <v>-26.785597579425108</v>
      </c>
      <c r="T145" s="103">
        <v>-26.114069591527986</v>
      </c>
      <c r="U145" s="103">
        <v>-25.642057488653553</v>
      </c>
      <c r="V145" s="103">
        <v>-25.170045385779122</v>
      </c>
      <c r="W145" s="103">
        <v>-24.698033282904689</v>
      </c>
      <c r="X145" s="103">
        <v>-24.226021180030255</v>
      </c>
      <c r="Y145" s="103">
        <v>-23.754009077155825</v>
      </c>
      <c r="Z145" s="103">
        <v>-23.30530303030303</v>
      </c>
      <c r="AA145" s="103">
        <v>-22.926515151515151</v>
      </c>
      <c r="AB145" s="103">
        <v>-22.547727272727272</v>
      </c>
      <c r="AC145" s="103">
        <v>-22.168939393939393</v>
      </c>
      <c r="AD145" s="103">
        <v>-21.790151515151514</v>
      </c>
      <c r="AE145" s="103">
        <v>-21.411363636363635</v>
      </c>
      <c r="AF145" s="103">
        <v>-21.032575757575756</v>
      </c>
      <c r="AG145" s="103">
        <v>-20.696248108925868</v>
      </c>
      <c r="AH145" s="103">
        <v>-20.382783661119515</v>
      </c>
      <c r="AI145" s="103">
        <v>-20.069319213313161</v>
      </c>
      <c r="AJ145" s="103">
        <v>-19.755854765506808</v>
      </c>
      <c r="AK145" s="103">
        <v>-19.442390317700454</v>
      </c>
      <c r="AL145" s="103">
        <v>-19.1289258698941</v>
      </c>
      <c r="AM145" s="103">
        <v>-18.816654545454547</v>
      </c>
      <c r="AN145" s="103">
        <v>-18.533018181818182</v>
      </c>
      <c r="AO145" s="103">
        <v>-18.254746987951808</v>
      </c>
      <c r="AP145" s="103">
        <v>-17.984867469879518</v>
      </c>
      <c r="AQ145" s="103">
        <v>-17.720872727272727</v>
      </c>
      <c r="AR145" s="103">
        <v>-17.459830303030305</v>
      </c>
      <c r="AS145" s="103">
        <v>-17.207709090909091</v>
      </c>
      <c r="AT145" s="103">
        <v>-16.959236363636364</v>
      </c>
      <c r="AU145" s="103">
        <v>-16.715600000000002</v>
      </c>
      <c r="AV145" s="103">
        <v>-16.49749090909091</v>
      </c>
      <c r="AW145" s="103">
        <v>-16.328024242424242</v>
      </c>
      <c r="AX145" s="103">
        <v>-16.435903030303031</v>
      </c>
      <c r="AY145" s="103">
        <v>-16.532481927710844</v>
      </c>
      <c r="AZ145" s="103">
        <v>-16.616819277108437</v>
      </c>
      <c r="BA145" s="103">
        <v>-16.70157575757576</v>
      </c>
      <c r="BB145" s="103">
        <v>-16.786424242424243</v>
      </c>
      <c r="BC145" s="103">
        <v>-16.871272727272729</v>
      </c>
      <c r="BD145" s="103">
        <v>-16.956121212121214</v>
      </c>
      <c r="BE145" s="103">
        <v>-17.040969696969697</v>
      </c>
      <c r="BF145" s="103">
        <v>-17.125818181818182</v>
      </c>
      <c r="BG145" s="103">
        <v>-17.210554216867472</v>
      </c>
      <c r="BH145" s="103">
        <v>-17.294891566265061</v>
      </c>
      <c r="BI145" s="103">
        <v>-17.380193939393941</v>
      </c>
      <c r="BJ145" s="103">
        <v>-17.466254545454547</v>
      </c>
      <c r="BK145" s="103">
        <v>-17.554521212121212</v>
      </c>
      <c r="BL145" s="103">
        <v>-17.643321212121212</v>
      </c>
      <c r="BM145" s="103">
        <v>-17.733018181818181</v>
      </c>
      <c r="BN145" s="103">
        <v>-17.82419393939394</v>
      </c>
      <c r="BO145" s="103">
        <v>-17.916315151515153</v>
      </c>
      <c r="BP145" s="103">
        <v>-18.010216867469882</v>
      </c>
      <c r="BQ145" s="103">
        <v>-18.105090909090908</v>
      </c>
      <c r="BR145" s="103">
        <v>-18.202060606060606</v>
      </c>
      <c r="BS145" s="103">
        <v>-18.30139393939394</v>
      </c>
      <c r="BT145" s="103">
        <v>-18.402000000000001</v>
      </c>
    </row>
    <row r="146" spans="1:72" ht="9.9499999999999993" customHeight="1" thickBot="1" x14ac:dyDescent="0.4">
      <c r="A146" s="45" t="s">
        <v>2</v>
      </c>
      <c r="B146" s="35">
        <v>-22.403555219364598</v>
      </c>
      <c r="C146" s="35">
        <v>-21.828668683812403</v>
      </c>
      <c r="D146" s="103">
        <v>-21.253782148260211</v>
      </c>
      <c r="E146" s="103">
        <v>-20.678895612708018</v>
      </c>
      <c r="F146" s="103">
        <v>-20.14249621785174</v>
      </c>
      <c r="G146" s="103">
        <v>-20.048698940998484</v>
      </c>
      <c r="H146" s="103">
        <v>-19.954901664145233</v>
      </c>
      <c r="I146" s="103">
        <v>-19.861104387291981</v>
      </c>
      <c r="J146" s="103">
        <v>-19.767307110438729</v>
      </c>
      <c r="K146" s="103">
        <v>-19.673509833585477</v>
      </c>
      <c r="L146" s="103">
        <v>-19.579712556732225</v>
      </c>
      <c r="M146" s="103">
        <v>-19.084175491679275</v>
      </c>
      <c r="N146" s="103">
        <v>-18.135612708018154</v>
      </c>
      <c r="O146" s="103">
        <v>-17.187049924357034</v>
      </c>
      <c r="P146" s="103">
        <v>-16.238487140695916</v>
      </c>
      <c r="Q146" s="103">
        <v>-15.289924357034796</v>
      </c>
      <c r="R146" s="103">
        <v>-14.341361573373675</v>
      </c>
      <c r="S146" s="103">
        <v>-13.392798789712554</v>
      </c>
      <c r="T146" s="103">
        <v>-13.057034795763993</v>
      </c>
      <c r="U146" s="103">
        <v>-12.821028744326776</v>
      </c>
      <c r="V146" s="103">
        <v>-12.585022692889561</v>
      </c>
      <c r="W146" s="103">
        <v>-12.349016641452344</v>
      </c>
      <c r="X146" s="103">
        <v>-12.113010590015127</v>
      </c>
      <c r="Y146" s="103">
        <v>-11.877004538577912</v>
      </c>
      <c r="Z146" s="103">
        <v>-11.652651515151515</v>
      </c>
      <c r="AA146" s="103">
        <v>-11.463257575757575</v>
      </c>
      <c r="AB146" s="103">
        <v>-11.273863636363636</v>
      </c>
      <c r="AC146" s="103">
        <v>-11.084469696969697</v>
      </c>
      <c r="AD146" s="103">
        <v>-10.895075757575757</v>
      </c>
      <c r="AE146" s="103">
        <v>-10.705681818181818</v>
      </c>
      <c r="AF146" s="103">
        <v>-10.516287878787878</v>
      </c>
      <c r="AG146" s="103">
        <v>-10.348124054462934</v>
      </c>
      <c r="AH146" s="103">
        <v>-10.191391830559757</v>
      </c>
      <c r="AI146" s="103">
        <v>-10.034659606656581</v>
      </c>
      <c r="AJ146" s="103">
        <v>-9.8779273827534038</v>
      </c>
      <c r="AK146" s="103">
        <v>-9.721195158850227</v>
      </c>
      <c r="AL146" s="103">
        <v>-9.5644629349470502</v>
      </c>
      <c r="AM146" s="103">
        <v>-9.4083272727272735</v>
      </c>
      <c r="AN146" s="103">
        <v>-9.266509090909091</v>
      </c>
      <c r="AO146" s="103">
        <v>-9.1273734939759041</v>
      </c>
      <c r="AP146" s="103">
        <v>-8.9924337349397589</v>
      </c>
      <c r="AQ146" s="103">
        <v>-8.8604363636363637</v>
      </c>
      <c r="AR146" s="103">
        <v>-8.7299151515151525</v>
      </c>
      <c r="AS146" s="103">
        <v>-8.6038545454545456</v>
      </c>
      <c r="AT146" s="103">
        <v>-8.4796181818181822</v>
      </c>
      <c r="AU146" s="103">
        <v>-8.357800000000001</v>
      </c>
      <c r="AV146" s="103">
        <v>-8.248745454545455</v>
      </c>
      <c r="AW146" s="103">
        <v>-8.1640121212121208</v>
      </c>
      <c r="AX146" s="103">
        <v>-8.2179515151515155</v>
      </c>
      <c r="AY146" s="103">
        <v>-8.266240963855422</v>
      </c>
      <c r="AZ146" s="103">
        <v>-8.3084096385542185</v>
      </c>
      <c r="BA146" s="103">
        <v>-8.3507878787878802</v>
      </c>
      <c r="BB146" s="103">
        <v>-8.3932121212121213</v>
      </c>
      <c r="BC146" s="103">
        <v>-8.4356363636363643</v>
      </c>
      <c r="BD146" s="103">
        <v>-8.4780606060606072</v>
      </c>
      <c r="BE146" s="103">
        <v>-8.5204848484848483</v>
      </c>
      <c r="BF146" s="103">
        <v>-8.5629090909090912</v>
      </c>
      <c r="BG146" s="103">
        <v>-8.6052771084337358</v>
      </c>
      <c r="BH146" s="103">
        <v>-8.6474457831325307</v>
      </c>
      <c r="BI146" s="103">
        <v>-8.6900969696969703</v>
      </c>
      <c r="BJ146" s="103">
        <v>-8.7331272727272733</v>
      </c>
      <c r="BK146" s="103">
        <v>-8.7772606060606062</v>
      </c>
      <c r="BL146" s="103">
        <v>-8.8216606060606058</v>
      </c>
      <c r="BM146" s="103">
        <v>-8.8665090909090907</v>
      </c>
      <c r="BN146" s="103">
        <v>-8.9120969696969699</v>
      </c>
      <c r="BO146" s="103">
        <v>-8.9581575757575767</v>
      </c>
      <c r="BP146" s="103">
        <v>-9.0051084337349412</v>
      </c>
      <c r="BQ146" s="103">
        <v>-9.052545454545454</v>
      </c>
      <c r="BR146" s="103">
        <v>-9.1010303030303028</v>
      </c>
      <c r="BS146" s="103">
        <v>-9.1506969696969698</v>
      </c>
      <c r="BT146" s="103">
        <v>-9.2010000000000005</v>
      </c>
    </row>
    <row r="147" spans="1:72" ht="9.9499999999999993" customHeight="1" thickBot="1" x14ac:dyDescent="0.4">
      <c r="A147" s="45" t="s">
        <v>1</v>
      </c>
      <c r="B147" s="35">
        <v>-18.624069591527988</v>
      </c>
      <c r="C147" s="35">
        <v>-18.625582450832074</v>
      </c>
      <c r="D147" s="103">
        <v>-18.627095310136156</v>
      </c>
      <c r="E147" s="103">
        <v>-18.628608169440241</v>
      </c>
      <c r="F147" s="103">
        <v>-18.631089258698939</v>
      </c>
      <c r="G147" s="103">
        <v>-18.644704992435702</v>
      </c>
      <c r="H147" s="103">
        <v>-18.658320726172466</v>
      </c>
      <c r="I147" s="103">
        <v>-18.671936459909226</v>
      </c>
      <c r="J147" s="103">
        <v>-18.685552193645989</v>
      </c>
      <c r="K147" s="103">
        <v>-18.699167927382753</v>
      </c>
      <c r="L147" s="103">
        <v>-18.712783661119516</v>
      </c>
      <c r="M147" s="103">
        <v>-18.728532526475036</v>
      </c>
      <c r="N147" s="103">
        <v>-18.746686838124052</v>
      </c>
      <c r="O147" s="103">
        <v>-18.764841149773069</v>
      </c>
      <c r="P147" s="103">
        <v>-18.782995461422086</v>
      </c>
      <c r="Q147" s="103">
        <v>-18.801149773071103</v>
      </c>
      <c r="R147" s="103">
        <v>-18.81930408472012</v>
      </c>
      <c r="S147" s="103">
        <v>-18.837458396369136</v>
      </c>
      <c r="T147" s="103">
        <v>-18.856913767019666</v>
      </c>
      <c r="U147" s="103">
        <v>-18.876580937972768</v>
      </c>
      <c r="V147" s="103">
        <v>-18.896248108925871</v>
      </c>
      <c r="W147" s="103">
        <v>-18.91591527987897</v>
      </c>
      <c r="X147" s="103">
        <v>-18.935582450832072</v>
      </c>
      <c r="Y147" s="103">
        <v>-18.955249621785175</v>
      </c>
      <c r="Z147" s="103">
        <v>-18.975303030303028</v>
      </c>
      <c r="AA147" s="103">
        <v>-18.996515151515151</v>
      </c>
      <c r="AB147" s="103">
        <v>-19.017727272727271</v>
      </c>
      <c r="AC147" s="103">
        <v>-19.038939393939394</v>
      </c>
      <c r="AD147" s="103">
        <v>-19.060151515151514</v>
      </c>
      <c r="AE147" s="103">
        <v>-19.081363636363637</v>
      </c>
      <c r="AF147" s="103">
        <v>-19.102575757575757</v>
      </c>
      <c r="AG147" s="103">
        <v>-19.12376701966717</v>
      </c>
      <c r="AH147" s="103">
        <v>-19.144947049924358</v>
      </c>
      <c r="AI147" s="103">
        <v>-19.166127080181543</v>
      </c>
      <c r="AJ147" s="103">
        <v>-19.187307110438727</v>
      </c>
      <c r="AK147" s="103">
        <v>-19.208487140695915</v>
      </c>
      <c r="AL147" s="103">
        <v>-19.2296671709531</v>
      </c>
      <c r="AM147" s="103">
        <v>-19.250727272727271</v>
      </c>
      <c r="AN147" s="103">
        <v>-19.268909090909091</v>
      </c>
      <c r="AO147" s="103">
        <v>-19.289397590361446</v>
      </c>
      <c r="AP147" s="103">
        <v>-19.313493975903615</v>
      </c>
      <c r="AQ147" s="103">
        <v>-19.333272727272728</v>
      </c>
      <c r="AR147" s="103">
        <v>-19.351454545454548</v>
      </c>
      <c r="AS147" s="103">
        <v>-19.369636363636364</v>
      </c>
      <c r="AT147" s="103">
        <v>-19.390424242424242</v>
      </c>
      <c r="AU147" s="103">
        <v>-19.414666666666669</v>
      </c>
      <c r="AV147" s="103">
        <v>-19.43418181818182</v>
      </c>
      <c r="AW147" s="103">
        <v>-19.452363636363636</v>
      </c>
      <c r="AX147" s="103">
        <v>-19.470545454545455</v>
      </c>
      <c r="AY147" s="103">
        <v>-19.491566265060243</v>
      </c>
      <c r="AZ147" s="103">
        <v>-19.515662650602408</v>
      </c>
      <c r="BA147" s="103">
        <v>-19.536151515151516</v>
      </c>
      <c r="BB147" s="103">
        <v>-19.555848484848486</v>
      </c>
      <c r="BC147" s="103">
        <v>-19.575545454545455</v>
      </c>
      <c r="BD147" s="103">
        <v>-19.595242424242425</v>
      </c>
      <c r="BE147" s="103">
        <v>-19.614939393939395</v>
      </c>
      <c r="BF147" s="103">
        <v>-19.634636363636364</v>
      </c>
      <c r="BG147" s="103">
        <v>-19.653975903614455</v>
      </c>
      <c r="BH147" s="103">
        <v>-19.672048192771083</v>
      </c>
      <c r="BI147" s="103">
        <v>-19.69018181818182</v>
      </c>
      <c r="BJ147" s="103">
        <v>-19.708363636363636</v>
      </c>
      <c r="BK147" s="103">
        <v>-19.726545454545455</v>
      </c>
      <c r="BL147" s="103">
        <v>-19.746303030303029</v>
      </c>
      <c r="BM147" s="103">
        <v>-19.770545454545456</v>
      </c>
      <c r="BN147" s="103">
        <v>-19.791090909090908</v>
      </c>
      <c r="BO147" s="103">
        <v>-19.809272727272727</v>
      </c>
      <c r="BP147" s="103">
        <v>-19.827349397590361</v>
      </c>
      <c r="BQ147" s="103">
        <v>-19.847272727272728</v>
      </c>
      <c r="BR147" s="103">
        <v>-19.871515151515151</v>
      </c>
      <c r="BS147" s="103">
        <v>-19.891818181818181</v>
      </c>
      <c r="BT147" s="103">
        <v>-19.91</v>
      </c>
    </row>
    <row r="148" spans="1:72" ht="9.9499999999999993" customHeight="1" thickBot="1" x14ac:dyDescent="0.4">
      <c r="A148" s="45" t="s">
        <v>113</v>
      </c>
      <c r="B148" s="35">
        <v>-60.113812405446296</v>
      </c>
      <c r="C148" s="35">
        <v>-58.327125567322241</v>
      </c>
      <c r="D148" s="103">
        <v>-56.540438729198186</v>
      </c>
      <c r="E148" s="103">
        <v>-54.753751891074131</v>
      </c>
      <c r="F148" s="103">
        <v>-52.981467473524958</v>
      </c>
      <c r="G148" s="103">
        <v>-51.374810892586986</v>
      </c>
      <c r="H148" s="103">
        <v>-49.768154311649013</v>
      </c>
      <c r="I148" s="103">
        <v>-48.161497730711048</v>
      </c>
      <c r="J148" s="103">
        <v>-46.554841149773075</v>
      </c>
      <c r="K148" s="103">
        <v>-44.948184568835103</v>
      </c>
      <c r="L148" s="103">
        <v>-43.34152798789713</v>
      </c>
      <c r="M148" s="103">
        <v>-42.578169440242057</v>
      </c>
      <c r="N148" s="103">
        <v>-42.765763993948561</v>
      </c>
      <c r="O148" s="103">
        <v>-42.953358547655071</v>
      </c>
      <c r="P148" s="103">
        <v>-43.140953101361575</v>
      </c>
      <c r="Q148" s="103">
        <v>-43.328547655068078</v>
      </c>
      <c r="R148" s="103">
        <v>-43.516142208774582</v>
      </c>
      <c r="S148" s="103">
        <v>-43.703736762481086</v>
      </c>
      <c r="T148" s="103">
        <v>-43.249909228441751</v>
      </c>
      <c r="U148" s="103">
        <v>-42.69166414523449</v>
      </c>
      <c r="V148" s="103">
        <v>-42.13341906202723</v>
      </c>
      <c r="W148" s="103">
        <v>-41.575173978819969</v>
      </c>
      <c r="X148" s="103">
        <v>-41.016928895612708</v>
      </c>
      <c r="Y148" s="103">
        <v>-40.458683812405447</v>
      </c>
      <c r="Z148" s="103">
        <v>-39.93659090909091</v>
      </c>
      <c r="AA148" s="103">
        <v>-39.522954545454546</v>
      </c>
      <c r="AB148" s="103">
        <v>-39.109318181818182</v>
      </c>
      <c r="AC148" s="103">
        <v>-38.695681818181818</v>
      </c>
      <c r="AD148" s="103">
        <v>-38.282045454545454</v>
      </c>
      <c r="AE148" s="103">
        <v>-37.86840909090909</v>
      </c>
      <c r="AF148" s="103">
        <v>-37.454772727272726</v>
      </c>
      <c r="AG148" s="103">
        <v>-37.107428139183057</v>
      </c>
      <c r="AH148" s="103">
        <v>-36.795779122541603</v>
      </c>
      <c r="AI148" s="103">
        <v>-36.484130105900149</v>
      </c>
      <c r="AJ148" s="103">
        <v>-36.172481089258703</v>
      </c>
      <c r="AK148" s="103">
        <v>-35.860832072617249</v>
      </c>
      <c r="AL148" s="103">
        <v>-35.549183055975796</v>
      </c>
      <c r="AM148" s="103">
        <v>-35.239333333333335</v>
      </c>
      <c r="AN148" s="103">
        <v>-34.972666666666669</v>
      </c>
      <c r="AO148" s="103">
        <v>-34.716024096385546</v>
      </c>
      <c r="AP148" s="103">
        <v>-34.475060240963856</v>
      </c>
      <c r="AQ148" s="103">
        <v>-34.24187878787879</v>
      </c>
      <c r="AR148" s="103">
        <v>-34.01254545454546</v>
      </c>
      <c r="AS148" s="103">
        <v>-33.794363636363641</v>
      </c>
      <c r="AT148" s="103">
        <v>-33.584000000000003</v>
      </c>
      <c r="AU148" s="103">
        <v>-33.384000000000007</v>
      </c>
      <c r="AV148" s="103">
        <v>-33.278545454545458</v>
      </c>
      <c r="AW148" s="103">
        <v>-33.177696969696974</v>
      </c>
      <c r="AX148" s="103">
        <v>-32.929212121212117</v>
      </c>
      <c r="AY148" s="103">
        <v>-32.690120481927707</v>
      </c>
      <c r="AZ148" s="103">
        <v>-32.461204819277107</v>
      </c>
      <c r="BA148" s="103">
        <v>-32.244818181818182</v>
      </c>
      <c r="BB148" s="103">
        <v>-32.031181818181821</v>
      </c>
      <c r="BC148" s="103">
        <v>-31.817545454545456</v>
      </c>
      <c r="BD148" s="103">
        <v>-31.603909090909092</v>
      </c>
      <c r="BE148" s="103">
        <v>-31.390272727272727</v>
      </c>
      <c r="BF148" s="103">
        <v>-31.176636363636366</v>
      </c>
      <c r="BG148" s="103">
        <v>-30.966265060240964</v>
      </c>
      <c r="BH148" s="103">
        <v>-30.767469879518071</v>
      </c>
      <c r="BI148" s="103">
        <v>-30.568000000000001</v>
      </c>
      <c r="BJ148" s="103">
        <v>-30.368000000000002</v>
      </c>
      <c r="BK148" s="103">
        <v>-30.173515151515151</v>
      </c>
      <c r="BL148" s="103">
        <v>-29.981151515151517</v>
      </c>
      <c r="BM148" s="103">
        <v>-29.793272727272726</v>
      </c>
      <c r="BN148" s="103">
        <v>-29.605393939393938</v>
      </c>
      <c r="BO148" s="103">
        <v>-29.417515151515151</v>
      </c>
      <c r="BP148" s="103">
        <v>-29.230722891566266</v>
      </c>
      <c r="BQ148" s="103">
        <v>-29.043636363636363</v>
      </c>
      <c r="BR148" s="103">
        <v>-28.855757575757575</v>
      </c>
      <c r="BS148" s="103">
        <v>-28.671818181818182</v>
      </c>
      <c r="BT148" s="103">
        <v>-28.49</v>
      </c>
    </row>
    <row r="149" spans="1:72" ht="9.9499999999999993" customHeight="1" thickBot="1" x14ac:dyDescent="0.4">
      <c r="A149" s="45" t="s">
        <v>101</v>
      </c>
      <c r="B149" s="35">
        <v>-37.408940998487139</v>
      </c>
      <c r="C149" s="35">
        <v>-36.516354009077155</v>
      </c>
      <c r="D149" s="103">
        <v>-35.62376701966717</v>
      </c>
      <c r="E149" s="103">
        <v>-34.731180030257185</v>
      </c>
      <c r="F149" s="103">
        <v>-33.864372163388801</v>
      </c>
      <c r="G149" s="103">
        <v>-33.294024205748862</v>
      </c>
      <c r="H149" s="103">
        <v>-32.723676248108923</v>
      </c>
      <c r="I149" s="103">
        <v>-32.153328290468984</v>
      </c>
      <c r="J149" s="103">
        <v>-31.582980332829045</v>
      </c>
      <c r="K149" s="103">
        <v>-31.012632375189106</v>
      </c>
      <c r="L149" s="103">
        <v>-30.442284417549168</v>
      </c>
      <c r="M149" s="103">
        <v>-29.957261724659606</v>
      </c>
      <c r="N149" s="103">
        <v>-29.568456883509835</v>
      </c>
      <c r="O149" s="103">
        <v>-29.179652042360061</v>
      </c>
      <c r="P149" s="103">
        <v>-28.790847201210287</v>
      </c>
      <c r="Q149" s="103">
        <v>-28.402042360060513</v>
      </c>
      <c r="R149" s="103">
        <v>-28.013237518910742</v>
      </c>
      <c r="S149" s="103">
        <v>-27.624432677760968</v>
      </c>
      <c r="T149" s="103">
        <v>-27.330605143721634</v>
      </c>
      <c r="U149" s="103">
        <v>-27.052239031770043</v>
      </c>
      <c r="V149" s="103">
        <v>-26.773872919818455</v>
      </c>
      <c r="W149" s="103">
        <v>-26.495506807866867</v>
      </c>
      <c r="X149" s="103">
        <v>-26.217140695915276</v>
      </c>
      <c r="Y149" s="103">
        <v>-25.938774583963689</v>
      </c>
      <c r="Z149" s="103">
        <v>-25.679242424242421</v>
      </c>
      <c r="AA149" s="103">
        <v>-25.476212121212118</v>
      </c>
      <c r="AB149" s="103">
        <v>-25.273181818181815</v>
      </c>
      <c r="AC149" s="103">
        <v>-25.070151515151515</v>
      </c>
      <c r="AD149" s="103">
        <v>-24.867121212121212</v>
      </c>
      <c r="AE149" s="103">
        <v>-24.664090909090909</v>
      </c>
      <c r="AF149" s="103">
        <v>-24.461060606060606</v>
      </c>
      <c r="AG149" s="103">
        <v>-24.291074130105901</v>
      </c>
      <c r="AH149" s="103">
        <v>-24.138880484114978</v>
      </c>
      <c r="AI149" s="103">
        <v>-23.986686838124054</v>
      </c>
      <c r="AJ149" s="103">
        <v>-23.834493192133131</v>
      </c>
      <c r="AK149" s="103">
        <v>-23.682299546142211</v>
      </c>
      <c r="AL149" s="103">
        <v>-23.530105900151288</v>
      </c>
      <c r="AM149" s="103">
        <v>-23.378812121212121</v>
      </c>
      <c r="AN149" s="103">
        <v>-23.249115151515152</v>
      </c>
      <c r="AO149" s="103">
        <v>-23.124421686746988</v>
      </c>
      <c r="AP149" s="103">
        <v>-23.007554216867469</v>
      </c>
      <c r="AQ149" s="103">
        <v>-22.893709090909091</v>
      </c>
      <c r="AR149" s="103">
        <v>-22.781369696969698</v>
      </c>
      <c r="AS149" s="103">
        <v>-22.673490909090912</v>
      </c>
      <c r="AT149" s="103">
        <v>-22.570042424242427</v>
      </c>
      <c r="AU149" s="103">
        <v>-22.472466666666669</v>
      </c>
      <c r="AV149" s="103">
        <v>-22.382927272727276</v>
      </c>
      <c r="AW149" s="103">
        <v>-22.300618181818184</v>
      </c>
      <c r="AX149" s="103">
        <v>-22.251527272727273</v>
      </c>
      <c r="AY149" s="103">
        <v>-22.208650602409637</v>
      </c>
      <c r="AZ149" s="103">
        <v>-22.172506024096386</v>
      </c>
      <c r="BA149" s="103">
        <v>-22.142393939393941</v>
      </c>
      <c r="BB149" s="103">
        <v>-22.11360606060606</v>
      </c>
      <c r="BC149" s="103">
        <v>-22.084818181818182</v>
      </c>
      <c r="BD149" s="103">
        <v>-22.056030303030301</v>
      </c>
      <c r="BE149" s="103">
        <v>-22.027242424242424</v>
      </c>
      <c r="BF149" s="103">
        <v>-21.998454545454546</v>
      </c>
      <c r="BG149" s="103">
        <v>-21.972024096385542</v>
      </c>
      <c r="BH149" s="103">
        <v>-21.953951807228915</v>
      </c>
      <c r="BI149" s="103">
        <v>-21.932763636363635</v>
      </c>
      <c r="BJ149" s="103">
        <v>-21.909127272727272</v>
      </c>
      <c r="BK149" s="103">
        <v>-21.892109090909091</v>
      </c>
      <c r="BL149" s="103">
        <v>-21.875903030303032</v>
      </c>
      <c r="BM149" s="103">
        <v>-21.860145454545453</v>
      </c>
      <c r="BN149" s="103">
        <v>-21.845127272727272</v>
      </c>
      <c r="BO149" s="103">
        <v>-21.830581818181816</v>
      </c>
      <c r="BP149" s="103">
        <v>-21.817277108433736</v>
      </c>
      <c r="BQ149" s="103">
        <v>-21.804363636363636</v>
      </c>
      <c r="BR149" s="103">
        <v>-21.792242424242424</v>
      </c>
      <c r="BS149" s="103">
        <v>-21.781303030303032</v>
      </c>
      <c r="BT149" s="103">
        <v>-21.771000000000001</v>
      </c>
    </row>
    <row r="150" spans="1:72" ht="9.9499999999999993" customHeight="1" thickBot="1" x14ac:dyDescent="0.4">
      <c r="A150" s="45" t="s">
        <v>110</v>
      </c>
      <c r="B150" s="35">
        <v>-15.005385779122541</v>
      </c>
      <c r="C150" s="35">
        <v>-14.68768532526475</v>
      </c>
      <c r="D150" s="103">
        <v>-14.36998487140696</v>
      </c>
      <c r="E150" s="103">
        <v>-14.052284417549167</v>
      </c>
      <c r="F150" s="103">
        <v>-13.721875945537064</v>
      </c>
      <c r="G150" s="103">
        <v>-13.245325264750377</v>
      </c>
      <c r="H150" s="103">
        <v>-12.76877458396369</v>
      </c>
      <c r="I150" s="103">
        <v>-12.292223903177003</v>
      </c>
      <c r="J150" s="103">
        <v>-11.815673222390318</v>
      </c>
      <c r="K150" s="103">
        <v>-11.339122541603631</v>
      </c>
      <c r="L150" s="103">
        <v>-10.862571860816944</v>
      </c>
      <c r="M150" s="103">
        <v>-10.873086232980333</v>
      </c>
      <c r="N150" s="103">
        <v>-11.432844175491679</v>
      </c>
      <c r="O150" s="103">
        <v>-11.992602118003026</v>
      </c>
      <c r="P150" s="103">
        <v>-12.552360060514372</v>
      </c>
      <c r="Q150" s="103">
        <v>-13.112118003025719</v>
      </c>
      <c r="R150" s="103">
        <v>-13.671875945537067</v>
      </c>
      <c r="S150" s="103">
        <v>-14.231633888048414</v>
      </c>
      <c r="T150" s="103">
        <v>-14.273570347957641</v>
      </c>
      <c r="U150" s="103">
        <v>-14.231210287443268</v>
      </c>
      <c r="V150" s="103">
        <v>-14.188850226928896</v>
      </c>
      <c r="W150" s="103">
        <v>-14.146490166414523</v>
      </c>
      <c r="X150" s="103">
        <v>-14.10413010590015</v>
      </c>
      <c r="Y150" s="103">
        <v>-14.061770045385778</v>
      </c>
      <c r="Z150" s="103">
        <v>-14.026590909090908</v>
      </c>
      <c r="AA150" s="103">
        <v>-14.012954545454544</v>
      </c>
      <c r="AB150" s="103">
        <v>-13.999318181818181</v>
      </c>
      <c r="AC150" s="103">
        <v>-13.985681818181817</v>
      </c>
      <c r="AD150" s="103">
        <v>-13.972045454545453</v>
      </c>
      <c r="AE150" s="103">
        <v>-13.95840909090909</v>
      </c>
      <c r="AF150" s="103">
        <v>-13.944772727272726</v>
      </c>
      <c r="AG150" s="103">
        <v>-13.942950075642965</v>
      </c>
      <c r="AH150" s="103">
        <v>-13.947488653555219</v>
      </c>
      <c r="AI150" s="103">
        <v>-13.952027231467474</v>
      </c>
      <c r="AJ150" s="103">
        <v>-13.956565809379727</v>
      </c>
      <c r="AK150" s="103">
        <v>-13.961104387291982</v>
      </c>
      <c r="AL150" s="103">
        <v>-13.965642965204237</v>
      </c>
      <c r="AM150" s="103">
        <v>-13.970484848484849</v>
      </c>
      <c r="AN150" s="103">
        <v>-13.982606060606061</v>
      </c>
      <c r="AO150" s="103">
        <v>-13.997048192771084</v>
      </c>
      <c r="AP150" s="103">
        <v>-14.01512048192771</v>
      </c>
      <c r="AQ150" s="103">
        <v>-14.033272727272728</v>
      </c>
      <c r="AR150" s="103">
        <v>-14.051454545454545</v>
      </c>
      <c r="AS150" s="103">
        <v>-14.069636363636365</v>
      </c>
      <c r="AT150" s="103">
        <v>-14.090424242424243</v>
      </c>
      <c r="AU150" s="103">
        <v>-14.114666666666666</v>
      </c>
      <c r="AV150" s="103">
        <v>-14.134181818181817</v>
      </c>
      <c r="AW150" s="103">
        <v>-14.136606060606061</v>
      </c>
      <c r="AX150" s="103">
        <v>-14.033575757575758</v>
      </c>
      <c r="AY150" s="103">
        <v>-13.942409638554217</v>
      </c>
      <c r="AZ150" s="103">
        <v>-13.864096385542169</v>
      </c>
      <c r="BA150" s="103">
        <v>-13.79160606060606</v>
      </c>
      <c r="BB150" s="103">
        <v>-13.720393939393938</v>
      </c>
      <c r="BC150" s="103">
        <v>-13.649181818181818</v>
      </c>
      <c r="BD150" s="103">
        <v>-13.577969696969697</v>
      </c>
      <c r="BE150" s="103">
        <v>-13.506757575757575</v>
      </c>
      <c r="BF150" s="103">
        <v>-13.435545454545455</v>
      </c>
      <c r="BG150" s="103">
        <v>-13.366746987951808</v>
      </c>
      <c r="BH150" s="103">
        <v>-13.306506024096386</v>
      </c>
      <c r="BI150" s="103">
        <v>-13.242666666666667</v>
      </c>
      <c r="BJ150" s="103">
        <v>-13.176</v>
      </c>
      <c r="BK150" s="103">
        <v>-13.114848484848485</v>
      </c>
      <c r="BL150" s="103">
        <v>-13.054242424242425</v>
      </c>
      <c r="BM150" s="103">
        <v>-12.993636363636364</v>
      </c>
      <c r="BN150" s="103">
        <v>-12.933030303030304</v>
      </c>
      <c r="BO150" s="103">
        <v>-12.872424242424241</v>
      </c>
      <c r="BP150" s="103">
        <v>-12.812168674698794</v>
      </c>
      <c r="BQ150" s="103">
        <v>-12.751818181818182</v>
      </c>
      <c r="BR150" s="103">
        <v>-12.691212121212121</v>
      </c>
      <c r="BS150" s="103">
        <v>-12.630606060606061</v>
      </c>
      <c r="BT150" s="103">
        <v>-12.57</v>
      </c>
    </row>
    <row r="151" spans="1:72" ht="9.9499999999999993" customHeight="1" thickBot="1" x14ac:dyDescent="0.4">
      <c r="A151" s="45" t="s">
        <v>126</v>
      </c>
      <c r="B151" s="35">
        <v>0</v>
      </c>
      <c r="C151" s="35">
        <v>0</v>
      </c>
      <c r="D151" s="103">
        <v>0</v>
      </c>
      <c r="E151" s="103">
        <v>0</v>
      </c>
      <c r="F151" s="103">
        <v>0</v>
      </c>
      <c r="G151" s="103">
        <v>0</v>
      </c>
      <c r="H151" s="103">
        <v>0</v>
      </c>
      <c r="I151" s="103">
        <v>0</v>
      </c>
      <c r="J151" s="103">
        <v>0</v>
      </c>
      <c r="K151" s="103">
        <v>0</v>
      </c>
      <c r="L151" s="103">
        <v>0</v>
      </c>
      <c r="M151" s="103">
        <v>0</v>
      </c>
      <c r="N151" s="103">
        <v>0</v>
      </c>
      <c r="O151" s="103">
        <v>0</v>
      </c>
      <c r="P151" s="103">
        <v>0</v>
      </c>
      <c r="Q151" s="103">
        <v>0</v>
      </c>
      <c r="R151" s="103">
        <v>0</v>
      </c>
      <c r="S151" s="103">
        <v>0</v>
      </c>
      <c r="T151" s="103">
        <v>0</v>
      </c>
      <c r="U151" s="103">
        <v>0</v>
      </c>
      <c r="V151" s="103">
        <v>0</v>
      </c>
      <c r="W151" s="103">
        <v>0</v>
      </c>
      <c r="X151" s="103">
        <v>0</v>
      </c>
      <c r="Y151" s="103">
        <v>0</v>
      </c>
      <c r="Z151" s="103">
        <v>0</v>
      </c>
      <c r="AA151" s="103">
        <v>0</v>
      </c>
      <c r="AB151" s="103">
        <v>0</v>
      </c>
      <c r="AC151" s="103">
        <v>0</v>
      </c>
      <c r="AD151" s="103">
        <v>0</v>
      </c>
      <c r="AE151" s="103">
        <v>0</v>
      </c>
      <c r="AF151" s="103">
        <v>0</v>
      </c>
      <c r="AG151" s="103">
        <v>0</v>
      </c>
      <c r="AH151" s="103">
        <v>0</v>
      </c>
      <c r="AI151" s="103">
        <v>0</v>
      </c>
      <c r="AJ151" s="103">
        <v>0</v>
      </c>
      <c r="AK151" s="103">
        <v>0</v>
      </c>
      <c r="AL151" s="103">
        <v>0</v>
      </c>
      <c r="AM151" s="103">
        <v>0</v>
      </c>
      <c r="AN151" s="103">
        <v>0</v>
      </c>
      <c r="AO151" s="103">
        <v>0</v>
      </c>
      <c r="AP151" s="103">
        <v>0</v>
      </c>
      <c r="AQ151" s="103">
        <v>0</v>
      </c>
      <c r="AR151" s="103">
        <v>0</v>
      </c>
      <c r="AS151" s="103">
        <v>0</v>
      </c>
      <c r="AT151" s="103">
        <v>0</v>
      </c>
      <c r="AU151" s="103">
        <v>0</v>
      </c>
      <c r="AV151" s="103">
        <v>0</v>
      </c>
      <c r="AW151" s="103">
        <v>0</v>
      </c>
      <c r="AX151" s="103">
        <v>0</v>
      </c>
      <c r="AY151" s="103">
        <v>0</v>
      </c>
      <c r="AZ151" s="103">
        <v>0</v>
      </c>
      <c r="BA151" s="103">
        <v>0</v>
      </c>
      <c r="BB151" s="103">
        <v>0</v>
      </c>
      <c r="BC151" s="103">
        <v>0</v>
      </c>
      <c r="BD151" s="103">
        <v>0</v>
      </c>
      <c r="BE151" s="103">
        <v>0</v>
      </c>
      <c r="BF151" s="103">
        <v>0</v>
      </c>
      <c r="BG151" s="103">
        <v>0</v>
      </c>
      <c r="BH151" s="103">
        <v>0</v>
      </c>
      <c r="BI151" s="103">
        <v>0</v>
      </c>
      <c r="BJ151" s="103">
        <v>0</v>
      </c>
      <c r="BK151" s="103">
        <v>0</v>
      </c>
      <c r="BL151" s="103">
        <v>0</v>
      </c>
      <c r="BM151" s="103">
        <v>0</v>
      </c>
      <c r="BN151" s="103">
        <v>0</v>
      </c>
      <c r="BO151" s="103">
        <v>0</v>
      </c>
      <c r="BP151" s="103">
        <v>0</v>
      </c>
      <c r="BQ151" s="103">
        <v>0</v>
      </c>
      <c r="BR151" s="103">
        <v>0</v>
      </c>
      <c r="BS151" s="103">
        <v>0</v>
      </c>
      <c r="BT151" s="103">
        <v>0</v>
      </c>
    </row>
    <row r="152" spans="1:72" ht="9.9499999999999993" customHeight="1" thickBot="1" x14ac:dyDescent="0.4">
      <c r="A152" s="38" t="s">
        <v>100</v>
      </c>
      <c r="B152" s="35">
        <v>-187.43829046898639</v>
      </c>
      <c r="C152" s="35">
        <v>-182.1402571860817</v>
      </c>
      <c r="D152" s="103">
        <v>-176.842223903177</v>
      </c>
      <c r="E152" s="103">
        <v>-171.5441906202723</v>
      </c>
      <c r="F152" s="103">
        <v>-166.39042360060512</v>
      </c>
      <c r="G152" s="103">
        <v>-162.89571860816943</v>
      </c>
      <c r="H152" s="103">
        <v>-159.40101361573372</v>
      </c>
      <c r="I152" s="103">
        <v>-155.90630862329803</v>
      </c>
      <c r="J152" s="103">
        <v>-152.41160363086232</v>
      </c>
      <c r="K152" s="103">
        <v>-148.91689863842663</v>
      </c>
      <c r="L152" s="103">
        <v>-145.42219364599092</v>
      </c>
      <c r="M152" s="103">
        <v>-142.40886535552193</v>
      </c>
      <c r="N152" s="103">
        <v>-139.93836611195158</v>
      </c>
      <c r="O152" s="103">
        <v>-137.46786686838124</v>
      </c>
      <c r="P152" s="103">
        <v>-134.99736762481089</v>
      </c>
      <c r="Q152" s="103">
        <v>-132.52686838124055</v>
      </c>
      <c r="R152" s="103">
        <v>-130.05636913767017</v>
      </c>
      <c r="S152" s="103">
        <v>-127.58586989409984</v>
      </c>
      <c r="T152" s="103">
        <v>-125.67092284417548</v>
      </c>
      <c r="U152" s="103">
        <v>-123.84641452344931</v>
      </c>
      <c r="V152" s="103">
        <v>-122.02190620272314</v>
      </c>
      <c r="W152" s="103">
        <v>-120.19739788199696</v>
      </c>
      <c r="X152" s="103">
        <v>-118.3728895612708</v>
      </c>
      <c r="Y152" s="103">
        <v>-116.54838124054461</v>
      </c>
      <c r="Z152" s="103">
        <v>-114.83113636363636</v>
      </c>
      <c r="AA152" s="103">
        <v>-113.43568181818181</v>
      </c>
      <c r="AB152" s="103">
        <v>-112.04022727272726</v>
      </c>
      <c r="AC152" s="103">
        <v>-110.64477272727272</v>
      </c>
      <c r="AD152" s="103">
        <v>-109.24931818181818</v>
      </c>
      <c r="AE152" s="103">
        <v>-107.85386363636363</v>
      </c>
      <c r="AF152" s="103">
        <v>-106.45840909090909</v>
      </c>
      <c r="AG152" s="103">
        <v>-105.25922844175491</v>
      </c>
      <c r="AH152" s="103">
        <v>-104.16573373676248</v>
      </c>
      <c r="AI152" s="103">
        <v>-103.07223903177004</v>
      </c>
      <c r="AJ152" s="103">
        <v>-101.9787443267776</v>
      </c>
      <c r="AK152" s="103">
        <v>-100.88524962178516</v>
      </c>
      <c r="AL152" s="103">
        <v>-99.791754916792726</v>
      </c>
      <c r="AM152" s="103">
        <v>-98.703648484848472</v>
      </c>
      <c r="AN152" s="103">
        <v>-97.744860606060598</v>
      </c>
      <c r="AO152" s="103">
        <v>-96.814168674698792</v>
      </c>
      <c r="AP152" s="103">
        <v>-95.927421686746982</v>
      </c>
      <c r="AQ152" s="103">
        <v>-95.065066666666667</v>
      </c>
      <c r="AR152" s="103">
        <v>-94.214836363636365</v>
      </c>
      <c r="AS152" s="103">
        <v>-93.400290909090913</v>
      </c>
      <c r="AT152" s="103">
        <v>-92.606854545454553</v>
      </c>
      <c r="AU152" s="103">
        <v>-91.841400000000007</v>
      </c>
      <c r="AV152" s="103">
        <v>-91.303327272727273</v>
      </c>
      <c r="AW152" s="103">
        <v>-90.847430303030308</v>
      </c>
      <c r="AX152" s="103">
        <v>-90.512278787878785</v>
      </c>
      <c r="AY152" s="103">
        <v>-90.178963855421685</v>
      </c>
      <c r="AZ152" s="103">
        <v>-89.847638554216871</v>
      </c>
      <c r="BA152" s="103">
        <v>-89.542000000000016</v>
      </c>
      <c r="BB152" s="103">
        <v>-89.242000000000004</v>
      </c>
      <c r="BC152" s="103">
        <v>-88.942000000000007</v>
      </c>
      <c r="BD152" s="103">
        <v>-88.64200000000001</v>
      </c>
      <c r="BE152" s="103">
        <v>-88.342000000000013</v>
      </c>
      <c r="BF152" s="103">
        <v>-88.042000000000002</v>
      </c>
      <c r="BG152" s="103">
        <v>-87.748361445783132</v>
      </c>
      <c r="BH152" s="103">
        <v>-87.477277108433739</v>
      </c>
      <c r="BI152" s="103">
        <v>-87.20629090909091</v>
      </c>
      <c r="BJ152" s="103">
        <v>-86.935381818181824</v>
      </c>
      <c r="BK152" s="103">
        <v>-86.678812121212133</v>
      </c>
      <c r="BL152" s="103">
        <v>-86.427284848484859</v>
      </c>
      <c r="BM152" s="103">
        <v>-86.18607272727273</v>
      </c>
      <c r="BN152" s="103">
        <v>-85.947078787878795</v>
      </c>
      <c r="BO152" s="103">
        <v>-85.709503030303026</v>
      </c>
      <c r="BP152" s="103">
        <v>-85.476771084337358</v>
      </c>
      <c r="BQ152" s="103">
        <v>-85.24490909090909</v>
      </c>
      <c r="BR152" s="103">
        <v>-85.014606060606056</v>
      </c>
      <c r="BS152" s="103">
        <v>-84.795727272727277</v>
      </c>
      <c r="BT152" s="103">
        <v>-84.582999999999998</v>
      </c>
    </row>
    <row r="153" spans="1:72" ht="9.9499999999999993" customHeight="1" thickBot="1" x14ac:dyDescent="0.4">
      <c r="A153" s="38" t="s">
        <v>26</v>
      </c>
      <c r="B153" s="35">
        <v>-18.624069591527988</v>
      </c>
      <c r="C153" s="35">
        <v>-18.625582450832074</v>
      </c>
      <c r="D153" s="103">
        <v>-18.627095310136156</v>
      </c>
      <c r="E153" s="103">
        <v>-18.628608169440241</v>
      </c>
      <c r="F153" s="103">
        <v>-18.631089258698939</v>
      </c>
      <c r="G153" s="103">
        <v>-18.644704992435702</v>
      </c>
      <c r="H153" s="103">
        <v>-18.658320726172466</v>
      </c>
      <c r="I153" s="103">
        <v>-18.671936459909226</v>
      </c>
      <c r="J153" s="103">
        <v>-18.685552193645989</v>
      </c>
      <c r="K153" s="103">
        <v>-18.699167927382753</v>
      </c>
      <c r="L153" s="103">
        <v>-18.712783661119516</v>
      </c>
      <c r="M153" s="103">
        <v>-18.728532526475036</v>
      </c>
      <c r="N153" s="103">
        <v>-18.746686838124052</v>
      </c>
      <c r="O153" s="103">
        <v>-18.764841149773069</v>
      </c>
      <c r="P153" s="103">
        <v>-18.782995461422086</v>
      </c>
      <c r="Q153" s="103">
        <v>-18.801149773071103</v>
      </c>
      <c r="R153" s="103">
        <v>-18.81930408472012</v>
      </c>
      <c r="S153" s="103">
        <v>-18.837458396369136</v>
      </c>
      <c r="T153" s="103">
        <v>-18.856913767019666</v>
      </c>
      <c r="U153" s="103">
        <v>-18.876580937972768</v>
      </c>
      <c r="V153" s="103">
        <v>-18.896248108925871</v>
      </c>
      <c r="W153" s="103">
        <v>-18.91591527987897</v>
      </c>
      <c r="X153" s="103">
        <v>-18.935582450832072</v>
      </c>
      <c r="Y153" s="103">
        <v>-18.955249621785175</v>
      </c>
      <c r="Z153" s="103">
        <v>-18.975303030303028</v>
      </c>
      <c r="AA153" s="103">
        <v>-18.996515151515151</v>
      </c>
      <c r="AB153" s="103">
        <v>-19.017727272727271</v>
      </c>
      <c r="AC153" s="103">
        <v>-19.038939393939394</v>
      </c>
      <c r="AD153" s="103">
        <v>-19.060151515151514</v>
      </c>
      <c r="AE153" s="103">
        <v>-19.081363636363637</v>
      </c>
      <c r="AF153" s="103">
        <v>-19.102575757575757</v>
      </c>
      <c r="AG153" s="103">
        <v>-19.12376701966717</v>
      </c>
      <c r="AH153" s="103">
        <v>-19.144947049924358</v>
      </c>
      <c r="AI153" s="103">
        <v>-19.166127080181543</v>
      </c>
      <c r="AJ153" s="103">
        <v>-19.187307110438727</v>
      </c>
      <c r="AK153" s="103">
        <v>-19.208487140695915</v>
      </c>
      <c r="AL153" s="103">
        <v>-19.2296671709531</v>
      </c>
      <c r="AM153" s="103">
        <v>-19.250727272727271</v>
      </c>
      <c r="AN153" s="103">
        <v>-19.268909090909091</v>
      </c>
      <c r="AO153" s="103">
        <v>-19.289397590361446</v>
      </c>
      <c r="AP153" s="103">
        <v>-19.313493975903615</v>
      </c>
      <c r="AQ153" s="103">
        <v>-19.333272727272728</v>
      </c>
      <c r="AR153" s="103">
        <v>-19.351454545454548</v>
      </c>
      <c r="AS153" s="103">
        <v>-19.369636363636364</v>
      </c>
      <c r="AT153" s="103">
        <v>-19.390424242424242</v>
      </c>
      <c r="AU153" s="103">
        <v>-19.414666666666669</v>
      </c>
      <c r="AV153" s="103">
        <v>-19.43418181818182</v>
      </c>
      <c r="AW153" s="103">
        <v>-19.452363636363636</v>
      </c>
      <c r="AX153" s="103">
        <v>-19.470545454545455</v>
      </c>
      <c r="AY153" s="103">
        <v>-19.491566265060243</v>
      </c>
      <c r="AZ153" s="103">
        <v>-19.515662650602408</v>
      </c>
      <c r="BA153" s="103">
        <v>-19.536151515151516</v>
      </c>
      <c r="BB153" s="103">
        <v>-19.555848484848486</v>
      </c>
      <c r="BC153" s="103">
        <v>-19.575545454545455</v>
      </c>
      <c r="BD153" s="103">
        <v>-19.595242424242425</v>
      </c>
      <c r="BE153" s="103">
        <v>-19.614939393939395</v>
      </c>
      <c r="BF153" s="103">
        <v>-19.634636363636364</v>
      </c>
      <c r="BG153" s="103">
        <v>-19.653975903614455</v>
      </c>
      <c r="BH153" s="103">
        <v>-19.672048192771083</v>
      </c>
      <c r="BI153" s="103">
        <v>-19.69018181818182</v>
      </c>
      <c r="BJ153" s="103">
        <v>-19.708363636363636</v>
      </c>
      <c r="BK153" s="103">
        <v>-19.726545454545455</v>
      </c>
      <c r="BL153" s="103">
        <v>-19.746303030303029</v>
      </c>
      <c r="BM153" s="103">
        <v>-19.770545454545456</v>
      </c>
      <c r="BN153" s="103">
        <v>-19.791090909090908</v>
      </c>
      <c r="BO153" s="103">
        <v>-19.809272727272727</v>
      </c>
      <c r="BP153" s="103">
        <v>-19.827349397590361</v>
      </c>
      <c r="BQ153" s="103">
        <v>-19.847272727272728</v>
      </c>
      <c r="BR153" s="103">
        <v>-19.871515151515151</v>
      </c>
      <c r="BS153" s="103">
        <v>-19.891818181818181</v>
      </c>
      <c r="BT153" s="103">
        <v>-19.91</v>
      </c>
    </row>
    <row r="154" spans="1:72" ht="9.9499999999999993" customHeight="1" thickBot="1" x14ac:dyDescent="0.4">
      <c r="A154" s="38" t="s">
        <v>5</v>
      </c>
      <c r="B154" s="35">
        <v>-60.113812405446296</v>
      </c>
      <c r="C154" s="35">
        <v>-58.327125567322241</v>
      </c>
      <c r="D154" s="103">
        <v>-56.540438729198186</v>
      </c>
      <c r="E154" s="103">
        <v>-54.753751891074131</v>
      </c>
      <c r="F154" s="103">
        <v>-52.981467473524958</v>
      </c>
      <c r="G154" s="103">
        <v>-51.374810892586986</v>
      </c>
      <c r="H154" s="103">
        <v>-49.768154311649013</v>
      </c>
      <c r="I154" s="103">
        <v>-48.161497730711048</v>
      </c>
      <c r="J154" s="103">
        <v>-46.554841149773075</v>
      </c>
      <c r="K154" s="103">
        <v>-44.948184568835103</v>
      </c>
      <c r="L154" s="103">
        <v>-43.34152798789713</v>
      </c>
      <c r="M154" s="103">
        <v>-42.578169440242057</v>
      </c>
      <c r="N154" s="103">
        <v>-42.765763993948561</v>
      </c>
      <c r="O154" s="103">
        <v>-42.953358547655071</v>
      </c>
      <c r="P154" s="103">
        <v>-43.140953101361575</v>
      </c>
      <c r="Q154" s="103">
        <v>-43.328547655068078</v>
      </c>
      <c r="R154" s="103">
        <v>-43.516142208774582</v>
      </c>
      <c r="S154" s="103">
        <v>-43.703736762481086</v>
      </c>
      <c r="T154" s="103">
        <v>-43.249909228441751</v>
      </c>
      <c r="U154" s="103">
        <v>-42.69166414523449</v>
      </c>
      <c r="V154" s="103">
        <v>-42.13341906202723</v>
      </c>
      <c r="W154" s="103">
        <v>-41.575173978819969</v>
      </c>
      <c r="X154" s="103">
        <v>-41.016928895612708</v>
      </c>
      <c r="Y154" s="103">
        <v>-40.458683812405447</v>
      </c>
      <c r="Z154" s="103">
        <v>-39.93659090909091</v>
      </c>
      <c r="AA154" s="103">
        <v>-39.522954545454546</v>
      </c>
      <c r="AB154" s="103">
        <v>-39.109318181818182</v>
      </c>
      <c r="AC154" s="103">
        <v>-38.695681818181818</v>
      </c>
      <c r="AD154" s="103">
        <v>-38.282045454545454</v>
      </c>
      <c r="AE154" s="103">
        <v>-37.86840909090909</v>
      </c>
      <c r="AF154" s="103">
        <v>-37.454772727272726</v>
      </c>
      <c r="AG154" s="103">
        <v>-37.107428139183057</v>
      </c>
      <c r="AH154" s="103">
        <v>-36.795779122541603</v>
      </c>
      <c r="AI154" s="103">
        <v>-36.484130105900149</v>
      </c>
      <c r="AJ154" s="103">
        <v>-36.172481089258703</v>
      </c>
      <c r="AK154" s="103">
        <v>-35.860832072617249</v>
      </c>
      <c r="AL154" s="103">
        <v>-35.549183055975796</v>
      </c>
      <c r="AM154" s="103">
        <v>-35.239333333333335</v>
      </c>
      <c r="AN154" s="103">
        <v>-34.972666666666669</v>
      </c>
      <c r="AO154" s="103">
        <v>-34.716024096385546</v>
      </c>
      <c r="AP154" s="103">
        <v>-34.475060240963856</v>
      </c>
      <c r="AQ154" s="103">
        <v>-34.24187878787879</v>
      </c>
      <c r="AR154" s="103">
        <v>-34.01254545454546</v>
      </c>
      <c r="AS154" s="103">
        <v>-33.794363636363641</v>
      </c>
      <c r="AT154" s="103">
        <v>-33.584000000000003</v>
      </c>
      <c r="AU154" s="103">
        <v>-33.384000000000007</v>
      </c>
      <c r="AV154" s="103">
        <v>-33.278545454545458</v>
      </c>
      <c r="AW154" s="103">
        <v>-33.177696969696974</v>
      </c>
      <c r="AX154" s="103">
        <v>-32.929212121212117</v>
      </c>
      <c r="AY154" s="103">
        <v>-32.690120481927707</v>
      </c>
      <c r="AZ154" s="103">
        <v>-32.461204819277107</v>
      </c>
      <c r="BA154" s="103">
        <v>-32.244818181818182</v>
      </c>
      <c r="BB154" s="103">
        <v>-32.031181818181821</v>
      </c>
      <c r="BC154" s="103">
        <v>-31.817545454545456</v>
      </c>
      <c r="BD154" s="103">
        <v>-31.603909090909092</v>
      </c>
      <c r="BE154" s="103">
        <v>-31.390272727272727</v>
      </c>
      <c r="BF154" s="103">
        <v>-31.176636363636366</v>
      </c>
      <c r="BG154" s="103">
        <v>-30.966265060240964</v>
      </c>
      <c r="BH154" s="103">
        <v>-30.767469879518071</v>
      </c>
      <c r="BI154" s="103">
        <v>-30.568000000000001</v>
      </c>
      <c r="BJ154" s="103">
        <v>-30.368000000000002</v>
      </c>
      <c r="BK154" s="103">
        <v>-30.173515151515151</v>
      </c>
      <c r="BL154" s="103">
        <v>-29.981151515151517</v>
      </c>
      <c r="BM154" s="103">
        <v>-29.793272727272726</v>
      </c>
      <c r="BN154" s="103">
        <v>-29.605393939393938</v>
      </c>
      <c r="BO154" s="103">
        <v>-29.417515151515151</v>
      </c>
      <c r="BP154" s="103">
        <v>-29.230722891566266</v>
      </c>
      <c r="BQ154" s="103">
        <v>-29.043636363636363</v>
      </c>
      <c r="BR154" s="103">
        <v>-28.855757575757575</v>
      </c>
      <c r="BS154" s="103">
        <v>-28.671818181818182</v>
      </c>
      <c r="BT154" s="103">
        <v>-28.49</v>
      </c>
    </row>
    <row r="155" spans="1:72" ht="9.9499999999999993" customHeight="1" thickBot="1" x14ac:dyDescent="0.4">
      <c r="A155" s="38" t="s">
        <v>6</v>
      </c>
      <c r="B155" s="35">
        <v>-15.005385779122541</v>
      </c>
      <c r="C155" s="35">
        <v>-14.68768532526475</v>
      </c>
      <c r="D155" s="103">
        <v>-14.36998487140696</v>
      </c>
      <c r="E155" s="103">
        <v>-14.052284417549167</v>
      </c>
      <c r="F155" s="103">
        <v>-13.721875945537064</v>
      </c>
      <c r="G155" s="103">
        <v>-13.245325264750377</v>
      </c>
      <c r="H155" s="103">
        <v>-12.76877458396369</v>
      </c>
      <c r="I155" s="103">
        <v>-12.292223903177003</v>
      </c>
      <c r="J155" s="103">
        <v>-11.815673222390318</v>
      </c>
      <c r="K155" s="103">
        <v>-11.339122541603631</v>
      </c>
      <c r="L155" s="103">
        <v>-10.862571860816944</v>
      </c>
      <c r="M155" s="103">
        <v>-10.873086232980333</v>
      </c>
      <c r="N155" s="103">
        <v>-11.432844175491679</v>
      </c>
      <c r="O155" s="103">
        <v>-11.992602118003026</v>
      </c>
      <c r="P155" s="103">
        <v>-12.552360060514372</v>
      </c>
      <c r="Q155" s="103">
        <v>-13.112118003025719</v>
      </c>
      <c r="R155" s="103">
        <v>-13.671875945537067</v>
      </c>
      <c r="S155" s="103">
        <v>-14.231633888048414</v>
      </c>
      <c r="T155" s="103">
        <v>-14.273570347957641</v>
      </c>
      <c r="U155" s="103">
        <v>-14.231210287443268</v>
      </c>
      <c r="V155" s="103">
        <v>-14.188850226928896</v>
      </c>
      <c r="W155" s="103">
        <v>-14.146490166414523</v>
      </c>
      <c r="X155" s="103">
        <v>-14.10413010590015</v>
      </c>
      <c r="Y155" s="103">
        <v>-14.061770045385778</v>
      </c>
      <c r="Z155" s="103">
        <v>-14.026590909090908</v>
      </c>
      <c r="AA155" s="103">
        <v>-14.012954545454544</v>
      </c>
      <c r="AB155" s="103">
        <v>-13.999318181818181</v>
      </c>
      <c r="AC155" s="103">
        <v>-13.985681818181817</v>
      </c>
      <c r="AD155" s="103">
        <v>-13.972045454545453</v>
      </c>
      <c r="AE155" s="103">
        <v>-13.95840909090909</v>
      </c>
      <c r="AF155" s="103">
        <v>-13.944772727272726</v>
      </c>
      <c r="AG155" s="103">
        <v>-13.942950075642965</v>
      </c>
      <c r="AH155" s="103">
        <v>-13.947488653555219</v>
      </c>
      <c r="AI155" s="103">
        <v>-13.952027231467474</v>
      </c>
      <c r="AJ155" s="103">
        <v>-13.956565809379727</v>
      </c>
      <c r="AK155" s="103">
        <v>-13.961104387291982</v>
      </c>
      <c r="AL155" s="103">
        <v>-13.965642965204237</v>
      </c>
      <c r="AM155" s="103">
        <v>-13.970484848484849</v>
      </c>
      <c r="AN155" s="103">
        <v>-13.982606060606061</v>
      </c>
      <c r="AO155" s="103">
        <v>-13.997048192771084</v>
      </c>
      <c r="AP155" s="103">
        <v>-14.01512048192771</v>
      </c>
      <c r="AQ155" s="103">
        <v>-14.033272727272728</v>
      </c>
      <c r="AR155" s="103">
        <v>-14.051454545454545</v>
      </c>
      <c r="AS155" s="103">
        <v>-14.069636363636365</v>
      </c>
      <c r="AT155" s="103">
        <v>-14.090424242424243</v>
      </c>
      <c r="AU155" s="103">
        <v>-14.114666666666666</v>
      </c>
      <c r="AV155" s="103">
        <v>-14.134181818181817</v>
      </c>
      <c r="AW155" s="103">
        <v>-14.136606060606061</v>
      </c>
      <c r="AX155" s="103">
        <v>-14.033575757575758</v>
      </c>
      <c r="AY155" s="103">
        <v>-13.942409638554217</v>
      </c>
      <c r="AZ155" s="103">
        <v>-13.864096385542169</v>
      </c>
      <c r="BA155" s="103">
        <v>-13.79160606060606</v>
      </c>
      <c r="BB155" s="103">
        <v>-13.720393939393938</v>
      </c>
      <c r="BC155" s="103">
        <v>-13.649181818181818</v>
      </c>
      <c r="BD155" s="103">
        <v>-13.577969696969697</v>
      </c>
      <c r="BE155" s="103">
        <v>-13.506757575757575</v>
      </c>
      <c r="BF155" s="103">
        <v>-13.435545454545455</v>
      </c>
      <c r="BG155" s="103">
        <v>-13.366746987951808</v>
      </c>
      <c r="BH155" s="103">
        <v>-13.306506024096386</v>
      </c>
      <c r="BI155" s="103">
        <v>-13.242666666666667</v>
      </c>
      <c r="BJ155" s="103">
        <v>-13.176</v>
      </c>
      <c r="BK155" s="103">
        <v>-13.114848484848485</v>
      </c>
      <c r="BL155" s="103">
        <v>-13.054242424242425</v>
      </c>
      <c r="BM155" s="103">
        <v>-12.993636363636364</v>
      </c>
      <c r="BN155" s="103">
        <v>-12.933030303030304</v>
      </c>
      <c r="BO155" s="103">
        <v>-12.872424242424241</v>
      </c>
      <c r="BP155" s="103">
        <v>-12.812168674698794</v>
      </c>
      <c r="BQ155" s="103">
        <v>-12.751818181818182</v>
      </c>
      <c r="BR155" s="103">
        <v>-12.691212121212121</v>
      </c>
      <c r="BS155" s="103">
        <v>-12.630606060606061</v>
      </c>
      <c r="BT155" s="103">
        <v>-12.57</v>
      </c>
    </row>
    <row r="156" spans="1:72" ht="9.9499999999999993" customHeight="1" thickBot="1" x14ac:dyDescent="0.4">
      <c r="A156" s="38" t="s">
        <v>7</v>
      </c>
      <c r="B156" s="35">
        <v>-22.403555219364598</v>
      </c>
      <c r="C156" s="35">
        <v>-21.828668683812403</v>
      </c>
      <c r="D156" s="103">
        <v>-21.253782148260211</v>
      </c>
      <c r="E156" s="103">
        <v>-20.678895612708018</v>
      </c>
      <c r="F156" s="103">
        <v>-20.14249621785174</v>
      </c>
      <c r="G156" s="103">
        <v>-20.048698940998484</v>
      </c>
      <c r="H156" s="103">
        <v>-19.954901664145233</v>
      </c>
      <c r="I156" s="103">
        <v>-19.861104387291981</v>
      </c>
      <c r="J156" s="103">
        <v>-19.767307110438729</v>
      </c>
      <c r="K156" s="103">
        <v>-19.673509833585477</v>
      </c>
      <c r="L156" s="103">
        <v>-19.579712556732225</v>
      </c>
      <c r="M156" s="103">
        <v>-19.084175491679275</v>
      </c>
      <c r="N156" s="103">
        <v>-18.135612708018154</v>
      </c>
      <c r="O156" s="103">
        <v>-17.187049924357034</v>
      </c>
      <c r="P156" s="103">
        <v>-16.238487140695916</v>
      </c>
      <c r="Q156" s="103">
        <v>-15.289924357034796</v>
      </c>
      <c r="R156" s="103">
        <v>-14.341361573373675</v>
      </c>
      <c r="S156" s="103">
        <v>-13.392798789712554</v>
      </c>
      <c r="T156" s="103">
        <v>-13.057034795763993</v>
      </c>
      <c r="U156" s="103">
        <v>-12.821028744326776</v>
      </c>
      <c r="V156" s="103">
        <v>-12.585022692889561</v>
      </c>
      <c r="W156" s="103">
        <v>-12.349016641452344</v>
      </c>
      <c r="X156" s="103">
        <v>-12.113010590015127</v>
      </c>
      <c r="Y156" s="103">
        <v>-11.877004538577912</v>
      </c>
      <c r="Z156" s="103">
        <v>-11.652651515151515</v>
      </c>
      <c r="AA156" s="103">
        <v>-11.463257575757575</v>
      </c>
      <c r="AB156" s="103">
        <v>-11.273863636363636</v>
      </c>
      <c r="AC156" s="103">
        <v>-11.084469696969697</v>
      </c>
      <c r="AD156" s="103">
        <v>-10.895075757575757</v>
      </c>
      <c r="AE156" s="103">
        <v>-10.705681818181818</v>
      </c>
      <c r="AF156" s="103">
        <v>-10.516287878787878</v>
      </c>
      <c r="AG156" s="103">
        <v>-10.348124054462934</v>
      </c>
      <c r="AH156" s="103">
        <v>-10.191391830559757</v>
      </c>
      <c r="AI156" s="103">
        <v>-10.034659606656581</v>
      </c>
      <c r="AJ156" s="103">
        <v>-9.8779273827534038</v>
      </c>
      <c r="AK156" s="103">
        <v>-9.721195158850227</v>
      </c>
      <c r="AL156" s="103">
        <v>-9.5644629349470502</v>
      </c>
      <c r="AM156" s="103">
        <v>-9.4083272727272735</v>
      </c>
      <c r="AN156" s="103">
        <v>-9.266509090909091</v>
      </c>
      <c r="AO156" s="103">
        <v>-9.1273734939759041</v>
      </c>
      <c r="AP156" s="103">
        <v>-8.9924337349397589</v>
      </c>
      <c r="AQ156" s="103">
        <v>-8.8604363636363637</v>
      </c>
      <c r="AR156" s="103">
        <v>-8.7299151515151525</v>
      </c>
      <c r="AS156" s="103">
        <v>-8.6038545454545456</v>
      </c>
      <c r="AT156" s="103">
        <v>-8.4796181818181822</v>
      </c>
      <c r="AU156" s="103">
        <v>-8.357800000000001</v>
      </c>
      <c r="AV156" s="103">
        <v>-8.248745454545455</v>
      </c>
      <c r="AW156" s="103">
        <v>-8.1640121212121208</v>
      </c>
      <c r="AX156" s="103">
        <v>-8.2179515151515155</v>
      </c>
      <c r="AY156" s="103">
        <v>-8.266240963855422</v>
      </c>
      <c r="AZ156" s="103">
        <v>-8.3084096385542185</v>
      </c>
      <c r="BA156" s="103">
        <v>-8.3507878787878802</v>
      </c>
      <c r="BB156" s="103">
        <v>-8.3932121212121213</v>
      </c>
      <c r="BC156" s="103">
        <v>-8.4356363636363643</v>
      </c>
      <c r="BD156" s="103">
        <v>-8.4780606060606072</v>
      </c>
      <c r="BE156" s="103">
        <v>-8.5204848484848483</v>
      </c>
      <c r="BF156" s="103">
        <v>-8.5629090909090912</v>
      </c>
      <c r="BG156" s="103">
        <v>-8.6052771084337358</v>
      </c>
      <c r="BH156" s="103">
        <v>-8.6474457831325307</v>
      </c>
      <c r="BI156" s="103">
        <v>-8.6900969696969703</v>
      </c>
      <c r="BJ156" s="103">
        <v>-8.7331272727272733</v>
      </c>
      <c r="BK156" s="103">
        <v>-8.7772606060606062</v>
      </c>
      <c r="BL156" s="103">
        <v>-8.8216606060606058</v>
      </c>
      <c r="BM156" s="103">
        <v>-8.8665090909090907</v>
      </c>
      <c r="BN156" s="103">
        <v>-8.9120969696969699</v>
      </c>
      <c r="BO156" s="103">
        <v>-8.9581575757575767</v>
      </c>
      <c r="BP156" s="103">
        <v>-9.0051084337349412</v>
      </c>
      <c r="BQ156" s="103">
        <v>-9.052545454545454</v>
      </c>
      <c r="BR156" s="103">
        <v>-9.1010303030303028</v>
      </c>
      <c r="BS156" s="103">
        <v>-9.1506969696969698</v>
      </c>
      <c r="BT156" s="103">
        <v>-9.2010000000000005</v>
      </c>
    </row>
    <row r="157" spans="1:72" ht="9.9499999999999993" customHeight="1" thickBot="1" x14ac:dyDescent="0.4">
      <c r="A157" s="38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  <c r="AK157" s="103"/>
      <c r="AL157" s="103"/>
      <c r="AM157" s="103"/>
      <c r="AN157" s="103"/>
      <c r="AO157" s="103"/>
      <c r="AP157" s="103"/>
      <c r="AQ157" s="103"/>
      <c r="AR157" s="103"/>
      <c r="AS157" s="103"/>
      <c r="AT157" s="103"/>
      <c r="AU157" s="103"/>
      <c r="AV157" s="103"/>
      <c r="AW157" s="103"/>
      <c r="AX157" s="103"/>
      <c r="AY157" s="103"/>
      <c r="AZ157" s="103"/>
      <c r="BA157" s="103"/>
      <c r="BB157" s="103"/>
      <c r="BC157" s="103"/>
      <c r="BD157" s="103"/>
      <c r="BE157" s="103"/>
      <c r="BF157" s="103"/>
      <c r="BG157" s="103"/>
      <c r="BH157" s="103"/>
      <c r="BI157" s="103"/>
      <c r="BJ157" s="103"/>
      <c r="BK157" s="103"/>
      <c r="BL157" s="103"/>
      <c r="BM157" s="103"/>
      <c r="BN157" s="103"/>
      <c r="BO157" s="103"/>
      <c r="BP157" s="103"/>
      <c r="BQ157" s="103"/>
      <c r="BR157" s="103"/>
      <c r="BS157" s="103"/>
      <c r="BT157" s="103"/>
    </row>
    <row r="158" spans="1:72" ht="9.9499999999999993" customHeight="1" thickBot="1" x14ac:dyDescent="0.4">
      <c r="A158" s="38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  <c r="AK158" s="103"/>
      <c r="AL158" s="103"/>
      <c r="AM158" s="103"/>
      <c r="AN158" s="103"/>
      <c r="AO158" s="103"/>
      <c r="AP158" s="103"/>
      <c r="AQ158" s="103"/>
      <c r="AR158" s="103"/>
      <c r="AS158" s="103"/>
      <c r="AT158" s="103"/>
      <c r="AU158" s="103"/>
      <c r="AV158" s="103"/>
      <c r="AW158" s="103"/>
      <c r="AX158" s="103"/>
      <c r="AY158" s="103"/>
      <c r="AZ158" s="103"/>
      <c r="BA158" s="103"/>
      <c r="BB158" s="103"/>
      <c r="BC158" s="103"/>
      <c r="BD158" s="103"/>
      <c r="BE158" s="103"/>
      <c r="BF158" s="103"/>
      <c r="BG158" s="103"/>
      <c r="BH158" s="103"/>
      <c r="BI158" s="103"/>
      <c r="BJ158" s="103"/>
      <c r="BK158" s="103"/>
      <c r="BL158" s="103"/>
      <c r="BM158" s="103"/>
      <c r="BN158" s="103"/>
      <c r="BO158" s="103"/>
      <c r="BP158" s="103"/>
      <c r="BQ158" s="103"/>
      <c r="BR158" s="103"/>
      <c r="BS158" s="103"/>
      <c r="BT158" s="103"/>
    </row>
    <row r="159" spans="1:72" ht="9.9499999999999993" customHeight="1" thickBot="1" x14ac:dyDescent="0.4">
      <c r="A159" s="38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  <c r="AP159" s="103"/>
      <c r="AQ159" s="103"/>
      <c r="AR159" s="103"/>
      <c r="AS159" s="103"/>
      <c r="AT159" s="103"/>
      <c r="AU159" s="103"/>
      <c r="AV159" s="103"/>
      <c r="AW159" s="103"/>
      <c r="AX159" s="103"/>
      <c r="AY159" s="103"/>
      <c r="AZ159" s="103"/>
      <c r="BA159" s="103"/>
      <c r="BB159" s="103"/>
      <c r="BC159" s="103"/>
      <c r="BD159" s="103"/>
      <c r="BE159" s="103"/>
      <c r="BF159" s="103"/>
      <c r="BG159" s="103"/>
      <c r="BH159" s="103"/>
      <c r="BI159" s="103"/>
      <c r="BJ159" s="103"/>
      <c r="BK159" s="103"/>
      <c r="BL159" s="103"/>
      <c r="BM159" s="103"/>
      <c r="BN159" s="103"/>
      <c r="BO159" s="103"/>
      <c r="BP159" s="103"/>
      <c r="BQ159" s="103"/>
      <c r="BR159" s="103"/>
      <c r="BS159" s="103"/>
      <c r="BT159" s="103"/>
    </row>
    <row r="160" spans="1:72" ht="9.9499999999999993" customHeight="1" thickBot="1" x14ac:dyDescent="0.4">
      <c r="A160" s="38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  <c r="AK160" s="103"/>
      <c r="AL160" s="103"/>
      <c r="AM160" s="103"/>
      <c r="AN160" s="103"/>
      <c r="AO160" s="103"/>
      <c r="AP160" s="103"/>
      <c r="AQ160" s="103"/>
      <c r="AR160" s="103"/>
      <c r="AS160" s="103"/>
      <c r="AT160" s="103"/>
      <c r="AU160" s="103"/>
      <c r="AV160" s="103"/>
      <c r="AW160" s="103"/>
      <c r="AX160" s="103"/>
      <c r="AY160" s="103"/>
      <c r="AZ160" s="103"/>
      <c r="BA160" s="103"/>
      <c r="BB160" s="103"/>
      <c r="BC160" s="103"/>
      <c r="BD160" s="103"/>
      <c r="BE160" s="103"/>
      <c r="BF160" s="103"/>
      <c r="BG160" s="103"/>
      <c r="BH160" s="103"/>
      <c r="BI160" s="103"/>
      <c r="BJ160" s="103"/>
      <c r="BK160" s="103"/>
      <c r="BL160" s="103"/>
      <c r="BM160" s="103"/>
      <c r="BN160" s="103"/>
      <c r="BO160" s="103"/>
      <c r="BP160" s="103"/>
      <c r="BQ160" s="103"/>
      <c r="BR160" s="103"/>
      <c r="BS160" s="103"/>
      <c r="BT160" s="103"/>
    </row>
    <row r="161" spans="1:72" ht="9.9499999999999993" customHeight="1" thickBot="1" x14ac:dyDescent="0.4">
      <c r="A161" s="38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  <c r="AK161" s="103"/>
      <c r="AL161" s="103"/>
      <c r="AM161" s="103"/>
      <c r="AN161" s="103"/>
      <c r="AO161" s="103"/>
      <c r="AP161" s="103"/>
      <c r="AQ161" s="103"/>
      <c r="AR161" s="103"/>
      <c r="AS161" s="103"/>
      <c r="AT161" s="103"/>
      <c r="AU161" s="103"/>
      <c r="AV161" s="103"/>
      <c r="AW161" s="103"/>
      <c r="AX161" s="103"/>
      <c r="AY161" s="103"/>
      <c r="AZ161" s="103"/>
      <c r="BA161" s="103"/>
      <c r="BB161" s="103"/>
      <c r="BC161" s="103"/>
      <c r="BD161" s="103"/>
      <c r="BE161" s="103"/>
      <c r="BF161" s="103"/>
      <c r="BG161" s="103"/>
      <c r="BH161" s="103"/>
      <c r="BI161" s="103"/>
      <c r="BJ161" s="103"/>
      <c r="BK161" s="103"/>
      <c r="BL161" s="103"/>
      <c r="BM161" s="103"/>
      <c r="BN161" s="103"/>
      <c r="BO161" s="103"/>
      <c r="BP161" s="103"/>
      <c r="BQ161" s="103"/>
      <c r="BR161" s="103"/>
      <c r="BS161" s="103"/>
      <c r="BT161" s="103"/>
    </row>
    <row r="162" spans="1:72" ht="9.9499999999999993" hidden="1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hidden="1" customHeight="1" thickTop="1" thickBot="1" x14ac:dyDescent="0.4"/>
    <row r="164" spans="1:72" ht="30" customHeight="1" thickTop="1" thickBot="1" x14ac:dyDescent="0.4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9.9499999999999993" customHeight="1" thickTop="1" thickBot="1" x14ac:dyDescent="0.4">
      <c r="A165" s="45" t="s">
        <v>97</v>
      </c>
      <c r="B165" s="35">
        <v>-66.61727272727272</v>
      </c>
      <c r="C165" s="35">
        <v>-64.881999999999991</v>
      </c>
      <c r="D165" s="103">
        <v>-63.281999999999989</v>
      </c>
      <c r="E165" s="103">
        <v>-61.788181818181812</v>
      </c>
      <c r="F165" s="103">
        <v>-60.427125567322236</v>
      </c>
      <c r="G165" s="103">
        <v>-60.141195158850223</v>
      </c>
      <c r="H165" s="103">
        <v>-59.855264750378211</v>
      </c>
      <c r="I165" s="103">
        <v>-59.569334341906199</v>
      </c>
      <c r="J165" s="103">
        <v>-59.283403933434194</v>
      </c>
      <c r="K165" s="103">
        <v>-58.997473524962182</v>
      </c>
      <c r="L165" s="103">
        <v>-58.711543116490169</v>
      </c>
      <c r="M165" s="103">
        <v>-57.224659606656587</v>
      </c>
      <c r="N165" s="103">
        <v>-54.383509833585478</v>
      </c>
      <c r="O165" s="103">
        <v>-51.542360060514376</v>
      </c>
      <c r="P165" s="103">
        <v>-48.701210287443267</v>
      </c>
      <c r="Q165" s="103">
        <v>-45.860060514372165</v>
      </c>
      <c r="R165" s="103">
        <v>-43.018910741301056</v>
      </c>
      <c r="S165" s="103">
        <v>-40.177760968229947</v>
      </c>
      <c r="T165" s="103">
        <v>-39.175007564296521</v>
      </c>
      <c r="U165" s="103">
        <v>-38.471527987897126</v>
      </c>
      <c r="V165" s="103">
        <v>-37.76804841149773</v>
      </c>
      <c r="W165" s="103">
        <v>-37.064568835098335</v>
      </c>
      <c r="X165" s="103">
        <v>-36.361089258698939</v>
      </c>
      <c r="Y165" s="103">
        <v>-35.657609682299551</v>
      </c>
      <c r="Z165" s="103">
        <v>-34.993636363636369</v>
      </c>
      <c r="AA165" s="103">
        <v>-34.448181818181823</v>
      </c>
      <c r="AB165" s="103">
        <v>-33.902727272727276</v>
      </c>
      <c r="AC165" s="103">
        <v>-33.357272727272729</v>
      </c>
      <c r="AD165" s="103">
        <v>-32.811818181818182</v>
      </c>
      <c r="AE165" s="103">
        <v>-32.266363636363636</v>
      </c>
      <c r="AF165" s="103">
        <v>-31.720909090909092</v>
      </c>
      <c r="AG165" s="103">
        <v>-31.272458396369139</v>
      </c>
      <c r="AH165" s="103">
        <v>-30.876240544629351</v>
      </c>
      <c r="AI165" s="103">
        <v>-30.480022692889563</v>
      </c>
      <c r="AJ165" s="103">
        <v>-30.083804841149774</v>
      </c>
      <c r="AK165" s="103">
        <v>-29.687586989409986</v>
      </c>
      <c r="AL165" s="103">
        <v>-29.291369137670198</v>
      </c>
      <c r="AM165" s="103">
        <v>-28.901142208774587</v>
      </c>
      <c r="AN165" s="103">
        <v>-28.654697428139183</v>
      </c>
      <c r="AO165" s="103">
        <v>-28.408252647503783</v>
      </c>
      <c r="AP165" s="103">
        <v>-28.161807866868379</v>
      </c>
      <c r="AQ165" s="103">
        <v>-27.915363086232979</v>
      </c>
      <c r="AR165" s="103">
        <v>-27.668918305597579</v>
      </c>
      <c r="AS165" s="103">
        <v>-27.422473524962175</v>
      </c>
      <c r="AT165" s="103">
        <v>-27.214763636363635</v>
      </c>
      <c r="AU165" s="103">
        <v>-27.058399999999999</v>
      </c>
      <c r="AV165" s="103">
        <v>-26.927563636363637</v>
      </c>
      <c r="AW165" s="103">
        <v>-26.807945454545454</v>
      </c>
      <c r="AX165" s="103">
        <v>-26.71521818181818</v>
      </c>
      <c r="AY165" s="103">
        <v>-26.63490361445783</v>
      </c>
      <c r="AZ165" s="103">
        <v>-26.568036144578315</v>
      </c>
      <c r="BA165" s="103">
        <v>-26.52021818181818</v>
      </c>
      <c r="BB165" s="103">
        <v>-26.45370909090909</v>
      </c>
      <c r="BC165" s="103">
        <v>-26.275527272727274</v>
      </c>
      <c r="BD165" s="103">
        <v>-26.145563636363637</v>
      </c>
      <c r="BE165" s="103">
        <v>-26.060109090909091</v>
      </c>
      <c r="BF165" s="103">
        <v>-26.020527272727271</v>
      </c>
      <c r="BG165" s="103">
        <v>-25.996987951807228</v>
      </c>
      <c r="BH165" s="103">
        <v>-26.006024096385541</v>
      </c>
      <c r="BI165" s="103">
        <v>-26.07821818181818</v>
      </c>
      <c r="BJ165" s="103">
        <v>-26.200036363636361</v>
      </c>
      <c r="BK165" s="103">
        <v>-26.331781818181817</v>
      </c>
      <c r="BL165" s="103">
        <v>-26.464981818181819</v>
      </c>
      <c r="BM165" s="103">
        <v>-26.599527272727272</v>
      </c>
      <c r="BN165" s="103">
        <v>-26.736290909090911</v>
      </c>
      <c r="BO165" s="103">
        <v>-26.874472727272732</v>
      </c>
      <c r="BP165" s="103">
        <v>-27.015325301204822</v>
      </c>
      <c r="BQ165" s="103">
        <v>-27.157636363636364</v>
      </c>
      <c r="BR165" s="103">
        <v>-27.303090909090908</v>
      </c>
      <c r="BS165" s="103">
        <v>-27.452090909090909</v>
      </c>
      <c r="BT165" s="103">
        <v>-27.603000000000002</v>
      </c>
    </row>
    <row r="166" spans="1:72" ht="9.9499999999999993" customHeight="1" thickBot="1" x14ac:dyDescent="0.4">
      <c r="A166" s="45" t="s">
        <v>98</v>
      </c>
      <c r="B166" s="35">
        <v>-44.411515151515147</v>
      </c>
      <c r="C166" s="35">
        <v>-43.254666666666665</v>
      </c>
      <c r="D166" s="103">
        <v>-42.187999999999995</v>
      </c>
      <c r="E166" s="103">
        <v>-41.192121212121208</v>
      </c>
      <c r="F166" s="103">
        <v>-40.284750378214824</v>
      </c>
      <c r="G166" s="103">
        <v>-40.094130105900149</v>
      </c>
      <c r="H166" s="103">
        <v>-39.903509833585474</v>
      </c>
      <c r="I166" s="103">
        <v>-39.712889561270799</v>
      </c>
      <c r="J166" s="103">
        <v>-39.522269288956124</v>
      </c>
      <c r="K166" s="103">
        <v>-39.33164901664145</v>
      </c>
      <c r="L166" s="103">
        <v>-39.141028744326775</v>
      </c>
      <c r="M166" s="103">
        <v>-38.149773071104391</v>
      </c>
      <c r="N166" s="103">
        <v>-36.255673222390314</v>
      </c>
      <c r="O166" s="103">
        <v>-34.361573373676251</v>
      </c>
      <c r="P166" s="103">
        <v>-32.467473524962173</v>
      </c>
      <c r="Q166" s="103">
        <v>-30.573373676248107</v>
      </c>
      <c r="R166" s="103">
        <v>-28.679273827534033</v>
      </c>
      <c r="S166" s="103">
        <v>-26.785173978819962</v>
      </c>
      <c r="T166" s="103">
        <v>-26.116671709531012</v>
      </c>
      <c r="U166" s="103">
        <v>-25.647685325264749</v>
      </c>
      <c r="V166" s="103">
        <v>-25.178698940998487</v>
      </c>
      <c r="W166" s="103">
        <v>-24.709712556732224</v>
      </c>
      <c r="X166" s="103">
        <v>-24.240726172465962</v>
      </c>
      <c r="Y166" s="103">
        <v>-23.771739788199699</v>
      </c>
      <c r="Z166" s="103">
        <v>-23.329090909090912</v>
      </c>
      <c r="AA166" s="103">
        <v>-22.965454545454548</v>
      </c>
      <c r="AB166" s="103">
        <v>-22.601818181818182</v>
      </c>
      <c r="AC166" s="103">
        <v>-22.238181818181818</v>
      </c>
      <c r="AD166" s="103">
        <v>-21.874545454545455</v>
      </c>
      <c r="AE166" s="103">
        <v>-21.510909090909092</v>
      </c>
      <c r="AF166" s="103">
        <v>-21.147272727272728</v>
      </c>
      <c r="AG166" s="103">
        <v>-20.848305597579426</v>
      </c>
      <c r="AH166" s="103">
        <v>-20.584160363086234</v>
      </c>
      <c r="AI166" s="103">
        <v>-20.320015128593042</v>
      </c>
      <c r="AJ166" s="103">
        <v>-20.05586989409985</v>
      </c>
      <c r="AK166" s="103">
        <v>-19.791724659606658</v>
      </c>
      <c r="AL166" s="103">
        <v>-19.527579425113466</v>
      </c>
      <c r="AM166" s="103">
        <v>-19.267428139183057</v>
      </c>
      <c r="AN166" s="103">
        <v>-19.103131618759456</v>
      </c>
      <c r="AO166" s="103">
        <v>-18.938835098335854</v>
      </c>
      <c r="AP166" s="103">
        <v>-18.774538577912253</v>
      </c>
      <c r="AQ166" s="103">
        <v>-18.610242057488655</v>
      </c>
      <c r="AR166" s="103">
        <v>-18.445945537065054</v>
      </c>
      <c r="AS166" s="103">
        <v>-18.281649016641452</v>
      </c>
      <c r="AT166" s="103">
        <v>-18.143175757575758</v>
      </c>
      <c r="AU166" s="103">
        <v>-18.038933333333333</v>
      </c>
      <c r="AV166" s="103">
        <v>-17.951709090909091</v>
      </c>
      <c r="AW166" s="103">
        <v>-17.871963636363635</v>
      </c>
      <c r="AX166" s="103">
        <v>-17.810145454545452</v>
      </c>
      <c r="AY166" s="103">
        <v>-17.756602409638553</v>
      </c>
      <c r="AZ166" s="103">
        <v>-17.712024096385541</v>
      </c>
      <c r="BA166" s="103">
        <v>-17.680145454545453</v>
      </c>
      <c r="BB166" s="103">
        <v>-17.635806060606058</v>
      </c>
      <c r="BC166" s="103">
        <v>-17.51701818181818</v>
      </c>
      <c r="BD166" s="103">
        <v>-17.430375757575757</v>
      </c>
      <c r="BE166" s="103">
        <v>-17.373406060606062</v>
      </c>
      <c r="BF166" s="103">
        <v>-17.347018181818182</v>
      </c>
      <c r="BG166" s="103">
        <v>-17.331325301204817</v>
      </c>
      <c r="BH166" s="103">
        <v>-17.337349397590362</v>
      </c>
      <c r="BI166" s="103">
        <v>-17.385478787878789</v>
      </c>
      <c r="BJ166" s="103">
        <v>-17.466690909090911</v>
      </c>
      <c r="BK166" s="103">
        <v>-17.554521212121212</v>
      </c>
      <c r="BL166" s="103">
        <v>-17.643321212121212</v>
      </c>
      <c r="BM166" s="103">
        <v>-17.733018181818181</v>
      </c>
      <c r="BN166" s="103">
        <v>-17.82419393939394</v>
      </c>
      <c r="BO166" s="103">
        <v>-17.916315151515153</v>
      </c>
      <c r="BP166" s="103">
        <v>-18.010216867469882</v>
      </c>
      <c r="BQ166" s="103">
        <v>-18.105090909090908</v>
      </c>
      <c r="BR166" s="103">
        <v>-18.202060606060606</v>
      </c>
      <c r="BS166" s="103">
        <v>-18.30139393939394</v>
      </c>
      <c r="BT166" s="103">
        <v>-18.402000000000001</v>
      </c>
    </row>
    <row r="167" spans="1:72" ht="9.9499999999999993" customHeight="1" thickBot="1" x14ac:dyDescent="0.4">
      <c r="A167" s="45" t="s">
        <v>2</v>
      </c>
      <c r="B167" s="35">
        <v>-22.205757575757573</v>
      </c>
      <c r="C167" s="35">
        <v>-21.627333333333333</v>
      </c>
      <c r="D167" s="103">
        <v>-21.093999999999998</v>
      </c>
      <c r="E167" s="103">
        <v>-20.596060606060604</v>
      </c>
      <c r="F167" s="103">
        <v>-20.142375189107412</v>
      </c>
      <c r="G167" s="103">
        <v>-20.047065052950074</v>
      </c>
      <c r="H167" s="103">
        <v>-19.951754916792737</v>
      </c>
      <c r="I167" s="103">
        <v>-19.8564447806354</v>
      </c>
      <c r="J167" s="103">
        <v>-19.761134644478062</v>
      </c>
      <c r="K167" s="103">
        <v>-19.665824508320725</v>
      </c>
      <c r="L167" s="103">
        <v>-19.570514372163387</v>
      </c>
      <c r="M167" s="103">
        <v>-19.074886535552196</v>
      </c>
      <c r="N167" s="103">
        <v>-18.127836611195157</v>
      </c>
      <c r="O167" s="103">
        <v>-17.180786686838125</v>
      </c>
      <c r="P167" s="103">
        <v>-16.233736762481087</v>
      </c>
      <c r="Q167" s="103">
        <v>-15.286686838124053</v>
      </c>
      <c r="R167" s="103">
        <v>-14.339636913767016</v>
      </c>
      <c r="S167" s="103">
        <v>-13.392586989409981</v>
      </c>
      <c r="T167" s="103">
        <v>-13.058335854765506</v>
      </c>
      <c r="U167" s="103">
        <v>-12.823842662632375</v>
      </c>
      <c r="V167" s="103">
        <v>-12.589349470499243</v>
      </c>
      <c r="W167" s="103">
        <v>-12.354856278366112</v>
      </c>
      <c r="X167" s="103">
        <v>-12.120363086232981</v>
      </c>
      <c r="Y167" s="103">
        <v>-11.88586989409985</v>
      </c>
      <c r="Z167" s="103">
        <v>-11.664545454545456</v>
      </c>
      <c r="AA167" s="103">
        <v>-11.482727272727274</v>
      </c>
      <c r="AB167" s="103">
        <v>-11.300909090909091</v>
      </c>
      <c r="AC167" s="103">
        <v>-11.119090909090909</v>
      </c>
      <c r="AD167" s="103">
        <v>-10.937272727272727</v>
      </c>
      <c r="AE167" s="103">
        <v>-10.755454545454546</v>
      </c>
      <c r="AF167" s="103">
        <v>-10.573636363636364</v>
      </c>
      <c r="AG167" s="103">
        <v>-10.424152798789713</v>
      </c>
      <c r="AH167" s="103">
        <v>-10.292080181543117</v>
      </c>
      <c r="AI167" s="103">
        <v>-10.160007564296521</v>
      </c>
      <c r="AJ167" s="103">
        <v>-10.027934947049925</v>
      </c>
      <c r="AK167" s="103">
        <v>-9.8958623298033288</v>
      </c>
      <c r="AL167" s="103">
        <v>-9.7637897125567328</v>
      </c>
      <c r="AM167" s="103">
        <v>-9.6337140695915284</v>
      </c>
      <c r="AN167" s="103">
        <v>-9.5515658093797278</v>
      </c>
      <c r="AO167" s="103">
        <v>-9.4694175491679271</v>
      </c>
      <c r="AP167" s="103">
        <v>-9.3872692889561264</v>
      </c>
      <c r="AQ167" s="103">
        <v>-9.3051210287443276</v>
      </c>
      <c r="AR167" s="103">
        <v>-9.2229727685325269</v>
      </c>
      <c r="AS167" s="103">
        <v>-9.1408245083207262</v>
      </c>
      <c r="AT167" s="103">
        <v>-9.071587878787879</v>
      </c>
      <c r="AU167" s="103">
        <v>-9.0194666666666663</v>
      </c>
      <c r="AV167" s="103">
        <v>-8.9758545454545455</v>
      </c>
      <c r="AW167" s="103">
        <v>-8.9359818181818174</v>
      </c>
      <c r="AX167" s="103">
        <v>-8.9050727272727261</v>
      </c>
      <c r="AY167" s="103">
        <v>-8.8783012048192766</v>
      </c>
      <c r="AZ167" s="103">
        <v>-8.8560120481927704</v>
      </c>
      <c r="BA167" s="103">
        <v>-8.8400727272727266</v>
      </c>
      <c r="BB167" s="103">
        <v>-8.8179030303030288</v>
      </c>
      <c r="BC167" s="103">
        <v>-8.7585090909090901</v>
      </c>
      <c r="BD167" s="103">
        <v>-8.7151878787878783</v>
      </c>
      <c r="BE167" s="103">
        <v>-8.6867030303030308</v>
      </c>
      <c r="BF167" s="103">
        <v>-8.6735090909090911</v>
      </c>
      <c r="BG167" s="103">
        <v>-8.6656626506024086</v>
      </c>
      <c r="BH167" s="103">
        <v>-8.668674698795181</v>
      </c>
      <c r="BI167" s="103">
        <v>-8.6927393939393944</v>
      </c>
      <c r="BJ167" s="103">
        <v>-8.7333454545454554</v>
      </c>
      <c r="BK167" s="103">
        <v>-8.7772606060606062</v>
      </c>
      <c r="BL167" s="103">
        <v>-8.8216606060606058</v>
      </c>
      <c r="BM167" s="103">
        <v>-8.8665090909090907</v>
      </c>
      <c r="BN167" s="103">
        <v>-8.9120969696969699</v>
      </c>
      <c r="BO167" s="103">
        <v>-8.9581575757575767</v>
      </c>
      <c r="BP167" s="103">
        <v>-9.0051084337349412</v>
      </c>
      <c r="BQ167" s="103">
        <v>-9.052545454545454</v>
      </c>
      <c r="BR167" s="103">
        <v>-9.1010303030303028</v>
      </c>
      <c r="BS167" s="103">
        <v>-9.1506969696969698</v>
      </c>
      <c r="BT167" s="103">
        <v>-9.2010000000000005</v>
      </c>
    </row>
    <row r="168" spans="1:72" ht="9.9499999999999993" customHeight="1" thickBot="1" x14ac:dyDescent="0.4">
      <c r="A168" s="45" t="s">
        <v>1</v>
      </c>
      <c r="B168" s="35">
        <v>-18.61</v>
      </c>
      <c r="C168" s="35">
        <v>-18.612303030303028</v>
      </c>
      <c r="D168" s="103">
        <v>-18.618363636363636</v>
      </c>
      <c r="E168" s="103">
        <v>-18.624424242424244</v>
      </c>
      <c r="F168" s="103">
        <v>-18.631089258698939</v>
      </c>
      <c r="G168" s="103">
        <v>-18.644704992435702</v>
      </c>
      <c r="H168" s="103">
        <v>-18.658320726172466</v>
      </c>
      <c r="I168" s="103">
        <v>-18.671936459909226</v>
      </c>
      <c r="J168" s="103">
        <v>-18.685552193645989</v>
      </c>
      <c r="K168" s="103">
        <v>-18.699167927382753</v>
      </c>
      <c r="L168" s="103">
        <v>-18.712783661119516</v>
      </c>
      <c r="M168" s="103">
        <v>-18.728532526475036</v>
      </c>
      <c r="N168" s="103">
        <v>-18.746686838124052</v>
      </c>
      <c r="O168" s="103">
        <v>-18.764841149773069</v>
      </c>
      <c r="P168" s="103">
        <v>-18.782995461422086</v>
      </c>
      <c r="Q168" s="103">
        <v>-18.801149773071103</v>
      </c>
      <c r="R168" s="103">
        <v>-18.81930408472012</v>
      </c>
      <c r="S168" s="103">
        <v>-18.837458396369136</v>
      </c>
      <c r="T168" s="103">
        <v>-18.856913767019666</v>
      </c>
      <c r="U168" s="103">
        <v>-18.876580937972768</v>
      </c>
      <c r="V168" s="103">
        <v>-18.896248108925871</v>
      </c>
      <c r="W168" s="103">
        <v>-18.91591527987897</v>
      </c>
      <c r="X168" s="103">
        <v>-18.935582450832072</v>
      </c>
      <c r="Y168" s="103">
        <v>-18.955249621785175</v>
      </c>
      <c r="Z168" s="103">
        <v>-18.975303030303028</v>
      </c>
      <c r="AA168" s="103">
        <v>-18.996515151515151</v>
      </c>
      <c r="AB168" s="103">
        <v>-19.017727272727271</v>
      </c>
      <c r="AC168" s="103">
        <v>-19.038939393939394</v>
      </c>
      <c r="AD168" s="103">
        <v>-19.060151515151514</v>
      </c>
      <c r="AE168" s="103">
        <v>-19.081363636363637</v>
      </c>
      <c r="AF168" s="103">
        <v>-19.102575757575757</v>
      </c>
      <c r="AG168" s="103">
        <v>-19.12376701966717</v>
      </c>
      <c r="AH168" s="103">
        <v>-19.144947049924358</v>
      </c>
      <c r="AI168" s="103">
        <v>-19.166127080181543</v>
      </c>
      <c r="AJ168" s="103">
        <v>-19.187307110438727</v>
      </c>
      <c r="AK168" s="103">
        <v>-19.208487140695915</v>
      </c>
      <c r="AL168" s="103">
        <v>-19.2296671709531</v>
      </c>
      <c r="AM168" s="103">
        <v>-19.250786686838126</v>
      </c>
      <c r="AN168" s="103">
        <v>-19.270453857791225</v>
      </c>
      <c r="AO168" s="103">
        <v>-19.290121028744327</v>
      </c>
      <c r="AP168" s="103">
        <v>-19.309788199697426</v>
      </c>
      <c r="AQ168" s="103">
        <v>-19.329455370650528</v>
      </c>
      <c r="AR168" s="103">
        <v>-19.349122541603631</v>
      </c>
      <c r="AS168" s="103">
        <v>-19.36878971255673</v>
      </c>
      <c r="AT168" s="103">
        <v>-19.390424242424242</v>
      </c>
      <c r="AU168" s="103">
        <v>-19.414666666666669</v>
      </c>
      <c r="AV168" s="103">
        <v>-19.43418181818182</v>
      </c>
      <c r="AW168" s="103">
        <v>-19.452363636363636</v>
      </c>
      <c r="AX168" s="103">
        <v>-19.470545454545455</v>
      </c>
      <c r="AY168" s="103">
        <v>-19.488674698795183</v>
      </c>
      <c r="AZ168" s="103">
        <v>-19.506746987951807</v>
      </c>
      <c r="BA168" s="103">
        <v>-19.52987878787879</v>
      </c>
      <c r="BB168" s="103">
        <v>-19.553090909090908</v>
      </c>
      <c r="BC168" s="103">
        <v>-19.571272727272728</v>
      </c>
      <c r="BD168" s="103">
        <v>-19.589454545454544</v>
      </c>
      <c r="BE168" s="103">
        <v>-19.607636363636363</v>
      </c>
      <c r="BF168" s="103">
        <v>-19.631090909090908</v>
      </c>
      <c r="BG168" s="103">
        <v>-19.653975903614455</v>
      </c>
      <c r="BH168" s="103">
        <v>-19.672048192771083</v>
      </c>
      <c r="BI168" s="103">
        <v>-19.69018181818182</v>
      </c>
      <c r="BJ168" s="103">
        <v>-19.708363636363636</v>
      </c>
      <c r="BK168" s="103">
        <v>-19.726545454545455</v>
      </c>
      <c r="BL168" s="103">
        <v>-19.746303030303029</v>
      </c>
      <c r="BM168" s="103">
        <v>-19.770545454545456</v>
      </c>
      <c r="BN168" s="103">
        <v>-19.791090909090908</v>
      </c>
      <c r="BO168" s="103">
        <v>-19.809272727272727</v>
      </c>
      <c r="BP168" s="103">
        <v>-19.827349397590361</v>
      </c>
      <c r="BQ168" s="103">
        <v>-19.847272727272728</v>
      </c>
      <c r="BR168" s="103">
        <v>-19.871515151515151</v>
      </c>
      <c r="BS168" s="103">
        <v>-19.891818181818181</v>
      </c>
      <c r="BT168" s="103">
        <v>-19.91</v>
      </c>
    </row>
    <row r="169" spans="1:72" ht="9.9499999999999993" customHeight="1" thickBot="1" x14ac:dyDescent="0.4">
      <c r="A169" s="45" t="s">
        <v>99</v>
      </c>
      <c r="B169" s="35">
        <v>-60.398181818181811</v>
      </c>
      <c r="C169" s="35">
        <v>-58.921818181818175</v>
      </c>
      <c r="D169" s="103">
        <v>-57.558181818181815</v>
      </c>
      <c r="E169" s="103">
        <v>-56.291878787878787</v>
      </c>
      <c r="F169" s="103">
        <v>-55.106868381240538</v>
      </c>
      <c r="G169" s="103">
        <v>-54.442723146747348</v>
      </c>
      <c r="H169" s="103">
        <v>-53.778577912254157</v>
      </c>
      <c r="I169" s="103">
        <v>-53.114432677760966</v>
      </c>
      <c r="J169" s="103">
        <v>-52.450287443267776</v>
      </c>
      <c r="K169" s="103">
        <v>-51.786142208774578</v>
      </c>
      <c r="L169" s="103">
        <v>-51.121996974281387</v>
      </c>
      <c r="M169" s="103">
        <v>-50.140726172465961</v>
      </c>
      <c r="N169" s="103">
        <v>-48.80184568835098</v>
      </c>
      <c r="O169" s="103">
        <v>-47.462965204236006</v>
      </c>
      <c r="P169" s="103">
        <v>-46.124084720121026</v>
      </c>
      <c r="Q169" s="103">
        <v>-44.785204236006052</v>
      </c>
      <c r="R169" s="103">
        <v>-43.446323751891072</v>
      </c>
      <c r="S169" s="103">
        <v>-42.107443267776098</v>
      </c>
      <c r="T169" s="103">
        <v>-41.47894099848714</v>
      </c>
      <c r="U169" s="103">
        <v>-40.966081694402419</v>
      </c>
      <c r="V169" s="103">
        <v>-40.453222390317698</v>
      </c>
      <c r="W169" s="103">
        <v>-39.940363086232978</v>
      </c>
      <c r="X169" s="103">
        <v>-39.427503782148264</v>
      </c>
      <c r="Y169" s="103">
        <v>-38.914644478063543</v>
      </c>
      <c r="Z169" s="103">
        <v>-38.433030303030307</v>
      </c>
      <c r="AA169" s="103">
        <v>-38.045151515151517</v>
      </c>
      <c r="AB169" s="103">
        <v>-37.657272727272726</v>
      </c>
      <c r="AC169" s="103">
        <v>-37.269393939393936</v>
      </c>
      <c r="AD169" s="103">
        <v>-36.881515151515153</v>
      </c>
      <c r="AE169" s="103">
        <v>-36.493636363636362</v>
      </c>
      <c r="AF169" s="103">
        <v>-36.105757575757572</v>
      </c>
      <c r="AG169" s="103">
        <v>-35.781588502269287</v>
      </c>
      <c r="AH169" s="103">
        <v>-35.491724659606653</v>
      </c>
      <c r="AI169" s="103">
        <v>-35.201860816944027</v>
      </c>
      <c r="AJ169" s="103">
        <v>-34.911996974281394</v>
      </c>
      <c r="AK169" s="103">
        <v>-34.62213313161876</v>
      </c>
      <c r="AL169" s="103">
        <v>-34.332269288956127</v>
      </c>
      <c r="AM169" s="103">
        <v>-34.045552193645996</v>
      </c>
      <c r="AN169" s="103">
        <v>-33.834357034795765</v>
      </c>
      <c r="AO169" s="103">
        <v>-33.623161875945542</v>
      </c>
      <c r="AP169" s="103">
        <v>-33.411966717095311</v>
      </c>
      <c r="AQ169" s="103">
        <v>-33.200771558245087</v>
      </c>
      <c r="AR169" s="103">
        <v>-32.989576399394856</v>
      </c>
      <c r="AS169" s="103">
        <v>-32.778381240544633</v>
      </c>
      <c r="AT169" s="103">
        <v>-32.58711515151515</v>
      </c>
      <c r="AU169" s="103">
        <v>-32.422266666666665</v>
      </c>
      <c r="AV169" s="103">
        <v>-32.269709090909089</v>
      </c>
      <c r="AW169" s="103">
        <v>-32.123296969696973</v>
      </c>
      <c r="AX169" s="103">
        <v>-31.994812121212121</v>
      </c>
      <c r="AY169" s="103">
        <v>-31.871903614457832</v>
      </c>
      <c r="AZ169" s="103">
        <v>-31.755036144578312</v>
      </c>
      <c r="BA169" s="103">
        <v>-31.645539393939394</v>
      </c>
      <c r="BB169" s="103">
        <v>-31.514169696969692</v>
      </c>
      <c r="BC169" s="103">
        <v>-31.268109090909089</v>
      </c>
      <c r="BD169" s="103">
        <v>-31.069951515151512</v>
      </c>
      <c r="BE169" s="103">
        <v>-30.91601212121212</v>
      </c>
      <c r="BF169" s="103">
        <v>-30.808472727272726</v>
      </c>
      <c r="BG169" s="103">
        <v>-30.715421686746986</v>
      </c>
      <c r="BH169" s="103">
        <v>-30.64915662650602</v>
      </c>
      <c r="BI169" s="103">
        <v>-30.628145454545454</v>
      </c>
      <c r="BJ169" s="103">
        <v>-30.642690909090909</v>
      </c>
      <c r="BK169" s="103">
        <v>-30.669369696969696</v>
      </c>
      <c r="BL169" s="103">
        <v>-30.697563636363636</v>
      </c>
      <c r="BM169" s="103">
        <v>-30.726654545454547</v>
      </c>
      <c r="BN169" s="103">
        <v>-30.757224242424243</v>
      </c>
      <c r="BO169" s="103">
        <v>-30.788739393939395</v>
      </c>
      <c r="BP169" s="103">
        <v>-30.822385542168675</v>
      </c>
      <c r="BQ169" s="103">
        <v>-30.856909090909092</v>
      </c>
      <c r="BR169" s="103">
        <v>-30.893272727272727</v>
      </c>
      <c r="BS169" s="103">
        <v>-30.931999999999999</v>
      </c>
      <c r="BT169" s="103">
        <v>-30.972000000000001</v>
      </c>
    </row>
    <row r="170" spans="1:72" ht="9.9499999999999993" customHeight="1" thickBot="1" x14ac:dyDescent="0.4">
      <c r="A170" s="45" t="s">
        <v>64</v>
      </c>
      <c r="B170" s="35">
        <v>-38.192424242424238</v>
      </c>
      <c r="C170" s="35">
        <v>-37.294484848484849</v>
      </c>
      <c r="D170" s="103">
        <v>-36.464181818181814</v>
      </c>
      <c r="E170" s="103">
        <v>-35.695818181818176</v>
      </c>
      <c r="F170" s="103">
        <v>-34.964493192133126</v>
      </c>
      <c r="G170" s="103">
        <v>-34.395658093797273</v>
      </c>
      <c r="H170" s="103">
        <v>-33.82682299546142</v>
      </c>
      <c r="I170" s="103">
        <v>-33.257987897125567</v>
      </c>
      <c r="J170" s="103">
        <v>-32.689152798789713</v>
      </c>
      <c r="K170" s="103">
        <v>-32.12031770045386</v>
      </c>
      <c r="L170" s="103">
        <v>-31.551482602118003</v>
      </c>
      <c r="M170" s="103">
        <v>-31.065839636913768</v>
      </c>
      <c r="N170" s="103">
        <v>-30.674009077155823</v>
      </c>
      <c r="O170" s="103">
        <v>-30.282178517397881</v>
      </c>
      <c r="P170" s="103">
        <v>-29.890347957639939</v>
      </c>
      <c r="Q170" s="103">
        <v>-29.498517397881997</v>
      </c>
      <c r="R170" s="103">
        <v>-29.106686838124055</v>
      </c>
      <c r="S170" s="103">
        <v>-28.71485627836611</v>
      </c>
      <c r="T170" s="103">
        <v>-28.420605143721634</v>
      </c>
      <c r="U170" s="103">
        <v>-28.142239031770046</v>
      </c>
      <c r="V170" s="103">
        <v>-27.863872919818455</v>
      </c>
      <c r="W170" s="103">
        <v>-27.585506807866867</v>
      </c>
      <c r="X170" s="103">
        <v>-27.30714069591528</v>
      </c>
      <c r="Y170" s="103">
        <v>-27.028774583963692</v>
      </c>
      <c r="Z170" s="103">
        <v>-26.768484848484849</v>
      </c>
      <c r="AA170" s="103">
        <v>-26.562424242424242</v>
      </c>
      <c r="AB170" s="103">
        <v>-26.356363636363636</v>
      </c>
      <c r="AC170" s="103">
        <v>-26.150303030303032</v>
      </c>
      <c r="AD170" s="103">
        <v>-25.944242424242425</v>
      </c>
      <c r="AE170" s="103">
        <v>-25.738181818181818</v>
      </c>
      <c r="AF170" s="103">
        <v>-25.532121212121211</v>
      </c>
      <c r="AG170" s="103">
        <v>-25.357435703479577</v>
      </c>
      <c r="AH170" s="103">
        <v>-25.19964447806354</v>
      </c>
      <c r="AI170" s="103">
        <v>-25.041853252647506</v>
      </c>
      <c r="AJ170" s="103">
        <v>-24.884062027231469</v>
      </c>
      <c r="AK170" s="103">
        <v>-24.726270801815431</v>
      </c>
      <c r="AL170" s="103">
        <v>-24.568479576399398</v>
      </c>
      <c r="AM170" s="103">
        <v>-24.411838124054466</v>
      </c>
      <c r="AN170" s="103">
        <v>-24.282791225416037</v>
      </c>
      <c r="AO170" s="103">
        <v>-24.153744326777613</v>
      </c>
      <c r="AP170" s="103">
        <v>-24.024697428139184</v>
      </c>
      <c r="AQ170" s="103">
        <v>-23.895650529500756</v>
      </c>
      <c r="AR170" s="103">
        <v>-23.766603630862331</v>
      </c>
      <c r="AS170" s="103">
        <v>-23.637556732223903</v>
      </c>
      <c r="AT170" s="103">
        <v>-23.515527272727272</v>
      </c>
      <c r="AU170" s="103">
        <v>-23.402799999999999</v>
      </c>
      <c r="AV170" s="103">
        <v>-23.293854545454547</v>
      </c>
      <c r="AW170" s="103">
        <v>-23.187315151515151</v>
      </c>
      <c r="AX170" s="103">
        <v>-23.089739393939396</v>
      </c>
      <c r="AY170" s="103">
        <v>-22.993602409638555</v>
      </c>
      <c r="AZ170" s="103">
        <v>-22.899024096385538</v>
      </c>
      <c r="BA170" s="103">
        <v>-22.805466666666668</v>
      </c>
      <c r="BB170" s="103">
        <v>-22.696266666666666</v>
      </c>
      <c r="BC170" s="103">
        <v>-22.509600000000002</v>
      </c>
      <c r="BD170" s="103">
        <v>-22.354763636363636</v>
      </c>
      <c r="BE170" s="103">
        <v>-22.229309090909091</v>
      </c>
      <c r="BF170" s="103">
        <v>-22.134963636363636</v>
      </c>
      <c r="BG170" s="103">
        <v>-22.049759036144575</v>
      </c>
      <c r="BH170" s="103">
        <v>-21.980481927710841</v>
      </c>
      <c r="BI170" s="103">
        <v>-21.935406060606059</v>
      </c>
      <c r="BJ170" s="103">
        <v>-21.909345454545456</v>
      </c>
      <c r="BK170" s="103">
        <v>-21.892109090909091</v>
      </c>
      <c r="BL170" s="103">
        <v>-21.875903030303032</v>
      </c>
      <c r="BM170" s="103">
        <v>-21.860145454545453</v>
      </c>
      <c r="BN170" s="103">
        <v>-21.845127272727272</v>
      </c>
      <c r="BO170" s="103">
        <v>-21.830581818181816</v>
      </c>
      <c r="BP170" s="103">
        <v>-21.817277108433736</v>
      </c>
      <c r="BQ170" s="103">
        <v>-21.804363636363636</v>
      </c>
      <c r="BR170" s="103">
        <v>-21.792242424242424</v>
      </c>
      <c r="BS170" s="103">
        <v>-21.781303030303032</v>
      </c>
      <c r="BT170" s="103">
        <v>-21.771000000000001</v>
      </c>
    </row>
    <row r="171" spans="1:72" ht="9.9499999999999993" customHeight="1" thickBot="1" x14ac:dyDescent="0.4">
      <c r="A171" s="45" t="s">
        <v>52</v>
      </c>
      <c r="B171" s="35">
        <v>-15.986666666666665</v>
      </c>
      <c r="C171" s="35">
        <v>-15.667151515151515</v>
      </c>
      <c r="D171" s="103">
        <v>-15.370181818181816</v>
      </c>
      <c r="E171" s="103">
        <v>-15.099757575757575</v>
      </c>
      <c r="F171" s="103">
        <v>-14.822118003025718</v>
      </c>
      <c r="G171" s="103">
        <v>-14.3485930408472</v>
      </c>
      <c r="H171" s="103">
        <v>-13.875068078668683</v>
      </c>
      <c r="I171" s="103">
        <v>-13.401543116490167</v>
      </c>
      <c r="J171" s="103">
        <v>-12.928018154311649</v>
      </c>
      <c r="K171" s="103">
        <v>-12.454493192133132</v>
      </c>
      <c r="L171" s="103">
        <v>-11.980968229954614</v>
      </c>
      <c r="M171" s="103">
        <v>-11.990953101361573</v>
      </c>
      <c r="N171" s="103">
        <v>-12.546172465960666</v>
      </c>
      <c r="O171" s="103">
        <v>-13.101391830559759</v>
      </c>
      <c r="P171" s="103">
        <v>-13.656611195158851</v>
      </c>
      <c r="Q171" s="103">
        <v>-14.211830559757944</v>
      </c>
      <c r="R171" s="103">
        <v>-14.767049924357035</v>
      </c>
      <c r="S171" s="103">
        <v>-15.322269288956129</v>
      </c>
      <c r="T171" s="103">
        <v>-15.362269288956128</v>
      </c>
      <c r="U171" s="103">
        <v>-15.31839636913767</v>
      </c>
      <c r="V171" s="103">
        <v>-15.274523449319213</v>
      </c>
      <c r="W171" s="103">
        <v>-15.230650529500757</v>
      </c>
      <c r="X171" s="103">
        <v>-15.186777609682299</v>
      </c>
      <c r="Y171" s="103">
        <v>-15.142904689863842</v>
      </c>
      <c r="Z171" s="103">
        <v>-15.103939393939394</v>
      </c>
      <c r="AA171" s="103">
        <v>-15.079696969696968</v>
      </c>
      <c r="AB171" s="103">
        <v>-15.055454545454545</v>
      </c>
      <c r="AC171" s="103">
        <v>-15.031212121212121</v>
      </c>
      <c r="AD171" s="103">
        <v>-15.006969696969696</v>
      </c>
      <c r="AE171" s="103">
        <v>-14.982727272727272</v>
      </c>
      <c r="AF171" s="103">
        <v>-14.958484848484847</v>
      </c>
      <c r="AG171" s="103">
        <v>-14.933282904689863</v>
      </c>
      <c r="AH171" s="103">
        <v>-14.907564296520423</v>
      </c>
      <c r="AI171" s="103">
        <v>-14.881845688350984</v>
      </c>
      <c r="AJ171" s="103">
        <v>-14.856127080181542</v>
      </c>
      <c r="AK171" s="103">
        <v>-14.830408472012103</v>
      </c>
      <c r="AL171" s="103">
        <v>-14.804689863842661</v>
      </c>
      <c r="AM171" s="103">
        <v>-14.778124054462934</v>
      </c>
      <c r="AN171" s="103">
        <v>-14.731225416036308</v>
      </c>
      <c r="AO171" s="103">
        <v>-14.684326777609682</v>
      </c>
      <c r="AP171" s="103">
        <v>-14.637428139183056</v>
      </c>
      <c r="AQ171" s="103">
        <v>-14.59052950075643</v>
      </c>
      <c r="AR171" s="103">
        <v>-14.543630862329804</v>
      </c>
      <c r="AS171" s="103">
        <v>-14.496732223903178</v>
      </c>
      <c r="AT171" s="103">
        <v>-14.443939393939395</v>
      </c>
      <c r="AU171" s="103">
        <v>-14.383333333333333</v>
      </c>
      <c r="AV171" s="103">
        <v>-14.318</v>
      </c>
      <c r="AW171" s="103">
        <v>-14.251333333333333</v>
      </c>
      <c r="AX171" s="103">
        <v>-14.184666666666667</v>
      </c>
      <c r="AY171" s="103">
        <v>-14.115301204819277</v>
      </c>
      <c r="AZ171" s="103">
        <v>-14.04301204819277</v>
      </c>
      <c r="BA171" s="103">
        <v>-13.965393939393939</v>
      </c>
      <c r="BB171" s="103">
        <v>-13.878363636363636</v>
      </c>
      <c r="BC171" s="103">
        <v>-13.751090909090909</v>
      </c>
      <c r="BD171" s="103">
        <v>-13.639575757575757</v>
      </c>
      <c r="BE171" s="103">
        <v>-13.54260606060606</v>
      </c>
      <c r="BF171" s="103">
        <v>-13.461454545454545</v>
      </c>
      <c r="BG171" s="103">
        <v>-13.384096385542168</v>
      </c>
      <c r="BH171" s="103">
        <v>-13.311807228915661</v>
      </c>
      <c r="BI171" s="103">
        <v>-13.242666666666667</v>
      </c>
      <c r="BJ171" s="103">
        <v>-13.176</v>
      </c>
      <c r="BK171" s="103">
        <v>-13.114848484848485</v>
      </c>
      <c r="BL171" s="103">
        <v>-13.054242424242425</v>
      </c>
      <c r="BM171" s="103">
        <v>-12.993636363636364</v>
      </c>
      <c r="BN171" s="103">
        <v>-12.933030303030304</v>
      </c>
      <c r="BO171" s="103">
        <v>-12.872424242424241</v>
      </c>
      <c r="BP171" s="103">
        <v>-12.812168674698794</v>
      </c>
      <c r="BQ171" s="103">
        <v>-12.751818181818182</v>
      </c>
      <c r="BR171" s="103">
        <v>-12.691212121212121</v>
      </c>
      <c r="BS171" s="103">
        <v>-12.630606060606061</v>
      </c>
      <c r="BT171" s="103">
        <v>-12.57</v>
      </c>
    </row>
    <row r="172" spans="1:72" ht="9.9499999999999993" customHeight="1" thickBot="1" x14ac:dyDescent="0.4">
      <c r="A172" s="45" t="s">
        <v>90</v>
      </c>
      <c r="B172" s="35">
        <v>-186.75945454545453</v>
      </c>
      <c r="C172" s="35">
        <v>-181.43072727272727</v>
      </c>
      <c r="D172" s="103">
        <v>-176.4852727272727</v>
      </c>
      <c r="E172" s="103">
        <v>-171.88490909090908</v>
      </c>
      <c r="F172" s="103">
        <v>-167.49030257186081</v>
      </c>
      <c r="G172" s="103">
        <v>-163.99408472012101</v>
      </c>
      <c r="H172" s="103">
        <v>-160.49786686838124</v>
      </c>
      <c r="I172" s="103">
        <v>-157.00164901664144</v>
      </c>
      <c r="J172" s="103">
        <v>-153.50543116490167</v>
      </c>
      <c r="K172" s="103">
        <v>-150.00921331316187</v>
      </c>
      <c r="L172" s="103">
        <v>-146.51299546142209</v>
      </c>
      <c r="M172" s="103">
        <v>-143.49815431164902</v>
      </c>
      <c r="N172" s="103">
        <v>-141.02614220877459</v>
      </c>
      <c r="O172" s="103">
        <v>-138.55413010590016</v>
      </c>
      <c r="P172" s="103">
        <v>-136.0821180030257</v>
      </c>
      <c r="Q172" s="103">
        <v>-133.61010590015127</v>
      </c>
      <c r="R172" s="103">
        <v>-131.13809379727684</v>
      </c>
      <c r="S172" s="103">
        <v>-128.66608169440241</v>
      </c>
      <c r="T172" s="103">
        <v>-126.752223903177</v>
      </c>
      <c r="U172" s="103">
        <v>-124.92922844175492</v>
      </c>
      <c r="V172" s="103">
        <v>-123.10623298033283</v>
      </c>
      <c r="W172" s="103">
        <v>-121.28323751891074</v>
      </c>
      <c r="X172" s="103">
        <v>-119.46024205748866</v>
      </c>
      <c r="Y172" s="103">
        <v>-117.63724659606657</v>
      </c>
      <c r="Z172" s="103">
        <v>-115.92151515151517</v>
      </c>
      <c r="AA172" s="103">
        <v>-114.52757575757576</v>
      </c>
      <c r="AB172" s="103">
        <v>-113.13363636363637</v>
      </c>
      <c r="AC172" s="103">
        <v>-111.73969696969698</v>
      </c>
      <c r="AD172" s="103">
        <v>-110.34575757575759</v>
      </c>
      <c r="AE172" s="103">
        <v>-108.9518181818182</v>
      </c>
      <c r="AF172" s="103">
        <v>-107.55787878787879</v>
      </c>
      <c r="AG172" s="103">
        <v>-106.36208018154312</v>
      </c>
      <c r="AH172" s="103">
        <v>-105.27297276853253</v>
      </c>
      <c r="AI172" s="103">
        <v>-104.18386535552195</v>
      </c>
      <c r="AJ172" s="103">
        <v>-103.09475794251135</v>
      </c>
      <c r="AK172" s="103">
        <v>-102.00565052950076</v>
      </c>
      <c r="AL172" s="103">
        <v>-100.91654311649016</v>
      </c>
      <c r="AM172" s="103">
        <v>-99.836331316187596</v>
      </c>
      <c r="AN172" s="103">
        <v>-98.96961422087746</v>
      </c>
      <c r="AO172" s="103">
        <v>-98.102897125567324</v>
      </c>
      <c r="AP172" s="103">
        <v>-97.236180030257188</v>
      </c>
      <c r="AQ172" s="103">
        <v>-96.369462934947052</v>
      </c>
      <c r="AR172" s="103">
        <v>-95.502745839636916</v>
      </c>
      <c r="AS172" s="103">
        <v>-94.636028744326779</v>
      </c>
      <c r="AT172" s="103">
        <v>-93.814157575757577</v>
      </c>
      <c r="AU172" s="103">
        <v>-93.051733333333331</v>
      </c>
      <c r="AV172" s="103">
        <v>-92.324290909090905</v>
      </c>
      <c r="AW172" s="103">
        <v>-91.610733333333329</v>
      </c>
      <c r="AX172" s="103">
        <v>-90.924066666666661</v>
      </c>
      <c r="AY172" s="103">
        <v>-90.251530120481931</v>
      </c>
      <c r="AZ172" s="103">
        <v>-89.594301204819274</v>
      </c>
      <c r="BA172" s="103">
        <v>-88.973066666666668</v>
      </c>
      <c r="BB172" s="103">
        <v>-88.431648484848481</v>
      </c>
      <c r="BC172" s="103">
        <v>-88.241345454545453</v>
      </c>
      <c r="BD172" s="103">
        <v>-88.061442424242429</v>
      </c>
      <c r="BE172" s="103">
        <v>-87.891139393939397</v>
      </c>
      <c r="BF172" s="103">
        <v>-87.724527272727272</v>
      </c>
      <c r="BG172" s="103">
        <v>-87.559879518072293</v>
      </c>
      <c r="BH172" s="103">
        <v>-87.400240963855424</v>
      </c>
      <c r="BI172" s="103">
        <v>-87.187793939393941</v>
      </c>
      <c r="BJ172" s="103">
        <v>-86.933854545454551</v>
      </c>
      <c r="BK172" s="103">
        <v>-86.678812121212133</v>
      </c>
      <c r="BL172" s="103">
        <v>-86.427284848484859</v>
      </c>
      <c r="BM172" s="103">
        <v>-86.18607272727273</v>
      </c>
      <c r="BN172" s="103">
        <v>-85.947078787878795</v>
      </c>
      <c r="BO172" s="103">
        <v>-85.709503030303026</v>
      </c>
      <c r="BP172" s="103">
        <v>-85.476771084337358</v>
      </c>
      <c r="BQ172" s="103">
        <v>-85.24490909090909</v>
      </c>
      <c r="BR172" s="103">
        <v>-85.014606060606056</v>
      </c>
      <c r="BS172" s="103">
        <v>-84.795727272727277</v>
      </c>
      <c r="BT172" s="103">
        <v>-84.582999999999998</v>
      </c>
    </row>
    <row r="173" spans="1:72" ht="9.9499999999999993" customHeight="1" thickBot="1" x14ac:dyDescent="0.4">
      <c r="A173" s="45" t="s">
        <v>59</v>
      </c>
      <c r="B173" s="35">
        <v>-82.276848484848472</v>
      </c>
      <c r="C173" s="35">
        <v>-79.901696969696957</v>
      </c>
      <c r="D173" s="103">
        <v>-77.695636363636353</v>
      </c>
      <c r="E173" s="103">
        <v>-75.644424242424236</v>
      </c>
      <c r="F173" s="103">
        <v>-73.673963691376699</v>
      </c>
      <c r="G173" s="103">
        <v>-71.973509833585481</v>
      </c>
      <c r="H173" s="103">
        <v>-70.27305597579425</v>
      </c>
      <c r="I173" s="103">
        <v>-68.572602118003019</v>
      </c>
      <c r="J173" s="103">
        <v>-66.872148260211802</v>
      </c>
      <c r="K173" s="103">
        <v>-65.17169440242057</v>
      </c>
      <c r="L173" s="103">
        <v>-63.471240544629346</v>
      </c>
      <c r="M173" s="103">
        <v>-62.211633888048404</v>
      </c>
      <c r="N173" s="103">
        <v>-61.449152798789711</v>
      </c>
      <c r="O173" s="103">
        <v>-60.686671709531012</v>
      </c>
      <c r="P173" s="103">
        <v>-59.924190620272313</v>
      </c>
      <c r="Q173" s="103">
        <v>-59.161709531013614</v>
      </c>
      <c r="R173" s="103">
        <v>-58.399228441754914</v>
      </c>
      <c r="S173" s="103">
        <v>-57.636747352496215</v>
      </c>
      <c r="T173" s="103">
        <v>-56.846944024205747</v>
      </c>
      <c r="U173" s="103">
        <v>-56.052692889561271</v>
      </c>
      <c r="V173" s="103">
        <v>-55.258441754916795</v>
      </c>
      <c r="W173" s="103">
        <v>-54.464190620272312</v>
      </c>
      <c r="X173" s="103">
        <v>-53.669939485627836</v>
      </c>
      <c r="Y173" s="103">
        <v>-52.87568835098336</v>
      </c>
      <c r="Z173" s="103">
        <v>-52.128484848484852</v>
      </c>
      <c r="AA173" s="103">
        <v>-51.522424242424243</v>
      </c>
      <c r="AB173" s="103">
        <v>-50.916363636363634</v>
      </c>
      <c r="AC173" s="103">
        <v>-50.310303030303032</v>
      </c>
      <c r="AD173" s="103">
        <v>-49.704242424242423</v>
      </c>
      <c r="AE173" s="103">
        <v>-49.098181818181821</v>
      </c>
      <c r="AF173" s="103">
        <v>-48.492121212121212</v>
      </c>
      <c r="AG173" s="103">
        <v>-47.9689636913767</v>
      </c>
      <c r="AH173" s="103">
        <v>-47.490446293494706</v>
      </c>
      <c r="AI173" s="103">
        <v>-47.011928895612705</v>
      </c>
      <c r="AJ173" s="103">
        <v>-46.533411497730711</v>
      </c>
      <c r="AK173" s="103">
        <v>-46.05489409984871</v>
      </c>
      <c r="AL173" s="103">
        <v>-45.576376701966716</v>
      </c>
      <c r="AM173" s="103">
        <v>-45.101308623298031</v>
      </c>
      <c r="AN173" s="103">
        <v>-44.709024205748861</v>
      </c>
      <c r="AO173" s="103">
        <v>-44.316739788199698</v>
      </c>
      <c r="AP173" s="103">
        <v>-43.924455370650527</v>
      </c>
      <c r="AQ173" s="103">
        <v>-43.532170953101364</v>
      </c>
      <c r="AR173" s="103">
        <v>-43.139886535552193</v>
      </c>
      <c r="AS173" s="103">
        <v>-42.74760211800303</v>
      </c>
      <c r="AT173" s="103">
        <v>-42.371284848484848</v>
      </c>
      <c r="AU173" s="103">
        <v>-42.016133333333336</v>
      </c>
      <c r="AV173" s="103">
        <v>-41.674218181818183</v>
      </c>
      <c r="AW173" s="103">
        <v>-41.337375757575757</v>
      </c>
      <c r="AX173" s="103">
        <v>-41.009496969696968</v>
      </c>
      <c r="AY173" s="103">
        <v>-40.686614457831325</v>
      </c>
      <c r="AZ173" s="103">
        <v>-40.369144578313247</v>
      </c>
      <c r="BA173" s="103">
        <v>-40.066496969696964</v>
      </c>
      <c r="BB173" s="103">
        <v>-39.806872727272726</v>
      </c>
      <c r="BC173" s="103">
        <v>-39.741418181818183</v>
      </c>
      <c r="BD173" s="103">
        <v>-39.673127272727271</v>
      </c>
      <c r="BE173" s="103">
        <v>-39.602218181818188</v>
      </c>
      <c r="BF173" s="103">
        <v>-39.525509090909097</v>
      </c>
      <c r="BG173" s="103">
        <v>-39.44710843373494</v>
      </c>
      <c r="BH173" s="103">
        <v>-39.365783132530119</v>
      </c>
      <c r="BI173" s="103">
        <v>-39.247527272727275</v>
      </c>
      <c r="BJ173" s="103">
        <v>-39.100254545454547</v>
      </c>
      <c r="BK173" s="103">
        <v>-38.950775757575762</v>
      </c>
      <c r="BL173" s="103">
        <v>-38.802812121212121</v>
      </c>
      <c r="BM173" s="103">
        <v>-38.65978181818182</v>
      </c>
      <c r="BN173" s="103">
        <v>-38.51749090909091</v>
      </c>
      <c r="BO173" s="103">
        <v>-38.375672727272729</v>
      </c>
      <c r="BP173" s="103">
        <v>-38.235831325301213</v>
      </c>
      <c r="BQ173" s="103">
        <v>-38.096181818181826</v>
      </c>
      <c r="BR173" s="103">
        <v>-37.956787878787878</v>
      </c>
      <c r="BS173" s="103">
        <v>-37.822515151515155</v>
      </c>
      <c r="BT173" s="103">
        <v>-37.691000000000003</v>
      </c>
    </row>
    <row r="174" spans="1:72" ht="9.9499999999999993" customHeight="1" thickBot="1" x14ac:dyDescent="0.4">
      <c r="A174" s="45" t="s">
        <v>69</v>
      </c>
      <c r="B174" s="35">
        <v>-22.205757575757573</v>
      </c>
      <c r="C174" s="35">
        <v>-21.627333333333333</v>
      </c>
      <c r="D174" s="103">
        <v>-21.093999999999998</v>
      </c>
      <c r="E174" s="103">
        <v>-20.596060606060604</v>
      </c>
      <c r="F174" s="103">
        <v>-20.142375189107412</v>
      </c>
      <c r="G174" s="103">
        <v>-20.047065052950074</v>
      </c>
      <c r="H174" s="103">
        <v>-19.951754916792737</v>
      </c>
      <c r="I174" s="103">
        <v>-19.8564447806354</v>
      </c>
      <c r="J174" s="103">
        <v>-19.761134644478062</v>
      </c>
      <c r="K174" s="103">
        <v>-19.665824508320725</v>
      </c>
      <c r="L174" s="103">
        <v>-19.570514372163387</v>
      </c>
      <c r="M174" s="103">
        <v>-19.074886535552196</v>
      </c>
      <c r="N174" s="103">
        <v>-18.127836611195157</v>
      </c>
      <c r="O174" s="103">
        <v>-17.180786686838125</v>
      </c>
      <c r="P174" s="103">
        <v>-16.233736762481087</v>
      </c>
      <c r="Q174" s="103">
        <v>-15.286686838124053</v>
      </c>
      <c r="R174" s="103">
        <v>-14.339636913767016</v>
      </c>
      <c r="S174" s="103">
        <v>-13.392586989409981</v>
      </c>
      <c r="T174" s="103">
        <v>-13.058335854765506</v>
      </c>
      <c r="U174" s="103">
        <v>-12.823842662632375</v>
      </c>
      <c r="V174" s="103">
        <v>-12.589349470499243</v>
      </c>
      <c r="W174" s="103">
        <v>-12.354856278366112</v>
      </c>
      <c r="X174" s="103">
        <v>-12.120363086232981</v>
      </c>
      <c r="Y174" s="103">
        <v>-11.88586989409985</v>
      </c>
      <c r="Z174" s="103">
        <v>-11.664545454545456</v>
      </c>
      <c r="AA174" s="103">
        <v>-11.482727272727274</v>
      </c>
      <c r="AB174" s="103">
        <v>-11.300909090909091</v>
      </c>
      <c r="AC174" s="103">
        <v>-11.119090909090909</v>
      </c>
      <c r="AD174" s="103">
        <v>-10.937272727272727</v>
      </c>
      <c r="AE174" s="103">
        <v>-10.755454545454546</v>
      </c>
      <c r="AF174" s="103">
        <v>-10.573636363636364</v>
      </c>
      <c r="AG174" s="103">
        <v>-10.424152798789713</v>
      </c>
      <c r="AH174" s="103">
        <v>-10.292080181543117</v>
      </c>
      <c r="AI174" s="103">
        <v>-10.160007564296521</v>
      </c>
      <c r="AJ174" s="103">
        <v>-10.027934947049925</v>
      </c>
      <c r="AK174" s="103">
        <v>-9.8958623298033288</v>
      </c>
      <c r="AL174" s="103">
        <v>-9.7637897125567328</v>
      </c>
      <c r="AM174" s="103">
        <v>-9.6337140695915284</v>
      </c>
      <c r="AN174" s="103">
        <v>-9.5515658093797278</v>
      </c>
      <c r="AO174" s="103">
        <v>-9.4694175491679271</v>
      </c>
      <c r="AP174" s="103">
        <v>-9.3872692889561264</v>
      </c>
      <c r="AQ174" s="103">
        <v>-9.3051210287443276</v>
      </c>
      <c r="AR174" s="103">
        <v>-9.2229727685325269</v>
      </c>
      <c r="AS174" s="103">
        <v>-9.1408245083207262</v>
      </c>
      <c r="AT174" s="103">
        <v>-9.071587878787879</v>
      </c>
      <c r="AU174" s="103">
        <v>-9.0194666666666663</v>
      </c>
      <c r="AV174" s="103">
        <v>-8.9758545454545455</v>
      </c>
      <c r="AW174" s="103">
        <v>-8.9359818181818174</v>
      </c>
      <c r="AX174" s="103">
        <v>-8.9050727272727261</v>
      </c>
      <c r="AY174" s="103">
        <v>-8.8783012048192766</v>
      </c>
      <c r="AZ174" s="103">
        <v>-8.8560120481927704</v>
      </c>
      <c r="BA174" s="103">
        <v>-8.8400727272727266</v>
      </c>
      <c r="BB174" s="103">
        <v>-8.8179030303030288</v>
      </c>
      <c r="BC174" s="103">
        <v>-8.7585090909090901</v>
      </c>
      <c r="BD174" s="103">
        <v>-8.7151878787878783</v>
      </c>
      <c r="BE174" s="103">
        <v>-8.6867030303030308</v>
      </c>
      <c r="BF174" s="103">
        <v>-8.6735090909090911</v>
      </c>
      <c r="BG174" s="103">
        <v>-8.6656626506024086</v>
      </c>
      <c r="BH174" s="103">
        <v>-8.668674698795181</v>
      </c>
      <c r="BI174" s="103">
        <v>-8.6927393939393944</v>
      </c>
      <c r="BJ174" s="103">
        <v>-8.7333454545454554</v>
      </c>
      <c r="BK174" s="103">
        <v>-8.7772606060606062</v>
      </c>
      <c r="BL174" s="103">
        <v>-8.8216606060606058</v>
      </c>
      <c r="BM174" s="103">
        <v>-8.8665090909090907</v>
      </c>
      <c r="BN174" s="103">
        <v>-8.9120969696969699</v>
      </c>
      <c r="BO174" s="103">
        <v>-8.9581575757575767</v>
      </c>
      <c r="BP174" s="103">
        <v>-9.0051084337349412</v>
      </c>
      <c r="BQ174" s="103">
        <v>-9.052545454545454</v>
      </c>
      <c r="BR174" s="103">
        <v>-9.1010303030303028</v>
      </c>
      <c r="BS174" s="103">
        <v>-9.1506969696969698</v>
      </c>
      <c r="BT174" s="103">
        <v>-9.2010000000000005</v>
      </c>
    </row>
    <row r="175" spans="1:72" ht="9.9499999999999993" customHeight="1" thickBot="1" x14ac:dyDescent="0.4">
      <c r="A175" s="45" t="s">
        <v>115</v>
      </c>
      <c r="B175" s="35">
        <v>-22.205757575757573</v>
      </c>
      <c r="C175" s="35">
        <v>-21.627333333333333</v>
      </c>
      <c r="D175" s="103">
        <v>-21.093999999999998</v>
      </c>
      <c r="E175" s="103">
        <v>-20.596060606060604</v>
      </c>
      <c r="F175" s="103">
        <v>-20.142375189107412</v>
      </c>
      <c r="G175" s="103">
        <v>-20.047065052950074</v>
      </c>
      <c r="H175" s="103">
        <v>-19.951754916792737</v>
      </c>
      <c r="I175" s="103">
        <v>-19.8564447806354</v>
      </c>
      <c r="J175" s="103">
        <v>-19.761134644478062</v>
      </c>
      <c r="K175" s="103">
        <v>-19.665824508320725</v>
      </c>
      <c r="L175" s="103">
        <v>-19.570514372163387</v>
      </c>
      <c r="M175" s="103">
        <v>-19.074886535552196</v>
      </c>
      <c r="N175" s="103">
        <v>-18.127836611195157</v>
      </c>
      <c r="O175" s="103">
        <v>-17.180786686838125</v>
      </c>
      <c r="P175" s="103">
        <v>-16.233736762481087</v>
      </c>
      <c r="Q175" s="103">
        <v>-15.286686838124053</v>
      </c>
      <c r="R175" s="103">
        <v>-14.339636913767016</v>
      </c>
      <c r="S175" s="103">
        <v>-13.392586989409981</v>
      </c>
      <c r="T175" s="103">
        <v>-13.058335854765506</v>
      </c>
      <c r="U175" s="103">
        <v>-12.823842662632375</v>
      </c>
      <c r="V175" s="103">
        <v>-12.589349470499243</v>
      </c>
      <c r="W175" s="103">
        <v>-12.354856278366112</v>
      </c>
      <c r="X175" s="103">
        <v>-12.120363086232981</v>
      </c>
      <c r="Y175" s="103">
        <v>-11.88586989409985</v>
      </c>
      <c r="Z175" s="103">
        <v>-11.664545454545456</v>
      </c>
      <c r="AA175" s="103">
        <v>-11.482727272727274</v>
      </c>
      <c r="AB175" s="103">
        <v>-11.300909090909091</v>
      </c>
      <c r="AC175" s="103">
        <v>-11.119090909090909</v>
      </c>
      <c r="AD175" s="103">
        <v>-10.937272727272727</v>
      </c>
      <c r="AE175" s="103">
        <v>-10.755454545454546</v>
      </c>
      <c r="AF175" s="103">
        <v>-10.573636363636364</v>
      </c>
      <c r="AG175" s="103">
        <v>-10.424152798789713</v>
      </c>
      <c r="AH175" s="103">
        <v>-10.292080181543117</v>
      </c>
      <c r="AI175" s="103">
        <v>-10.160007564296521</v>
      </c>
      <c r="AJ175" s="103">
        <v>-10.027934947049925</v>
      </c>
      <c r="AK175" s="103">
        <v>-9.8958623298033288</v>
      </c>
      <c r="AL175" s="103">
        <v>-9.7637897125567328</v>
      </c>
      <c r="AM175" s="103">
        <v>-9.6337140695915284</v>
      </c>
      <c r="AN175" s="103">
        <v>-9.5515658093797278</v>
      </c>
      <c r="AO175" s="103">
        <v>-9.4694175491679271</v>
      </c>
      <c r="AP175" s="103">
        <v>-9.3872692889561264</v>
      </c>
      <c r="AQ175" s="103">
        <v>-9.3051210287443276</v>
      </c>
      <c r="AR175" s="103">
        <v>-9.2229727685325269</v>
      </c>
      <c r="AS175" s="103">
        <v>-9.1408245083207262</v>
      </c>
      <c r="AT175" s="103">
        <v>-9.071587878787879</v>
      </c>
      <c r="AU175" s="103">
        <v>-9.0194666666666663</v>
      </c>
      <c r="AV175" s="103">
        <v>-8.9758545454545455</v>
      </c>
      <c r="AW175" s="103">
        <v>-8.9359818181818174</v>
      </c>
      <c r="AX175" s="103">
        <v>-8.9050727272727261</v>
      </c>
      <c r="AY175" s="103">
        <v>-8.8783012048192766</v>
      </c>
      <c r="AZ175" s="103">
        <v>-8.8560120481927704</v>
      </c>
      <c r="BA175" s="103">
        <v>-8.8400727272727266</v>
      </c>
      <c r="BB175" s="103">
        <v>-8.8179030303030288</v>
      </c>
      <c r="BC175" s="103">
        <v>-8.7585090909090901</v>
      </c>
      <c r="BD175" s="103">
        <v>-8.7151878787878783</v>
      </c>
      <c r="BE175" s="103">
        <v>-8.6867030303030308</v>
      </c>
      <c r="BF175" s="103">
        <v>-8.6735090909090911</v>
      </c>
      <c r="BG175" s="103">
        <v>-8.6656626506024086</v>
      </c>
      <c r="BH175" s="103">
        <v>-8.668674698795181</v>
      </c>
      <c r="BI175" s="103">
        <v>-8.6927393939393944</v>
      </c>
      <c r="BJ175" s="103">
        <v>-8.7333454545454554</v>
      </c>
      <c r="BK175" s="103">
        <v>-8.7772606060606062</v>
      </c>
      <c r="BL175" s="103">
        <v>-8.8216606060606058</v>
      </c>
      <c r="BM175" s="103">
        <v>-8.8665090909090907</v>
      </c>
      <c r="BN175" s="103">
        <v>-8.9120969696969699</v>
      </c>
      <c r="BO175" s="103">
        <v>-8.9581575757575767</v>
      </c>
      <c r="BP175" s="103">
        <v>-9.0051084337349412</v>
      </c>
      <c r="BQ175" s="103">
        <v>-9.052545454545454</v>
      </c>
      <c r="BR175" s="103">
        <v>-9.1010303030303028</v>
      </c>
      <c r="BS175" s="103">
        <v>-9.1506969696969698</v>
      </c>
      <c r="BT175" s="103">
        <v>-9.2010000000000005</v>
      </c>
    </row>
    <row r="176" spans="1:72" ht="9.9499999999999993" customHeight="1" thickBot="1" x14ac:dyDescent="0.4">
      <c r="A176" s="45" t="s">
        <v>89</v>
      </c>
      <c r="B176" s="35">
        <v>-38.192424242424238</v>
      </c>
      <c r="C176" s="35">
        <v>-37.294484848484849</v>
      </c>
      <c r="D176" s="103">
        <v>-36.464181818181814</v>
      </c>
      <c r="E176" s="103">
        <v>-35.695818181818176</v>
      </c>
      <c r="F176" s="103">
        <v>-34.964493192133126</v>
      </c>
      <c r="G176" s="103">
        <v>-34.395658093797273</v>
      </c>
      <c r="H176" s="103">
        <v>-33.82682299546142</v>
      </c>
      <c r="I176" s="103">
        <v>-33.257987897125567</v>
      </c>
      <c r="J176" s="103">
        <v>-32.689152798789713</v>
      </c>
      <c r="K176" s="103">
        <v>-32.12031770045386</v>
      </c>
      <c r="L176" s="103">
        <v>-31.551482602118003</v>
      </c>
      <c r="M176" s="103">
        <v>-31.065839636913768</v>
      </c>
      <c r="N176" s="103">
        <v>-30.674009077155823</v>
      </c>
      <c r="O176" s="103">
        <v>-30.282178517397881</v>
      </c>
      <c r="P176" s="103">
        <v>-29.890347957639939</v>
      </c>
      <c r="Q176" s="103">
        <v>-29.498517397881997</v>
      </c>
      <c r="R176" s="103">
        <v>-29.106686838124055</v>
      </c>
      <c r="S176" s="103">
        <v>-28.71485627836611</v>
      </c>
      <c r="T176" s="103">
        <v>-28.420605143721634</v>
      </c>
      <c r="U176" s="103">
        <v>-28.142239031770046</v>
      </c>
      <c r="V176" s="103">
        <v>-27.863872919818455</v>
      </c>
      <c r="W176" s="103">
        <v>-27.585506807866867</v>
      </c>
      <c r="X176" s="103">
        <v>-27.30714069591528</v>
      </c>
      <c r="Y176" s="103">
        <v>-27.028774583963692</v>
      </c>
      <c r="Z176" s="103">
        <v>-26.768484848484849</v>
      </c>
      <c r="AA176" s="103">
        <v>-26.562424242424242</v>
      </c>
      <c r="AB176" s="103">
        <v>-26.356363636363636</v>
      </c>
      <c r="AC176" s="103">
        <v>-26.150303030303032</v>
      </c>
      <c r="AD176" s="103">
        <v>-25.944242424242425</v>
      </c>
      <c r="AE176" s="103">
        <v>-25.738181818181818</v>
      </c>
      <c r="AF176" s="103">
        <v>-25.532121212121211</v>
      </c>
      <c r="AG176" s="103">
        <v>-25.357435703479577</v>
      </c>
      <c r="AH176" s="103">
        <v>-25.19964447806354</v>
      </c>
      <c r="AI176" s="103">
        <v>-25.041853252647506</v>
      </c>
      <c r="AJ176" s="103">
        <v>-24.884062027231469</v>
      </c>
      <c r="AK176" s="103">
        <v>-24.726270801815431</v>
      </c>
      <c r="AL176" s="103">
        <v>-24.568479576399398</v>
      </c>
      <c r="AM176" s="103">
        <v>-24.411838124054466</v>
      </c>
      <c r="AN176" s="103">
        <v>-24.282791225416037</v>
      </c>
      <c r="AO176" s="103">
        <v>-24.153744326777613</v>
      </c>
      <c r="AP176" s="103">
        <v>-24.024697428139184</v>
      </c>
      <c r="AQ176" s="103">
        <v>-23.895650529500756</v>
      </c>
      <c r="AR176" s="103">
        <v>-23.766603630862331</v>
      </c>
      <c r="AS176" s="103">
        <v>-23.637556732223903</v>
      </c>
      <c r="AT176" s="103">
        <v>-23.515527272727272</v>
      </c>
      <c r="AU176" s="103">
        <v>-23.402799999999999</v>
      </c>
      <c r="AV176" s="103">
        <v>-23.293854545454547</v>
      </c>
      <c r="AW176" s="103">
        <v>-23.187315151515151</v>
      </c>
      <c r="AX176" s="103">
        <v>-23.089739393939396</v>
      </c>
      <c r="AY176" s="103">
        <v>-22.993602409638555</v>
      </c>
      <c r="AZ176" s="103">
        <v>-22.899024096385538</v>
      </c>
      <c r="BA176" s="103">
        <v>-22.805466666666668</v>
      </c>
      <c r="BB176" s="103">
        <v>-22.696266666666666</v>
      </c>
      <c r="BC176" s="103">
        <v>-22.509600000000002</v>
      </c>
      <c r="BD176" s="103">
        <v>-22.354763636363636</v>
      </c>
      <c r="BE176" s="103">
        <v>-22.229309090909091</v>
      </c>
      <c r="BF176" s="103">
        <v>-22.134963636363636</v>
      </c>
      <c r="BG176" s="103">
        <v>-22.049759036144575</v>
      </c>
      <c r="BH176" s="103">
        <v>-21.980481927710841</v>
      </c>
      <c r="BI176" s="103">
        <v>-21.935406060606059</v>
      </c>
      <c r="BJ176" s="103">
        <v>-21.909345454545456</v>
      </c>
      <c r="BK176" s="103">
        <v>-21.892109090909091</v>
      </c>
      <c r="BL176" s="103">
        <v>-21.875903030303032</v>
      </c>
      <c r="BM176" s="103">
        <v>-21.860145454545453</v>
      </c>
      <c r="BN176" s="103">
        <v>-21.845127272727272</v>
      </c>
      <c r="BO176" s="103">
        <v>-21.830581818181816</v>
      </c>
      <c r="BP176" s="103">
        <v>-21.817277108433736</v>
      </c>
      <c r="BQ176" s="103">
        <v>-21.804363636363636</v>
      </c>
      <c r="BR176" s="103">
        <v>-21.792242424242424</v>
      </c>
      <c r="BS176" s="103">
        <v>-21.781303030303032</v>
      </c>
      <c r="BT176" s="103">
        <v>-21.771000000000001</v>
      </c>
    </row>
    <row r="177" spans="1:72" ht="9.9499999999999993" customHeight="1" thickBot="1" x14ac:dyDescent="0.4">
      <c r="A177" s="45" t="s">
        <v>91</v>
      </c>
      <c r="B177" s="35">
        <v>-186.75945454545453</v>
      </c>
      <c r="C177" s="35">
        <v>-181.43072727272727</v>
      </c>
      <c r="D177" s="103">
        <v>-176.4852727272727</v>
      </c>
      <c r="E177" s="103">
        <v>-171.88490909090908</v>
      </c>
      <c r="F177" s="103">
        <v>-167.49030257186081</v>
      </c>
      <c r="G177" s="103">
        <v>-163.99408472012101</v>
      </c>
      <c r="H177" s="103">
        <v>-160.49786686838124</v>
      </c>
      <c r="I177" s="103">
        <v>-157.00164901664144</v>
      </c>
      <c r="J177" s="103">
        <v>-153.50543116490167</v>
      </c>
      <c r="K177" s="103">
        <v>-150.00921331316187</v>
      </c>
      <c r="L177" s="103">
        <v>-146.51299546142209</v>
      </c>
      <c r="M177" s="103">
        <v>-143.49815431164902</v>
      </c>
      <c r="N177" s="103">
        <v>-141.02614220877459</v>
      </c>
      <c r="O177" s="103">
        <v>-138.55413010590016</v>
      </c>
      <c r="P177" s="103">
        <v>-136.0821180030257</v>
      </c>
      <c r="Q177" s="103">
        <v>-133.61010590015127</v>
      </c>
      <c r="R177" s="103">
        <v>-131.13809379727684</v>
      </c>
      <c r="S177" s="103">
        <v>-128.66608169440241</v>
      </c>
      <c r="T177" s="103">
        <v>-126.752223903177</v>
      </c>
      <c r="U177" s="103">
        <v>-124.92922844175492</v>
      </c>
      <c r="V177" s="103">
        <v>-123.10623298033283</v>
      </c>
      <c r="W177" s="103">
        <v>-121.28323751891074</v>
      </c>
      <c r="X177" s="103">
        <v>-119.46024205748866</v>
      </c>
      <c r="Y177" s="103">
        <v>-117.63724659606657</v>
      </c>
      <c r="Z177" s="103">
        <v>-115.92151515151517</v>
      </c>
      <c r="AA177" s="103">
        <v>-114.52757575757576</v>
      </c>
      <c r="AB177" s="103">
        <v>-113.13363636363637</v>
      </c>
      <c r="AC177" s="103">
        <v>-111.73969696969698</v>
      </c>
      <c r="AD177" s="103">
        <v>-110.34575757575759</v>
      </c>
      <c r="AE177" s="103">
        <v>-108.9518181818182</v>
      </c>
      <c r="AF177" s="103">
        <v>-107.55787878787879</v>
      </c>
      <c r="AG177" s="103">
        <v>-106.36208018154312</v>
      </c>
      <c r="AH177" s="103">
        <v>-105.27297276853253</v>
      </c>
      <c r="AI177" s="103">
        <v>-104.18386535552195</v>
      </c>
      <c r="AJ177" s="103">
        <v>-103.09475794251135</v>
      </c>
      <c r="AK177" s="103">
        <v>-102.00565052950076</v>
      </c>
      <c r="AL177" s="103">
        <v>-100.91654311649016</v>
      </c>
      <c r="AM177" s="103">
        <v>-99.836331316187596</v>
      </c>
      <c r="AN177" s="103">
        <v>-98.96961422087746</v>
      </c>
      <c r="AO177" s="103">
        <v>-98.102897125567324</v>
      </c>
      <c r="AP177" s="103">
        <v>-97.236180030257188</v>
      </c>
      <c r="AQ177" s="103">
        <v>-96.369462934947052</v>
      </c>
      <c r="AR177" s="103">
        <v>-95.502745839636916</v>
      </c>
      <c r="AS177" s="103">
        <v>-94.636028744326779</v>
      </c>
      <c r="AT177" s="103">
        <v>-93.814157575757577</v>
      </c>
      <c r="AU177" s="103">
        <v>-93.051733333333331</v>
      </c>
      <c r="AV177" s="103">
        <v>-92.324290909090905</v>
      </c>
      <c r="AW177" s="103">
        <v>-91.610733333333329</v>
      </c>
      <c r="AX177" s="103">
        <v>-90.924066666666661</v>
      </c>
      <c r="AY177" s="103">
        <v>-90.251530120481931</v>
      </c>
      <c r="AZ177" s="103">
        <v>-89.594301204819274</v>
      </c>
      <c r="BA177" s="103">
        <v>-88.973066666666668</v>
      </c>
      <c r="BB177" s="103">
        <v>-88.431648484848481</v>
      </c>
      <c r="BC177" s="103">
        <v>-88.241345454545453</v>
      </c>
      <c r="BD177" s="103">
        <v>-88.061442424242429</v>
      </c>
      <c r="BE177" s="103">
        <v>-87.891139393939397</v>
      </c>
      <c r="BF177" s="103">
        <v>-87.724527272727272</v>
      </c>
      <c r="BG177" s="103">
        <v>-87.559879518072293</v>
      </c>
      <c r="BH177" s="103">
        <v>-87.400240963855424</v>
      </c>
      <c r="BI177" s="103">
        <v>-87.187793939393941</v>
      </c>
      <c r="BJ177" s="103">
        <v>-86.933854545454551</v>
      </c>
      <c r="BK177" s="103">
        <v>-86.678812121212133</v>
      </c>
      <c r="BL177" s="103">
        <v>-86.427284848484859</v>
      </c>
      <c r="BM177" s="103">
        <v>-86.18607272727273</v>
      </c>
      <c r="BN177" s="103">
        <v>-85.947078787878795</v>
      </c>
      <c r="BO177" s="103">
        <v>-85.709503030303026</v>
      </c>
      <c r="BP177" s="103">
        <v>-85.476771084337358</v>
      </c>
      <c r="BQ177" s="103">
        <v>-85.24490909090909</v>
      </c>
      <c r="BR177" s="103">
        <v>-85.014606060606056</v>
      </c>
      <c r="BS177" s="103">
        <v>-84.795727272727277</v>
      </c>
      <c r="BT177" s="103">
        <v>-84.582999999999998</v>
      </c>
    </row>
    <row r="178" spans="1:72" ht="9.9499999999999993" customHeight="1" thickBot="1" x14ac:dyDescent="0.4">
      <c r="A178" s="45" t="s">
        <v>26</v>
      </c>
      <c r="B178" s="35">
        <v>-18.61</v>
      </c>
      <c r="C178" s="35">
        <v>-18.612303030303028</v>
      </c>
      <c r="D178" s="103">
        <v>-18.618363636363636</v>
      </c>
      <c r="E178" s="103">
        <v>-18.624424242424244</v>
      </c>
      <c r="F178" s="103">
        <v>-18.631089258698939</v>
      </c>
      <c r="G178" s="103">
        <v>-18.644704992435702</v>
      </c>
      <c r="H178" s="103">
        <v>-18.658320726172466</v>
      </c>
      <c r="I178" s="103">
        <v>-18.671936459909226</v>
      </c>
      <c r="J178" s="103">
        <v>-18.685552193645989</v>
      </c>
      <c r="K178" s="103">
        <v>-18.699167927382753</v>
      </c>
      <c r="L178" s="103">
        <v>-18.712783661119516</v>
      </c>
      <c r="M178" s="103">
        <v>-18.728532526475036</v>
      </c>
      <c r="N178" s="103">
        <v>-18.746686838124052</v>
      </c>
      <c r="O178" s="103">
        <v>-18.764841149773069</v>
      </c>
      <c r="P178" s="103">
        <v>-18.782995461422086</v>
      </c>
      <c r="Q178" s="103">
        <v>-18.801149773071103</v>
      </c>
      <c r="R178" s="103">
        <v>-18.81930408472012</v>
      </c>
      <c r="S178" s="103">
        <v>-18.837458396369136</v>
      </c>
      <c r="T178" s="103">
        <v>-18.856913767019666</v>
      </c>
      <c r="U178" s="103">
        <v>-18.876580937972768</v>
      </c>
      <c r="V178" s="103">
        <v>-18.896248108925871</v>
      </c>
      <c r="W178" s="103">
        <v>-18.91591527987897</v>
      </c>
      <c r="X178" s="103">
        <v>-18.935582450832072</v>
      </c>
      <c r="Y178" s="103">
        <v>-18.955249621785175</v>
      </c>
      <c r="Z178" s="103">
        <v>-18.975303030303028</v>
      </c>
      <c r="AA178" s="103">
        <v>-18.996515151515151</v>
      </c>
      <c r="AB178" s="103">
        <v>-19.017727272727271</v>
      </c>
      <c r="AC178" s="103">
        <v>-19.038939393939394</v>
      </c>
      <c r="AD178" s="103">
        <v>-19.060151515151514</v>
      </c>
      <c r="AE178" s="103">
        <v>-19.081363636363637</v>
      </c>
      <c r="AF178" s="103">
        <v>-19.102575757575757</v>
      </c>
      <c r="AG178" s="103">
        <v>-19.12376701966717</v>
      </c>
      <c r="AH178" s="103">
        <v>-19.144947049924358</v>
      </c>
      <c r="AI178" s="103">
        <v>-19.166127080181543</v>
      </c>
      <c r="AJ178" s="103">
        <v>-19.187307110438727</v>
      </c>
      <c r="AK178" s="103">
        <v>-19.208487140695915</v>
      </c>
      <c r="AL178" s="103">
        <v>-19.2296671709531</v>
      </c>
      <c r="AM178" s="103">
        <v>-19.250786686838126</v>
      </c>
      <c r="AN178" s="103">
        <v>-19.270453857791225</v>
      </c>
      <c r="AO178" s="103">
        <v>-19.290121028744327</v>
      </c>
      <c r="AP178" s="103">
        <v>-19.309788199697426</v>
      </c>
      <c r="AQ178" s="103">
        <v>-19.329455370650528</v>
      </c>
      <c r="AR178" s="103">
        <v>-19.349122541603631</v>
      </c>
      <c r="AS178" s="103">
        <v>-19.36878971255673</v>
      </c>
      <c r="AT178" s="103">
        <v>-19.390424242424242</v>
      </c>
      <c r="AU178" s="103">
        <v>-19.414666666666669</v>
      </c>
      <c r="AV178" s="103">
        <v>-19.43418181818182</v>
      </c>
      <c r="AW178" s="103">
        <v>-19.452363636363636</v>
      </c>
      <c r="AX178" s="103">
        <v>-19.470545454545455</v>
      </c>
      <c r="AY178" s="103">
        <v>-19.488674698795183</v>
      </c>
      <c r="AZ178" s="103">
        <v>-19.506746987951807</v>
      </c>
      <c r="BA178" s="103">
        <v>-19.52987878787879</v>
      </c>
      <c r="BB178" s="103">
        <v>-19.553090909090908</v>
      </c>
      <c r="BC178" s="103">
        <v>-19.571272727272728</v>
      </c>
      <c r="BD178" s="103">
        <v>-19.589454545454544</v>
      </c>
      <c r="BE178" s="103">
        <v>-19.607636363636363</v>
      </c>
      <c r="BF178" s="103">
        <v>-19.631090909090908</v>
      </c>
      <c r="BG178" s="103">
        <v>-19.653975903614455</v>
      </c>
      <c r="BH178" s="103">
        <v>-19.672048192771083</v>
      </c>
      <c r="BI178" s="103">
        <v>-19.69018181818182</v>
      </c>
      <c r="BJ178" s="103">
        <v>-19.708363636363636</v>
      </c>
      <c r="BK178" s="103">
        <v>-19.726545454545455</v>
      </c>
      <c r="BL178" s="103">
        <v>-19.746303030303029</v>
      </c>
      <c r="BM178" s="103">
        <v>-19.770545454545456</v>
      </c>
      <c r="BN178" s="103">
        <v>-19.791090909090908</v>
      </c>
      <c r="BO178" s="103">
        <v>-19.809272727272727</v>
      </c>
      <c r="BP178" s="103">
        <v>-19.827349397590361</v>
      </c>
      <c r="BQ178" s="103">
        <v>-19.847272727272728</v>
      </c>
      <c r="BR178" s="103">
        <v>-19.871515151515151</v>
      </c>
      <c r="BS178" s="103">
        <v>-19.891818181818181</v>
      </c>
      <c r="BT178" s="103">
        <v>-19.91</v>
      </c>
    </row>
    <row r="179" spans="1:72" ht="9.9499999999999993" customHeight="1" thickBot="1" x14ac:dyDescent="0.4">
      <c r="A179" s="45" t="s">
        <v>5</v>
      </c>
      <c r="B179" s="35">
        <v>-60.071090909090906</v>
      </c>
      <c r="C179" s="35">
        <v>-58.274363636363631</v>
      </c>
      <c r="D179" s="103">
        <v>-56.601636363636359</v>
      </c>
      <c r="E179" s="103">
        <v>-55.048363636363632</v>
      </c>
      <c r="F179" s="103">
        <v>-53.531588502269287</v>
      </c>
      <c r="G179" s="103">
        <v>-51.926444780635393</v>
      </c>
      <c r="H179" s="103">
        <v>-50.321301059001506</v>
      </c>
      <c r="I179" s="103">
        <v>-48.716157337367619</v>
      </c>
      <c r="J179" s="103">
        <v>-47.111013615733732</v>
      </c>
      <c r="K179" s="103">
        <v>-45.505869894099845</v>
      </c>
      <c r="L179" s="103">
        <v>-43.900726172465959</v>
      </c>
      <c r="M179" s="103">
        <v>-43.136747352496215</v>
      </c>
      <c r="N179" s="103">
        <v>-43.321316187594554</v>
      </c>
      <c r="O179" s="103">
        <v>-43.505885022692887</v>
      </c>
      <c r="P179" s="103">
        <v>-43.690453857791226</v>
      </c>
      <c r="Q179" s="103">
        <v>-43.875022692889566</v>
      </c>
      <c r="R179" s="103">
        <v>-44.059591527987898</v>
      </c>
      <c r="S179" s="103">
        <v>-44.244160363086237</v>
      </c>
      <c r="T179" s="103">
        <v>-43.788608169440245</v>
      </c>
      <c r="U179" s="103">
        <v>-43.228850226928898</v>
      </c>
      <c r="V179" s="103">
        <v>-42.669092284417552</v>
      </c>
      <c r="W179" s="103">
        <v>-42.109334341906205</v>
      </c>
      <c r="X179" s="103">
        <v>-41.549576399394859</v>
      </c>
      <c r="Y179" s="103">
        <v>-40.989818456883512</v>
      </c>
      <c r="Z179" s="103">
        <v>-40.463939393939391</v>
      </c>
      <c r="AA179" s="103">
        <v>-40.039696969696969</v>
      </c>
      <c r="AB179" s="103">
        <v>-39.615454545454547</v>
      </c>
      <c r="AC179" s="103">
        <v>-39.191212121212125</v>
      </c>
      <c r="AD179" s="103">
        <v>-38.766969696969696</v>
      </c>
      <c r="AE179" s="103">
        <v>-38.342727272727274</v>
      </c>
      <c r="AF179" s="103">
        <v>-37.918484848484852</v>
      </c>
      <c r="AG179" s="103">
        <v>-37.544810892586995</v>
      </c>
      <c r="AH179" s="103">
        <v>-37.198366111951593</v>
      </c>
      <c r="AI179" s="103">
        <v>-36.851921331316191</v>
      </c>
      <c r="AJ179" s="103">
        <v>-36.50547655068079</v>
      </c>
      <c r="AK179" s="103">
        <v>-36.159031770045388</v>
      </c>
      <c r="AL179" s="103">
        <v>-35.812586989409986</v>
      </c>
      <c r="AM179" s="103">
        <v>-35.467594553706505</v>
      </c>
      <c r="AN179" s="103">
        <v>-35.157458396369137</v>
      </c>
      <c r="AO179" s="103">
        <v>-34.847322239031769</v>
      </c>
      <c r="AP179" s="103">
        <v>-34.537186081694401</v>
      </c>
      <c r="AQ179" s="103">
        <v>-34.227049924357033</v>
      </c>
      <c r="AR179" s="103">
        <v>-33.916913767019665</v>
      </c>
      <c r="AS179" s="103">
        <v>-33.606777609682297</v>
      </c>
      <c r="AT179" s="103">
        <v>-33.299696969696974</v>
      </c>
      <c r="AU179" s="103">
        <v>-32.99666666666667</v>
      </c>
      <c r="AV179" s="103">
        <v>-32.698363636363638</v>
      </c>
      <c r="AW179" s="103">
        <v>-32.401393939393941</v>
      </c>
      <c r="AX179" s="103">
        <v>-32.104424242424244</v>
      </c>
      <c r="AY179" s="103">
        <v>-31.808313253012049</v>
      </c>
      <c r="AZ179" s="103">
        <v>-31.513132530120483</v>
      </c>
      <c r="BA179" s="103">
        <v>-31.22642424242424</v>
      </c>
      <c r="BB179" s="103">
        <v>-30.988969696969697</v>
      </c>
      <c r="BC179" s="103">
        <v>-30.982909090909089</v>
      </c>
      <c r="BD179" s="103">
        <v>-30.957939393939395</v>
      </c>
      <c r="BE179" s="103">
        <v>-30.915515151515152</v>
      </c>
      <c r="BF179" s="103">
        <v>-30.852</v>
      </c>
      <c r="BG179" s="103">
        <v>-30.781445783132529</v>
      </c>
      <c r="BH179" s="103">
        <v>-30.69710843373494</v>
      </c>
      <c r="BI179" s="103">
        <v>-30.554787878787877</v>
      </c>
      <c r="BJ179" s="103">
        <v>-30.366909090909093</v>
      </c>
      <c r="BK179" s="103">
        <v>-30.173515151515151</v>
      </c>
      <c r="BL179" s="103">
        <v>-29.981151515151517</v>
      </c>
      <c r="BM179" s="103">
        <v>-29.793272727272726</v>
      </c>
      <c r="BN179" s="103">
        <v>-29.605393939393938</v>
      </c>
      <c r="BO179" s="103">
        <v>-29.417515151515151</v>
      </c>
      <c r="BP179" s="103">
        <v>-29.230722891566266</v>
      </c>
      <c r="BQ179" s="103">
        <v>-29.043636363636363</v>
      </c>
      <c r="BR179" s="103">
        <v>-28.855757575757575</v>
      </c>
      <c r="BS179" s="103">
        <v>-28.671818181818182</v>
      </c>
      <c r="BT179" s="103">
        <v>-28.49</v>
      </c>
    </row>
    <row r="180" spans="1:72" ht="9.9499999999999993" customHeight="1" thickBot="1" x14ac:dyDescent="0.4">
      <c r="A180" s="45" t="s">
        <v>6</v>
      </c>
      <c r="B180" s="35">
        <v>-15.986666666666665</v>
      </c>
      <c r="C180" s="35">
        <v>-15.667151515151515</v>
      </c>
      <c r="D180" s="103">
        <v>-15.370181818181816</v>
      </c>
      <c r="E180" s="103">
        <v>-15.099757575757575</v>
      </c>
      <c r="F180" s="103">
        <v>-14.822118003025718</v>
      </c>
      <c r="G180" s="103">
        <v>-14.3485930408472</v>
      </c>
      <c r="H180" s="103">
        <v>-13.875068078668683</v>
      </c>
      <c r="I180" s="103">
        <v>-13.401543116490167</v>
      </c>
      <c r="J180" s="103">
        <v>-12.928018154311649</v>
      </c>
      <c r="K180" s="103">
        <v>-12.454493192133132</v>
      </c>
      <c r="L180" s="103">
        <v>-11.980968229954614</v>
      </c>
      <c r="M180" s="103">
        <v>-11.990953101361573</v>
      </c>
      <c r="N180" s="103">
        <v>-12.546172465960666</v>
      </c>
      <c r="O180" s="103">
        <v>-13.101391830559759</v>
      </c>
      <c r="P180" s="103">
        <v>-13.656611195158851</v>
      </c>
      <c r="Q180" s="103">
        <v>-14.211830559757944</v>
      </c>
      <c r="R180" s="103">
        <v>-14.767049924357035</v>
      </c>
      <c r="S180" s="103">
        <v>-15.322269288956129</v>
      </c>
      <c r="T180" s="103">
        <v>-15.362269288956128</v>
      </c>
      <c r="U180" s="103">
        <v>-15.31839636913767</v>
      </c>
      <c r="V180" s="103">
        <v>-15.274523449319213</v>
      </c>
      <c r="W180" s="103">
        <v>-15.230650529500757</v>
      </c>
      <c r="X180" s="103">
        <v>-15.186777609682299</v>
      </c>
      <c r="Y180" s="103">
        <v>-15.142904689863842</v>
      </c>
      <c r="Z180" s="103">
        <v>-15.103939393939394</v>
      </c>
      <c r="AA180" s="103">
        <v>-15.079696969696968</v>
      </c>
      <c r="AB180" s="103">
        <v>-15.055454545454545</v>
      </c>
      <c r="AC180" s="103">
        <v>-15.031212121212121</v>
      </c>
      <c r="AD180" s="103">
        <v>-15.006969696969696</v>
      </c>
      <c r="AE180" s="103">
        <v>-14.982727272727272</v>
      </c>
      <c r="AF180" s="103">
        <v>-14.958484848484847</v>
      </c>
      <c r="AG180" s="103">
        <v>-14.933282904689863</v>
      </c>
      <c r="AH180" s="103">
        <v>-14.907564296520423</v>
      </c>
      <c r="AI180" s="103">
        <v>-14.881845688350984</v>
      </c>
      <c r="AJ180" s="103">
        <v>-14.856127080181542</v>
      </c>
      <c r="AK180" s="103">
        <v>-14.830408472012103</v>
      </c>
      <c r="AL180" s="103">
        <v>-14.804689863842661</v>
      </c>
      <c r="AM180" s="103">
        <v>-14.778124054462934</v>
      </c>
      <c r="AN180" s="103">
        <v>-14.731225416036308</v>
      </c>
      <c r="AO180" s="103">
        <v>-14.684326777609682</v>
      </c>
      <c r="AP180" s="103">
        <v>-14.637428139183056</v>
      </c>
      <c r="AQ180" s="103">
        <v>-14.59052950075643</v>
      </c>
      <c r="AR180" s="103">
        <v>-14.543630862329804</v>
      </c>
      <c r="AS180" s="103">
        <v>-14.496732223903178</v>
      </c>
      <c r="AT180" s="103">
        <v>-14.443939393939395</v>
      </c>
      <c r="AU180" s="103">
        <v>-14.383333333333333</v>
      </c>
      <c r="AV180" s="103">
        <v>-14.318</v>
      </c>
      <c r="AW180" s="103">
        <v>-14.251333333333333</v>
      </c>
      <c r="AX180" s="103">
        <v>-14.184666666666667</v>
      </c>
      <c r="AY180" s="103">
        <v>-14.115301204819277</v>
      </c>
      <c r="AZ180" s="103">
        <v>-14.04301204819277</v>
      </c>
      <c r="BA180" s="103">
        <v>-13.965393939393939</v>
      </c>
      <c r="BB180" s="103">
        <v>-13.878363636363636</v>
      </c>
      <c r="BC180" s="103">
        <v>-13.751090909090909</v>
      </c>
      <c r="BD180" s="103">
        <v>-13.639575757575757</v>
      </c>
      <c r="BE180" s="103">
        <v>-13.54260606060606</v>
      </c>
      <c r="BF180" s="103">
        <v>-13.461454545454545</v>
      </c>
      <c r="BG180" s="103">
        <v>-13.384096385542168</v>
      </c>
      <c r="BH180" s="103">
        <v>-13.311807228915661</v>
      </c>
      <c r="BI180" s="103">
        <v>-13.242666666666667</v>
      </c>
      <c r="BJ180" s="103">
        <v>-13.176</v>
      </c>
      <c r="BK180" s="103">
        <v>-13.114848484848485</v>
      </c>
      <c r="BL180" s="103">
        <v>-13.054242424242425</v>
      </c>
      <c r="BM180" s="103">
        <v>-12.993636363636364</v>
      </c>
      <c r="BN180" s="103">
        <v>-12.933030303030304</v>
      </c>
      <c r="BO180" s="103">
        <v>-12.872424242424241</v>
      </c>
      <c r="BP180" s="103">
        <v>-12.812168674698794</v>
      </c>
      <c r="BQ180" s="103">
        <v>-12.751818181818182</v>
      </c>
      <c r="BR180" s="103">
        <v>-12.691212121212121</v>
      </c>
      <c r="BS180" s="103">
        <v>-12.630606060606061</v>
      </c>
      <c r="BT180" s="103">
        <v>-12.57</v>
      </c>
    </row>
    <row r="181" spans="1:72" ht="9.9499999999999993" customHeight="1" thickBot="1" x14ac:dyDescent="0.4">
      <c r="A181" s="45" t="s">
        <v>7</v>
      </c>
      <c r="B181" s="35">
        <v>-22.205757575757573</v>
      </c>
      <c r="C181" s="35">
        <v>-21.627333333333333</v>
      </c>
      <c r="D181" s="103">
        <v>-21.093999999999998</v>
      </c>
      <c r="E181" s="103">
        <v>-20.596060606060604</v>
      </c>
      <c r="F181" s="103">
        <v>-20.142375189107412</v>
      </c>
      <c r="G181" s="103">
        <v>-20.047065052950074</v>
      </c>
      <c r="H181" s="103">
        <v>-19.951754916792737</v>
      </c>
      <c r="I181" s="103">
        <v>-19.8564447806354</v>
      </c>
      <c r="J181" s="103">
        <v>-19.761134644478062</v>
      </c>
      <c r="K181" s="103">
        <v>-19.665824508320725</v>
      </c>
      <c r="L181" s="103">
        <v>-19.570514372163387</v>
      </c>
      <c r="M181" s="103">
        <v>-19.074886535552196</v>
      </c>
      <c r="N181" s="103">
        <v>-18.127836611195157</v>
      </c>
      <c r="O181" s="103">
        <v>-17.180786686838125</v>
      </c>
      <c r="P181" s="103">
        <v>-16.233736762481087</v>
      </c>
      <c r="Q181" s="103">
        <v>-15.286686838124053</v>
      </c>
      <c r="R181" s="103">
        <v>-14.339636913767016</v>
      </c>
      <c r="S181" s="103">
        <v>-13.392586989409981</v>
      </c>
      <c r="T181" s="103">
        <v>-13.058335854765506</v>
      </c>
      <c r="U181" s="103">
        <v>-12.823842662632375</v>
      </c>
      <c r="V181" s="103">
        <v>-12.589349470499243</v>
      </c>
      <c r="W181" s="103">
        <v>-12.354856278366112</v>
      </c>
      <c r="X181" s="103">
        <v>-12.120363086232981</v>
      </c>
      <c r="Y181" s="103">
        <v>-11.88586989409985</v>
      </c>
      <c r="Z181" s="103">
        <v>-11.664545454545456</v>
      </c>
      <c r="AA181" s="103">
        <v>-11.482727272727274</v>
      </c>
      <c r="AB181" s="103">
        <v>-11.300909090909091</v>
      </c>
      <c r="AC181" s="103">
        <v>-11.119090909090909</v>
      </c>
      <c r="AD181" s="103">
        <v>-10.937272727272727</v>
      </c>
      <c r="AE181" s="103">
        <v>-10.755454545454546</v>
      </c>
      <c r="AF181" s="103">
        <v>-10.573636363636364</v>
      </c>
      <c r="AG181" s="103">
        <v>-10.424152798789713</v>
      </c>
      <c r="AH181" s="103">
        <v>-10.292080181543117</v>
      </c>
      <c r="AI181" s="103">
        <v>-10.160007564296521</v>
      </c>
      <c r="AJ181" s="103">
        <v>-10.027934947049925</v>
      </c>
      <c r="AK181" s="103">
        <v>-9.8958623298033288</v>
      </c>
      <c r="AL181" s="103">
        <v>-9.7637897125567328</v>
      </c>
      <c r="AM181" s="103">
        <v>-9.6337140695915284</v>
      </c>
      <c r="AN181" s="103">
        <v>-9.5515658093797278</v>
      </c>
      <c r="AO181" s="103">
        <v>-9.4694175491679271</v>
      </c>
      <c r="AP181" s="103">
        <v>-9.3872692889561264</v>
      </c>
      <c r="AQ181" s="103">
        <v>-9.3051210287443276</v>
      </c>
      <c r="AR181" s="103">
        <v>-9.2229727685325269</v>
      </c>
      <c r="AS181" s="103">
        <v>-9.1408245083207262</v>
      </c>
      <c r="AT181" s="103">
        <v>-9.071587878787879</v>
      </c>
      <c r="AU181" s="103">
        <v>-9.0194666666666663</v>
      </c>
      <c r="AV181" s="103">
        <v>-8.9758545454545455</v>
      </c>
      <c r="AW181" s="103">
        <v>-8.9359818181818174</v>
      </c>
      <c r="AX181" s="103">
        <v>-8.9050727272727261</v>
      </c>
      <c r="AY181" s="103">
        <v>-8.8783012048192766</v>
      </c>
      <c r="AZ181" s="103">
        <v>-8.8560120481927704</v>
      </c>
      <c r="BA181" s="103">
        <v>-8.8400727272727266</v>
      </c>
      <c r="BB181" s="103">
        <v>-8.8179030303030288</v>
      </c>
      <c r="BC181" s="103">
        <v>-8.7585090909090901</v>
      </c>
      <c r="BD181" s="103">
        <v>-8.7151878787878783</v>
      </c>
      <c r="BE181" s="103">
        <v>-8.6867030303030308</v>
      </c>
      <c r="BF181" s="103">
        <v>-8.6735090909090911</v>
      </c>
      <c r="BG181" s="103">
        <v>-8.6656626506024086</v>
      </c>
      <c r="BH181" s="103">
        <v>-8.668674698795181</v>
      </c>
      <c r="BI181" s="103">
        <v>-8.6927393939393944</v>
      </c>
      <c r="BJ181" s="103">
        <v>-8.7333454545454554</v>
      </c>
      <c r="BK181" s="103">
        <v>-8.7772606060606062</v>
      </c>
      <c r="BL181" s="103">
        <v>-8.8216606060606058</v>
      </c>
      <c r="BM181" s="103">
        <v>-8.8665090909090907</v>
      </c>
      <c r="BN181" s="103">
        <v>-8.9120969696969699</v>
      </c>
      <c r="BO181" s="103">
        <v>-8.9581575757575767</v>
      </c>
      <c r="BP181" s="103">
        <v>-9.0051084337349412</v>
      </c>
      <c r="BQ181" s="103">
        <v>-9.052545454545454</v>
      </c>
      <c r="BR181" s="103">
        <v>-9.1010303030303028</v>
      </c>
      <c r="BS181" s="103">
        <v>-9.1506969696969698</v>
      </c>
      <c r="BT181" s="103">
        <v>-9.2010000000000005</v>
      </c>
    </row>
    <row r="182" spans="1:72" ht="9.9499999999999993" customHeight="1" thickBot="1" x14ac:dyDescent="0.4">
      <c r="A182" s="45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103"/>
      <c r="BG182" s="103"/>
      <c r="BH182" s="103"/>
      <c r="BI182" s="103"/>
      <c r="BJ182" s="103"/>
      <c r="BK182" s="103"/>
      <c r="BL182" s="103"/>
      <c r="BM182" s="103"/>
      <c r="BN182" s="103"/>
      <c r="BO182" s="103"/>
      <c r="BP182" s="103"/>
      <c r="BQ182" s="103"/>
      <c r="BR182" s="103"/>
      <c r="BS182" s="103"/>
      <c r="BT182" s="103"/>
    </row>
    <row r="183" spans="1:72" ht="9.9499999999999993" customHeight="1" thickBot="1" x14ac:dyDescent="0.4">
      <c r="A183" s="45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  <c r="AK183" s="103"/>
      <c r="AL183" s="103"/>
      <c r="AM183" s="103"/>
      <c r="AN183" s="103"/>
      <c r="AO183" s="103"/>
      <c r="AP183" s="103"/>
      <c r="AQ183" s="103"/>
      <c r="AR183" s="103"/>
      <c r="AS183" s="103"/>
      <c r="AT183" s="103"/>
      <c r="AU183" s="103"/>
      <c r="AV183" s="103"/>
      <c r="AW183" s="103"/>
      <c r="AX183" s="103"/>
      <c r="AY183" s="103"/>
      <c r="AZ183" s="103"/>
      <c r="BA183" s="103"/>
      <c r="BB183" s="103"/>
      <c r="BC183" s="103"/>
      <c r="BD183" s="103"/>
      <c r="BE183" s="103"/>
      <c r="BF183" s="103"/>
      <c r="BG183" s="103"/>
      <c r="BH183" s="103"/>
      <c r="BI183" s="103"/>
      <c r="BJ183" s="103"/>
      <c r="BK183" s="103"/>
      <c r="BL183" s="103"/>
      <c r="BM183" s="103"/>
      <c r="BN183" s="103"/>
      <c r="BO183" s="103"/>
      <c r="BP183" s="103"/>
      <c r="BQ183" s="103"/>
      <c r="BR183" s="103"/>
      <c r="BS183" s="103"/>
      <c r="BT183" s="103"/>
    </row>
    <row r="184" spans="1:72" ht="9.9499999999999993" customHeight="1" thickBot="1" x14ac:dyDescent="0.4">
      <c r="A184" s="38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  <c r="AK184" s="103"/>
      <c r="AL184" s="103"/>
      <c r="AM184" s="103"/>
      <c r="AN184" s="103"/>
      <c r="AO184" s="103"/>
      <c r="AP184" s="103"/>
      <c r="AQ184" s="103"/>
      <c r="AR184" s="103"/>
      <c r="AS184" s="103"/>
      <c r="AT184" s="103"/>
      <c r="AU184" s="103"/>
      <c r="AV184" s="103"/>
      <c r="AW184" s="103"/>
      <c r="AX184" s="103"/>
      <c r="AY184" s="103"/>
      <c r="AZ184" s="103"/>
      <c r="BA184" s="103"/>
      <c r="BB184" s="103"/>
      <c r="BC184" s="103"/>
      <c r="BD184" s="103"/>
      <c r="BE184" s="103"/>
      <c r="BF184" s="103"/>
      <c r="BG184" s="103"/>
      <c r="BH184" s="103"/>
      <c r="BI184" s="103"/>
      <c r="BJ184" s="103"/>
      <c r="BK184" s="103"/>
      <c r="BL184" s="103"/>
      <c r="BM184" s="103"/>
      <c r="BN184" s="103"/>
      <c r="BO184" s="103"/>
      <c r="BP184" s="103"/>
      <c r="BQ184" s="103"/>
      <c r="BR184" s="103"/>
      <c r="BS184" s="103"/>
      <c r="BT184" s="103"/>
    </row>
    <row r="185" spans="1:72" ht="9.9499999999999993" customHeight="1" thickBot="1" x14ac:dyDescent="0.4">
      <c r="A185" s="38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3"/>
      <c r="AU185" s="103"/>
      <c r="AV185" s="103"/>
      <c r="AW185" s="103"/>
      <c r="AX185" s="103"/>
      <c r="AY185" s="103"/>
      <c r="AZ185" s="103"/>
      <c r="BA185" s="103"/>
      <c r="BB185" s="103"/>
      <c r="BC185" s="103"/>
      <c r="BD185" s="103"/>
      <c r="BE185" s="103"/>
      <c r="BF185" s="103"/>
      <c r="BG185" s="103"/>
      <c r="BH185" s="103"/>
      <c r="BI185" s="103"/>
      <c r="BJ185" s="103"/>
      <c r="BK185" s="103"/>
      <c r="BL185" s="103"/>
      <c r="BM185" s="103"/>
      <c r="BN185" s="103"/>
      <c r="BO185" s="103"/>
      <c r="BP185" s="103"/>
      <c r="BQ185" s="103"/>
      <c r="BR185" s="103"/>
      <c r="BS185" s="103"/>
      <c r="BT185" s="103"/>
    </row>
    <row r="186" spans="1:72" ht="9.9499999999999993" customHeight="1" thickBot="1" x14ac:dyDescent="0.4">
      <c r="A186" s="38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  <c r="AK186" s="103"/>
      <c r="AL186" s="103"/>
      <c r="AM186" s="103"/>
      <c r="AN186" s="103"/>
      <c r="AO186" s="103"/>
      <c r="AP186" s="103"/>
      <c r="AQ186" s="103"/>
      <c r="AR186" s="103"/>
      <c r="AS186" s="103"/>
      <c r="AT186" s="103"/>
      <c r="AU186" s="103"/>
      <c r="AV186" s="103"/>
      <c r="AW186" s="103"/>
      <c r="AX186" s="103"/>
      <c r="AY186" s="103"/>
      <c r="AZ186" s="103"/>
      <c r="BA186" s="103"/>
      <c r="BB186" s="103"/>
      <c r="BC186" s="103"/>
      <c r="BD186" s="103"/>
      <c r="BE186" s="103"/>
      <c r="BF186" s="103"/>
      <c r="BG186" s="103"/>
      <c r="BH186" s="103"/>
      <c r="BI186" s="103"/>
      <c r="BJ186" s="103"/>
      <c r="BK186" s="103"/>
      <c r="BL186" s="103"/>
      <c r="BM186" s="103"/>
      <c r="BN186" s="103"/>
      <c r="BO186" s="103"/>
      <c r="BP186" s="103"/>
      <c r="BQ186" s="103"/>
      <c r="BR186" s="103"/>
      <c r="BS186" s="103"/>
      <c r="BT186" s="103"/>
    </row>
    <row r="187" spans="1:72" ht="9.9499999999999993" customHeight="1" thickBot="1" x14ac:dyDescent="0.4">
      <c r="A187" s="38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  <c r="AK187" s="103"/>
      <c r="AL187" s="103"/>
      <c r="AM187" s="103"/>
      <c r="AN187" s="103"/>
      <c r="AO187" s="103"/>
      <c r="AP187" s="103"/>
      <c r="AQ187" s="103"/>
      <c r="AR187" s="103"/>
      <c r="AS187" s="103"/>
      <c r="AT187" s="103"/>
      <c r="AU187" s="103"/>
      <c r="AV187" s="103"/>
      <c r="AW187" s="103"/>
      <c r="AX187" s="103"/>
      <c r="AY187" s="103"/>
      <c r="AZ187" s="103"/>
      <c r="BA187" s="103"/>
      <c r="BB187" s="103"/>
      <c r="BC187" s="103"/>
      <c r="BD187" s="103"/>
      <c r="BE187" s="103"/>
      <c r="BF187" s="103"/>
      <c r="BG187" s="103"/>
      <c r="BH187" s="103"/>
      <c r="BI187" s="103"/>
      <c r="BJ187" s="103"/>
      <c r="BK187" s="103"/>
      <c r="BL187" s="103"/>
      <c r="BM187" s="103"/>
      <c r="BN187" s="103"/>
      <c r="BO187" s="103"/>
      <c r="BP187" s="103"/>
      <c r="BQ187" s="103"/>
      <c r="BR187" s="103"/>
      <c r="BS187" s="103"/>
      <c r="BT187" s="103"/>
    </row>
    <row r="188" spans="1:72" ht="9.9499999999999993" customHeight="1" thickBot="1" x14ac:dyDescent="0.4">
      <c r="A188" s="38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  <c r="AK188" s="103"/>
      <c r="AL188" s="103"/>
      <c r="AM188" s="103"/>
      <c r="AN188" s="103"/>
      <c r="AO188" s="103"/>
      <c r="AP188" s="103"/>
      <c r="AQ188" s="103"/>
      <c r="AR188" s="103"/>
      <c r="AS188" s="103"/>
      <c r="AT188" s="103"/>
      <c r="AU188" s="103"/>
      <c r="AV188" s="103"/>
      <c r="AW188" s="103"/>
      <c r="AX188" s="103"/>
      <c r="AY188" s="103"/>
      <c r="AZ188" s="103"/>
      <c r="BA188" s="103"/>
      <c r="BB188" s="103"/>
      <c r="BC188" s="103"/>
      <c r="BD188" s="103"/>
      <c r="BE188" s="103"/>
      <c r="BF188" s="103"/>
      <c r="BG188" s="103"/>
      <c r="BH188" s="103"/>
      <c r="BI188" s="103"/>
      <c r="BJ188" s="103"/>
      <c r="BK188" s="103"/>
      <c r="BL188" s="103"/>
      <c r="BM188" s="103"/>
      <c r="BN188" s="103"/>
      <c r="BO188" s="103"/>
      <c r="BP188" s="103"/>
      <c r="BQ188" s="103"/>
      <c r="BR188" s="103"/>
      <c r="BS188" s="103"/>
      <c r="BT188" s="103"/>
    </row>
    <row r="189" spans="1:72" ht="9.9499999999999993" customHeight="1" thickBot="1" x14ac:dyDescent="0.4">
      <c r="A189" s="38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  <c r="AK189" s="103"/>
      <c r="AL189" s="103"/>
      <c r="AM189" s="103"/>
      <c r="AN189" s="103"/>
      <c r="AO189" s="103"/>
      <c r="AP189" s="103"/>
      <c r="AQ189" s="103"/>
      <c r="AR189" s="103"/>
      <c r="AS189" s="103"/>
      <c r="AT189" s="103"/>
      <c r="AU189" s="103"/>
      <c r="AV189" s="103"/>
      <c r="AW189" s="103"/>
      <c r="AX189" s="103"/>
      <c r="AY189" s="103"/>
      <c r="AZ189" s="103"/>
      <c r="BA189" s="103"/>
      <c r="BB189" s="103"/>
      <c r="BC189" s="103"/>
      <c r="BD189" s="103"/>
      <c r="BE189" s="103"/>
      <c r="BF189" s="103"/>
      <c r="BG189" s="103"/>
      <c r="BH189" s="103"/>
      <c r="BI189" s="103"/>
      <c r="BJ189" s="103"/>
      <c r="BK189" s="103"/>
      <c r="BL189" s="103"/>
      <c r="BM189" s="103"/>
      <c r="BN189" s="103"/>
      <c r="BO189" s="103"/>
      <c r="BP189" s="103"/>
      <c r="BQ189" s="103"/>
      <c r="BR189" s="103"/>
      <c r="BS189" s="103"/>
      <c r="BT189" s="103"/>
    </row>
    <row r="190" spans="1:72" ht="9.9499999999999993" customHeight="1" thickBot="1" x14ac:dyDescent="0.4">
      <c r="A190" s="38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  <c r="AK190" s="103"/>
      <c r="AL190" s="103"/>
      <c r="AM190" s="103"/>
      <c r="AN190" s="103"/>
      <c r="AO190" s="103"/>
      <c r="AP190" s="103"/>
      <c r="AQ190" s="103"/>
      <c r="AR190" s="103"/>
      <c r="AS190" s="103"/>
      <c r="AT190" s="103"/>
      <c r="AU190" s="103"/>
      <c r="AV190" s="103"/>
      <c r="AW190" s="103"/>
      <c r="AX190" s="103"/>
      <c r="AY190" s="103"/>
      <c r="AZ190" s="103"/>
      <c r="BA190" s="103"/>
      <c r="BB190" s="103"/>
      <c r="BC190" s="103"/>
      <c r="BD190" s="103"/>
      <c r="BE190" s="103"/>
      <c r="BF190" s="103"/>
      <c r="BG190" s="103"/>
      <c r="BH190" s="103"/>
      <c r="BI190" s="103"/>
      <c r="BJ190" s="103"/>
      <c r="BK190" s="103"/>
      <c r="BL190" s="103"/>
      <c r="BM190" s="103"/>
      <c r="BN190" s="103"/>
      <c r="BO190" s="103"/>
      <c r="BP190" s="103"/>
      <c r="BQ190" s="103"/>
      <c r="BR190" s="103"/>
      <c r="BS190" s="103"/>
      <c r="BT190" s="103"/>
    </row>
    <row r="191" spans="1:72" ht="9.9499999999999993" customHeight="1" thickBot="1" x14ac:dyDescent="0.4">
      <c r="A191" s="38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  <c r="AK191" s="103"/>
      <c r="AL191" s="103"/>
      <c r="AM191" s="103"/>
      <c r="AN191" s="103"/>
      <c r="AO191" s="103"/>
      <c r="AP191" s="103"/>
      <c r="AQ191" s="103"/>
      <c r="AR191" s="103"/>
      <c r="AS191" s="103"/>
      <c r="AT191" s="103"/>
      <c r="AU191" s="103"/>
      <c r="AV191" s="103"/>
      <c r="AW191" s="103"/>
      <c r="AX191" s="103"/>
      <c r="AY191" s="103"/>
      <c r="AZ191" s="103"/>
      <c r="BA191" s="103"/>
      <c r="BB191" s="103"/>
      <c r="BC191" s="103"/>
      <c r="BD191" s="103"/>
      <c r="BE191" s="103"/>
      <c r="BF191" s="103"/>
      <c r="BG191" s="103"/>
      <c r="BH191" s="103"/>
      <c r="BI191" s="103"/>
      <c r="BJ191" s="103"/>
      <c r="BK191" s="103"/>
      <c r="BL191" s="103"/>
      <c r="BM191" s="103"/>
      <c r="BN191" s="103"/>
      <c r="BO191" s="103"/>
      <c r="BP191" s="103"/>
      <c r="BQ191" s="103"/>
      <c r="BR191" s="103"/>
      <c r="BS191" s="103"/>
      <c r="BT191" s="103"/>
    </row>
    <row r="192" spans="1:72" ht="9.9499999999999993" customHeight="1" thickBot="1" x14ac:dyDescent="0.4">
      <c r="A192" s="38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  <c r="AP192" s="103"/>
      <c r="AQ192" s="103"/>
      <c r="AR192" s="103"/>
      <c r="AS192" s="103"/>
      <c r="AT192" s="103"/>
      <c r="AU192" s="103"/>
      <c r="AV192" s="103"/>
      <c r="AW192" s="103"/>
      <c r="AX192" s="103"/>
      <c r="AY192" s="103"/>
      <c r="AZ192" s="103"/>
      <c r="BA192" s="103"/>
      <c r="BB192" s="103"/>
      <c r="BC192" s="103"/>
      <c r="BD192" s="103"/>
      <c r="BE192" s="103"/>
      <c r="BF192" s="103"/>
      <c r="BG192" s="103"/>
      <c r="BH192" s="103"/>
      <c r="BI192" s="103"/>
      <c r="BJ192" s="103"/>
      <c r="BK192" s="103"/>
      <c r="BL192" s="103"/>
      <c r="BM192" s="103"/>
      <c r="BN192" s="103"/>
      <c r="BO192" s="103"/>
      <c r="BP192" s="103"/>
      <c r="BQ192" s="103"/>
      <c r="BR192" s="103"/>
      <c r="BS192" s="103"/>
      <c r="BT192" s="103"/>
    </row>
    <row r="193" spans="1:72" ht="9.9499999999999993" customHeight="1" thickBot="1" x14ac:dyDescent="0.4">
      <c r="A193" s="38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  <c r="AK193" s="103"/>
      <c r="AL193" s="103"/>
      <c r="AM193" s="103"/>
      <c r="AN193" s="103"/>
      <c r="AO193" s="103"/>
      <c r="AP193" s="103"/>
      <c r="AQ193" s="103"/>
      <c r="AR193" s="103"/>
      <c r="AS193" s="103"/>
      <c r="AT193" s="103"/>
      <c r="AU193" s="103"/>
      <c r="AV193" s="103"/>
      <c r="AW193" s="103"/>
      <c r="AX193" s="103"/>
      <c r="AY193" s="103"/>
      <c r="AZ193" s="103"/>
      <c r="BA193" s="103"/>
      <c r="BB193" s="103"/>
      <c r="BC193" s="103"/>
      <c r="BD193" s="103"/>
      <c r="BE193" s="103"/>
      <c r="BF193" s="103"/>
      <c r="BG193" s="103"/>
      <c r="BH193" s="103"/>
      <c r="BI193" s="103"/>
      <c r="BJ193" s="103"/>
      <c r="BK193" s="103"/>
      <c r="BL193" s="103"/>
      <c r="BM193" s="103"/>
      <c r="BN193" s="103"/>
      <c r="BO193" s="103"/>
      <c r="BP193" s="103"/>
      <c r="BQ193" s="103"/>
      <c r="BR193" s="103"/>
      <c r="BS193" s="103"/>
      <c r="BT193" s="103"/>
    </row>
    <row r="194" spans="1:72" ht="30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theme="1" tint="4.9989318521683403E-2"/>
  </sheetPr>
  <dimension ref="A1:BT195"/>
  <sheetViews>
    <sheetView zoomScale="70" zoomScaleNormal="70" workbookViewId="0">
      <pane ySplit="1" topLeftCell="A2" activePane="bottomLeft" state="frozen"/>
      <selection pane="bottomLeft" activeCell="BZ184" sqref="BZ184"/>
    </sheetView>
  </sheetViews>
  <sheetFormatPr defaultRowHeight="21" outlineLevelRow="1" x14ac:dyDescent="0.35"/>
  <cols>
    <col min="1" max="1" width="13.81640625" style="87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5" t="s">
        <v>16</v>
      </c>
      <c r="B1" s="36">
        <v>300</v>
      </c>
      <c r="C1" s="56">
        <v>1000</v>
      </c>
      <c r="D1" s="57" t="s">
        <v>17</v>
      </c>
      <c r="E1" s="58">
        <v>70</v>
      </c>
    </row>
    <row r="2" spans="1:72" ht="23.25" customHeight="1" thickTop="1" thickBot="1" x14ac:dyDescent="0.4">
      <c r="A2" s="86" t="s">
        <v>27</v>
      </c>
      <c r="B2" s="59">
        <f>FLUID!F3</f>
        <v>0</v>
      </c>
      <c r="C2" s="59">
        <f>FLUID!G3</f>
        <v>0</v>
      </c>
      <c r="D2" s="59">
        <f>FLUID!H3</f>
        <v>0</v>
      </c>
      <c r="E2" s="59">
        <f>FLUID!I3</f>
        <v>0</v>
      </c>
      <c r="F2" s="59">
        <f>FLUID!J3</f>
        <v>0</v>
      </c>
      <c r="G2" s="59">
        <f>FLUID!K3</f>
        <v>0</v>
      </c>
      <c r="H2" s="59">
        <f>FLUID!L3</f>
        <v>0</v>
      </c>
      <c r="I2" s="59">
        <f>FLUID!M3</f>
        <v>0</v>
      </c>
      <c r="J2" s="59">
        <f>FLUID!N3</f>
        <v>0</v>
      </c>
      <c r="K2" s="59">
        <f>FLUID!O3</f>
        <v>0</v>
      </c>
      <c r="L2" s="59">
        <f>FLUID!P3</f>
        <v>0</v>
      </c>
      <c r="M2" s="59">
        <f>FLUID!Q3</f>
        <v>0</v>
      </c>
      <c r="N2" s="59">
        <f>FLUID!R3</f>
        <v>0</v>
      </c>
      <c r="O2" s="59">
        <f>FLUID!S3</f>
        <v>0</v>
      </c>
      <c r="P2" s="59">
        <f>FLUID!T3</f>
        <v>0</v>
      </c>
      <c r="Q2" s="59">
        <f>FLUID!U3</f>
        <v>0</v>
      </c>
      <c r="R2" s="59">
        <f>FLUID!V3</f>
        <v>0</v>
      </c>
      <c r="S2" s="59">
        <f>FLUID!W3</f>
        <v>0</v>
      </c>
      <c r="T2" s="59">
        <f>FLUID!X3</f>
        <v>0</v>
      </c>
      <c r="U2" s="59">
        <f>FLUID!Y3</f>
        <v>0</v>
      </c>
      <c r="V2" s="59">
        <f>FLUID!Z3</f>
        <v>0</v>
      </c>
      <c r="W2" s="59">
        <f>FLUID!AA3</f>
        <v>0</v>
      </c>
      <c r="X2" s="59">
        <f>FLUID!AB3</f>
        <v>0</v>
      </c>
      <c r="Y2" s="59">
        <f>FLUID!AC3</f>
        <v>0</v>
      </c>
      <c r="Z2" s="59">
        <f>FLUID!AD3</f>
        <v>0</v>
      </c>
      <c r="AA2" s="59">
        <f>FLUID!AE3</f>
        <v>0</v>
      </c>
      <c r="AB2" s="59">
        <f>FLUID!AF3</f>
        <v>0</v>
      </c>
      <c r="AC2" s="59">
        <f>FLUID!AG3</f>
        <v>0</v>
      </c>
      <c r="AD2" s="59">
        <f>FLUID!AH3</f>
        <v>0</v>
      </c>
      <c r="AE2" s="59">
        <f>FLUID!AI3</f>
        <v>0</v>
      </c>
      <c r="AF2" s="59">
        <f>FLUID!AJ3</f>
        <v>0</v>
      </c>
      <c r="AG2" s="59">
        <f>FLUID!AK3</f>
        <v>0</v>
      </c>
      <c r="AH2" s="59">
        <f>FLUID!AL3</f>
        <v>0</v>
      </c>
      <c r="AI2" s="59">
        <f>FLUID!BT3</f>
        <v>0</v>
      </c>
      <c r="AJ2" s="59">
        <f>FLUID!BU3</f>
        <v>0</v>
      </c>
      <c r="AK2" s="59">
        <f>FLUID!BV3</f>
        <v>0</v>
      </c>
      <c r="AL2" s="59">
        <f>FLUID!BW3</f>
        <v>0</v>
      </c>
      <c r="AM2" s="59">
        <f>FLUID!BX3</f>
        <v>0</v>
      </c>
      <c r="AN2" s="59">
        <f>FLUID!BY3</f>
        <v>0</v>
      </c>
      <c r="AO2" s="59">
        <f>FLUID!BZ3</f>
        <v>0</v>
      </c>
      <c r="AP2" s="59">
        <f>FLUID!CA3</f>
        <v>0</v>
      </c>
      <c r="AQ2" s="59">
        <f>FLUID!CB3</f>
        <v>0</v>
      </c>
      <c r="AR2" s="59">
        <f>FLUID!CC3</f>
        <v>0</v>
      </c>
      <c r="AS2" s="59">
        <f>FLUID!CD3</f>
        <v>0</v>
      </c>
      <c r="AT2" s="59">
        <f>FLUID!CE3</f>
        <v>0</v>
      </c>
      <c r="AU2" s="59">
        <f>FLUID!CF3</f>
        <v>0</v>
      </c>
      <c r="AV2" s="59">
        <f>FLUID!CG3</f>
        <v>0</v>
      </c>
      <c r="AW2" s="59">
        <f>FLUID!CH3</f>
        <v>0</v>
      </c>
      <c r="AX2" s="59">
        <f>FLUID!CI3</f>
        <v>0</v>
      </c>
      <c r="AY2" s="59">
        <f>FLUID!CJ3</f>
        <v>0</v>
      </c>
      <c r="AZ2" s="59">
        <f>FLUID!CK3</f>
        <v>0</v>
      </c>
      <c r="BA2" s="59">
        <f>FLUID!CL3</f>
        <v>0</v>
      </c>
      <c r="BB2" s="59">
        <f>FLUID!CM3</f>
        <v>0</v>
      </c>
      <c r="BC2" s="59">
        <f>FLUID!CN3</f>
        <v>0</v>
      </c>
      <c r="BD2" s="59">
        <f>FLUID!CO3</f>
        <v>0</v>
      </c>
      <c r="BE2" s="59">
        <f>FLUID!CP3</f>
        <v>0</v>
      </c>
      <c r="BF2" s="59">
        <f>FLUID!CQ3</f>
        <v>0</v>
      </c>
      <c r="BG2" s="59">
        <f>FLUID!CR3</f>
        <v>0</v>
      </c>
      <c r="BH2" s="59">
        <f>FLUID!CS3</f>
        <v>0</v>
      </c>
      <c r="BI2" s="59">
        <f>FLUID!CT3</f>
        <v>0</v>
      </c>
      <c r="BJ2" s="59">
        <f>FLUID!CU3</f>
        <v>0</v>
      </c>
      <c r="BK2" s="59">
        <f>FLUID!CV3</f>
        <v>0</v>
      </c>
      <c r="BL2" s="59">
        <f>FLUID!CW3</f>
        <v>0</v>
      </c>
      <c r="BM2" s="59">
        <f>FLUID!CX3</f>
        <v>0</v>
      </c>
      <c r="BN2" s="59">
        <f>FLUID!CY3</f>
        <v>0</v>
      </c>
      <c r="BO2" s="59">
        <f>FLUID!CZ3</f>
        <v>0</v>
      </c>
      <c r="BP2" s="59">
        <f>FLUID!DA3</f>
        <v>0</v>
      </c>
      <c r="BQ2" s="59"/>
      <c r="BR2" s="59"/>
      <c r="BS2" s="59">
        <f>FLUID!DB3</f>
        <v>0</v>
      </c>
      <c r="BT2" s="59">
        <f>FLUID!DC3</f>
        <v>0</v>
      </c>
    </row>
    <row r="3" spans="1:72" ht="22.5" hidden="1" outlineLevel="1" thickTop="1" thickBot="1" x14ac:dyDescent="0.4">
      <c r="A3" s="83">
        <f>FLUID!E4</f>
        <v>0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0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3">
        <f>FLUID!E5</f>
        <v>0</v>
      </c>
      <c r="B4" s="16">
        <f>FLUID!F5</f>
        <v>0</v>
      </c>
      <c r="C4" s="16">
        <f>FLUID!G5</f>
        <v>0</v>
      </c>
      <c r="D4" s="16">
        <f>FLUID!H5</f>
        <v>0</v>
      </c>
      <c r="E4" s="16">
        <f>FLUID!I5</f>
        <v>0</v>
      </c>
      <c r="F4" s="16">
        <f>FLUID!J5</f>
        <v>0</v>
      </c>
      <c r="G4" s="16">
        <f>FLUID!K5</f>
        <v>0</v>
      </c>
      <c r="H4" s="16">
        <f>FLUID!L5</f>
        <v>0</v>
      </c>
      <c r="I4" s="16">
        <f>FLUID!M5</f>
        <v>0</v>
      </c>
      <c r="J4" s="16">
        <f>FLUID!N5</f>
        <v>0</v>
      </c>
      <c r="K4" s="16">
        <f>FLUID!O5</f>
        <v>0</v>
      </c>
      <c r="L4" s="16">
        <f>FLUID!P5</f>
        <v>0</v>
      </c>
      <c r="M4" s="16">
        <f>FLUID!Q5</f>
        <v>0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3">
        <f>FLUID!E6</f>
        <v>0</v>
      </c>
      <c r="B5" s="16">
        <f>FLUID!F6</f>
        <v>0</v>
      </c>
      <c r="C5" s="16">
        <f>FLUID!G6</f>
        <v>0</v>
      </c>
      <c r="D5" s="16">
        <f>FLUID!H6</f>
        <v>0</v>
      </c>
      <c r="E5" s="16">
        <f>FLUID!I6</f>
        <v>0</v>
      </c>
      <c r="F5" s="16">
        <f>FLUID!J6</f>
        <v>0</v>
      </c>
      <c r="G5" s="16">
        <f>FLUID!K6</f>
        <v>0</v>
      </c>
      <c r="H5" s="16">
        <f>FLUID!L6</f>
        <v>0</v>
      </c>
      <c r="I5" s="16">
        <f>FLUID!M6</f>
        <v>0</v>
      </c>
      <c r="J5" s="16">
        <f>FLUID!N6</f>
        <v>0</v>
      </c>
      <c r="K5" s="16">
        <f>FLUID!O6</f>
        <v>0</v>
      </c>
      <c r="L5" s="16">
        <f>FLUID!P6</f>
        <v>0</v>
      </c>
      <c r="M5" s="16">
        <f>FLUID!Q6</f>
        <v>0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3">
        <f>FLUID!E7</f>
        <v>0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0</v>
      </c>
      <c r="I6" s="16">
        <f>FLUID!M7</f>
        <v>0</v>
      </c>
      <c r="J6" s="16">
        <f>FLUID!N7</f>
        <v>0</v>
      </c>
      <c r="K6" s="16">
        <f>FLUID!O7</f>
        <v>0</v>
      </c>
      <c r="L6" s="16">
        <f>FLUID!P7</f>
        <v>0</v>
      </c>
      <c r="M6" s="16">
        <f>FLUID!Q7</f>
        <v>0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3">
        <f>FLUID!E8</f>
        <v>0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0</v>
      </c>
      <c r="J7" s="16">
        <f>FLUID!N8</f>
        <v>0</v>
      </c>
      <c r="K7" s="16">
        <f>FLUID!O8</f>
        <v>0</v>
      </c>
      <c r="L7" s="16">
        <f>FLUID!P8</f>
        <v>0</v>
      </c>
      <c r="M7" s="16">
        <f>FLUID!Q8</f>
        <v>0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3">
        <f>FLUID!E9</f>
        <v>0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0</v>
      </c>
      <c r="L8" s="16">
        <f>FLUID!P9</f>
        <v>0</v>
      </c>
      <c r="M8" s="16">
        <f>FLUID!Q9</f>
        <v>0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3">
        <f>FLUID!E10</f>
        <v>0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0</v>
      </c>
      <c r="L9" s="16">
        <f>FLUID!P10</f>
        <v>0</v>
      </c>
      <c r="M9" s="16">
        <f>FLUID!Q10</f>
        <v>0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3">
        <f>FLUID!E11</f>
        <v>0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0</v>
      </c>
      <c r="L10" s="16">
        <f>FLUID!P11</f>
        <v>0</v>
      </c>
      <c r="M10" s="16">
        <f>FLUID!Q11</f>
        <v>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3">
        <f>FLUID!E12</f>
        <v>0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0</v>
      </c>
      <c r="G11" s="16">
        <f>FLUID!K12</f>
        <v>0</v>
      </c>
      <c r="H11" s="16">
        <f>FLUID!L12</f>
        <v>0</v>
      </c>
      <c r="I11" s="16">
        <f>FLUID!M12</f>
        <v>0</v>
      </c>
      <c r="J11" s="16">
        <f>FLUID!N12</f>
        <v>0</v>
      </c>
      <c r="K11" s="16">
        <f>FLUID!O12</f>
        <v>0</v>
      </c>
      <c r="L11" s="16">
        <f>FLUID!P12</f>
        <v>0</v>
      </c>
      <c r="M11" s="16">
        <f>FLUID!Q12</f>
        <v>0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3">
        <f>FLUID!E13</f>
        <v>0</v>
      </c>
      <c r="B12" s="16">
        <f>FLUID!F13</f>
        <v>0</v>
      </c>
      <c r="C12" s="16">
        <f>FLUID!G13</f>
        <v>0</v>
      </c>
      <c r="D12" s="16">
        <f>FLUID!H13</f>
        <v>0</v>
      </c>
      <c r="E12" s="16">
        <f>FLUID!I13</f>
        <v>0</v>
      </c>
      <c r="F12" s="16">
        <f>FLUID!J13</f>
        <v>0</v>
      </c>
      <c r="G12" s="16">
        <f>FLUID!K13</f>
        <v>0</v>
      </c>
      <c r="H12" s="16">
        <f>FLUID!L13</f>
        <v>0</v>
      </c>
      <c r="I12" s="16">
        <f>FLUID!M13</f>
        <v>0</v>
      </c>
      <c r="J12" s="16">
        <f>FLUID!N13</f>
        <v>0</v>
      </c>
      <c r="K12" s="16">
        <f>FLUID!O13</f>
        <v>0</v>
      </c>
      <c r="L12" s="16">
        <f>FLUID!P13</f>
        <v>0</v>
      </c>
      <c r="M12" s="16">
        <f>FLUID!Q13</f>
        <v>0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3">
        <f>FLUID!E14</f>
        <v>0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0</v>
      </c>
      <c r="G13" s="16">
        <f>FLUID!K14</f>
        <v>0</v>
      </c>
      <c r="H13" s="16">
        <f>FLUID!L14</f>
        <v>0</v>
      </c>
      <c r="I13" s="16">
        <f>FLUID!M14</f>
        <v>0</v>
      </c>
      <c r="J13" s="16">
        <f>FLUID!N14</f>
        <v>0</v>
      </c>
      <c r="K13" s="16">
        <f>FLUID!O14</f>
        <v>0</v>
      </c>
      <c r="L13" s="16">
        <f>FLUID!P14</f>
        <v>0</v>
      </c>
      <c r="M13" s="16">
        <f>FLUID!Q14</f>
        <v>0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3">
        <f>FLUID!E15</f>
        <v>0</v>
      </c>
      <c r="B14" s="16">
        <f>FLUID!F15</f>
        <v>0</v>
      </c>
      <c r="C14" s="16">
        <f>FLUID!G15</f>
        <v>0</v>
      </c>
      <c r="D14" s="16">
        <f>FLUID!H15</f>
        <v>0</v>
      </c>
      <c r="E14" s="16">
        <f>FLUID!I15</f>
        <v>0</v>
      </c>
      <c r="F14" s="16">
        <f>FLUID!J15</f>
        <v>0</v>
      </c>
      <c r="G14" s="16">
        <f>FLUID!K15</f>
        <v>0</v>
      </c>
      <c r="H14" s="16">
        <f>FLUID!L15</f>
        <v>0</v>
      </c>
      <c r="I14" s="16">
        <f>FLUID!M15</f>
        <v>0</v>
      </c>
      <c r="J14" s="16">
        <f>FLUID!N15</f>
        <v>0</v>
      </c>
      <c r="K14" s="16">
        <f>FLUID!O15</f>
        <v>0</v>
      </c>
      <c r="L14" s="16">
        <f>FLUID!P15</f>
        <v>0</v>
      </c>
      <c r="M14" s="16">
        <f>FLUID!Q15</f>
        <v>0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3">
        <f>FLUID!E16</f>
        <v>0</v>
      </c>
      <c r="B15" s="16">
        <f>FLUID!F16</f>
        <v>0</v>
      </c>
      <c r="C15" s="16">
        <f>FLUID!G16</f>
        <v>0</v>
      </c>
      <c r="D15" s="16">
        <f>FLUID!H16</f>
        <v>0</v>
      </c>
      <c r="E15" s="16">
        <f>FLUID!I16</f>
        <v>0</v>
      </c>
      <c r="F15" s="16">
        <f>FLUID!J16</f>
        <v>0</v>
      </c>
      <c r="G15" s="16">
        <f>FLUID!K16</f>
        <v>0</v>
      </c>
      <c r="H15" s="16">
        <f>FLUID!L16</f>
        <v>0</v>
      </c>
      <c r="I15" s="16">
        <f>FLUID!M16</f>
        <v>0</v>
      </c>
      <c r="J15" s="16">
        <f>FLUID!N16</f>
        <v>0</v>
      </c>
      <c r="K15" s="16">
        <f>FLUID!O16</f>
        <v>0</v>
      </c>
      <c r="L15" s="16">
        <f>FLUID!P16</f>
        <v>0</v>
      </c>
      <c r="M15" s="16">
        <f>FLUID!Q16</f>
        <v>0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3">
        <f>FLUID!E17</f>
        <v>0</v>
      </c>
      <c r="B16" s="16">
        <f>FLUID!F17</f>
        <v>0</v>
      </c>
      <c r="C16" s="16">
        <f>FLUID!G17</f>
        <v>0</v>
      </c>
      <c r="D16" s="16">
        <f>FLUID!H17</f>
        <v>0</v>
      </c>
      <c r="E16" s="16">
        <f>FLUID!I17</f>
        <v>0</v>
      </c>
      <c r="F16" s="16">
        <f>FLUID!J17</f>
        <v>0</v>
      </c>
      <c r="G16" s="16">
        <f>FLUID!K17</f>
        <v>0</v>
      </c>
      <c r="H16" s="16">
        <f>FLUID!L17</f>
        <v>0</v>
      </c>
      <c r="I16" s="16">
        <f>FLUID!M17</f>
        <v>0</v>
      </c>
      <c r="J16" s="16">
        <f>FLUID!N17</f>
        <v>0</v>
      </c>
      <c r="K16" s="16">
        <f>FLUID!O17</f>
        <v>0</v>
      </c>
      <c r="L16" s="16">
        <f>FLUID!P17</f>
        <v>0</v>
      </c>
      <c r="M16" s="16">
        <f>FLUID!Q17</f>
        <v>0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3">
        <f>FLUID!E18</f>
        <v>0</v>
      </c>
      <c r="B17" s="16">
        <f>FLUID!F18</f>
        <v>0</v>
      </c>
      <c r="C17" s="16">
        <f>FLUID!G18</f>
        <v>0</v>
      </c>
      <c r="D17" s="16">
        <f>FLUID!H18</f>
        <v>0</v>
      </c>
      <c r="E17" s="16">
        <f>FLUID!I18</f>
        <v>0</v>
      </c>
      <c r="F17" s="16">
        <f>FLUID!J18</f>
        <v>0</v>
      </c>
      <c r="G17" s="16">
        <f>FLUID!K18</f>
        <v>0</v>
      </c>
      <c r="H17" s="16">
        <f>FLUID!L18</f>
        <v>0</v>
      </c>
      <c r="I17" s="16">
        <f>FLUID!M18</f>
        <v>0</v>
      </c>
      <c r="J17" s="16">
        <f>FLUID!N18</f>
        <v>0</v>
      </c>
      <c r="K17" s="16">
        <f>FLUID!O18</f>
        <v>0</v>
      </c>
      <c r="L17" s="16">
        <f>FLUID!P18</f>
        <v>0</v>
      </c>
      <c r="M17" s="16">
        <f>FLUID!Q18</f>
        <v>0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3">
        <f>FLUID!E19</f>
        <v>0</v>
      </c>
      <c r="B18" s="16">
        <f>FLUID!F19</f>
        <v>0</v>
      </c>
      <c r="C18" s="16">
        <f>FLUID!G19</f>
        <v>0</v>
      </c>
      <c r="D18" s="16">
        <f>FLUID!H19</f>
        <v>0</v>
      </c>
      <c r="E18" s="16">
        <f>FLUID!I19</f>
        <v>0</v>
      </c>
      <c r="F18" s="16">
        <f>FLUID!J19</f>
        <v>0</v>
      </c>
      <c r="G18" s="16">
        <f>FLUID!K19</f>
        <v>0</v>
      </c>
      <c r="H18" s="16">
        <f>FLUID!L19</f>
        <v>0</v>
      </c>
      <c r="I18" s="16">
        <f>FLUID!M19</f>
        <v>0</v>
      </c>
      <c r="J18" s="16">
        <f>FLUID!N19</f>
        <v>0</v>
      </c>
      <c r="K18" s="16">
        <f>FLUID!O19</f>
        <v>0</v>
      </c>
      <c r="L18" s="16">
        <f>FLUID!P19</f>
        <v>0</v>
      </c>
      <c r="M18" s="16">
        <f>FLUID!Q19</f>
        <v>0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3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3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3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3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3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3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3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3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3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3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3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3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3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3">
        <f>FLUID!E75</f>
        <v>1</v>
      </c>
      <c r="B32" s="16">
        <f>FLUID!F33</f>
        <v>0</v>
      </c>
      <c r="C32" s="16">
        <f>FLUID!G33</f>
        <v>0</v>
      </c>
      <c r="D32" s="16">
        <f>FLUID!H33</f>
        <v>0</v>
      </c>
      <c r="E32" s="16">
        <f>FLUID!I33</f>
        <v>0</v>
      </c>
      <c r="F32" s="16">
        <f>FLUID!J33</f>
        <v>0</v>
      </c>
      <c r="G32" s="16">
        <f>FLUID!K33</f>
        <v>0</v>
      </c>
      <c r="H32" s="16">
        <f>FLUID!L33</f>
        <v>0</v>
      </c>
      <c r="I32" s="16">
        <f>FLUID!M33</f>
        <v>0</v>
      </c>
      <c r="J32" s="16">
        <f>FLUID!N33</f>
        <v>0</v>
      </c>
      <c r="K32" s="16">
        <f>FLUID!O33</f>
        <v>0</v>
      </c>
      <c r="L32" s="16">
        <f>FLUID!P33</f>
        <v>0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86" t="s">
        <v>28</v>
      </c>
      <c r="B34" s="59">
        <f>IFERROR(SOLID!F3,0)</f>
        <v>0</v>
      </c>
      <c r="C34" s="59">
        <f>IFERROR(SOLID!G3,0)</f>
        <v>0</v>
      </c>
      <c r="D34" s="59">
        <f>IFERROR(SOLID!H3,0)</f>
        <v>0</v>
      </c>
      <c r="E34" s="59">
        <f>IFERROR(SOLID!I3,0)</f>
        <v>0</v>
      </c>
      <c r="F34" s="59">
        <f>IFERROR(SOLID!J3,0)</f>
        <v>0</v>
      </c>
      <c r="G34" s="59">
        <f>IFERROR(SOLID!K3,0)</f>
        <v>0</v>
      </c>
      <c r="H34" s="59">
        <f>IFERROR(SOLID!L3,0)</f>
        <v>0</v>
      </c>
      <c r="I34" s="59">
        <f>IFERROR(SOLID!M3,0)</f>
        <v>0</v>
      </c>
      <c r="J34" s="59">
        <f>IFERROR(SOLID!N3,0)</f>
        <v>0</v>
      </c>
      <c r="K34" s="59">
        <f>IFERROR(SOLID!O3,0)</f>
        <v>0</v>
      </c>
      <c r="L34" s="59">
        <f>IFERROR(SOLID!P3,0)</f>
        <v>0</v>
      </c>
      <c r="M34" s="59">
        <f>IFERROR(SOLID!Q3,0)</f>
        <v>0</v>
      </c>
      <c r="N34" s="59">
        <f>IFERROR(SOLID!R3,0)</f>
        <v>0</v>
      </c>
      <c r="O34" s="59">
        <f>IFERROR(SOLID!S3,0)</f>
        <v>0</v>
      </c>
      <c r="P34" s="59">
        <f>IFERROR(SOLID!T3,0)</f>
        <v>0</v>
      </c>
      <c r="Q34" s="59">
        <f>IFERROR(SOLID!U3,0)</f>
        <v>0</v>
      </c>
      <c r="R34" s="59">
        <f>IFERROR(SOLID!V3,0)</f>
        <v>0</v>
      </c>
      <c r="S34" s="59">
        <f>IFERROR(SOLID!W3,0)</f>
        <v>0</v>
      </c>
      <c r="T34" s="59">
        <f>IFERROR(SOLID!X3,0)</f>
        <v>0</v>
      </c>
      <c r="U34" s="59">
        <f>IFERROR(SOLID!Y3,0)</f>
        <v>0</v>
      </c>
      <c r="V34" s="59">
        <f>IFERROR(SOLID!Z3,0)</f>
        <v>0</v>
      </c>
      <c r="W34" s="59">
        <f>IFERROR(SOLID!AA3,0)</f>
        <v>0</v>
      </c>
      <c r="X34" s="59">
        <f>IFERROR(SOLID!AB3,0)</f>
        <v>0</v>
      </c>
      <c r="Y34" s="59">
        <f>IFERROR(SOLID!AC3,0)</f>
        <v>0</v>
      </c>
      <c r="Z34" s="59">
        <f>IFERROR(SOLID!AD3,0)</f>
        <v>0</v>
      </c>
      <c r="AA34" s="59">
        <f>IFERROR(SOLID!AE3,0)</f>
        <v>0</v>
      </c>
      <c r="AB34" s="59">
        <f>IFERROR(SOLID!AF3,0)</f>
        <v>0</v>
      </c>
      <c r="AC34" s="59">
        <f>IFERROR(SOLID!AG3,0)</f>
        <v>0</v>
      </c>
      <c r="AD34" s="59">
        <f>IFERROR(SOLID!AH3,0)</f>
        <v>0</v>
      </c>
      <c r="AE34" s="59">
        <f>IFERROR(SOLID!AI3,0)</f>
        <v>0</v>
      </c>
      <c r="AF34" s="59">
        <f>IFERROR(SOLID!AJ3,0)</f>
        <v>0</v>
      </c>
      <c r="AG34" s="59">
        <f>IFERROR(SOLID!AK3,0)</f>
        <v>0</v>
      </c>
      <c r="AH34" s="59">
        <f>IFERROR(SOLID!AL3,0)</f>
        <v>0</v>
      </c>
      <c r="AI34" s="59">
        <f>IFERROR(SOLID!AM3,0)</f>
        <v>0</v>
      </c>
      <c r="AJ34" s="59">
        <f>IFERROR(SOLID!AN3,0)</f>
        <v>0</v>
      </c>
      <c r="AK34" s="59">
        <f>IFERROR(SOLID!AO3,0)</f>
        <v>0</v>
      </c>
      <c r="AL34" s="59">
        <f>IFERROR(SOLID!AP3,0)</f>
        <v>0</v>
      </c>
      <c r="AM34" s="59">
        <f>IFERROR(SOLID!AQ3,0)</f>
        <v>0</v>
      </c>
      <c r="AN34" s="59">
        <f>IFERROR(SOLID!AR3,0)</f>
        <v>0</v>
      </c>
      <c r="AO34" s="59">
        <f>IFERROR(SOLID!AS3,0)</f>
        <v>0</v>
      </c>
      <c r="AP34" s="59">
        <f>IFERROR(SOLID!AT3,0)</f>
        <v>0</v>
      </c>
      <c r="AQ34" s="59">
        <f>IFERROR(SOLID!AU3,0)</f>
        <v>0</v>
      </c>
      <c r="AR34" s="59">
        <f>IFERROR(SOLID!AV3,0)</f>
        <v>0</v>
      </c>
      <c r="AS34" s="59">
        <f>IFERROR(SOLID!AW3,0)</f>
        <v>0</v>
      </c>
      <c r="AT34" s="59">
        <f>IFERROR(SOLID!AX3,0)</f>
        <v>0</v>
      </c>
      <c r="AU34" s="59">
        <f>IFERROR(SOLID!AY3,0)</f>
        <v>0</v>
      </c>
      <c r="AV34" s="59">
        <f>IFERROR(SOLID!AZ3,0)</f>
        <v>0</v>
      </c>
      <c r="AW34" s="59">
        <f>IFERROR(SOLID!BA3,0)</f>
        <v>0</v>
      </c>
      <c r="AX34" s="59">
        <f>IFERROR(SOLID!BB3,0)</f>
        <v>0</v>
      </c>
      <c r="AY34" s="59">
        <f>IFERROR(SOLID!BC3,0)</f>
        <v>0</v>
      </c>
      <c r="AZ34" s="59">
        <f>IFERROR(SOLID!BD3,0)</f>
        <v>0</v>
      </c>
      <c r="BA34" s="59">
        <f>IFERROR(SOLID!BE3,0)</f>
        <v>0</v>
      </c>
      <c r="BB34" s="59">
        <f>IFERROR(SOLID!BF3,0)</f>
        <v>0</v>
      </c>
      <c r="BC34" s="59">
        <f>IFERROR(SOLID!BG3,0)</f>
        <v>0</v>
      </c>
      <c r="BD34" s="59">
        <f>IFERROR(SOLID!BH3,0)</f>
        <v>0</v>
      </c>
      <c r="BE34" s="59">
        <f>IFERROR(SOLID!BI3,0)</f>
        <v>0</v>
      </c>
      <c r="BF34" s="59">
        <f>IFERROR(SOLID!BJ3,0)</f>
        <v>0</v>
      </c>
      <c r="BG34" s="59">
        <f>IFERROR(SOLID!BK3,0)</f>
        <v>0</v>
      </c>
      <c r="BH34" s="59">
        <f>IFERROR(SOLID!BL3,0)</f>
        <v>0</v>
      </c>
      <c r="BI34" s="59">
        <f>IFERROR(SOLID!BM3,0)</f>
        <v>0</v>
      </c>
      <c r="BJ34" s="59">
        <f>IFERROR(SOLID!BN3,0)</f>
        <v>0</v>
      </c>
      <c r="BK34" s="59">
        <f>IFERROR(SOLID!BO3,0)</f>
        <v>0</v>
      </c>
      <c r="BL34" s="59">
        <f>IFERROR(SOLID!BP3,0)</f>
        <v>0</v>
      </c>
      <c r="BM34" s="59">
        <f>IFERROR(SOLID!BQ3,0)</f>
        <v>0</v>
      </c>
      <c r="BN34" s="59">
        <f>IFERROR(SOLID!BR3,0)</f>
        <v>0</v>
      </c>
      <c r="BO34" s="59">
        <f>IFERROR(SOLID!BS3,0)</f>
        <v>0</v>
      </c>
      <c r="BP34" s="59">
        <f>IFERROR(SOLID!BT3,0)</f>
        <v>0</v>
      </c>
      <c r="BQ34" s="59">
        <f>IFERROR(SOLID!BU3,0)</f>
        <v>0</v>
      </c>
      <c r="BR34" s="59">
        <f>IFERROR(SOLID!BV3,0)</f>
        <v>0</v>
      </c>
      <c r="BS34" s="59">
        <f>IFERROR(SOLID!BW3,0)</f>
        <v>0</v>
      </c>
      <c r="BT34" s="59">
        <f>IFERROR(SOLID!BX3,0)</f>
        <v>0</v>
      </c>
    </row>
    <row r="35" spans="1:72" ht="22.5" hidden="1" outlineLevel="1" thickTop="1" thickBot="1" x14ac:dyDescent="0.4">
      <c r="A35" s="83">
        <f>IFERROR(SOLID!E4,0)</f>
        <v>0</v>
      </c>
      <c r="B35" s="16">
        <f>IFERROR(SOLID!F4,0)</f>
        <v>0</v>
      </c>
      <c r="C35" s="16">
        <f>IFERROR(SOLID!G4,0)</f>
        <v>0</v>
      </c>
      <c r="D35" s="16">
        <f>IFERROR(SOLID!H4,0)</f>
        <v>0</v>
      </c>
      <c r="E35" s="16">
        <f>IFERROR(SOLID!I4,0)</f>
        <v>0</v>
      </c>
      <c r="F35" s="16">
        <f>IFERROR(SOLID!J4,0)</f>
        <v>0</v>
      </c>
      <c r="G35" s="16">
        <f>IFERROR(SOLID!K4,0)</f>
        <v>0</v>
      </c>
      <c r="H35" s="16">
        <f>IFERROR(SOLID!L4,0)</f>
        <v>0</v>
      </c>
      <c r="I35" s="16">
        <f>IFERROR(SOLID!M4,0)</f>
        <v>0</v>
      </c>
      <c r="J35" s="16">
        <f>IFERROR(SOLID!N4,0)</f>
        <v>0</v>
      </c>
      <c r="K35" s="16">
        <f>IFERROR(SOLID!O4,0)</f>
        <v>0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3">
        <f>IFERROR(SOLID!E5,0)</f>
        <v>0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3">
        <f>IFERROR(SOLID!E6,0)</f>
        <v>0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3">
        <f>IFERROR(SOLID!E7,0)</f>
        <v>0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3">
        <f>IFERROR(SOLID!E8,0)</f>
        <v>0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3">
        <f>IFERROR(SOLID!E9,0)</f>
        <v>0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0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0</v>
      </c>
      <c r="V40" s="16">
        <f>IFERROR(SOLID!Z9,0)</f>
        <v>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3">
        <f>IFERROR(SOLID!E10,0)</f>
        <v>0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0</v>
      </c>
      <c r="K41" s="16">
        <f>IFERROR(SOLID!O10,0)</f>
        <v>0</v>
      </c>
      <c r="L41" s="16">
        <f>IFERROR(SOLID!P10,0)</f>
        <v>0</v>
      </c>
      <c r="M41" s="16">
        <f>IFERROR(SOLID!Q10,0)</f>
        <v>0</v>
      </c>
      <c r="N41" s="16">
        <f>IFERROR(SOLID!R10,0)</f>
        <v>0</v>
      </c>
      <c r="O41" s="16">
        <f>IFERROR(SOLID!S10,0)</f>
        <v>0</v>
      </c>
      <c r="P41" s="16">
        <f>IFERROR(SOLID!T10,0)</f>
        <v>0</v>
      </c>
      <c r="Q41" s="16">
        <f>IFERROR(SOLID!U10,0)</f>
        <v>0</v>
      </c>
      <c r="R41" s="16">
        <f>IFERROR(SOLID!V10,0)</f>
        <v>0</v>
      </c>
      <c r="S41" s="16">
        <f>IFERROR(SOLID!W10,0)</f>
        <v>0</v>
      </c>
      <c r="T41" s="16">
        <f>IFERROR(SOLID!X10,0)</f>
        <v>0</v>
      </c>
      <c r="U41" s="16">
        <f>IFERROR(SOLID!Y10,0)</f>
        <v>0</v>
      </c>
      <c r="V41" s="16">
        <f>IFERROR(SOLID!Z10,0)</f>
        <v>0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3">
        <f>IFERROR(SOLID!E11,0)</f>
        <v>0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0</v>
      </c>
      <c r="L42" s="16">
        <f>IFERROR(SOLID!P11,0)</f>
        <v>0</v>
      </c>
      <c r="M42" s="16">
        <f>IFERROR(SOLID!Q11,0)</f>
        <v>0</v>
      </c>
      <c r="N42" s="16">
        <f>IFERROR(SOLID!R11,0)</f>
        <v>0</v>
      </c>
      <c r="O42" s="16">
        <f>IFERROR(SOLID!S11,0)</f>
        <v>0</v>
      </c>
      <c r="P42" s="16">
        <f>IFERROR(SOLID!T11,0)</f>
        <v>0</v>
      </c>
      <c r="Q42" s="16">
        <f>IFERROR(SOLID!U11,0)</f>
        <v>0</v>
      </c>
      <c r="R42" s="16">
        <f>IFERROR(SOLID!V11,0)</f>
        <v>0</v>
      </c>
      <c r="S42" s="16">
        <f>IFERROR(SOLID!W11,0)</f>
        <v>0</v>
      </c>
      <c r="T42" s="16">
        <f>IFERROR(SOLID!X11,0)</f>
        <v>0</v>
      </c>
      <c r="U42" s="16">
        <f>IFERROR(SOLID!Y11,0)</f>
        <v>0</v>
      </c>
      <c r="V42" s="16">
        <f>IFERROR(SOLID!Z11,0)</f>
        <v>0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3">
        <f>IFERROR(SOLID!E12,0)</f>
        <v>0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0</v>
      </c>
      <c r="L43" s="16">
        <f>IFERROR(SOLID!P12,0)</f>
        <v>0</v>
      </c>
      <c r="M43" s="16">
        <f>IFERROR(SOLID!Q12,0)</f>
        <v>0</v>
      </c>
      <c r="N43" s="16">
        <f>IFERROR(SOLID!R12,0)</f>
        <v>0</v>
      </c>
      <c r="O43" s="16">
        <f>IFERROR(SOLID!S12,0)</f>
        <v>0</v>
      </c>
      <c r="P43" s="16">
        <f>IFERROR(SOLID!T12,0)</f>
        <v>0</v>
      </c>
      <c r="Q43" s="16">
        <f>IFERROR(SOLID!U12,0)</f>
        <v>0</v>
      </c>
      <c r="R43" s="16">
        <f>IFERROR(SOLID!V12,0)</f>
        <v>0</v>
      </c>
      <c r="S43" s="16">
        <f>IFERROR(SOLID!W12,0)</f>
        <v>0</v>
      </c>
      <c r="T43" s="16">
        <f>IFERROR(SOLID!X12,0)</f>
        <v>0</v>
      </c>
      <c r="U43" s="16">
        <f>IFERROR(SOLID!Y12,0)</f>
        <v>0</v>
      </c>
      <c r="V43" s="16">
        <f>IFERROR(SOLID!Z12,0)</f>
        <v>0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3">
        <f>IFERROR(SOLID!E13,0)</f>
        <v>0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0</v>
      </c>
      <c r="L44" s="16">
        <f>IFERROR(SOLID!P13,0)</f>
        <v>0</v>
      </c>
      <c r="M44" s="16">
        <f>IFERROR(SOLID!Q13,0)</f>
        <v>0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0</v>
      </c>
      <c r="U44" s="16">
        <f>IFERROR(SOLID!Y13,0)</f>
        <v>0</v>
      </c>
      <c r="V44" s="16">
        <f>IFERROR(SOLID!Z13,0)</f>
        <v>0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3">
        <f>IFERROR(SOLID!E14,0)</f>
        <v>0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0</v>
      </c>
      <c r="L45" s="16">
        <f>IFERROR(SOLID!P14,0)</f>
        <v>0</v>
      </c>
      <c r="M45" s="16">
        <f>IFERROR(SOLID!Q14,0)</f>
        <v>0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0</v>
      </c>
      <c r="U45" s="16">
        <f>IFERROR(SOLID!Y14,0)</f>
        <v>0</v>
      </c>
      <c r="V45" s="16">
        <f>IFERROR(SOLID!Z14,0)</f>
        <v>0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3">
        <f>IFERROR(SOLID!E15,0)</f>
        <v>0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0</v>
      </c>
      <c r="K46" s="16">
        <f>IFERROR(SOLID!O15,0)</f>
        <v>0</v>
      </c>
      <c r="L46" s="16">
        <f>IFERROR(SOLID!P15,0)</f>
        <v>0</v>
      </c>
      <c r="M46" s="16">
        <f>IFERROR(SOLID!Q15,0)</f>
        <v>0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0</v>
      </c>
      <c r="U46" s="16">
        <f>IFERROR(SOLID!Y15,0)</f>
        <v>0</v>
      </c>
      <c r="V46" s="16">
        <f>IFERROR(SOLID!Z15,0)</f>
        <v>0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3">
        <f>IFERROR(SOLID!E16,0)</f>
        <v>0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0</v>
      </c>
      <c r="K47" s="16">
        <f>IFERROR(SOLID!O16,0)</f>
        <v>0</v>
      </c>
      <c r="L47" s="16">
        <f>IFERROR(SOLID!P16,0)</f>
        <v>0</v>
      </c>
      <c r="M47" s="16">
        <f>IFERROR(SOLID!Q16,0)</f>
        <v>0</v>
      </c>
      <c r="N47" s="16">
        <f>IFERROR(SOLID!R16,0)</f>
        <v>0</v>
      </c>
      <c r="O47" s="16">
        <f>IFERROR(SOLID!S16,0)</f>
        <v>0</v>
      </c>
      <c r="P47" s="16">
        <f>IFERROR(SOLID!T16,0)</f>
        <v>0</v>
      </c>
      <c r="Q47" s="16">
        <f>IFERROR(SOLID!U16,0)</f>
        <v>0</v>
      </c>
      <c r="R47" s="16">
        <f>IFERROR(SOLID!V16,0)</f>
        <v>0</v>
      </c>
      <c r="S47" s="16">
        <f>IFERROR(SOLID!W16,0)</f>
        <v>0</v>
      </c>
      <c r="T47" s="16">
        <f>IFERROR(SOLID!X16,0)</f>
        <v>0</v>
      </c>
      <c r="U47" s="16">
        <f>IFERROR(SOLID!Y16,0)</f>
        <v>0</v>
      </c>
      <c r="V47" s="16">
        <f>IFERROR(SOLID!Z16,0)</f>
        <v>0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3">
        <f>IFERROR(SOLID!E17,0)</f>
        <v>0</v>
      </c>
      <c r="B48" s="16">
        <f>IFERROR(SOLID!F17,0)</f>
        <v>0</v>
      </c>
      <c r="C48" s="16">
        <f>IFERROR(SOLID!G17,0)</f>
        <v>0</v>
      </c>
      <c r="D48" s="16">
        <f>IFERROR(SOLID!H17,0)</f>
        <v>0</v>
      </c>
      <c r="E48" s="16">
        <f>IFERROR(SOLID!I17,0)</f>
        <v>0</v>
      </c>
      <c r="F48" s="16">
        <f>IFERROR(SOLID!J17,0)</f>
        <v>0</v>
      </c>
      <c r="G48" s="16">
        <f>IFERROR(SOLID!K17,0)</f>
        <v>0</v>
      </c>
      <c r="H48" s="16">
        <f>IFERROR(SOLID!L17,0)</f>
        <v>0</v>
      </c>
      <c r="I48" s="16">
        <f>IFERROR(SOLID!M17,0)</f>
        <v>0</v>
      </c>
      <c r="J48" s="16">
        <f>IFERROR(SOLID!N17,0)</f>
        <v>0</v>
      </c>
      <c r="K48" s="16">
        <f>IFERROR(SOLID!O17,0)</f>
        <v>0</v>
      </c>
      <c r="L48" s="16">
        <f>IFERROR(SOLID!P17,0)</f>
        <v>0</v>
      </c>
      <c r="M48" s="16">
        <f>IFERROR(SOLID!Q17,0)</f>
        <v>0</v>
      </c>
      <c r="N48" s="16">
        <f>IFERROR(SOLID!R17,0)</f>
        <v>0</v>
      </c>
      <c r="O48" s="16">
        <f>IFERROR(SOLID!S17,0)</f>
        <v>0</v>
      </c>
      <c r="P48" s="16">
        <f>IFERROR(SOLID!T17,0)</f>
        <v>0</v>
      </c>
      <c r="Q48" s="16">
        <f>IFERROR(SOLID!U17,0)</f>
        <v>0</v>
      </c>
      <c r="R48" s="16">
        <f>IFERROR(SOLID!V17,0)</f>
        <v>0</v>
      </c>
      <c r="S48" s="16">
        <f>IFERROR(SOLID!W17,0)</f>
        <v>0</v>
      </c>
      <c r="T48" s="16">
        <f>IFERROR(SOLID!X17,0)</f>
        <v>0</v>
      </c>
      <c r="U48" s="16">
        <f>IFERROR(SOLID!Y17,0)</f>
        <v>0</v>
      </c>
      <c r="V48" s="16">
        <f>IFERROR(SOLID!Z17,0)</f>
        <v>0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3">
        <f>IFERROR(SOLID!E18,0)</f>
        <v>0</v>
      </c>
      <c r="B49" s="16">
        <f>IFERROR(SOLID!F18,0)</f>
        <v>0</v>
      </c>
      <c r="C49" s="16">
        <f>IFERROR(SOLID!G18,0)</f>
        <v>0</v>
      </c>
      <c r="D49" s="16">
        <f>IFERROR(SOLID!H18,0)</f>
        <v>0</v>
      </c>
      <c r="E49" s="16">
        <f>IFERROR(SOLID!I18,0)</f>
        <v>0</v>
      </c>
      <c r="F49" s="16">
        <f>IFERROR(SOLID!J18,0)</f>
        <v>0</v>
      </c>
      <c r="G49" s="16">
        <f>IFERROR(SOLID!K18,0)</f>
        <v>0</v>
      </c>
      <c r="H49" s="16">
        <f>IFERROR(SOLID!L18,0)</f>
        <v>0</v>
      </c>
      <c r="I49" s="16">
        <f>IFERROR(SOLID!M18,0)</f>
        <v>0</v>
      </c>
      <c r="J49" s="16">
        <f>IFERROR(SOLID!N18,0)</f>
        <v>0</v>
      </c>
      <c r="K49" s="16">
        <f>IFERROR(SOLID!O18,0)</f>
        <v>0</v>
      </c>
      <c r="L49" s="16">
        <f>IFERROR(SOLID!P18,0)</f>
        <v>0</v>
      </c>
      <c r="M49" s="16">
        <f>IFERROR(SOLID!Q18,0)</f>
        <v>0</v>
      </c>
      <c r="N49" s="16">
        <f>IFERROR(SOLID!R18,0)</f>
        <v>0</v>
      </c>
      <c r="O49" s="16">
        <f>IFERROR(SOLID!S18,0)</f>
        <v>0</v>
      </c>
      <c r="P49" s="16">
        <f>IFERROR(SOLID!T18,0)</f>
        <v>0</v>
      </c>
      <c r="Q49" s="16">
        <f>IFERROR(SOLID!U18,0)</f>
        <v>0</v>
      </c>
      <c r="R49" s="16">
        <f>IFERROR(SOLID!V18,0)</f>
        <v>0</v>
      </c>
      <c r="S49" s="16">
        <f>IFERROR(SOLID!W18,0)</f>
        <v>0</v>
      </c>
      <c r="T49" s="16">
        <f>IFERROR(SOLID!X18,0)</f>
        <v>0</v>
      </c>
      <c r="U49" s="16">
        <f>IFERROR(SOLID!Y18,0)</f>
        <v>0</v>
      </c>
      <c r="V49" s="16">
        <f>IFERROR(SOLID!Z18,0)</f>
        <v>0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3">
        <f>IFERROR(SOLID!E19,0)</f>
        <v>0</v>
      </c>
      <c r="B50" s="16">
        <f>IFERROR(SOLID!F19,0)</f>
        <v>0</v>
      </c>
      <c r="C50" s="16">
        <f>IFERROR(SOLID!G19,0)</f>
        <v>0</v>
      </c>
      <c r="D50" s="16">
        <f>IFERROR(SOLID!H19,0)</f>
        <v>0</v>
      </c>
      <c r="E50" s="16">
        <f>IFERROR(SOLID!I19,0)</f>
        <v>0</v>
      </c>
      <c r="F50" s="16">
        <f>IFERROR(SOLID!J19,0)</f>
        <v>0</v>
      </c>
      <c r="G50" s="16">
        <f>IFERROR(SOLID!K19,0)</f>
        <v>0</v>
      </c>
      <c r="H50" s="16">
        <f>IFERROR(SOLID!L19,0)</f>
        <v>0</v>
      </c>
      <c r="I50" s="16">
        <f>IFERROR(SOLID!M19,0)</f>
        <v>0</v>
      </c>
      <c r="J50" s="16">
        <f>IFERROR(SOLID!N19,0)</f>
        <v>0</v>
      </c>
      <c r="K50" s="16">
        <f>IFERROR(SOLID!O19,0)</f>
        <v>0</v>
      </c>
      <c r="L50" s="16">
        <f>IFERROR(SOLID!P19,0)</f>
        <v>0</v>
      </c>
      <c r="M50" s="16">
        <f>IFERROR(SOLID!Q19,0)</f>
        <v>0</v>
      </c>
      <c r="N50" s="16">
        <f>IFERROR(SOLID!R19,0)</f>
        <v>0</v>
      </c>
      <c r="O50" s="16">
        <f>IFERROR(SOLID!S19,0)</f>
        <v>0</v>
      </c>
      <c r="P50" s="16">
        <f>IFERROR(SOLID!T19,0)</f>
        <v>0</v>
      </c>
      <c r="Q50" s="16">
        <f>IFERROR(SOLID!U19,0)</f>
        <v>0</v>
      </c>
      <c r="R50" s="16">
        <f>IFERROR(SOLID!V19,0)</f>
        <v>0</v>
      </c>
      <c r="S50" s="16">
        <f>IFERROR(SOLID!W19,0)</f>
        <v>0</v>
      </c>
      <c r="T50" s="16">
        <f>IFERROR(SOLID!X19,0)</f>
        <v>0</v>
      </c>
      <c r="U50" s="16">
        <f>IFERROR(SOLID!Y19,0)</f>
        <v>0</v>
      </c>
      <c r="V50" s="16">
        <f>IFERROR(SOLID!Z19,0)</f>
        <v>0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3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3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3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3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3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3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3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3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3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3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3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3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3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3">
        <f>IFERROR(SOLID!E33,0)</f>
        <v>1</v>
      </c>
      <c r="B64" s="16">
        <f>IFERROR(SOLID!F33,0)</f>
        <v>0</v>
      </c>
      <c r="C64" s="16">
        <f>IFERROR(SOLID!G33,0)</f>
        <v>0</v>
      </c>
      <c r="D64" s="16">
        <f>IFERROR(SOLID!H33,0)</f>
        <v>0</v>
      </c>
      <c r="E64" s="16">
        <f>IFERROR(SOLID!I33,0)</f>
        <v>0</v>
      </c>
      <c r="F64" s="16">
        <f>IFERROR(SOLID!J33,0)</f>
        <v>0</v>
      </c>
      <c r="G64" s="16">
        <f>IFERROR(SOLID!K33,0)</f>
        <v>0</v>
      </c>
      <c r="H64" s="16">
        <f>IFERROR(SOLID!L33,0)</f>
        <v>0</v>
      </c>
      <c r="I64" s="16">
        <f>IFERROR(SOLID!M33,0)</f>
        <v>0</v>
      </c>
      <c r="J64" s="16">
        <f>IFERROR(SOLID!N33,0)</f>
        <v>0</v>
      </c>
      <c r="K64" s="16">
        <f>IFERROR(SOLID!O33,0)</f>
        <v>0</v>
      </c>
      <c r="L64" s="16">
        <f>IFERROR(SOLID!P33,0)</f>
        <v>0</v>
      </c>
      <c r="M64" s="16">
        <f>IFERROR(SOLID!Q33,0)</f>
        <v>0</v>
      </c>
      <c r="N64" s="16">
        <f>IFERROR(SOLID!R33,0)</f>
        <v>0</v>
      </c>
      <c r="O64" s="16">
        <f>IFERROR(SOLID!S33,0)</f>
        <v>0</v>
      </c>
      <c r="P64" s="16">
        <f>IFERROR(SOLID!T33,0)</f>
        <v>0</v>
      </c>
      <c r="Q64" s="16">
        <f>IFERROR(SOLID!U33,0)</f>
        <v>0</v>
      </c>
      <c r="R64" s="16">
        <f>IFERROR(SOLID!V33,0)</f>
        <v>0</v>
      </c>
      <c r="S64" s="16">
        <f>IFERROR(SOLID!W33,0)</f>
        <v>0</v>
      </c>
      <c r="T64" s="16">
        <f>IFERROR(SOLID!X33,0)</f>
        <v>0</v>
      </c>
      <c r="U64" s="16">
        <f>IFERROR(SOLID!Y33,0)</f>
        <v>0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86" t="s">
        <v>29</v>
      </c>
      <c r="B66" s="59">
        <f>IFERROR(ALL!F3,0)</f>
        <v>0</v>
      </c>
      <c r="C66" s="59">
        <f>IFERROR(ALL!G3,0)</f>
        <v>0</v>
      </c>
      <c r="D66" s="59">
        <f>IFERROR(ALL!H3,0)</f>
        <v>0</v>
      </c>
      <c r="E66" s="59">
        <f>IFERROR(ALL!I3,0)</f>
        <v>0</v>
      </c>
      <c r="F66" s="59">
        <f>IFERROR(ALL!J3,0)</f>
        <v>0</v>
      </c>
      <c r="G66" s="59">
        <f>IFERROR(ALL!K3,0)</f>
        <v>0</v>
      </c>
      <c r="H66" s="59">
        <f>IFERROR(ALL!L3,0)</f>
        <v>0</v>
      </c>
      <c r="I66" s="59">
        <f>IFERROR(ALL!M3,0)</f>
        <v>0</v>
      </c>
      <c r="J66" s="59">
        <f>IFERROR(ALL!N3,0)</f>
        <v>0</v>
      </c>
      <c r="K66" s="59">
        <f>IFERROR(ALL!O3,0)</f>
        <v>0</v>
      </c>
      <c r="L66" s="59">
        <f>IFERROR(ALL!P3,0)</f>
        <v>0</v>
      </c>
      <c r="M66" s="59">
        <f>IFERROR(ALL!Q3,0)</f>
        <v>0</v>
      </c>
      <c r="N66" s="59">
        <f>IFERROR(ALL!R3,0)</f>
        <v>0</v>
      </c>
      <c r="O66" s="59">
        <f>IFERROR(ALL!S3,0)</f>
        <v>0</v>
      </c>
      <c r="P66" s="59">
        <f>IFERROR(ALL!T3,0)</f>
        <v>0</v>
      </c>
      <c r="Q66" s="59">
        <f>IFERROR(ALL!U3,0)</f>
        <v>0</v>
      </c>
      <c r="R66" s="59">
        <f>IFERROR(ALL!V3,0)</f>
        <v>0</v>
      </c>
      <c r="S66" s="59">
        <f>IFERROR(ALL!W3,0)</f>
        <v>0</v>
      </c>
      <c r="T66" s="59">
        <f>IFERROR(ALL!X3,0)</f>
        <v>0</v>
      </c>
      <c r="U66" s="59">
        <f>IFERROR(ALL!Y3,0)</f>
        <v>0</v>
      </c>
      <c r="V66" s="59">
        <f>IFERROR(ALL!Z3,0)</f>
        <v>0</v>
      </c>
      <c r="W66" s="59">
        <f>IFERROR(ALL!AA3,0)</f>
        <v>0</v>
      </c>
      <c r="X66" s="59">
        <f>IFERROR(ALL!AB3,0)</f>
        <v>0</v>
      </c>
      <c r="Y66" s="59">
        <f>IFERROR(ALL!AC3,0)</f>
        <v>0</v>
      </c>
      <c r="Z66" s="59">
        <f>IFERROR(ALL!AD3,0)</f>
        <v>0</v>
      </c>
      <c r="AA66" s="59">
        <f>IFERROR(ALL!AE3,0)</f>
        <v>0</v>
      </c>
      <c r="AB66" s="59">
        <f>IFERROR(ALL!AF3,0)</f>
        <v>0</v>
      </c>
      <c r="AC66" s="59">
        <f>IFERROR(ALL!AG3,0)</f>
        <v>0</v>
      </c>
      <c r="AD66" s="59">
        <f>IFERROR(ALL!AH3,0)</f>
        <v>0</v>
      </c>
      <c r="AE66" s="59">
        <f>IFERROR(ALL!AI3,0)</f>
        <v>0</v>
      </c>
      <c r="AF66" s="59">
        <f>IFERROR(ALL!AJ3,0)</f>
        <v>0</v>
      </c>
      <c r="AG66" s="59">
        <f>IFERROR(ALL!AK3,0)</f>
        <v>0</v>
      </c>
      <c r="AH66" s="59">
        <f>IFERROR(ALL!AL3,0)</f>
        <v>0</v>
      </c>
      <c r="AI66" s="59">
        <f>IFERROR(ALL!AM3,0)</f>
        <v>0</v>
      </c>
      <c r="AJ66" s="59">
        <f>IFERROR(ALL!AN3,0)</f>
        <v>0</v>
      </c>
      <c r="AK66" s="59">
        <f>IFERROR(ALL!AO3,0)</f>
        <v>0</v>
      </c>
      <c r="AL66" s="59">
        <f>IFERROR(ALL!AP3,0)</f>
        <v>0</v>
      </c>
      <c r="AM66" s="59">
        <f>IFERROR(ALL!AQ3,0)</f>
        <v>0</v>
      </c>
      <c r="AN66" s="59">
        <f>IFERROR(ALL!AR3,0)</f>
        <v>0</v>
      </c>
      <c r="AO66" s="59">
        <f>IFERROR(ALL!AS3,0)</f>
        <v>0</v>
      </c>
      <c r="AP66" s="59">
        <f>IFERROR(ALL!AT3,0)</f>
        <v>0</v>
      </c>
      <c r="AQ66" s="59">
        <f>IFERROR(ALL!AU3,0)</f>
        <v>0</v>
      </c>
      <c r="AR66" s="59">
        <f>IFERROR(ALL!AV3,0)</f>
        <v>0</v>
      </c>
      <c r="AS66" s="59">
        <f>IFERROR(ALL!AW3,0)</f>
        <v>0</v>
      </c>
      <c r="AT66" s="59">
        <f>IFERROR(ALL!AX3,0)</f>
        <v>0</v>
      </c>
      <c r="AU66" s="59">
        <f>IFERROR(ALL!AY3,0)</f>
        <v>0</v>
      </c>
      <c r="AV66" s="59">
        <f>IFERROR(ALL!AZ3,0)</f>
        <v>0</v>
      </c>
      <c r="AW66" s="59">
        <f>IFERROR(ALL!BA3,0)</f>
        <v>0</v>
      </c>
      <c r="AX66" s="59">
        <f>IFERROR(ALL!BB3,0)</f>
        <v>0</v>
      </c>
      <c r="AY66" s="59">
        <f>IFERROR(ALL!BC3,0)</f>
        <v>0</v>
      </c>
      <c r="AZ66" s="59">
        <f>IFERROR(ALL!BD3,0)</f>
        <v>0</v>
      </c>
      <c r="BA66" s="59">
        <f>IFERROR(ALL!BE3,0)</f>
        <v>0</v>
      </c>
      <c r="BB66" s="59">
        <f>IFERROR(ALL!BF3,0)</f>
        <v>0</v>
      </c>
      <c r="BC66" s="59">
        <f>IFERROR(ALL!BG3,0)</f>
        <v>0</v>
      </c>
      <c r="BD66" s="59">
        <f>IFERROR(ALL!BH3,0)</f>
        <v>0</v>
      </c>
      <c r="BE66" s="59">
        <f>IFERROR(ALL!BI3,0)</f>
        <v>0</v>
      </c>
      <c r="BF66" s="59">
        <f>IFERROR(ALL!BJ3,0)</f>
        <v>0</v>
      </c>
      <c r="BG66" s="59">
        <f>IFERROR(ALL!BK3,0)</f>
        <v>0</v>
      </c>
      <c r="BH66" s="59">
        <f>IFERROR(ALL!BL3,0)</f>
        <v>0</v>
      </c>
      <c r="BI66" s="59">
        <f>IFERROR(ALL!BM3,0)</f>
        <v>0</v>
      </c>
      <c r="BJ66" s="59">
        <f>IFERROR(ALL!BN3,0)</f>
        <v>0</v>
      </c>
      <c r="BK66" s="59">
        <f>IFERROR(ALL!BO3,0)</f>
        <v>0</v>
      </c>
      <c r="BL66" s="59">
        <f>IFERROR(ALL!BP3,0)</f>
        <v>0</v>
      </c>
      <c r="BM66" s="59">
        <f>IFERROR(ALL!BQ3,0)</f>
        <v>0</v>
      </c>
      <c r="BN66" s="59">
        <f>IFERROR(ALL!BR3,0)</f>
        <v>0</v>
      </c>
      <c r="BO66" s="59">
        <f>IFERROR(ALL!BS3,0)</f>
        <v>0</v>
      </c>
      <c r="BP66" s="59">
        <f>IFERROR(ALL!BT3,0)</f>
        <v>0</v>
      </c>
      <c r="BQ66" s="59">
        <f>IFERROR(ALL!BU3,0)</f>
        <v>0</v>
      </c>
      <c r="BR66" s="59">
        <f>IFERROR(ALL!BV3,0)</f>
        <v>0</v>
      </c>
      <c r="BS66" s="59">
        <f>IFERROR(ALL!BW3,0)</f>
        <v>0</v>
      </c>
      <c r="BT66" s="59">
        <f>IFERROR(ALL!BX3,0)</f>
        <v>0</v>
      </c>
    </row>
    <row r="67" spans="1:72" ht="22.5" hidden="1" outlineLevel="1" thickTop="1" thickBot="1" x14ac:dyDescent="0.4">
      <c r="A67" s="83">
        <f>ALL!E4</f>
        <v>0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3">
        <f>ALL!E5</f>
        <v>0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3">
        <f>ALL!E6</f>
        <v>0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3">
        <f>ALL!E7</f>
        <v>0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0</v>
      </c>
      <c r="L70" s="16">
        <f>IFERROR(ALL!P7,0)</f>
        <v>0</v>
      </c>
      <c r="M70" s="16">
        <f>IFERROR(ALL!Q7,0)</f>
        <v>0</v>
      </c>
      <c r="N70" s="16">
        <f>IFERROR(ALL!R7,0)</f>
        <v>0</v>
      </c>
      <c r="O70" s="16">
        <f>IFERROR(ALL!S7,0)</f>
        <v>0</v>
      </c>
      <c r="P70" s="16">
        <f>IFERROR(ALL!T7,0)</f>
        <v>0</v>
      </c>
      <c r="Q70" s="16">
        <f>IFERROR(ALL!U7,0)</f>
        <v>0</v>
      </c>
      <c r="R70" s="16">
        <f>IFERROR(ALL!V7,0)</f>
        <v>0</v>
      </c>
      <c r="S70" s="16">
        <f>IFERROR(ALL!W7,0)</f>
        <v>0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3">
        <f>ALL!E8</f>
        <v>0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0</v>
      </c>
      <c r="L71" s="16">
        <f>IFERROR(ALL!P8,0)</f>
        <v>0</v>
      </c>
      <c r="M71" s="16">
        <f>IFERROR(ALL!Q8,0)</f>
        <v>0</v>
      </c>
      <c r="N71" s="16">
        <f>IFERROR(ALL!R8,0)</f>
        <v>0</v>
      </c>
      <c r="O71" s="16">
        <f>IFERROR(ALL!S8,0)</f>
        <v>0</v>
      </c>
      <c r="P71" s="16">
        <f>IFERROR(ALL!T8,0)</f>
        <v>0</v>
      </c>
      <c r="Q71" s="16">
        <f>IFERROR(ALL!U8,0)</f>
        <v>0</v>
      </c>
      <c r="R71" s="16">
        <f>IFERROR(ALL!V8,0)</f>
        <v>0</v>
      </c>
      <c r="S71" s="16">
        <f>IFERROR(ALL!W8,0)</f>
        <v>0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3">
        <f>ALL!E9</f>
        <v>0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0</v>
      </c>
      <c r="L72" s="16">
        <f>IFERROR(ALL!P9,0)</f>
        <v>0</v>
      </c>
      <c r="M72" s="16">
        <f>IFERROR(ALL!Q9,0)</f>
        <v>0</v>
      </c>
      <c r="N72" s="16">
        <f>IFERROR(ALL!R9,0)</f>
        <v>0</v>
      </c>
      <c r="O72" s="16">
        <f>IFERROR(ALL!S9,0)</f>
        <v>0</v>
      </c>
      <c r="P72" s="16">
        <f>IFERROR(ALL!T9,0)</f>
        <v>0</v>
      </c>
      <c r="Q72" s="16">
        <f>IFERROR(ALL!U9,0)</f>
        <v>0</v>
      </c>
      <c r="R72" s="16">
        <f>IFERROR(ALL!V9,0)</f>
        <v>0</v>
      </c>
      <c r="S72" s="16">
        <f>IFERROR(ALL!W9,0)</f>
        <v>0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3">
        <f>ALL!E10</f>
        <v>0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0</v>
      </c>
      <c r="I73" s="16">
        <f>IFERROR(ALL!M10,0)</f>
        <v>0</v>
      </c>
      <c r="J73" s="16">
        <f>IFERROR(ALL!N10,0)</f>
        <v>0</v>
      </c>
      <c r="K73" s="16">
        <f>IFERROR(ALL!O10,0)</f>
        <v>0</v>
      </c>
      <c r="L73" s="16">
        <f>IFERROR(ALL!P10,0)</f>
        <v>0</v>
      </c>
      <c r="M73" s="16">
        <f>IFERROR(ALL!Q10,0)</f>
        <v>0</v>
      </c>
      <c r="N73" s="16">
        <f>IFERROR(ALL!R10,0)</f>
        <v>0</v>
      </c>
      <c r="O73" s="16">
        <f>IFERROR(ALL!S10,0)</f>
        <v>0</v>
      </c>
      <c r="P73" s="16">
        <f>IFERROR(ALL!T10,0)</f>
        <v>0</v>
      </c>
      <c r="Q73" s="16">
        <f>IFERROR(ALL!U10,0)</f>
        <v>0</v>
      </c>
      <c r="R73" s="16">
        <f>IFERROR(ALL!V10,0)</f>
        <v>0</v>
      </c>
      <c r="S73" s="16">
        <f>IFERROR(ALL!W10,0)</f>
        <v>0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3">
        <f>ALL!E11</f>
        <v>0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0</v>
      </c>
      <c r="I74" s="16">
        <f>IFERROR(ALL!M11,0)</f>
        <v>0</v>
      </c>
      <c r="J74" s="16">
        <f>IFERROR(ALL!N11,0)</f>
        <v>0</v>
      </c>
      <c r="K74" s="16">
        <f>IFERROR(ALL!O11,0)</f>
        <v>0</v>
      </c>
      <c r="L74" s="16">
        <f>IFERROR(ALL!P11,0)</f>
        <v>0</v>
      </c>
      <c r="M74" s="16">
        <f>IFERROR(ALL!Q11,0)</f>
        <v>0</v>
      </c>
      <c r="N74" s="16">
        <f>IFERROR(ALL!R11,0)</f>
        <v>0</v>
      </c>
      <c r="O74" s="16">
        <f>IFERROR(ALL!S11,0)</f>
        <v>0</v>
      </c>
      <c r="P74" s="16">
        <f>IFERROR(ALL!T11,0)</f>
        <v>0</v>
      </c>
      <c r="Q74" s="16">
        <f>IFERROR(ALL!U11,0)</f>
        <v>0</v>
      </c>
      <c r="R74" s="16">
        <f>IFERROR(ALL!V11,0)</f>
        <v>0</v>
      </c>
      <c r="S74" s="16">
        <f>IFERROR(ALL!W11,0)</f>
        <v>0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3">
        <f>ALL!E12</f>
        <v>0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0</v>
      </c>
      <c r="H75" s="16">
        <f>IFERROR(ALL!L12,0)</f>
        <v>0</v>
      </c>
      <c r="I75" s="16">
        <f>IFERROR(ALL!M12,0)</f>
        <v>0</v>
      </c>
      <c r="J75" s="16">
        <f>IFERROR(ALL!N12,0)</f>
        <v>0</v>
      </c>
      <c r="K75" s="16">
        <f>IFERROR(ALL!O12,0)</f>
        <v>0</v>
      </c>
      <c r="L75" s="16">
        <f>IFERROR(ALL!P12,0)</f>
        <v>0</v>
      </c>
      <c r="M75" s="16">
        <f>IFERROR(ALL!Q12,0)</f>
        <v>0</v>
      </c>
      <c r="N75" s="16">
        <f>IFERROR(ALL!R12,0)</f>
        <v>0</v>
      </c>
      <c r="O75" s="16">
        <f>IFERROR(ALL!S12,0)</f>
        <v>0</v>
      </c>
      <c r="P75" s="16">
        <f>IFERROR(ALL!T12,0)</f>
        <v>0</v>
      </c>
      <c r="Q75" s="16">
        <f>IFERROR(ALL!U12,0)</f>
        <v>0</v>
      </c>
      <c r="R75" s="16">
        <f>IFERROR(ALL!V12,0)</f>
        <v>0</v>
      </c>
      <c r="S75" s="16">
        <f>IFERROR(ALL!W12,0)</f>
        <v>0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3">
        <f>ALL!E13</f>
        <v>0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0</v>
      </c>
      <c r="P76" s="16">
        <f>IFERROR(ALL!T13,0)</f>
        <v>0</v>
      </c>
      <c r="Q76" s="16">
        <f>IFERROR(ALL!U13,0)</f>
        <v>0</v>
      </c>
      <c r="R76" s="16">
        <f>IFERROR(ALL!V13,0)</f>
        <v>0</v>
      </c>
      <c r="S76" s="16">
        <f>IFERROR(ALL!W13,0)</f>
        <v>0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3">
        <f>ALL!E14</f>
        <v>0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3">
        <f>ALL!E15</f>
        <v>0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3">
        <f>ALL!E16</f>
        <v>0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3">
        <f>ALL!E17</f>
        <v>0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3">
        <f>ALL!E18</f>
        <v>0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0</v>
      </c>
      <c r="M81" s="16">
        <f>IFERROR(ALL!Q18,0)</f>
        <v>0</v>
      </c>
      <c r="N81" s="16">
        <f>IFERROR(ALL!R18,0)</f>
        <v>0</v>
      </c>
      <c r="O81" s="16">
        <f>IFERROR(ALL!S18,0)</f>
        <v>0</v>
      </c>
      <c r="P81" s="16">
        <f>IFERROR(ALL!T18,0)</f>
        <v>0</v>
      </c>
      <c r="Q81" s="16">
        <f>IFERROR(ALL!U18,0)</f>
        <v>0</v>
      </c>
      <c r="R81" s="16">
        <f>IFERROR(ALL!V18,0)</f>
        <v>0</v>
      </c>
      <c r="S81" s="16">
        <f>IFERROR(ALL!W18,0)</f>
        <v>0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3">
        <f>ALL!E19</f>
        <v>0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3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3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3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3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3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3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3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3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3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3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3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3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3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3">
        <f>ALL!E33</f>
        <v>1</v>
      </c>
      <c r="B96" s="16">
        <f>IFERROR(ALL!F33,0)</f>
        <v>0</v>
      </c>
      <c r="C96" s="16">
        <f>IFERROR(ALL!G33,0)</f>
        <v>0</v>
      </c>
      <c r="D96" s="16">
        <f>IFERROR(ALL!H33,0)</f>
        <v>0</v>
      </c>
      <c r="E96" s="16">
        <f>IFERROR(ALL!I33,0)</f>
        <v>0</v>
      </c>
      <c r="F96" s="16">
        <f>IFERROR(ALL!J33,0)</f>
        <v>0</v>
      </c>
      <c r="G96" s="16">
        <f>IFERROR(ALL!K33,0)</f>
        <v>0</v>
      </c>
      <c r="H96" s="16">
        <f>IFERROR(ALL!L33,0)</f>
        <v>0</v>
      </c>
      <c r="I96" s="16">
        <f>IFERROR(ALL!M33,0)</f>
        <v>0</v>
      </c>
      <c r="J96" s="16">
        <f>IFERROR(ALL!N33,0)</f>
        <v>0</v>
      </c>
      <c r="K96" s="16">
        <f>IFERROR(ALL!O33,0)</f>
        <v>0</v>
      </c>
      <c r="L96" s="16">
        <f>IFERROR(ALL!P33,0)</f>
        <v>0</v>
      </c>
      <c r="M96" s="16">
        <f>IFERROR(ALL!Q33,0)</f>
        <v>0</v>
      </c>
      <c r="N96" s="16">
        <f>IFERROR(ALL!R33,0)</f>
        <v>0</v>
      </c>
      <c r="O96" s="16">
        <f>IFERROR(ALL!S33,0)</f>
        <v>0</v>
      </c>
      <c r="P96" s="16">
        <f>IFERROR(ALL!T33,0)</f>
        <v>0</v>
      </c>
      <c r="Q96" s="16">
        <f>IFERROR(ALL!U33,0)</f>
        <v>0</v>
      </c>
      <c r="R96" s="16">
        <f>IFERROR(ALL!V33,0)</f>
        <v>0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2.5" collapsed="1" thickTop="1" thickBot="1" x14ac:dyDescent="0.4">
      <c r="A97" s="89"/>
      <c r="B97" s="89"/>
    </row>
    <row r="98" spans="1:72" hidden="1" x14ac:dyDescent="0.35">
      <c r="A98" s="47"/>
      <c r="B98" s="47"/>
    </row>
    <row r="99" spans="1:72" hidden="1" x14ac:dyDescent="0.35">
      <c r="A99" s="47"/>
      <c r="B99" s="47"/>
    </row>
    <row r="100" spans="1:72" ht="22.5" hidden="1" thickTop="1" thickBot="1" x14ac:dyDescent="0.4">
      <c r="A100" s="86" t="s">
        <v>27</v>
      </c>
      <c r="B100" s="59">
        <v>300</v>
      </c>
      <c r="C100" s="59">
        <v>310</v>
      </c>
      <c r="D100" s="59">
        <v>320</v>
      </c>
      <c r="E100" s="59">
        <v>330</v>
      </c>
      <c r="F100" s="59">
        <v>340</v>
      </c>
      <c r="G100" s="59">
        <v>350</v>
      </c>
      <c r="H100" s="59">
        <v>360</v>
      </c>
      <c r="I100" s="59">
        <v>370</v>
      </c>
      <c r="J100" s="59">
        <v>380</v>
      </c>
      <c r="K100" s="59">
        <v>390</v>
      </c>
      <c r="L100" s="59">
        <v>400</v>
      </c>
      <c r="M100" s="59">
        <v>410</v>
      </c>
      <c r="N100" s="59">
        <v>420</v>
      </c>
      <c r="O100" s="59">
        <v>430</v>
      </c>
      <c r="P100" s="59">
        <v>440</v>
      </c>
      <c r="Q100" s="59">
        <v>450</v>
      </c>
      <c r="R100" s="59">
        <v>460</v>
      </c>
      <c r="S100" s="59">
        <v>470</v>
      </c>
      <c r="T100" s="59">
        <v>480</v>
      </c>
      <c r="U100" s="59">
        <v>490</v>
      </c>
      <c r="V100" s="59">
        <v>500</v>
      </c>
      <c r="W100" s="59">
        <v>510</v>
      </c>
      <c r="X100" s="59">
        <v>520</v>
      </c>
      <c r="Y100" s="59">
        <v>530</v>
      </c>
      <c r="Z100" s="59">
        <v>540</v>
      </c>
      <c r="AA100" s="59">
        <v>550</v>
      </c>
      <c r="AB100" s="59">
        <v>560</v>
      </c>
      <c r="AC100" s="59">
        <v>570</v>
      </c>
      <c r="AD100" s="59">
        <v>580</v>
      </c>
      <c r="AE100" s="59">
        <v>590</v>
      </c>
      <c r="AF100" s="59">
        <v>600</v>
      </c>
      <c r="AG100" s="59">
        <v>610</v>
      </c>
      <c r="AH100" s="59">
        <v>620</v>
      </c>
      <c r="AI100" s="59">
        <v>630</v>
      </c>
      <c r="AJ100" s="59">
        <v>640</v>
      </c>
      <c r="AK100" s="59">
        <v>650</v>
      </c>
      <c r="AL100" s="59">
        <v>660</v>
      </c>
      <c r="AM100" s="59">
        <v>670</v>
      </c>
      <c r="AN100" s="59">
        <v>680</v>
      </c>
      <c r="AO100" s="59">
        <v>690</v>
      </c>
      <c r="AP100" s="59">
        <v>700</v>
      </c>
      <c r="AQ100" s="59">
        <v>710</v>
      </c>
      <c r="AR100" s="59">
        <v>720</v>
      </c>
      <c r="AS100" s="59">
        <v>730</v>
      </c>
      <c r="AT100" s="59">
        <v>740</v>
      </c>
      <c r="AU100" s="59">
        <v>750</v>
      </c>
      <c r="AV100" s="59">
        <v>760</v>
      </c>
      <c r="AW100" s="59">
        <v>770</v>
      </c>
      <c r="AX100" s="59">
        <v>780</v>
      </c>
      <c r="AY100" s="59">
        <v>790</v>
      </c>
      <c r="AZ100" s="59">
        <v>800</v>
      </c>
      <c r="BA100" s="59">
        <v>810</v>
      </c>
      <c r="BB100" s="59">
        <v>820</v>
      </c>
      <c r="BC100" s="59">
        <v>830</v>
      </c>
      <c r="BD100" s="59">
        <v>840</v>
      </c>
      <c r="BE100" s="59">
        <v>850</v>
      </c>
      <c r="BF100" s="59">
        <v>860</v>
      </c>
      <c r="BG100" s="59">
        <v>870</v>
      </c>
      <c r="BH100" s="59">
        <v>880</v>
      </c>
      <c r="BI100" s="59">
        <v>890</v>
      </c>
      <c r="BJ100" s="59">
        <v>900</v>
      </c>
      <c r="BK100" s="59">
        <v>910</v>
      </c>
      <c r="BL100" s="59">
        <v>920</v>
      </c>
      <c r="BM100" s="59">
        <v>930</v>
      </c>
      <c r="BN100" s="59">
        <v>940</v>
      </c>
      <c r="BO100" s="59">
        <v>950</v>
      </c>
      <c r="BP100" s="59">
        <v>960</v>
      </c>
      <c r="BQ100" s="59">
        <v>970</v>
      </c>
      <c r="BR100" s="59">
        <v>980</v>
      </c>
      <c r="BS100" s="59">
        <v>990</v>
      </c>
      <c r="BT100" s="59">
        <v>1000</v>
      </c>
    </row>
    <row r="101" spans="1:72" ht="22.5" hidden="1" thickTop="1" thickBot="1" x14ac:dyDescent="0.4">
      <c r="A101" s="83" t="s">
        <v>53</v>
      </c>
      <c r="B101" s="35">
        <v>1.0499819393939397E-8</v>
      </c>
      <c r="C101" s="35">
        <v>1.2553175757575757E-8</v>
      </c>
      <c r="D101" s="35">
        <v>1.2124690909090909E-8</v>
      </c>
      <c r="E101" s="35">
        <v>1.1763012121212122E-8</v>
      </c>
      <c r="F101" s="35">
        <v>1.1430890909090908E-8</v>
      </c>
      <c r="G101" s="35">
        <v>1.1154527272727272E-8</v>
      </c>
      <c r="H101" s="35">
        <v>1.0895198795180723E-8</v>
      </c>
      <c r="I101" s="35">
        <v>1.0658451807228917E-8</v>
      </c>
      <c r="J101" s="35">
        <v>1.0436466666666668E-8</v>
      </c>
      <c r="K101" s="35">
        <v>1.0219887272727273E-8</v>
      </c>
      <c r="L101" s="35">
        <v>1.0010614545454545E-8</v>
      </c>
      <c r="M101" s="35">
        <v>9.8047827534039328E-9</v>
      </c>
      <c r="N101" s="35">
        <v>9.6028311649016637E-9</v>
      </c>
      <c r="O101" s="35">
        <v>9.4008795763993946E-9</v>
      </c>
      <c r="P101" s="35">
        <v>9.1989279878971255E-9</v>
      </c>
      <c r="Q101" s="35">
        <v>8.9969763993948564E-9</v>
      </c>
      <c r="R101" s="35">
        <v>8.7950248108925872E-9</v>
      </c>
      <c r="S101" s="35">
        <v>8.5930732223903165E-9</v>
      </c>
      <c r="T101" s="35">
        <v>8.4368668683812398E-9</v>
      </c>
      <c r="U101" s="35">
        <v>8.2881074130105905E-9</v>
      </c>
      <c r="V101" s="35">
        <v>8.1393479576399396E-9</v>
      </c>
      <c r="W101" s="35">
        <v>7.9905885022692887E-9</v>
      </c>
      <c r="X101" s="35">
        <v>7.8418290468986394E-9</v>
      </c>
      <c r="Y101" s="35">
        <v>7.6930695915279885E-9</v>
      </c>
      <c r="Z101" s="35">
        <v>7.5675075757575768E-9</v>
      </c>
      <c r="AA101" s="35">
        <v>7.5115378787878793E-9</v>
      </c>
      <c r="AB101" s="35">
        <v>7.4555681818181818E-9</v>
      </c>
      <c r="AC101" s="35">
        <v>7.3995984848484851E-9</v>
      </c>
      <c r="AD101" s="35">
        <v>7.3436287878787884E-9</v>
      </c>
      <c r="AE101" s="35">
        <v>7.2876590909090908E-9</v>
      </c>
      <c r="AF101" s="35">
        <v>7.2316893939393942E-9</v>
      </c>
      <c r="AG101" s="35">
        <v>7.2136340393343415E-9</v>
      </c>
      <c r="AH101" s="35">
        <v>7.2159940998487141E-9</v>
      </c>
      <c r="AI101" s="35">
        <v>7.2183541603630859E-9</v>
      </c>
      <c r="AJ101" s="35">
        <v>7.2207142208774585E-9</v>
      </c>
      <c r="AK101" s="35">
        <v>7.2230742813918302E-9</v>
      </c>
      <c r="AL101" s="35">
        <v>7.2254343419062028E-9</v>
      </c>
      <c r="AM101" s="35">
        <v>7.2309278366111947E-9</v>
      </c>
      <c r="AN101" s="35">
        <v>7.3116237518910734E-9</v>
      </c>
      <c r="AO101" s="35">
        <v>7.3923196671709529E-9</v>
      </c>
      <c r="AP101" s="35">
        <v>7.4730155824508308E-9</v>
      </c>
      <c r="AQ101" s="35">
        <v>7.5537114977307111E-9</v>
      </c>
      <c r="AR101" s="35">
        <v>7.6344074130105898E-9</v>
      </c>
      <c r="AS101" s="35">
        <v>7.7151033282904684E-9</v>
      </c>
      <c r="AT101" s="35">
        <v>7.8190751891074123E-9</v>
      </c>
      <c r="AU101" s="35">
        <v>7.953901210287443E-9</v>
      </c>
      <c r="AV101" s="35">
        <v>8.0887272314674737E-9</v>
      </c>
      <c r="AW101" s="35">
        <v>8.2235532526475028E-9</v>
      </c>
      <c r="AX101" s="35">
        <v>8.3583792738275335E-9</v>
      </c>
      <c r="AY101" s="35">
        <v>8.4932052950075643E-9</v>
      </c>
      <c r="AZ101" s="35">
        <v>8.628031316187595E-9</v>
      </c>
      <c r="BA101" s="35">
        <v>8.8135666666666673E-9</v>
      </c>
      <c r="BB101" s="35">
        <v>9.0170230303030318E-9</v>
      </c>
      <c r="BC101" s="35">
        <v>9.2536290909090921E-9</v>
      </c>
      <c r="BD101" s="35">
        <v>9.5171175757575775E-9</v>
      </c>
      <c r="BE101" s="35">
        <v>9.8054206060606076E-9</v>
      </c>
      <c r="BF101" s="35">
        <v>1.0151934545454547E-8</v>
      </c>
      <c r="BG101" s="35">
        <v>1.0525879518072291E-8</v>
      </c>
      <c r="BH101" s="35">
        <v>1.0966240963855423E-8</v>
      </c>
      <c r="BI101" s="35">
        <v>1.1471563636363639E-8</v>
      </c>
      <c r="BJ101" s="35">
        <v>1.2027927272727275E-8</v>
      </c>
      <c r="BK101" s="35">
        <v>1.2721618181818183E-8</v>
      </c>
      <c r="BL101" s="35">
        <v>1.2340058181818175E-8</v>
      </c>
      <c r="BM101" s="35">
        <v>8.8595127272727203E-9</v>
      </c>
      <c r="BN101" s="35">
        <v>7.8788581818181831E-9</v>
      </c>
      <c r="BO101" s="35">
        <v>8.4964945454545467E-9</v>
      </c>
      <c r="BP101" s="35">
        <v>9.2900674698795191E-9</v>
      </c>
      <c r="BQ101" s="35">
        <v>1.0168572727272728E-8</v>
      </c>
      <c r="BR101" s="35">
        <v>1.1228148484848485E-8</v>
      </c>
      <c r="BS101" s="35">
        <v>1.2508606060606061E-8</v>
      </c>
      <c r="BT101" s="35">
        <v>1.3908E-8</v>
      </c>
    </row>
    <row r="102" spans="1:72" ht="21.75" hidden="1" thickBot="1" x14ac:dyDescent="0.4">
      <c r="A102" s="83" t="s">
        <v>96</v>
      </c>
      <c r="B102" s="35">
        <v>8.2800918787878858E-22</v>
      </c>
      <c r="C102" s="35">
        <v>6.730387878787895E-21</v>
      </c>
      <c r="D102" s="35">
        <v>2.1026145454545471E-20</v>
      </c>
      <c r="E102" s="35">
        <v>1.6923752727272748E-19</v>
      </c>
      <c r="F102" s="35">
        <v>5.188564848484872E-19</v>
      </c>
      <c r="G102" s="35">
        <v>2.6150625454545477E-18</v>
      </c>
      <c r="H102" s="35">
        <v>1.1356425903614467E-17</v>
      </c>
      <c r="I102" s="35">
        <v>2.8906486144578295E-17</v>
      </c>
      <c r="J102" s="35">
        <v>1.266949333333332E-16</v>
      </c>
      <c r="K102" s="35">
        <v>3.1841890909090827E-16</v>
      </c>
      <c r="L102" s="35">
        <v>1.0232431515151506E-15</v>
      </c>
      <c r="M102" s="35">
        <v>3.3973502571860751E-14</v>
      </c>
      <c r="N102" s="35">
        <v>1.0328563570347953E-13</v>
      </c>
      <c r="O102" s="35">
        <v>1.7259776883509832E-13</v>
      </c>
      <c r="P102" s="35">
        <v>2.4190990196671709E-13</v>
      </c>
      <c r="Q102" s="35">
        <v>3.112220350983359E-13</v>
      </c>
      <c r="R102" s="35">
        <v>3.805341682299547E-13</v>
      </c>
      <c r="S102" s="35">
        <v>4.4984630136157345E-13</v>
      </c>
      <c r="T102" s="35">
        <v>4.5734270045385875E-12</v>
      </c>
      <c r="U102" s="35">
        <v>9.3570049167927441E-12</v>
      </c>
      <c r="V102" s="35">
        <v>1.4140582829046902E-11</v>
      </c>
      <c r="W102" s="35">
        <v>1.8924160741301062E-11</v>
      </c>
      <c r="X102" s="35">
        <v>2.3707738653555219E-11</v>
      </c>
      <c r="Y102" s="35">
        <v>2.8491316565809379E-11</v>
      </c>
      <c r="Z102" s="35">
        <v>6.1252901515151512E-11</v>
      </c>
      <c r="AA102" s="35">
        <v>1.7794850757575755E-10</v>
      </c>
      <c r="AB102" s="35">
        <v>2.9464411363636361E-10</v>
      </c>
      <c r="AC102" s="35">
        <v>4.1133971969696966E-10</v>
      </c>
      <c r="AD102" s="35">
        <v>5.2803532575757577E-10</v>
      </c>
      <c r="AE102" s="35">
        <v>6.4473093181818177E-10</v>
      </c>
      <c r="AF102" s="35">
        <v>7.6142653787878778E-10</v>
      </c>
      <c r="AG102" s="35">
        <v>1.6906980635400907E-9</v>
      </c>
      <c r="AH102" s="35">
        <v>3.0575104689863836E-9</v>
      </c>
      <c r="AI102" s="35">
        <v>4.4243228744326769E-9</v>
      </c>
      <c r="AJ102" s="35">
        <v>5.7911352798789694E-9</v>
      </c>
      <c r="AK102" s="35">
        <v>7.1579476853252636E-9</v>
      </c>
      <c r="AL102" s="35">
        <v>8.5247600907715561E-9</v>
      </c>
      <c r="AM102" s="35">
        <v>1.0213112405446273E-8</v>
      </c>
      <c r="AN102" s="35">
        <v>1.9618422541603606E-8</v>
      </c>
      <c r="AO102" s="35">
        <v>2.902373267776094E-8</v>
      </c>
      <c r="AP102" s="35">
        <v>3.8429042813918273E-8</v>
      </c>
      <c r="AQ102" s="35">
        <v>4.7834352950075607E-8</v>
      </c>
      <c r="AR102" s="35">
        <v>5.723966308623294E-8</v>
      </c>
      <c r="AS102" s="35">
        <v>6.6644973222390281E-8</v>
      </c>
      <c r="AT102" s="35">
        <v>9.0481948562783486E-8</v>
      </c>
      <c r="AU102" s="35">
        <v>1.3344927080181533E-7</v>
      </c>
      <c r="AV102" s="35">
        <v>1.7641659304084712E-7</v>
      </c>
      <c r="AW102" s="35">
        <v>2.1938391527987897E-7</v>
      </c>
      <c r="AX102" s="35">
        <v>2.6235123751891076E-7</v>
      </c>
      <c r="AY102" s="35">
        <v>3.053185597579426E-7</v>
      </c>
      <c r="AZ102" s="35">
        <v>3.4828588199697445E-7</v>
      </c>
      <c r="BA102" s="35">
        <v>4.2945721212121251E-7</v>
      </c>
      <c r="BB102" s="35">
        <v>5.2390769696969744E-7</v>
      </c>
      <c r="BC102" s="35">
        <v>6.4224709090909145E-7</v>
      </c>
      <c r="BD102" s="35">
        <v>7.785816363636371E-7</v>
      </c>
      <c r="BE102" s="35">
        <v>9.3152709090909157E-7</v>
      </c>
      <c r="BF102" s="35">
        <v>1.1194992727272737E-6</v>
      </c>
      <c r="BG102" s="35">
        <v>1.3222843373493986E-6</v>
      </c>
      <c r="BH102" s="35">
        <v>1.5590313253012056E-6</v>
      </c>
      <c r="BI102" s="35">
        <v>1.8234278787878794E-6</v>
      </c>
      <c r="BJ102" s="35">
        <v>2.1095490909090915E-6</v>
      </c>
      <c r="BK102" s="35">
        <v>2.4395709090909097E-6</v>
      </c>
      <c r="BL102" s="35">
        <v>2.7854690909090918E-6</v>
      </c>
      <c r="BM102" s="35">
        <v>3.1641963636363646E-6</v>
      </c>
      <c r="BN102" s="35">
        <v>3.5649206060606069E-6</v>
      </c>
      <c r="BO102" s="35">
        <v>3.9797084848484857E-6</v>
      </c>
      <c r="BP102" s="35">
        <v>4.4137843373493979E-6</v>
      </c>
      <c r="BQ102" s="35">
        <v>4.8508545454545452E-6</v>
      </c>
      <c r="BR102" s="35">
        <v>5.2930363636363638E-6</v>
      </c>
      <c r="BS102" s="35">
        <v>5.7245818181818183E-6</v>
      </c>
      <c r="BT102" s="35">
        <v>6.1503999999999996E-6</v>
      </c>
    </row>
    <row r="103" spans="1:72" ht="21.75" hidden="1" thickBot="1" x14ac:dyDescent="0.4">
      <c r="A103" s="83" t="s">
        <v>95</v>
      </c>
      <c r="B103" s="35">
        <v>5.6517576969697028E-19</v>
      </c>
      <c r="C103" s="35">
        <v>3.6265311515151599E-18</v>
      </c>
      <c r="D103" s="35">
        <v>1.085603418181819E-17</v>
      </c>
      <c r="E103" s="35">
        <v>6.9359551515151596E-17</v>
      </c>
      <c r="F103" s="35">
        <v>1.9257521212121285E-16</v>
      </c>
      <c r="G103" s="35">
        <v>8.4189036363636428E-16</v>
      </c>
      <c r="H103" s="35">
        <v>3.09363855421687E-15</v>
      </c>
      <c r="I103" s="35">
        <v>7.4695421686746954E-15</v>
      </c>
      <c r="J103" s="35">
        <v>2.7592066666666638E-14</v>
      </c>
      <c r="K103" s="35">
        <v>6.3740890909090772E-14</v>
      </c>
      <c r="L103" s="35">
        <v>1.8292331515151502E-13</v>
      </c>
      <c r="M103" s="35">
        <v>3.3322273222390257E-12</v>
      </c>
      <c r="N103" s="35">
        <v>9.898476944024204E-12</v>
      </c>
      <c r="O103" s="35">
        <v>1.6464726565809383E-11</v>
      </c>
      <c r="P103" s="35">
        <v>2.3030976187594561E-11</v>
      </c>
      <c r="Q103" s="35">
        <v>2.9597225809379732E-11</v>
      </c>
      <c r="R103" s="35">
        <v>3.6163475431164912E-11</v>
      </c>
      <c r="S103" s="35">
        <v>4.2729725052950087E-11</v>
      </c>
      <c r="T103" s="35">
        <v>2.8169739031770097E-10</v>
      </c>
      <c r="U103" s="35">
        <v>5.5849784417549222E-10</v>
      </c>
      <c r="V103" s="35">
        <v>8.3529829803328325E-10</v>
      </c>
      <c r="W103" s="35">
        <v>1.1120987518910744E-9</v>
      </c>
      <c r="X103" s="35">
        <v>1.3888992057488655E-9</v>
      </c>
      <c r="Y103" s="35">
        <v>1.6656996596066567E-9</v>
      </c>
      <c r="Z103" s="35">
        <v>2.9967356060606063E-9</v>
      </c>
      <c r="AA103" s="35">
        <v>7.4904780303030303E-9</v>
      </c>
      <c r="AB103" s="35">
        <v>1.1984220454545455E-8</v>
      </c>
      <c r="AC103" s="35">
        <v>1.647796287878788E-8</v>
      </c>
      <c r="AD103" s="35">
        <v>2.0971705303030305E-8</v>
      </c>
      <c r="AE103" s="35">
        <v>2.5465447727272729E-8</v>
      </c>
      <c r="AF103" s="35">
        <v>2.9959190151515154E-8</v>
      </c>
      <c r="AG103" s="35">
        <v>5.5738157337367618E-8</v>
      </c>
      <c r="AH103" s="35">
        <v>9.2978399394856259E-8</v>
      </c>
      <c r="AI103" s="35">
        <v>1.302186414523449E-7</v>
      </c>
      <c r="AJ103" s="35">
        <v>1.6745888350983351E-7</v>
      </c>
      <c r="AK103" s="35">
        <v>2.0469912556732216E-7</v>
      </c>
      <c r="AL103" s="35">
        <v>2.4193936762481082E-7</v>
      </c>
      <c r="AM103" s="35">
        <v>2.852791679273823E-7</v>
      </c>
      <c r="AN103" s="35">
        <v>4.7500836611195115E-7</v>
      </c>
      <c r="AO103" s="35">
        <v>6.6473756429651983E-7</v>
      </c>
      <c r="AP103" s="35">
        <v>8.5446676248108862E-7</v>
      </c>
      <c r="AQ103" s="35">
        <v>1.0441959606656574E-6</v>
      </c>
      <c r="AR103" s="35">
        <v>1.2339251588502264E-6</v>
      </c>
      <c r="AS103" s="35">
        <v>1.4236543570347952E-6</v>
      </c>
      <c r="AT103" s="35">
        <v>1.8164521936459884E-6</v>
      </c>
      <c r="AU103" s="35">
        <v>2.4784340393343402E-6</v>
      </c>
      <c r="AV103" s="35">
        <v>3.140415885022692E-6</v>
      </c>
      <c r="AW103" s="35">
        <v>3.8023977307110437E-6</v>
      </c>
      <c r="AX103" s="35">
        <v>4.4643795763993959E-6</v>
      </c>
      <c r="AY103" s="35">
        <v>5.1263614220877473E-6</v>
      </c>
      <c r="AZ103" s="35">
        <v>5.7883432677760995E-6</v>
      </c>
      <c r="BA103" s="35">
        <v>6.8906551515151565E-6</v>
      </c>
      <c r="BB103" s="35">
        <v>8.1378327272727337E-6</v>
      </c>
      <c r="BC103" s="35">
        <v>9.6203781818181887E-6</v>
      </c>
      <c r="BD103" s="35">
        <v>1.1263587878787887E-5</v>
      </c>
      <c r="BE103" s="35">
        <v>1.3055103030303039E-5</v>
      </c>
      <c r="BF103" s="35">
        <v>1.5123963636363646E-5</v>
      </c>
      <c r="BG103" s="35">
        <v>1.7298662650602419E-5</v>
      </c>
      <c r="BH103" s="35">
        <v>1.9701674698795185E-5</v>
      </c>
      <c r="BI103" s="35">
        <v>2.2262175757575761E-5</v>
      </c>
      <c r="BJ103" s="35">
        <v>2.4946418181818188E-5</v>
      </c>
      <c r="BK103" s="35">
        <v>2.7804387878787886E-5</v>
      </c>
      <c r="BL103" s="35">
        <v>3.0699709090909097E-5</v>
      </c>
      <c r="BM103" s="35">
        <v>3.3652436363636369E-5</v>
      </c>
      <c r="BN103" s="35">
        <v>3.6561909090909096E-5</v>
      </c>
      <c r="BO103" s="35">
        <v>3.9443727272727279E-5</v>
      </c>
      <c r="BP103" s="35">
        <v>4.2077554216867471E-5</v>
      </c>
      <c r="BQ103" s="35">
        <v>4.4579636363636361E-5</v>
      </c>
      <c r="BR103" s="35">
        <v>4.6798424242424239E-5</v>
      </c>
      <c r="BS103" s="35">
        <v>4.8639030303030301E-5</v>
      </c>
      <c r="BT103" s="35">
        <v>5.0275999999999998E-5</v>
      </c>
    </row>
    <row r="104" spans="1:72" ht="21.75" hidden="1" thickBot="1" x14ac:dyDescent="0.4">
      <c r="A104" s="83" t="s">
        <v>94</v>
      </c>
      <c r="B104" s="35">
        <v>3.2979792727272764E-17</v>
      </c>
      <c r="C104" s="35">
        <v>1.4452701212121241E-16</v>
      </c>
      <c r="D104" s="35">
        <v>3.9241125454545482E-16</v>
      </c>
      <c r="E104" s="35">
        <v>1.7145683636363656E-15</v>
      </c>
      <c r="F104" s="35">
        <v>4.0705848484848592E-15</v>
      </c>
      <c r="G104" s="35">
        <v>1.3746645454545468E-14</v>
      </c>
      <c r="H104" s="35">
        <v>3.8694891566265089E-14</v>
      </c>
      <c r="I104" s="35">
        <v>8.388766265060238E-14</v>
      </c>
      <c r="J104" s="35">
        <v>2.3498573333333318E-13</v>
      </c>
      <c r="K104" s="35">
        <v>4.7269254545454473E-13</v>
      </c>
      <c r="L104" s="35">
        <v>1.1135470909090902E-12</v>
      </c>
      <c r="M104" s="35">
        <v>7.9487848714069467E-12</v>
      </c>
      <c r="N104" s="35">
        <v>2.1769178214826017E-11</v>
      </c>
      <c r="O104" s="35">
        <v>3.5589571558245081E-11</v>
      </c>
      <c r="P104" s="35">
        <v>4.9409964901664148E-11</v>
      </c>
      <c r="Q104" s="35">
        <v>6.3230358245083222E-11</v>
      </c>
      <c r="R104" s="35">
        <v>7.7050751588502295E-11</v>
      </c>
      <c r="S104" s="35">
        <v>9.0871144931921369E-11</v>
      </c>
      <c r="T104" s="35">
        <v>3.1542942511346497E-10</v>
      </c>
      <c r="U104" s="35">
        <v>5.742938729198189E-10</v>
      </c>
      <c r="V104" s="35">
        <v>8.3315832072617277E-10</v>
      </c>
      <c r="W104" s="35">
        <v>1.0920227685325266E-9</v>
      </c>
      <c r="X104" s="35">
        <v>1.3508872163388805E-9</v>
      </c>
      <c r="Y104" s="35">
        <v>1.6097516641452346E-9</v>
      </c>
      <c r="Z104" s="35">
        <v>2.3446613636363636E-9</v>
      </c>
      <c r="AA104" s="35">
        <v>4.5077068181818176E-9</v>
      </c>
      <c r="AB104" s="35">
        <v>6.6707522727272723E-9</v>
      </c>
      <c r="AC104" s="35">
        <v>8.8337977272727271E-9</v>
      </c>
      <c r="AD104" s="35">
        <v>1.0996843181818182E-8</v>
      </c>
      <c r="AE104" s="35">
        <v>1.3159888636363637E-8</v>
      </c>
      <c r="AF104" s="35">
        <v>1.5322934090909088E-8</v>
      </c>
      <c r="AG104" s="35">
        <v>2.2746580937972764E-8</v>
      </c>
      <c r="AH104" s="35">
        <v>3.3002859304084715E-8</v>
      </c>
      <c r="AI104" s="35">
        <v>4.3259137670196659E-8</v>
      </c>
      <c r="AJ104" s="35">
        <v>5.351541603630861E-8</v>
      </c>
      <c r="AK104" s="35">
        <v>6.3771694402420561E-8</v>
      </c>
      <c r="AL104" s="35">
        <v>7.4027972768532512E-8</v>
      </c>
      <c r="AM104" s="35">
        <v>8.5166925869894026E-8</v>
      </c>
      <c r="AN104" s="35">
        <v>1.1749007261724651E-7</v>
      </c>
      <c r="AO104" s="35">
        <v>1.49813219364599E-7</v>
      </c>
      <c r="AP104" s="35">
        <v>1.8213636611195146E-7</v>
      </c>
      <c r="AQ104" s="35">
        <v>2.1445951285930395E-7</v>
      </c>
      <c r="AR104" s="35">
        <v>2.4678265960665643E-7</v>
      </c>
      <c r="AS104" s="35">
        <v>2.7910580635400895E-7</v>
      </c>
      <c r="AT104" s="35">
        <v>3.2916329803328259E-7</v>
      </c>
      <c r="AU104" s="35">
        <v>4.027291074130104E-7</v>
      </c>
      <c r="AV104" s="35">
        <v>4.7629491679273822E-7</v>
      </c>
      <c r="AW104" s="35">
        <v>5.4986072617246593E-7</v>
      </c>
      <c r="AX104" s="35">
        <v>6.2342653555219374E-7</v>
      </c>
      <c r="AY104" s="35">
        <v>6.9699234493192156E-7</v>
      </c>
      <c r="AZ104" s="35">
        <v>7.7055815431164937E-7</v>
      </c>
      <c r="BA104" s="35">
        <v>8.7034727272727319E-7</v>
      </c>
      <c r="BB104" s="35">
        <v>9.7791212121212184E-7</v>
      </c>
      <c r="BC104" s="35">
        <v>1.0953363636363642E-6</v>
      </c>
      <c r="BD104" s="35">
        <v>1.2178187878787883E-6</v>
      </c>
      <c r="BE104" s="35">
        <v>1.3449703030303037E-6</v>
      </c>
      <c r="BF104" s="35">
        <v>1.4776054545454553E-6</v>
      </c>
      <c r="BG104" s="35">
        <v>1.6112012048192776E-6</v>
      </c>
      <c r="BH104" s="35">
        <v>1.7452975903614463E-6</v>
      </c>
      <c r="BI104" s="35">
        <v>1.8770321212121215E-6</v>
      </c>
      <c r="BJ104" s="35">
        <v>2.0069109090909094E-6</v>
      </c>
      <c r="BK104" s="35">
        <v>2.1253733333333339E-6</v>
      </c>
      <c r="BL104" s="35">
        <v>2.2373175757575762E-6</v>
      </c>
      <c r="BM104" s="35">
        <v>2.3339236363636367E-6</v>
      </c>
      <c r="BN104" s="35">
        <v>2.4130430303030303E-6</v>
      </c>
      <c r="BO104" s="35">
        <v>2.4809824242424245E-6</v>
      </c>
      <c r="BP104" s="35">
        <v>2.5148710843373495E-6</v>
      </c>
      <c r="BQ104" s="35">
        <v>2.5356181818181818E-6</v>
      </c>
      <c r="BR104" s="35">
        <v>2.5290121212121213E-6</v>
      </c>
      <c r="BS104" s="35">
        <v>2.4964454545454543E-6</v>
      </c>
      <c r="BT104" s="35">
        <v>2.4499E-6</v>
      </c>
    </row>
    <row r="105" spans="1:72" ht="21.75" hidden="1" thickBot="1" x14ac:dyDescent="0.4">
      <c r="A105" s="83" t="s">
        <v>68</v>
      </c>
      <c r="B105" s="35">
        <v>1.6731329696969715E-18</v>
      </c>
      <c r="C105" s="35">
        <v>8.0512096969697133E-18</v>
      </c>
      <c r="D105" s="35">
        <v>2.2478603636363652E-17</v>
      </c>
      <c r="E105" s="35">
        <v>1.075128363636365E-16</v>
      </c>
      <c r="F105" s="35">
        <v>2.6463690909090985E-16</v>
      </c>
      <c r="G105" s="35">
        <v>9.5047327272727343E-16</v>
      </c>
      <c r="H105" s="35">
        <v>2.8351837349397608E-15</v>
      </c>
      <c r="I105" s="35">
        <v>6.3090993975903589E-15</v>
      </c>
      <c r="J105" s="35">
        <v>1.8726653333333317E-14</v>
      </c>
      <c r="K105" s="35">
        <v>3.877045454545448E-14</v>
      </c>
      <c r="L105" s="35">
        <v>9.5149242424242366E-14</v>
      </c>
      <c r="M105" s="35">
        <v>8.0029912254160229E-13</v>
      </c>
      <c r="N105" s="35">
        <v>2.2370419364599083E-12</v>
      </c>
      <c r="O105" s="35">
        <v>3.6737847503782146E-12</v>
      </c>
      <c r="P105" s="35">
        <v>5.1105275642965202E-12</v>
      </c>
      <c r="Q105" s="35">
        <v>6.5472703782148266E-12</v>
      </c>
      <c r="R105" s="35">
        <v>7.9840131921331338E-12</v>
      </c>
      <c r="S105" s="35">
        <v>9.4207560060514402E-12</v>
      </c>
      <c r="T105" s="35">
        <v>3.5750820726172529E-11</v>
      </c>
      <c r="U105" s="35">
        <v>6.613328668683817E-11</v>
      </c>
      <c r="V105" s="35">
        <v>9.6515752647503823E-11</v>
      </c>
      <c r="W105" s="35">
        <v>1.2689821860816946E-10</v>
      </c>
      <c r="X105" s="35">
        <v>1.572806845688351E-10</v>
      </c>
      <c r="Y105" s="35">
        <v>1.8766315052950077E-10</v>
      </c>
      <c r="Z105" s="35">
        <v>2.7905795454545454E-10</v>
      </c>
      <c r="AA105" s="35">
        <v>5.5348977272727272E-10</v>
      </c>
      <c r="AB105" s="35">
        <v>8.2792159090909095E-10</v>
      </c>
      <c r="AC105" s="35">
        <v>1.1023534090909092E-9</v>
      </c>
      <c r="AD105" s="35">
        <v>1.3767852272727274E-9</v>
      </c>
      <c r="AE105" s="35">
        <v>1.6512170454545457E-9</v>
      </c>
      <c r="AF105" s="35">
        <v>1.9256488636363639E-9</v>
      </c>
      <c r="AG105" s="35">
        <v>2.9088172465960664E-9</v>
      </c>
      <c r="AH105" s="35">
        <v>4.2736130105900143E-9</v>
      </c>
      <c r="AI105" s="35">
        <v>5.6384087745839627E-9</v>
      </c>
      <c r="AJ105" s="35">
        <v>7.003204538577911E-9</v>
      </c>
      <c r="AK105" s="35">
        <v>8.3680003025718594E-9</v>
      </c>
      <c r="AL105" s="35">
        <v>9.7327960665658077E-9</v>
      </c>
      <c r="AM105" s="35">
        <v>1.121942965204235E-8</v>
      </c>
      <c r="AN105" s="35">
        <v>1.5630170953101351E-8</v>
      </c>
      <c r="AO105" s="35">
        <v>2.0040912254160348E-8</v>
      </c>
      <c r="AP105" s="35">
        <v>2.4451653555219348E-8</v>
      </c>
      <c r="AQ105" s="35">
        <v>2.8862394856278349E-8</v>
      </c>
      <c r="AR105" s="35">
        <v>3.3273136157337349E-8</v>
      </c>
      <c r="AS105" s="35">
        <v>3.768387745839635E-8</v>
      </c>
      <c r="AT105" s="35">
        <v>4.4533909228441716E-8</v>
      </c>
      <c r="AU105" s="35">
        <v>5.4617419062027207E-8</v>
      </c>
      <c r="AV105" s="35">
        <v>6.4700928895612691E-8</v>
      </c>
      <c r="AW105" s="35">
        <v>7.4784438729198188E-8</v>
      </c>
      <c r="AX105" s="35">
        <v>8.4867948562783671E-8</v>
      </c>
      <c r="AY105" s="35">
        <v>9.4951458396369155E-8</v>
      </c>
      <c r="AZ105" s="35">
        <v>1.0503496822995465E-7</v>
      </c>
      <c r="BA105" s="35">
        <v>1.1861824242424249E-7</v>
      </c>
      <c r="BB105" s="35">
        <v>1.3322012121212128E-7</v>
      </c>
      <c r="BC105" s="35">
        <v>1.4904436363636372E-7</v>
      </c>
      <c r="BD105" s="35">
        <v>1.6544218181818189E-7</v>
      </c>
      <c r="BE105" s="35">
        <v>1.8236945454545461E-7</v>
      </c>
      <c r="BF105" s="35">
        <v>1.9975545454545463E-7</v>
      </c>
      <c r="BG105" s="35">
        <v>2.1712855421686755E-7</v>
      </c>
      <c r="BH105" s="35">
        <v>2.3421289156626509E-7</v>
      </c>
      <c r="BI105" s="35">
        <v>2.5065606060606065E-7</v>
      </c>
      <c r="BJ105" s="35">
        <v>2.6659545454545459E-7</v>
      </c>
      <c r="BK105" s="35">
        <v>2.8037842424242424E-7</v>
      </c>
      <c r="BL105" s="35">
        <v>2.9302945454545454E-7</v>
      </c>
      <c r="BM105" s="35">
        <v>3.0306581818181821E-7</v>
      </c>
      <c r="BN105" s="35">
        <v>3.1032206060606065E-7</v>
      </c>
      <c r="BO105" s="35">
        <v>3.158008484848485E-7</v>
      </c>
      <c r="BP105" s="35">
        <v>3.1621084337349397E-7</v>
      </c>
      <c r="BQ105" s="35">
        <v>3.1474818181818184E-7</v>
      </c>
      <c r="BR105" s="35">
        <v>3.094087878787879E-7</v>
      </c>
      <c r="BS105" s="35">
        <v>3.0065787878787879E-7</v>
      </c>
      <c r="BT105" s="35">
        <v>2.9007E-7</v>
      </c>
    </row>
    <row r="106" spans="1:72" ht="21.75" hidden="1" thickBot="1" x14ac:dyDescent="0.4">
      <c r="A106" s="83" t="s">
        <v>97</v>
      </c>
      <c r="B106" s="35">
        <v>1.6740301818181835E-20</v>
      </c>
      <c r="C106" s="35">
        <v>8.6748181818181986E-20</v>
      </c>
      <c r="D106" s="35">
        <v>2.4711181818181837E-19</v>
      </c>
      <c r="E106" s="35">
        <v>1.2682073939393951E-18</v>
      </c>
      <c r="F106" s="35">
        <v>3.2097606060606158E-18</v>
      </c>
      <c r="G106" s="35">
        <v>1.2075518181818192E-17</v>
      </c>
      <c r="H106" s="35">
        <v>3.7658650602409662E-17</v>
      </c>
      <c r="I106" s="35">
        <v>8.5402024096385506E-17</v>
      </c>
      <c r="J106" s="35">
        <v>2.6482493333333307E-16</v>
      </c>
      <c r="K106" s="35">
        <v>5.6010599999999899E-16</v>
      </c>
      <c r="L106" s="35">
        <v>1.4165726666666659E-15</v>
      </c>
      <c r="M106" s="35">
        <v>1.343203782148258E-14</v>
      </c>
      <c r="N106" s="35">
        <v>3.8031054462934941E-14</v>
      </c>
      <c r="O106" s="35">
        <v>6.2630071104387288E-14</v>
      </c>
      <c r="P106" s="35">
        <v>8.7229087745839642E-14</v>
      </c>
      <c r="Q106" s="35">
        <v>1.1182810438729201E-13</v>
      </c>
      <c r="R106" s="35">
        <v>1.3642712102874439E-13</v>
      </c>
      <c r="S106" s="35">
        <v>1.6102613767019674E-13</v>
      </c>
      <c r="T106" s="35">
        <v>6.4917042360060618E-13</v>
      </c>
      <c r="U106" s="35">
        <v>1.2127755673222399E-12</v>
      </c>
      <c r="V106" s="35">
        <v>1.7763807110438735E-12</v>
      </c>
      <c r="W106" s="35">
        <v>2.3399858547655071E-12</v>
      </c>
      <c r="X106" s="35">
        <v>2.9035909984871407E-12</v>
      </c>
      <c r="Y106" s="35">
        <v>3.4671961422087743E-12</v>
      </c>
      <c r="Z106" s="35">
        <v>5.2214946969696974E-12</v>
      </c>
      <c r="AA106" s="35">
        <v>1.0547873484848485E-11</v>
      </c>
      <c r="AB106" s="35">
        <v>1.5874252272727272E-11</v>
      </c>
      <c r="AC106" s="35">
        <v>2.1200631060606061E-11</v>
      </c>
      <c r="AD106" s="35">
        <v>2.6527009848484846E-11</v>
      </c>
      <c r="AE106" s="35">
        <v>3.1853388636363638E-11</v>
      </c>
      <c r="AF106" s="35">
        <v>3.7179767424242424E-11</v>
      </c>
      <c r="AG106" s="35">
        <v>5.6628024205748859E-11</v>
      </c>
      <c r="AH106" s="35">
        <v>8.3680369137670192E-11</v>
      </c>
      <c r="AI106" s="35">
        <v>1.1073271406959151E-10</v>
      </c>
      <c r="AJ106" s="35">
        <v>1.3778505900151283E-10</v>
      </c>
      <c r="AK106" s="35">
        <v>1.6483740393343419E-10</v>
      </c>
      <c r="AL106" s="35">
        <v>1.9188974886535549E-10</v>
      </c>
      <c r="AM106" s="35">
        <v>2.2136765506807847E-10</v>
      </c>
      <c r="AN106" s="35">
        <v>3.0905903177004516E-10</v>
      </c>
      <c r="AO106" s="35">
        <v>3.9675040847201188E-10</v>
      </c>
      <c r="AP106" s="35">
        <v>4.8444178517397855E-10</v>
      </c>
      <c r="AQ106" s="35">
        <v>5.7213316187594521E-10</v>
      </c>
      <c r="AR106" s="35">
        <v>6.5982453857791198E-10</v>
      </c>
      <c r="AS106" s="35">
        <v>7.4751591527987855E-10</v>
      </c>
      <c r="AT106" s="35">
        <v>8.8245264750378129E-10</v>
      </c>
      <c r="AU106" s="35">
        <v>1.0800169440242053E-9</v>
      </c>
      <c r="AV106" s="35">
        <v>1.2775812405446291E-9</v>
      </c>
      <c r="AW106" s="35">
        <v>1.475145537065053E-9</v>
      </c>
      <c r="AX106" s="35">
        <v>1.6727098335854768E-9</v>
      </c>
      <c r="AY106" s="35">
        <v>1.8702741301059006E-9</v>
      </c>
      <c r="AZ106" s="35">
        <v>2.0678384266263248E-9</v>
      </c>
      <c r="BA106" s="35">
        <v>2.3294715151515164E-9</v>
      </c>
      <c r="BB106" s="35">
        <v>2.6093000000000013E-9</v>
      </c>
      <c r="BC106" s="35">
        <v>2.9093000000000015E-9</v>
      </c>
      <c r="BD106" s="35">
        <v>3.21724181818182E-9</v>
      </c>
      <c r="BE106" s="35">
        <v>3.532514545454547E-9</v>
      </c>
      <c r="BF106" s="35">
        <v>3.8494745454545467E-9</v>
      </c>
      <c r="BG106" s="35">
        <v>4.1629265060240978E-9</v>
      </c>
      <c r="BH106" s="35">
        <v>4.4630469879518084E-9</v>
      </c>
      <c r="BI106" s="35">
        <v>4.7440260606060612E-9</v>
      </c>
      <c r="BJ106" s="35">
        <v>5.0099654545454555E-9</v>
      </c>
      <c r="BK106" s="35">
        <v>5.2227939393939402E-9</v>
      </c>
      <c r="BL106" s="35">
        <v>5.40961696969697E-9</v>
      </c>
      <c r="BM106" s="35">
        <v>5.5373745454545454E-9</v>
      </c>
      <c r="BN106" s="35">
        <v>5.606128484848485E-9</v>
      </c>
      <c r="BO106" s="35">
        <v>5.6371587878787877E-9</v>
      </c>
      <c r="BP106" s="35">
        <v>5.5672096385542168E-9</v>
      </c>
      <c r="BQ106" s="35">
        <v>5.4618272727272728E-9</v>
      </c>
      <c r="BR106" s="35">
        <v>5.2835848484848487E-9</v>
      </c>
      <c r="BS106" s="35">
        <v>5.0468424242424244E-9</v>
      </c>
      <c r="BT106" s="35">
        <v>4.7786E-9</v>
      </c>
    </row>
    <row r="107" spans="1:72" ht="21.75" hidden="1" thickBot="1" x14ac:dyDescent="0.4">
      <c r="A107" s="83" t="s">
        <v>97</v>
      </c>
      <c r="B107" s="35">
        <v>3.8642070303030352E-23</v>
      </c>
      <c r="C107" s="35">
        <v>4.2495782424242538E-22</v>
      </c>
      <c r="D107" s="35">
        <v>1.3827863090909102E-21</v>
      </c>
      <c r="E107" s="35">
        <v>1.4886520000000023E-20</v>
      </c>
      <c r="F107" s="35">
        <v>5.2126927272727562E-20</v>
      </c>
      <c r="G107" s="35">
        <v>3.089760181818185E-19</v>
      </c>
      <c r="H107" s="35">
        <v>1.6632189156626523E-18</v>
      </c>
      <c r="I107" s="35">
        <v>4.4721466265060218E-18</v>
      </c>
      <c r="J107" s="35">
        <v>2.4341039999999974E-17</v>
      </c>
      <c r="K107" s="35">
        <v>6.8146363636363425E-17</v>
      </c>
      <c r="L107" s="35">
        <v>2.5011606060606041E-16</v>
      </c>
      <c r="M107" s="35">
        <v>1.770338553706502E-14</v>
      </c>
      <c r="N107" s="35">
        <v>5.4632801573373663E-14</v>
      </c>
      <c r="O107" s="35">
        <v>9.1562217609682297E-14</v>
      </c>
      <c r="P107" s="35">
        <v>1.2849163364599094E-13</v>
      </c>
      <c r="Q107" s="35">
        <v>1.654210496822996E-13</v>
      </c>
      <c r="R107" s="35">
        <v>2.0235046571860824E-13</v>
      </c>
      <c r="S107" s="35">
        <v>2.3927988175491687E-13</v>
      </c>
      <c r="T107" s="35">
        <v>4.2528241301059089E-12</v>
      </c>
      <c r="U107" s="35">
        <v>8.913724281391838E-12</v>
      </c>
      <c r="V107" s="35">
        <v>1.3574624432677767E-11</v>
      </c>
      <c r="W107" s="35">
        <v>1.8235524583963696E-11</v>
      </c>
      <c r="X107" s="35">
        <v>2.2896424735249624E-11</v>
      </c>
      <c r="Y107" s="35">
        <v>2.7557324886535555E-11</v>
      </c>
      <c r="Z107" s="35">
        <v>7.7687356060606067E-11</v>
      </c>
      <c r="AA107" s="35">
        <v>2.6422478030303031E-10</v>
      </c>
      <c r="AB107" s="35">
        <v>4.5076220454545454E-10</v>
      </c>
      <c r="AC107" s="35">
        <v>6.3729962878787886E-10</v>
      </c>
      <c r="AD107" s="35">
        <v>8.2383705303030308E-10</v>
      </c>
      <c r="AE107" s="35">
        <v>1.0103744772727272E-9</v>
      </c>
      <c r="AF107" s="35">
        <v>1.1969119015151514E-9</v>
      </c>
      <c r="AG107" s="35">
        <v>3.417800605143721E-9</v>
      </c>
      <c r="AH107" s="35">
        <v>6.7341092284417535E-9</v>
      </c>
      <c r="AI107" s="35">
        <v>1.0050417851739785E-8</v>
      </c>
      <c r="AJ107" s="35">
        <v>1.3366726475037817E-8</v>
      </c>
      <c r="AK107" s="35">
        <v>1.6683035098335849E-8</v>
      </c>
      <c r="AL107" s="35">
        <v>1.9999343721633881E-8</v>
      </c>
      <c r="AM107" s="35">
        <v>2.4490939485627763E-8</v>
      </c>
      <c r="AN107" s="35">
        <v>5.718942662632367E-8</v>
      </c>
      <c r="AO107" s="35">
        <v>8.9887913767019574E-8</v>
      </c>
      <c r="AP107" s="35">
        <v>1.2258640090771548E-7</v>
      </c>
      <c r="AQ107" s="35">
        <v>1.552848880484114E-7</v>
      </c>
      <c r="AR107" s="35">
        <v>1.8798337518910729E-7</v>
      </c>
      <c r="AS107" s="35">
        <v>2.206818623298032E-7</v>
      </c>
      <c r="AT107" s="35">
        <v>3.2764108925869812E-7</v>
      </c>
      <c r="AU107" s="35">
        <v>5.330389712556727E-7</v>
      </c>
      <c r="AV107" s="35">
        <v>7.3843685325264722E-7</v>
      </c>
      <c r="AW107" s="35">
        <v>9.4383473524962185E-7</v>
      </c>
      <c r="AX107" s="35">
        <v>1.1492326172465963E-6</v>
      </c>
      <c r="AY107" s="35">
        <v>1.354630499243571E-6</v>
      </c>
      <c r="AZ107" s="35">
        <v>1.5600283812405453E-6</v>
      </c>
      <c r="BA107" s="35">
        <v>2.0078448484848507E-6</v>
      </c>
      <c r="BB107" s="35">
        <v>2.5450593939393972E-6</v>
      </c>
      <c r="BC107" s="35">
        <v>3.2589381818181853E-6</v>
      </c>
      <c r="BD107" s="35">
        <v>4.1190787878787928E-6</v>
      </c>
      <c r="BE107" s="35">
        <v>5.1142303030303073E-6</v>
      </c>
      <c r="BF107" s="35">
        <v>6.4242163636363695E-6</v>
      </c>
      <c r="BG107" s="35">
        <v>7.8784746987951881E-6</v>
      </c>
      <c r="BH107" s="35">
        <v>9.6774506024096423E-6</v>
      </c>
      <c r="BI107" s="35">
        <v>1.1789581818181824E-5</v>
      </c>
      <c r="BJ107" s="35">
        <v>1.4147763636363642E-5</v>
      </c>
      <c r="BK107" s="35">
        <v>1.7092206060606066E-5</v>
      </c>
      <c r="BL107" s="35">
        <v>2.0283090909090916E-5</v>
      </c>
      <c r="BM107" s="35">
        <v>2.4010363636363644E-5</v>
      </c>
      <c r="BN107" s="35">
        <v>2.8214915151515161E-5</v>
      </c>
      <c r="BO107" s="35">
        <v>3.272461212121213E-5</v>
      </c>
      <c r="BP107" s="35">
        <v>3.7972180722891569E-5</v>
      </c>
      <c r="BQ107" s="35">
        <v>4.3490636363636366E-5</v>
      </c>
      <c r="BR107" s="35">
        <v>4.9569424242424244E-5</v>
      </c>
      <c r="BS107" s="35">
        <v>5.6089424242424242E-5</v>
      </c>
      <c r="BT107" s="35">
        <v>6.2847000000000003E-5</v>
      </c>
    </row>
    <row r="108" spans="1:72" ht="21.75" hidden="1" thickBot="1" x14ac:dyDescent="0.4">
      <c r="A108" s="83" t="s">
        <v>98</v>
      </c>
      <c r="B108" s="35">
        <v>3.0196522424242456E-18</v>
      </c>
      <c r="C108" s="35">
        <v>1.989378303030308E-17</v>
      </c>
      <c r="D108" s="35">
        <v>5.9875843636363694E-17</v>
      </c>
      <c r="E108" s="35">
        <v>3.9734334545454595E-16</v>
      </c>
      <c r="F108" s="35">
        <v>1.1251204848484893E-15</v>
      </c>
      <c r="G108" s="35">
        <v>5.0761265454545501E-15</v>
      </c>
      <c r="H108" s="35">
        <v>1.9469690361445796E-14</v>
      </c>
      <c r="I108" s="35">
        <v>4.7705714457831299E-14</v>
      </c>
      <c r="J108" s="35">
        <v>1.857019999999998E-13</v>
      </c>
      <c r="K108" s="35">
        <v>4.4132163636363536E-13</v>
      </c>
      <c r="L108" s="35">
        <v>1.3190852727272717E-12</v>
      </c>
      <c r="M108" s="35">
        <v>3.1498517700453801E-11</v>
      </c>
      <c r="N108" s="35">
        <v>9.4720257488653532E-11</v>
      </c>
      <c r="O108" s="35">
        <v>1.5794199727685325E-10</v>
      </c>
      <c r="P108" s="35">
        <v>2.2116373706505297E-10</v>
      </c>
      <c r="Q108" s="35">
        <v>2.8438547685325271E-10</v>
      </c>
      <c r="R108" s="35">
        <v>3.4760721664145245E-10</v>
      </c>
      <c r="S108" s="35">
        <v>4.1082895642965215E-10</v>
      </c>
      <c r="T108" s="35">
        <v>3.5202753403933505E-9</v>
      </c>
      <c r="U108" s="35">
        <v>7.1256187594553772E-9</v>
      </c>
      <c r="V108" s="35">
        <v>1.0730962178517403E-8</v>
      </c>
      <c r="W108" s="35">
        <v>1.433630559757943E-8</v>
      </c>
      <c r="X108" s="35">
        <v>1.7941649016641455E-8</v>
      </c>
      <c r="Y108" s="35">
        <v>2.1546992435703483E-8</v>
      </c>
      <c r="Z108" s="35">
        <v>4.4135053030303025E-8</v>
      </c>
      <c r="AA108" s="35">
        <v>1.2367126515151514E-7</v>
      </c>
      <c r="AB108" s="35">
        <v>2.0320747727272726E-7</v>
      </c>
      <c r="AC108" s="35">
        <v>2.8274368939393934E-7</v>
      </c>
      <c r="AD108" s="35">
        <v>3.6227990151515146E-7</v>
      </c>
      <c r="AE108" s="35">
        <v>4.4181611363636357E-7</v>
      </c>
      <c r="AF108" s="35">
        <v>5.2135232575757574E-7</v>
      </c>
      <c r="AG108" s="35">
        <v>1.1302280484114974E-6</v>
      </c>
      <c r="AH108" s="35">
        <v>2.0241327382753397E-6</v>
      </c>
      <c r="AI108" s="35">
        <v>2.918037428139182E-6</v>
      </c>
      <c r="AJ108" s="35">
        <v>3.8119421180030243E-6</v>
      </c>
      <c r="AK108" s="35">
        <v>4.7058468078668662E-6</v>
      </c>
      <c r="AL108" s="35">
        <v>5.5997514977307089E-6</v>
      </c>
      <c r="AM108" s="35">
        <v>6.7041214826021037E-6</v>
      </c>
      <c r="AN108" s="35">
        <v>1.2859658547655051E-5</v>
      </c>
      <c r="AO108" s="35">
        <v>1.9015195612707998E-5</v>
      </c>
      <c r="AP108" s="35">
        <v>2.5170732677760948E-5</v>
      </c>
      <c r="AQ108" s="35">
        <v>3.1326269742813899E-5</v>
      </c>
      <c r="AR108" s="35">
        <v>3.7481806807866842E-5</v>
      </c>
      <c r="AS108" s="35">
        <v>4.3637343872919793E-5</v>
      </c>
      <c r="AT108" s="35">
        <v>5.9687818456883396E-5</v>
      </c>
      <c r="AU108" s="35">
        <v>8.8854838124054398E-5</v>
      </c>
      <c r="AV108" s="35">
        <v>1.1802185779122538E-4</v>
      </c>
      <c r="AW108" s="35">
        <v>1.4718887745839639E-4</v>
      </c>
      <c r="AX108" s="35">
        <v>1.7635589712556738E-4</v>
      </c>
      <c r="AY108" s="35">
        <v>2.0552291679273838E-4</v>
      </c>
      <c r="AZ108" s="35">
        <v>2.3468993645990935E-4</v>
      </c>
      <c r="BA108" s="35">
        <v>2.9155030303030334E-4</v>
      </c>
      <c r="BB108" s="35">
        <v>3.5825648484848525E-4</v>
      </c>
      <c r="BC108" s="35">
        <v>4.4335345454545494E-4</v>
      </c>
      <c r="BD108" s="35">
        <v>5.4299466666666717E-4</v>
      </c>
      <c r="BE108" s="35">
        <v>6.560613333333338E-4</v>
      </c>
      <c r="BF108" s="35">
        <v>7.9919836363636428E-4</v>
      </c>
      <c r="BG108" s="35">
        <v>9.5577228915662727E-4</v>
      </c>
      <c r="BH108" s="35">
        <v>1.1440554216867475E-3</v>
      </c>
      <c r="BI108" s="35">
        <v>1.3606551515151521E-3</v>
      </c>
      <c r="BJ108" s="35">
        <v>1.5995036363636369E-3</v>
      </c>
      <c r="BK108" s="35">
        <v>1.8900842424242432E-3</v>
      </c>
      <c r="BL108" s="35">
        <v>2.2023266666666673E-3</v>
      </c>
      <c r="BM108" s="35">
        <v>2.5616600000000008E-3</v>
      </c>
      <c r="BN108" s="35">
        <v>2.9631757575757584E-3</v>
      </c>
      <c r="BO108" s="35">
        <v>3.391660606060607E-3</v>
      </c>
      <c r="BP108" s="35">
        <v>3.8866602409638562E-3</v>
      </c>
      <c r="BQ108" s="35">
        <v>4.4071727272727273E-3</v>
      </c>
      <c r="BR108" s="35">
        <v>4.9807484848484853E-3</v>
      </c>
      <c r="BS108" s="35">
        <v>5.5998636363636363E-3</v>
      </c>
      <c r="BT108" s="35">
        <v>6.2434999999999999E-3</v>
      </c>
    </row>
    <row r="109" spans="1:72" ht="21.75" hidden="1" thickBot="1" x14ac:dyDescent="0.4">
      <c r="A109" s="83" t="s">
        <v>2</v>
      </c>
      <c r="B109" s="35">
        <v>2.0495751515151542E-35</v>
      </c>
      <c r="C109" s="35">
        <v>8.4303146060606289E-34</v>
      </c>
      <c r="D109" s="35">
        <v>2.9751326727272745E-33</v>
      </c>
      <c r="E109" s="35">
        <v>1.0918808242424257E-31</v>
      </c>
      <c r="F109" s="35">
        <v>7.7011054545455299E-31</v>
      </c>
      <c r="G109" s="35">
        <v>7.3674923636363715E-30</v>
      </c>
      <c r="H109" s="35">
        <v>1.021615903614459E-28</v>
      </c>
      <c r="I109" s="35">
        <v>3.1386761445783116E-28</v>
      </c>
      <c r="J109" s="35">
        <v>4.2801053333333273E-27</v>
      </c>
      <c r="K109" s="35">
        <v>1.9951678181818074E-26</v>
      </c>
      <c r="L109" s="35">
        <v>1.1323816303030292E-25</v>
      </c>
      <c r="M109" s="35">
        <v>1.7375958475037784E-22</v>
      </c>
      <c r="N109" s="35">
        <v>5.4311470124054435E-22</v>
      </c>
      <c r="O109" s="35">
        <v>9.1246981773071083E-22</v>
      </c>
      <c r="P109" s="35">
        <v>1.2818249342208774E-21</v>
      </c>
      <c r="Q109" s="35">
        <v>1.651180050711044E-21</v>
      </c>
      <c r="R109" s="35">
        <v>2.0205351672012106E-21</v>
      </c>
      <c r="S109" s="35">
        <v>2.3898902836913773E-21</v>
      </c>
      <c r="T109" s="35">
        <v>4.3749730711043975E-19</v>
      </c>
      <c r="U109" s="35">
        <v>9.4337603630862422E-19</v>
      </c>
      <c r="V109" s="35">
        <v>1.4492547655068087E-18</v>
      </c>
      <c r="W109" s="35">
        <v>1.955133494704993E-18</v>
      </c>
      <c r="X109" s="35">
        <v>2.4610122239031774E-18</v>
      </c>
      <c r="Y109" s="35">
        <v>2.9668909531013619E-18</v>
      </c>
      <c r="Z109" s="35">
        <v>3.8166137121212128E-17</v>
      </c>
      <c r="AA109" s="35">
        <v>1.7744548560606061E-16</v>
      </c>
      <c r="AB109" s="35">
        <v>3.1672483409090911E-16</v>
      </c>
      <c r="AC109" s="35">
        <v>4.5600418257575762E-16</v>
      </c>
      <c r="AD109" s="35">
        <v>5.9528353106060607E-16</v>
      </c>
      <c r="AE109" s="35">
        <v>7.3456287954545462E-16</v>
      </c>
      <c r="AF109" s="35">
        <v>8.7384222803030308E-16</v>
      </c>
      <c r="AG109" s="35">
        <v>8.941722602118E-15</v>
      </c>
      <c r="AH109" s="35">
        <v>2.127884968229954E-14</v>
      </c>
      <c r="AI109" s="35">
        <v>3.3615976762481073E-14</v>
      </c>
      <c r="AJ109" s="35">
        <v>4.5953103842662613E-14</v>
      </c>
      <c r="AK109" s="35">
        <v>5.8290230922844152E-14</v>
      </c>
      <c r="AL109" s="35">
        <v>7.0627358003025686E-14</v>
      </c>
      <c r="AM109" s="35">
        <v>1.0159311195158741E-13</v>
      </c>
      <c r="AN109" s="35">
        <v>5.7964591074129984E-13</v>
      </c>
      <c r="AO109" s="35">
        <v>1.0576987095310122E-12</v>
      </c>
      <c r="AP109" s="35">
        <v>1.5357515083207245E-12</v>
      </c>
      <c r="AQ109" s="35">
        <v>2.0138043071104371E-12</v>
      </c>
      <c r="AR109" s="35">
        <v>2.4918571059001494E-12</v>
      </c>
      <c r="AS109" s="35">
        <v>2.9699099046898618E-12</v>
      </c>
      <c r="AT109" s="35">
        <v>7.497747655068039E-12</v>
      </c>
      <c r="AU109" s="35">
        <v>1.7393904992435679E-11</v>
      </c>
      <c r="AV109" s="35">
        <v>2.7290062329803318E-11</v>
      </c>
      <c r="AW109" s="35">
        <v>3.7186219667170961E-11</v>
      </c>
      <c r="AX109" s="35">
        <v>4.7082377004538601E-11</v>
      </c>
      <c r="AY109" s="35">
        <v>5.697853434190624E-11</v>
      </c>
      <c r="AZ109" s="35">
        <v>6.687469167927388E-11</v>
      </c>
      <c r="BA109" s="35">
        <v>1.0213386666666687E-10</v>
      </c>
      <c r="BB109" s="35">
        <v>1.4899563636363673E-10</v>
      </c>
      <c r="BC109" s="35">
        <v>2.2532290909090942E-10</v>
      </c>
      <c r="BD109" s="35">
        <v>3.3420218181818247E-10</v>
      </c>
      <c r="BE109" s="35">
        <v>4.7312945454545521E-10</v>
      </c>
      <c r="BF109" s="35">
        <v>7.0561072727272839E-10</v>
      </c>
      <c r="BG109" s="35">
        <v>9.9114457831325474E-10</v>
      </c>
      <c r="BH109" s="35">
        <v>1.4152108433734952E-9</v>
      </c>
      <c r="BI109" s="35">
        <v>2.0058145454545469E-9</v>
      </c>
      <c r="BJ109" s="35">
        <v>2.7272690909090923E-9</v>
      </c>
      <c r="BK109" s="35">
        <v>3.8773612121212151E-9</v>
      </c>
      <c r="BL109" s="35">
        <v>5.2612060606060654E-9</v>
      </c>
      <c r="BM109" s="35">
        <v>7.1896909090909136E-9</v>
      </c>
      <c r="BN109" s="35">
        <v>9.8044072727272799E-9</v>
      </c>
      <c r="BO109" s="35">
        <v>1.2857861818181824E-8</v>
      </c>
      <c r="BP109" s="35">
        <v>1.7498361445783138E-8</v>
      </c>
      <c r="BQ109" s="35">
        <v>2.2952454545454544E-8</v>
      </c>
      <c r="BR109" s="35">
        <v>3.0150636363636366E-8</v>
      </c>
      <c r="BS109" s="35">
        <v>3.9646272727272729E-8</v>
      </c>
      <c r="BT109" s="35">
        <v>5.0378999999999997E-8</v>
      </c>
    </row>
    <row r="110" spans="1:72" ht="21.75" hidden="1" thickBot="1" x14ac:dyDescent="0.4">
      <c r="A110" s="83" t="s">
        <v>1</v>
      </c>
      <c r="B110" s="35">
        <v>0.2</v>
      </c>
      <c r="C110" s="35">
        <v>0.2</v>
      </c>
      <c r="D110" s="35">
        <v>0.2</v>
      </c>
      <c r="E110" s="35">
        <v>0.2</v>
      </c>
      <c r="F110" s="35">
        <v>0.2</v>
      </c>
      <c r="G110" s="35">
        <v>0.2</v>
      </c>
      <c r="H110" s="35">
        <v>0.2</v>
      </c>
      <c r="I110" s="35">
        <v>0.2</v>
      </c>
      <c r="J110" s="35">
        <v>0.2</v>
      </c>
      <c r="K110" s="35">
        <v>0.2</v>
      </c>
      <c r="L110" s="35">
        <v>0.2</v>
      </c>
      <c r="M110" s="35">
        <v>0.2</v>
      </c>
      <c r="N110" s="35">
        <v>0.2</v>
      </c>
      <c r="O110" s="35">
        <v>0.2</v>
      </c>
      <c r="P110" s="35">
        <v>0.2</v>
      </c>
      <c r="Q110" s="35">
        <v>0.2</v>
      </c>
      <c r="R110" s="35">
        <v>0.2</v>
      </c>
      <c r="S110" s="35">
        <v>0.2</v>
      </c>
      <c r="T110" s="35">
        <v>0.2</v>
      </c>
      <c r="U110" s="35">
        <v>0.2</v>
      </c>
      <c r="V110" s="35">
        <v>0.2</v>
      </c>
      <c r="W110" s="35">
        <v>0.2</v>
      </c>
      <c r="X110" s="35">
        <v>0.2</v>
      </c>
      <c r="Y110" s="35">
        <v>0.2</v>
      </c>
      <c r="Z110" s="35">
        <v>0.2</v>
      </c>
      <c r="AA110" s="35">
        <v>0.2</v>
      </c>
      <c r="AB110" s="35">
        <v>0.2</v>
      </c>
      <c r="AC110" s="35">
        <v>0.2</v>
      </c>
      <c r="AD110" s="35">
        <v>0.2</v>
      </c>
      <c r="AE110" s="35">
        <v>0.2</v>
      </c>
      <c r="AF110" s="35">
        <v>0.2</v>
      </c>
      <c r="AG110" s="35">
        <v>0.2</v>
      </c>
      <c r="AH110" s="35">
        <v>0.2</v>
      </c>
      <c r="AI110" s="35">
        <v>0.2</v>
      </c>
      <c r="AJ110" s="35">
        <v>0.2</v>
      </c>
      <c r="AK110" s="35">
        <v>0.2</v>
      </c>
      <c r="AL110" s="35">
        <v>0.2</v>
      </c>
      <c r="AM110" s="35">
        <v>0.2</v>
      </c>
      <c r="AN110" s="35">
        <v>0.2</v>
      </c>
      <c r="AO110" s="35">
        <v>0.2</v>
      </c>
      <c r="AP110" s="35">
        <v>0.2</v>
      </c>
      <c r="AQ110" s="35">
        <v>0.2</v>
      </c>
      <c r="AR110" s="35">
        <v>0.2</v>
      </c>
      <c r="AS110" s="35">
        <v>0.2</v>
      </c>
      <c r="AT110" s="35">
        <v>0.2</v>
      </c>
      <c r="AU110" s="35">
        <v>0.2</v>
      </c>
      <c r="AV110" s="35">
        <v>0.2</v>
      </c>
      <c r="AW110" s="35">
        <v>0.2</v>
      </c>
      <c r="AX110" s="35">
        <v>0.2</v>
      </c>
      <c r="AY110" s="35">
        <v>0.2</v>
      </c>
      <c r="AZ110" s="35">
        <v>0.2</v>
      </c>
      <c r="BA110" s="35">
        <v>0.2</v>
      </c>
      <c r="BB110" s="35">
        <v>0.2</v>
      </c>
      <c r="BC110" s="35">
        <v>0.2</v>
      </c>
      <c r="BD110" s="35">
        <v>0.2</v>
      </c>
      <c r="BE110" s="35">
        <v>0.2</v>
      </c>
      <c r="BF110" s="35">
        <v>0.2</v>
      </c>
      <c r="BG110" s="35">
        <v>0.2</v>
      </c>
      <c r="BH110" s="35">
        <v>0.2</v>
      </c>
      <c r="BI110" s="35">
        <v>0.2</v>
      </c>
      <c r="BJ110" s="35">
        <v>0.2</v>
      </c>
      <c r="BK110" s="35">
        <v>0.2</v>
      </c>
      <c r="BL110" s="35">
        <v>0.2</v>
      </c>
      <c r="BM110" s="35">
        <v>0.2</v>
      </c>
      <c r="BN110" s="35">
        <v>0.2</v>
      </c>
      <c r="BO110" s="35">
        <v>0.2</v>
      </c>
      <c r="BP110" s="35">
        <v>0.2</v>
      </c>
      <c r="BQ110" s="35">
        <v>0.2</v>
      </c>
      <c r="BR110" s="35">
        <v>0.2</v>
      </c>
      <c r="BS110" s="35">
        <v>0.2</v>
      </c>
      <c r="BT110" s="35">
        <v>0.2</v>
      </c>
    </row>
    <row r="111" spans="1:72" ht="21.75" hidden="1" thickBot="1" x14ac:dyDescent="0.4">
      <c r="A111" s="83" t="s">
        <v>119</v>
      </c>
      <c r="B111" s="35">
        <v>3.5252180606060643E-25</v>
      </c>
      <c r="C111" s="35">
        <v>1.4515733939393967E-24</v>
      </c>
      <c r="D111" s="35">
        <v>3.8661612727272756E-24</v>
      </c>
      <c r="E111" s="35">
        <v>1.6592698181818199E-23</v>
      </c>
      <c r="F111" s="35">
        <v>3.9526848484848595E-23</v>
      </c>
      <c r="G111" s="35">
        <v>1.3598745454545465E-22</v>
      </c>
      <c r="H111" s="35">
        <v>3.9990855421686771E-22</v>
      </c>
      <c r="I111" s="35">
        <v>8.8581216867469825E-22</v>
      </c>
      <c r="J111" s="35">
        <v>2.683883999999998E-21</v>
      </c>
      <c r="K111" s="35">
        <v>5.6670199999999903E-21</v>
      </c>
      <c r="L111" s="35">
        <v>1.4466353333333325E-20</v>
      </c>
      <c r="M111" s="35">
        <v>1.8739639939485594E-19</v>
      </c>
      <c r="N111" s="35">
        <v>5.4541001512859295E-19</v>
      </c>
      <c r="O111" s="35">
        <v>9.0342363086232984E-19</v>
      </c>
      <c r="P111" s="35">
        <v>1.2614372465960667E-18</v>
      </c>
      <c r="Q111" s="35">
        <v>1.6194508623298036E-18</v>
      </c>
      <c r="R111" s="35">
        <v>1.9774644780635409E-18</v>
      </c>
      <c r="S111" s="35">
        <v>2.3354780937972776E-18</v>
      </c>
      <c r="T111" s="35">
        <v>1.6017367624810924E-17</v>
      </c>
      <c r="U111" s="35">
        <v>3.1868260211800327E-17</v>
      </c>
      <c r="V111" s="35">
        <v>4.7719152798789727E-17</v>
      </c>
      <c r="W111" s="35">
        <v>6.3570045385779146E-17</v>
      </c>
      <c r="X111" s="35">
        <v>7.9420937972768539E-17</v>
      </c>
      <c r="Y111" s="35">
        <v>9.5271830559757945E-17</v>
      </c>
      <c r="Z111" s="35">
        <v>1.9325621212121214E-16</v>
      </c>
      <c r="AA111" s="35">
        <v>5.3764106060606073E-16</v>
      </c>
      <c r="AB111" s="35">
        <v>8.820259090909092E-16</v>
      </c>
      <c r="AC111" s="35">
        <v>1.2264107575757577E-15</v>
      </c>
      <c r="AD111" s="35">
        <v>1.5707956060606063E-15</v>
      </c>
      <c r="AE111" s="35">
        <v>1.9151804545454548E-15</v>
      </c>
      <c r="AF111" s="35">
        <v>2.2595653030303033E-15</v>
      </c>
      <c r="AG111" s="35">
        <v>5.2726393343419052E-15</v>
      </c>
      <c r="AH111" s="35">
        <v>9.7226998487140652E-15</v>
      </c>
      <c r="AI111" s="35">
        <v>1.4172760363086228E-14</v>
      </c>
      <c r="AJ111" s="35">
        <v>1.8622820877458389E-14</v>
      </c>
      <c r="AK111" s="35">
        <v>2.3072881391830549E-14</v>
      </c>
      <c r="AL111" s="35">
        <v>2.7522941906202712E-14</v>
      </c>
      <c r="AM111" s="35">
        <v>3.3360355521936371E-14</v>
      </c>
      <c r="AN111" s="35">
        <v>7.249424357034785E-14</v>
      </c>
      <c r="AO111" s="35">
        <v>1.1162813161875934E-13</v>
      </c>
      <c r="AP111" s="35">
        <v>1.5076201966717082E-13</v>
      </c>
      <c r="AQ111" s="35">
        <v>1.8989590771558231E-13</v>
      </c>
      <c r="AR111" s="35">
        <v>2.2902979576399382E-13</v>
      </c>
      <c r="AS111" s="35">
        <v>2.681636838124053E-13</v>
      </c>
      <c r="AT111" s="35">
        <v>4.0079524962178419E-13</v>
      </c>
      <c r="AU111" s="35">
        <v>6.573655975794245E-13</v>
      </c>
      <c r="AV111" s="35">
        <v>9.1393594553706487E-13</v>
      </c>
      <c r="AW111" s="35">
        <v>1.170506293494705E-12</v>
      </c>
      <c r="AX111" s="35">
        <v>1.4270766414523454E-12</v>
      </c>
      <c r="AY111" s="35">
        <v>1.6836469894099858E-12</v>
      </c>
      <c r="AZ111" s="35">
        <v>1.9402173373676261E-12</v>
      </c>
      <c r="BA111" s="35">
        <v>2.5380363636363667E-12</v>
      </c>
      <c r="BB111" s="35">
        <v>3.2684193939393987E-12</v>
      </c>
      <c r="BC111" s="35">
        <v>4.280298181818186E-12</v>
      </c>
      <c r="BD111" s="35">
        <v>5.5490569696969762E-12</v>
      </c>
      <c r="BE111" s="35">
        <v>7.0549357575757645E-12</v>
      </c>
      <c r="BF111" s="35">
        <v>9.1822581818181911E-12</v>
      </c>
      <c r="BG111" s="35">
        <v>1.1623566265060254E-11</v>
      </c>
      <c r="BH111" s="35">
        <v>1.4848867469879528E-11</v>
      </c>
      <c r="BI111" s="35">
        <v>1.8905769696969708E-11</v>
      </c>
      <c r="BJ111" s="35">
        <v>2.3616072727272736E-11</v>
      </c>
      <c r="BK111" s="35">
        <v>3.0221933333333351E-11</v>
      </c>
      <c r="BL111" s="35">
        <v>3.7783921212121233E-11</v>
      </c>
      <c r="BM111" s="35">
        <v>4.7533618181818199E-11</v>
      </c>
      <c r="BN111" s="35">
        <v>5.9834963636363672E-11</v>
      </c>
      <c r="BO111" s="35">
        <v>7.3767690909090937E-11</v>
      </c>
      <c r="BP111" s="35">
        <v>9.3261867469879541E-11</v>
      </c>
      <c r="BQ111" s="35">
        <v>1.1552818181818182E-10</v>
      </c>
      <c r="BR111" s="35">
        <v>1.4372212121212121E-10</v>
      </c>
      <c r="BS111" s="35">
        <v>1.7956636363636365E-10</v>
      </c>
      <c r="BT111" s="35">
        <v>2.1952999999999999E-10</v>
      </c>
    </row>
    <row r="112" spans="1:72" ht="21.75" hidden="1" thickBot="1" x14ac:dyDescent="0.4">
      <c r="A112" s="83" t="s">
        <v>120</v>
      </c>
      <c r="B112" s="35">
        <v>0.08</v>
      </c>
      <c r="C112" s="35">
        <v>0.08</v>
      </c>
      <c r="D112" s="35">
        <v>0.08</v>
      </c>
      <c r="E112" s="35">
        <v>0.08</v>
      </c>
      <c r="F112" s="35">
        <v>0.08</v>
      </c>
      <c r="G112" s="35">
        <v>0.08</v>
      </c>
      <c r="H112" s="35">
        <v>0.08</v>
      </c>
      <c r="I112" s="35">
        <v>0.08</v>
      </c>
      <c r="J112" s="35">
        <v>0.08</v>
      </c>
      <c r="K112" s="35">
        <v>0.08</v>
      </c>
      <c r="L112" s="35">
        <v>0.08</v>
      </c>
      <c r="M112" s="35">
        <v>0.08</v>
      </c>
      <c r="N112" s="35">
        <v>0.08</v>
      </c>
      <c r="O112" s="35">
        <v>0.08</v>
      </c>
      <c r="P112" s="35">
        <v>0.08</v>
      </c>
      <c r="Q112" s="35">
        <v>0.08</v>
      </c>
      <c r="R112" s="35">
        <v>0.08</v>
      </c>
      <c r="S112" s="35">
        <v>0.08</v>
      </c>
      <c r="T112" s="35">
        <v>0.08</v>
      </c>
      <c r="U112" s="35">
        <v>0.08</v>
      </c>
      <c r="V112" s="35">
        <v>0.08</v>
      </c>
      <c r="W112" s="35">
        <v>0.08</v>
      </c>
      <c r="X112" s="35">
        <v>0.08</v>
      </c>
      <c r="Y112" s="35">
        <v>0.08</v>
      </c>
      <c r="Z112" s="35">
        <v>7.9999962121212118E-2</v>
      </c>
      <c r="AA112" s="35">
        <v>7.9999810606060609E-2</v>
      </c>
      <c r="AB112" s="35">
        <v>7.9999659090909087E-2</v>
      </c>
      <c r="AC112" s="35">
        <v>7.9999507575757578E-2</v>
      </c>
      <c r="AD112" s="35">
        <v>7.9999356060606056E-2</v>
      </c>
      <c r="AE112" s="35">
        <v>7.9999204545454547E-2</v>
      </c>
      <c r="AF112" s="35">
        <v>7.9999053030303025E-2</v>
      </c>
      <c r="AG112" s="35">
        <v>7.9997623298033282E-2</v>
      </c>
      <c r="AH112" s="35">
        <v>7.9995505295007568E-2</v>
      </c>
      <c r="AI112" s="35">
        <v>7.9993387291981841E-2</v>
      </c>
      <c r="AJ112" s="35">
        <v>7.9991269288956127E-2</v>
      </c>
      <c r="AK112" s="35">
        <v>7.9989151285930413E-2</v>
      </c>
      <c r="AL112" s="35">
        <v>7.9987033282904685E-2</v>
      </c>
      <c r="AM112" s="35">
        <v>7.9984455370650534E-2</v>
      </c>
      <c r="AN112" s="35">
        <v>7.997083963691376E-2</v>
      </c>
      <c r="AO112" s="35">
        <v>7.9957223903176999E-2</v>
      </c>
      <c r="AP112" s="35">
        <v>7.9943608169440239E-2</v>
      </c>
      <c r="AQ112" s="35">
        <v>7.9929992435703479E-2</v>
      </c>
      <c r="AR112" s="35">
        <v>7.9916376701966718E-2</v>
      </c>
      <c r="AS112" s="35">
        <v>7.9902760968229944E-2</v>
      </c>
      <c r="AT112" s="35">
        <v>7.9867937972768532E-2</v>
      </c>
      <c r="AU112" s="35">
        <v>7.9805003025718607E-2</v>
      </c>
      <c r="AV112" s="35">
        <v>7.9742068078668682E-2</v>
      </c>
      <c r="AW112" s="35">
        <v>7.9679133131618757E-2</v>
      </c>
      <c r="AX112" s="35">
        <v>7.9616198184568832E-2</v>
      </c>
      <c r="AY112" s="35">
        <v>7.9553263237518906E-2</v>
      </c>
      <c r="AZ112" s="35">
        <v>7.9490328290468981E-2</v>
      </c>
      <c r="BA112" s="35">
        <v>7.9368672727272715E-2</v>
      </c>
      <c r="BB112" s="35">
        <v>7.9226193939393938E-2</v>
      </c>
      <c r="BC112" s="35">
        <v>7.9044981818181814E-2</v>
      </c>
      <c r="BD112" s="35">
        <v>7.8833515151515154E-2</v>
      </c>
      <c r="BE112" s="35">
        <v>7.8594121212121212E-2</v>
      </c>
      <c r="BF112" s="35">
        <v>7.8291981818181811E-2</v>
      </c>
      <c r="BG112" s="35">
        <v>7.7961927710843371E-2</v>
      </c>
      <c r="BH112" s="35">
        <v>7.7566144578313248E-2</v>
      </c>
      <c r="BI112" s="35">
        <v>7.7111660606060603E-2</v>
      </c>
      <c r="BJ112" s="35">
        <v>7.6611054545454541E-2</v>
      </c>
      <c r="BK112" s="35">
        <v>7.6004557575757581E-2</v>
      </c>
      <c r="BL112" s="35">
        <v>7.5353866666666672E-2</v>
      </c>
      <c r="BM112" s="35">
        <v>7.4607199999999999E-2</v>
      </c>
      <c r="BN112" s="35">
        <v>7.3775133333333326E-2</v>
      </c>
      <c r="BO112" s="35">
        <v>7.2888466666666665E-2</v>
      </c>
      <c r="BP112" s="35">
        <v>7.1867554216867469E-2</v>
      </c>
      <c r="BQ112" s="35">
        <v>7.0795545454545458E-2</v>
      </c>
      <c r="BR112" s="35">
        <v>6.9617363636363644E-2</v>
      </c>
      <c r="BS112" s="35">
        <v>6.83489696969697E-2</v>
      </c>
      <c r="BT112" s="35">
        <v>6.7031999999999994E-2</v>
      </c>
    </row>
    <row r="113" spans="1:72" ht="21.75" hidden="1" thickBot="1" x14ac:dyDescent="0.4">
      <c r="A113" s="83" t="s">
        <v>101</v>
      </c>
      <c r="B113" s="35">
        <v>0.16</v>
      </c>
      <c r="C113" s="35">
        <v>0.16</v>
      </c>
      <c r="D113" s="35">
        <v>0.16</v>
      </c>
      <c r="E113" s="35">
        <v>0.16</v>
      </c>
      <c r="F113" s="35">
        <v>0.16</v>
      </c>
      <c r="G113" s="35">
        <v>0.16</v>
      </c>
      <c r="H113" s="35">
        <v>0.16</v>
      </c>
      <c r="I113" s="35">
        <v>0.16</v>
      </c>
      <c r="J113" s="35">
        <v>0.16</v>
      </c>
      <c r="K113" s="35">
        <v>0.16</v>
      </c>
      <c r="L113" s="35">
        <v>0.16</v>
      </c>
      <c r="M113" s="35">
        <v>0.16</v>
      </c>
      <c r="N113" s="35">
        <v>0.16</v>
      </c>
      <c r="O113" s="35">
        <v>0.16</v>
      </c>
      <c r="P113" s="35">
        <v>0.16</v>
      </c>
      <c r="Q113" s="35">
        <v>0.16</v>
      </c>
      <c r="R113" s="35">
        <v>0.16</v>
      </c>
      <c r="S113" s="35">
        <v>0.16</v>
      </c>
      <c r="T113" s="35">
        <v>0.16</v>
      </c>
      <c r="U113" s="35">
        <v>0.16</v>
      </c>
      <c r="V113" s="35">
        <v>0.16</v>
      </c>
      <c r="W113" s="35">
        <v>0.16</v>
      </c>
      <c r="X113" s="35">
        <v>0.16</v>
      </c>
      <c r="Y113" s="35">
        <v>0.16</v>
      </c>
      <c r="Z113" s="35">
        <v>0.16</v>
      </c>
      <c r="AA113" s="35">
        <v>0.16</v>
      </c>
      <c r="AB113" s="35">
        <v>0.16</v>
      </c>
      <c r="AC113" s="35">
        <v>0.16</v>
      </c>
      <c r="AD113" s="35">
        <v>0.16</v>
      </c>
      <c r="AE113" s="35">
        <v>0.16</v>
      </c>
      <c r="AF113" s="35">
        <v>0.16</v>
      </c>
      <c r="AG113" s="35">
        <v>0.16</v>
      </c>
      <c r="AH113" s="35">
        <v>0.16</v>
      </c>
      <c r="AI113" s="35">
        <v>0.16</v>
      </c>
      <c r="AJ113" s="35">
        <v>0.16</v>
      </c>
      <c r="AK113" s="35">
        <v>0.16</v>
      </c>
      <c r="AL113" s="35">
        <v>0.16</v>
      </c>
      <c r="AM113" s="35">
        <v>0.16</v>
      </c>
      <c r="AN113" s="35">
        <v>0.16</v>
      </c>
      <c r="AO113" s="35">
        <v>0.16</v>
      </c>
      <c r="AP113" s="35">
        <v>0.16</v>
      </c>
      <c r="AQ113" s="35">
        <v>0.16</v>
      </c>
      <c r="AR113" s="35">
        <v>0.16</v>
      </c>
      <c r="AS113" s="35">
        <v>0.16</v>
      </c>
      <c r="AT113" s="35">
        <v>0.16</v>
      </c>
      <c r="AU113" s="35">
        <v>0.16</v>
      </c>
      <c r="AV113" s="35">
        <v>0.16</v>
      </c>
      <c r="AW113" s="35">
        <v>0.16</v>
      </c>
      <c r="AX113" s="35">
        <v>0.16</v>
      </c>
      <c r="AY113" s="35">
        <v>0.16</v>
      </c>
      <c r="AZ113" s="35">
        <v>0.16</v>
      </c>
      <c r="BA113" s="35">
        <v>0.16</v>
      </c>
      <c r="BB113" s="35">
        <v>0.16</v>
      </c>
      <c r="BC113" s="35">
        <v>0.16</v>
      </c>
      <c r="BD113" s="35">
        <v>0.16</v>
      </c>
      <c r="BE113" s="35">
        <v>0.16</v>
      </c>
      <c r="BF113" s="35">
        <v>0.16</v>
      </c>
      <c r="BG113" s="35">
        <v>0.16</v>
      </c>
      <c r="BH113" s="35">
        <v>0.16</v>
      </c>
      <c r="BI113" s="35">
        <v>0.16</v>
      </c>
      <c r="BJ113" s="35">
        <v>0.16</v>
      </c>
      <c r="BK113" s="35">
        <v>0.16</v>
      </c>
      <c r="BL113" s="35">
        <v>0.16</v>
      </c>
      <c r="BM113" s="35">
        <v>0.16</v>
      </c>
      <c r="BN113" s="35">
        <v>0.16</v>
      </c>
      <c r="BO113" s="35">
        <v>0.16</v>
      </c>
      <c r="BP113" s="35">
        <v>0.16</v>
      </c>
      <c r="BQ113" s="35">
        <v>0.16</v>
      </c>
      <c r="BR113" s="35">
        <v>0.16</v>
      </c>
      <c r="BS113" s="35">
        <v>0.16</v>
      </c>
      <c r="BT113" s="35">
        <v>0.16</v>
      </c>
    </row>
    <row r="114" spans="1:72" ht="21.75" hidden="1" thickBot="1" x14ac:dyDescent="0.4">
      <c r="A114" s="83" t="s">
        <v>100</v>
      </c>
      <c r="B114" s="35">
        <v>0.08</v>
      </c>
      <c r="C114" s="35">
        <v>0.08</v>
      </c>
      <c r="D114" s="35">
        <v>0.08</v>
      </c>
      <c r="E114" s="35">
        <v>0.08</v>
      </c>
      <c r="F114" s="35">
        <v>0.08</v>
      </c>
      <c r="G114" s="35">
        <v>0.08</v>
      </c>
      <c r="H114" s="35">
        <v>0.08</v>
      </c>
      <c r="I114" s="35">
        <v>0.08</v>
      </c>
      <c r="J114" s="35">
        <v>0.08</v>
      </c>
      <c r="K114" s="35">
        <v>0.08</v>
      </c>
      <c r="L114" s="35">
        <v>0.08</v>
      </c>
      <c r="M114" s="35">
        <v>0.08</v>
      </c>
      <c r="N114" s="35">
        <v>0.08</v>
      </c>
      <c r="O114" s="35">
        <v>0.08</v>
      </c>
      <c r="P114" s="35">
        <v>0.08</v>
      </c>
      <c r="Q114" s="35">
        <v>0.08</v>
      </c>
      <c r="R114" s="35">
        <v>0.08</v>
      </c>
      <c r="S114" s="35">
        <v>0.08</v>
      </c>
      <c r="T114" s="35">
        <v>0.08</v>
      </c>
      <c r="U114" s="35">
        <v>0.08</v>
      </c>
      <c r="V114" s="35">
        <v>0.08</v>
      </c>
      <c r="W114" s="35">
        <v>0.08</v>
      </c>
      <c r="X114" s="35">
        <v>0.08</v>
      </c>
      <c r="Y114" s="35">
        <v>0.08</v>
      </c>
      <c r="Z114" s="35">
        <v>0.08</v>
      </c>
      <c r="AA114" s="35">
        <v>0.08</v>
      </c>
      <c r="AB114" s="35">
        <v>0.08</v>
      </c>
      <c r="AC114" s="35">
        <v>0.08</v>
      </c>
      <c r="AD114" s="35">
        <v>0.08</v>
      </c>
      <c r="AE114" s="35">
        <v>0.08</v>
      </c>
      <c r="AF114" s="35">
        <v>0.08</v>
      </c>
      <c r="AG114" s="35">
        <v>0.08</v>
      </c>
      <c r="AH114" s="35">
        <v>0.08</v>
      </c>
      <c r="AI114" s="35">
        <v>0.08</v>
      </c>
      <c r="AJ114" s="35">
        <v>0.08</v>
      </c>
      <c r="AK114" s="35">
        <v>0.08</v>
      </c>
      <c r="AL114" s="35">
        <v>0.08</v>
      </c>
      <c r="AM114" s="35">
        <v>0.08</v>
      </c>
      <c r="AN114" s="35">
        <v>0.08</v>
      </c>
      <c r="AO114" s="35">
        <v>0.08</v>
      </c>
      <c r="AP114" s="35">
        <v>0.08</v>
      </c>
      <c r="AQ114" s="35">
        <v>0.08</v>
      </c>
      <c r="AR114" s="35">
        <v>0.08</v>
      </c>
      <c r="AS114" s="35">
        <v>0.08</v>
      </c>
      <c r="AT114" s="35">
        <v>0.08</v>
      </c>
      <c r="AU114" s="35">
        <v>0.08</v>
      </c>
      <c r="AV114" s="35">
        <v>0.08</v>
      </c>
      <c r="AW114" s="35">
        <v>0.08</v>
      </c>
      <c r="AX114" s="35">
        <v>0.08</v>
      </c>
      <c r="AY114" s="35">
        <v>0.08</v>
      </c>
      <c r="AZ114" s="35">
        <v>0.08</v>
      </c>
      <c r="BA114" s="35">
        <v>0.08</v>
      </c>
      <c r="BB114" s="35">
        <v>0.08</v>
      </c>
      <c r="BC114" s="35">
        <v>0.08</v>
      </c>
      <c r="BD114" s="35">
        <v>0.08</v>
      </c>
      <c r="BE114" s="35">
        <v>0.08</v>
      </c>
      <c r="BF114" s="35">
        <v>0.08</v>
      </c>
      <c r="BG114" s="35">
        <v>0.08</v>
      </c>
      <c r="BH114" s="35">
        <v>0.08</v>
      </c>
      <c r="BI114" s="35">
        <v>0.08</v>
      </c>
      <c r="BJ114" s="35">
        <v>0.08</v>
      </c>
      <c r="BK114" s="35">
        <v>0.08</v>
      </c>
      <c r="BL114" s="35">
        <v>0.08</v>
      </c>
      <c r="BM114" s="35">
        <v>0.08</v>
      </c>
      <c r="BN114" s="35">
        <v>0.08</v>
      </c>
      <c r="BO114" s="35">
        <v>0.08</v>
      </c>
      <c r="BP114" s="35">
        <v>0.08</v>
      </c>
      <c r="BQ114" s="35">
        <v>0.08</v>
      </c>
      <c r="BR114" s="35">
        <v>0.08</v>
      </c>
      <c r="BS114" s="35">
        <v>0.08</v>
      </c>
      <c r="BT114" s="35">
        <v>0.08</v>
      </c>
    </row>
    <row r="115" spans="1:72" ht="21.75" hidden="1" thickBot="1" x14ac:dyDescent="0.4">
      <c r="A115" s="83" t="s">
        <v>26</v>
      </c>
      <c r="B115" s="35">
        <v>-18.61</v>
      </c>
      <c r="C115" s="35">
        <v>-18.612303030303028</v>
      </c>
      <c r="D115" s="35">
        <v>-18.618363636363636</v>
      </c>
      <c r="E115" s="35">
        <v>-18.624424242424244</v>
      </c>
      <c r="F115" s="35">
        <v>-18.630969696969697</v>
      </c>
      <c r="G115" s="35">
        <v>-18.643090909090908</v>
      </c>
      <c r="H115" s="35">
        <v>-18.655180722891565</v>
      </c>
      <c r="I115" s="35">
        <v>-18.667228915662651</v>
      </c>
      <c r="J115" s="35">
        <v>-18.679333333333336</v>
      </c>
      <c r="K115" s="35">
        <v>-18.692181818181819</v>
      </c>
      <c r="L115" s="35">
        <v>-18.710363636363635</v>
      </c>
      <c r="M115" s="35">
        <v>-18.728532526475036</v>
      </c>
      <c r="N115" s="35">
        <v>-18.746686838124052</v>
      </c>
      <c r="O115" s="35">
        <v>-18.764841149773069</v>
      </c>
      <c r="P115" s="35">
        <v>-18.782995461422086</v>
      </c>
      <c r="Q115" s="35">
        <v>-18.801149773071103</v>
      </c>
      <c r="R115" s="35">
        <v>-18.81930408472012</v>
      </c>
      <c r="S115" s="35">
        <v>-18.837458396369136</v>
      </c>
      <c r="T115" s="35">
        <v>-18.856913767019666</v>
      </c>
      <c r="U115" s="35">
        <v>-18.876580937972768</v>
      </c>
      <c r="V115" s="35">
        <v>-18.896248108925871</v>
      </c>
      <c r="W115" s="35">
        <v>-18.91591527987897</v>
      </c>
      <c r="X115" s="35">
        <v>-18.935582450832072</v>
      </c>
      <c r="Y115" s="35">
        <v>-18.955249621785175</v>
      </c>
      <c r="Z115" s="35">
        <v>-18.975303030303028</v>
      </c>
      <c r="AA115" s="35">
        <v>-18.996515151515151</v>
      </c>
      <c r="AB115" s="35">
        <v>-19.017727272727271</v>
      </c>
      <c r="AC115" s="35">
        <v>-19.038939393939394</v>
      </c>
      <c r="AD115" s="35">
        <v>-19.060151515151514</v>
      </c>
      <c r="AE115" s="35">
        <v>-19.081363636363637</v>
      </c>
      <c r="AF115" s="35">
        <v>-19.102575757575757</v>
      </c>
      <c r="AG115" s="35">
        <v>-19.12376701966717</v>
      </c>
      <c r="AH115" s="35">
        <v>-19.144947049924358</v>
      </c>
      <c r="AI115" s="35">
        <v>-19.166127080181543</v>
      </c>
      <c r="AJ115" s="35">
        <v>-19.187307110438727</v>
      </c>
      <c r="AK115" s="35">
        <v>-19.208487140695915</v>
      </c>
      <c r="AL115" s="35">
        <v>-19.2296671709531</v>
      </c>
      <c r="AM115" s="35">
        <v>-19.250786686838126</v>
      </c>
      <c r="AN115" s="35">
        <v>-19.270453857791225</v>
      </c>
      <c r="AO115" s="35">
        <v>-19.290121028744327</v>
      </c>
      <c r="AP115" s="35">
        <v>-19.309788199697426</v>
      </c>
      <c r="AQ115" s="35">
        <v>-19.329455370650528</v>
      </c>
      <c r="AR115" s="35">
        <v>-19.349122541603631</v>
      </c>
      <c r="AS115" s="35">
        <v>-19.36878971255673</v>
      </c>
      <c r="AT115" s="35">
        <v>-19.389107413010588</v>
      </c>
      <c r="AU115" s="35">
        <v>-19.410287443267777</v>
      </c>
      <c r="AV115" s="35">
        <v>-19.431467473524961</v>
      </c>
      <c r="AW115" s="35">
        <v>-19.452647503782149</v>
      </c>
      <c r="AX115" s="35">
        <v>-19.473827534039334</v>
      </c>
      <c r="AY115" s="35">
        <v>-19.495007564296522</v>
      </c>
      <c r="AZ115" s="35">
        <v>-19.516187594553706</v>
      </c>
      <c r="BA115" s="35">
        <v>-19.534909090909093</v>
      </c>
      <c r="BB115" s="35">
        <v>-19.553090909090908</v>
      </c>
      <c r="BC115" s="35">
        <v>-19.571272727272728</v>
      </c>
      <c r="BD115" s="35">
        <v>-19.589454545454544</v>
      </c>
      <c r="BE115" s="35">
        <v>-19.607636363636363</v>
      </c>
      <c r="BF115" s="35">
        <v>-19.631090909090908</v>
      </c>
      <c r="BG115" s="35">
        <v>-19.653975903614455</v>
      </c>
      <c r="BH115" s="35">
        <v>-19.672048192771083</v>
      </c>
      <c r="BI115" s="35">
        <v>-19.69018181818182</v>
      </c>
      <c r="BJ115" s="35">
        <v>-19.708363636363636</v>
      </c>
      <c r="BK115" s="35">
        <v>-19.726545454545455</v>
      </c>
      <c r="BL115" s="35">
        <v>-19.746303030303029</v>
      </c>
      <c r="BM115" s="35">
        <v>-19.770545454545456</v>
      </c>
      <c r="BN115" s="35">
        <v>-19.791090909090908</v>
      </c>
      <c r="BO115" s="35">
        <v>-19.809272727272727</v>
      </c>
      <c r="BP115" s="35">
        <v>-19.827349397590361</v>
      </c>
      <c r="BQ115" s="35">
        <v>-19.847272727272728</v>
      </c>
      <c r="BR115" s="35">
        <v>-19.871515151515151</v>
      </c>
      <c r="BS115" s="35">
        <v>-19.891818181818181</v>
      </c>
      <c r="BT115" s="35">
        <v>-19.91</v>
      </c>
    </row>
    <row r="116" spans="1:72" ht="21.75" hidden="1" thickBot="1" x14ac:dyDescent="0.4">
      <c r="A116" s="83" t="s">
        <v>5</v>
      </c>
      <c r="B116" s="35">
        <v>-58.239090909090905</v>
      </c>
      <c r="C116" s="35">
        <v>-57.012424242424245</v>
      </c>
      <c r="D116" s="35">
        <v>-55.86090909090909</v>
      </c>
      <c r="E116" s="35">
        <v>-54.784606060606059</v>
      </c>
      <c r="F116" s="35">
        <v>-53.74339393939394</v>
      </c>
      <c r="G116" s="35">
        <v>-52.785818181818179</v>
      </c>
      <c r="H116" s="35">
        <v>-51.861807228915666</v>
      </c>
      <c r="I116" s="35">
        <v>-50.982289156626507</v>
      </c>
      <c r="J116" s="35">
        <v>-50.154666666666664</v>
      </c>
      <c r="K116" s="35">
        <v>-49.349090909090904</v>
      </c>
      <c r="L116" s="35">
        <v>-48.591515151515154</v>
      </c>
      <c r="M116" s="35">
        <v>-47.891361573373672</v>
      </c>
      <c r="N116" s="35">
        <v>-47.255960665658094</v>
      </c>
      <c r="O116" s="35">
        <v>-46.620559757942509</v>
      </c>
      <c r="P116" s="35">
        <v>-45.985158850226931</v>
      </c>
      <c r="Q116" s="35">
        <v>-45.349757942511346</v>
      </c>
      <c r="R116" s="35">
        <v>-44.714357034795768</v>
      </c>
      <c r="S116" s="35">
        <v>-44.078956127080183</v>
      </c>
      <c r="T116" s="35">
        <v>-43.564553706505293</v>
      </c>
      <c r="U116" s="35">
        <v>-43.069848714069593</v>
      </c>
      <c r="V116" s="35">
        <v>-42.575143721633886</v>
      </c>
      <c r="W116" s="35">
        <v>-42.080438729198185</v>
      </c>
      <c r="X116" s="35">
        <v>-41.585733736762478</v>
      </c>
      <c r="Y116" s="35">
        <v>-41.091028744326778</v>
      </c>
      <c r="Z116" s="35">
        <v>-40.61962121212121</v>
      </c>
      <c r="AA116" s="35">
        <v>-40.218106060606061</v>
      </c>
      <c r="AB116" s="35">
        <v>-39.816590909090905</v>
      </c>
      <c r="AC116" s="35">
        <v>-39.415075757575757</v>
      </c>
      <c r="AD116" s="35">
        <v>-39.013560606060608</v>
      </c>
      <c r="AE116" s="35">
        <v>-38.612045454545452</v>
      </c>
      <c r="AF116" s="35">
        <v>-38.210530303030303</v>
      </c>
      <c r="AG116" s="35">
        <v>-37.854644478063541</v>
      </c>
      <c r="AH116" s="35">
        <v>-37.523328290468989</v>
      </c>
      <c r="AI116" s="35">
        <v>-37.192012102874436</v>
      </c>
      <c r="AJ116" s="35">
        <v>-36.860695915279884</v>
      </c>
      <c r="AK116" s="35">
        <v>-36.529379727685324</v>
      </c>
      <c r="AL116" s="35">
        <v>-36.198063540090772</v>
      </c>
      <c r="AM116" s="35">
        <v>-35.868804841149775</v>
      </c>
      <c r="AN116" s="35">
        <v>-35.588925869894105</v>
      </c>
      <c r="AO116" s="35">
        <v>-35.309046898638428</v>
      </c>
      <c r="AP116" s="35">
        <v>-35.029167927382758</v>
      </c>
      <c r="AQ116" s="35">
        <v>-34.749288956127081</v>
      </c>
      <c r="AR116" s="35">
        <v>-34.469409984871412</v>
      </c>
      <c r="AS116" s="35">
        <v>-34.189531013615735</v>
      </c>
      <c r="AT116" s="35">
        <v>-33.925264750378219</v>
      </c>
      <c r="AU116" s="35">
        <v>-33.681694402420575</v>
      </c>
      <c r="AV116" s="35">
        <v>-33.438124054462939</v>
      </c>
      <c r="AW116" s="35">
        <v>-33.194553706505296</v>
      </c>
      <c r="AX116" s="35">
        <v>-32.950983358547653</v>
      </c>
      <c r="AY116" s="35">
        <v>-32.707413010590017</v>
      </c>
      <c r="AZ116" s="35">
        <v>-32.463842662632374</v>
      </c>
      <c r="BA116" s="35">
        <v>-32.241090909090907</v>
      </c>
      <c r="BB116" s="35">
        <v>-32.022909090909089</v>
      </c>
      <c r="BC116" s="35">
        <v>-31.804727272727273</v>
      </c>
      <c r="BD116" s="35">
        <v>-31.58969696969697</v>
      </c>
      <c r="BE116" s="35">
        <v>-31.377575757575759</v>
      </c>
      <c r="BF116" s="35">
        <v>-31.170727272727273</v>
      </c>
      <c r="BG116" s="35">
        <v>-30.966265060240964</v>
      </c>
      <c r="BH116" s="35">
        <v>-30.767469879518071</v>
      </c>
      <c r="BI116" s="35">
        <v>-30.568000000000001</v>
      </c>
      <c r="BJ116" s="35">
        <v>-30.368000000000002</v>
      </c>
      <c r="BK116" s="35">
        <v>-30.173515151515151</v>
      </c>
      <c r="BL116" s="35">
        <v>-29.981151515151517</v>
      </c>
      <c r="BM116" s="35">
        <v>-29.793272727272726</v>
      </c>
      <c r="BN116" s="35">
        <v>-29.605393939393938</v>
      </c>
      <c r="BO116" s="35">
        <v>-29.417515151515151</v>
      </c>
      <c r="BP116" s="35">
        <v>-29.230722891566266</v>
      </c>
      <c r="BQ116" s="35">
        <v>-29.043636363636363</v>
      </c>
      <c r="BR116" s="35">
        <v>-28.855757575757575</v>
      </c>
      <c r="BS116" s="35">
        <v>-28.671818181818182</v>
      </c>
      <c r="BT116" s="35">
        <v>-28.49</v>
      </c>
    </row>
    <row r="117" spans="1:72" ht="21.75" hidden="1" thickBot="1" x14ac:dyDescent="0.4">
      <c r="A117" s="83" t="s">
        <v>6</v>
      </c>
      <c r="B117" s="35">
        <v>-26.228424242424239</v>
      </c>
      <c r="C117" s="35">
        <v>-25.521272727272727</v>
      </c>
      <c r="D117" s="35">
        <v>-24.866727272727275</v>
      </c>
      <c r="E117" s="35">
        <v>-24.265272727272727</v>
      </c>
      <c r="F117" s="35">
        <v>-23.68781818181818</v>
      </c>
      <c r="G117" s="35">
        <v>-23.160545454545453</v>
      </c>
      <c r="H117" s="35">
        <v>-22.655361445783132</v>
      </c>
      <c r="I117" s="35">
        <v>-22.179457831325301</v>
      </c>
      <c r="J117" s="35">
        <v>-21.738666666666667</v>
      </c>
      <c r="K117" s="35">
        <v>-21.312727272727273</v>
      </c>
      <c r="L117" s="35">
        <v>-20.918787878787878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-15.085824508320727</v>
      </c>
      <c r="AN117" s="35">
        <v>-14.981437216338881</v>
      </c>
      <c r="AO117" s="35">
        <v>-14.877049924357035</v>
      </c>
      <c r="AP117" s="35">
        <v>-14.772662632375189</v>
      </c>
      <c r="AQ117" s="35">
        <v>-14.668275340393343</v>
      </c>
      <c r="AR117" s="35">
        <v>-14.563888048411499</v>
      </c>
      <c r="AS117" s="35">
        <v>-14.459500756429653</v>
      </c>
      <c r="AT117" s="35">
        <v>-14.364220877458397</v>
      </c>
      <c r="AU117" s="35">
        <v>-14.281013615733738</v>
      </c>
      <c r="AV117" s="35">
        <v>-14.197806354009078</v>
      </c>
      <c r="AW117" s="35">
        <v>-14.114599092284417</v>
      </c>
      <c r="AX117" s="35">
        <v>-14.031391830559757</v>
      </c>
      <c r="AY117" s="35">
        <v>-13.948184568835098</v>
      </c>
      <c r="AZ117" s="35">
        <v>-13.864977307110438</v>
      </c>
      <c r="BA117" s="35">
        <v>-13.78539393939394</v>
      </c>
      <c r="BB117" s="35">
        <v>-13.708666666666668</v>
      </c>
      <c r="BC117" s="35">
        <v>-13.641999999999999</v>
      </c>
      <c r="BD117" s="35">
        <v>-13.572181818181818</v>
      </c>
      <c r="BE117" s="35">
        <v>-13.499454545454546</v>
      </c>
      <c r="BF117" s="35">
        <v>-13.432</v>
      </c>
      <c r="BG117" s="35">
        <v>-13.366746987951808</v>
      </c>
      <c r="BH117" s="35">
        <v>-13.306506024096386</v>
      </c>
      <c r="BI117" s="35">
        <v>-13.242666666666667</v>
      </c>
      <c r="BJ117" s="35">
        <v>-13.176</v>
      </c>
      <c r="BK117" s="35">
        <v>-13.114848484848485</v>
      </c>
      <c r="BL117" s="35">
        <v>-13.054242424242425</v>
      </c>
      <c r="BM117" s="35">
        <v>-12.993636363636364</v>
      </c>
      <c r="BN117" s="35">
        <v>-12.933030303030304</v>
      </c>
      <c r="BO117" s="35">
        <v>-12.872424242424241</v>
      </c>
      <c r="BP117" s="35">
        <v>-12.812168674698794</v>
      </c>
      <c r="BQ117" s="35">
        <v>-12.751818181818182</v>
      </c>
      <c r="BR117" s="35">
        <v>-12.691212121212121</v>
      </c>
      <c r="BS117" s="35">
        <v>-12.630606060606061</v>
      </c>
      <c r="BT117" s="35">
        <v>-12.57</v>
      </c>
    </row>
    <row r="118" spans="1:72" ht="21.75" hidden="1" thickBot="1" x14ac:dyDescent="0.4">
      <c r="A118" s="83" t="s">
        <v>7</v>
      </c>
      <c r="B118" s="35">
        <v>-5.6688000000000001</v>
      </c>
      <c r="C118" s="35">
        <v>-5.7292606060606062</v>
      </c>
      <c r="D118" s="35">
        <v>-5.7904727272727277</v>
      </c>
      <c r="E118" s="35">
        <v>-5.8521272727272731</v>
      </c>
      <c r="F118" s="35">
        <v>-5.9138969696969692</v>
      </c>
      <c r="G118" s="35">
        <v>-5.9751090909090907</v>
      </c>
      <c r="H118" s="35">
        <v>-6.036421686746988</v>
      </c>
      <c r="I118" s="35">
        <v>-6.0978674698795183</v>
      </c>
      <c r="J118" s="35">
        <v>-6.1591333333333331</v>
      </c>
      <c r="K118" s="35">
        <v>-6.2202000000000002</v>
      </c>
      <c r="L118" s="35">
        <v>-6.2801999999999998</v>
      </c>
      <c r="M118" s="35">
        <v>-6.3395885022692893</v>
      </c>
      <c r="N118" s="35">
        <v>-6.3982874432677761</v>
      </c>
      <c r="O118" s="35">
        <v>-6.4569863842662638</v>
      </c>
      <c r="P118" s="35">
        <v>-6.5156853252647506</v>
      </c>
      <c r="Q118" s="35">
        <v>-6.5743842662632375</v>
      </c>
      <c r="R118" s="35">
        <v>-6.6330832072617252</v>
      </c>
      <c r="S118" s="35">
        <v>-6.691782148260212</v>
      </c>
      <c r="T118" s="35">
        <v>-6.7474886535552194</v>
      </c>
      <c r="U118" s="35">
        <v>-6.8027080181543118</v>
      </c>
      <c r="V118" s="35">
        <v>-6.8579273827534042</v>
      </c>
      <c r="W118" s="35">
        <v>-6.9131467473524966</v>
      </c>
      <c r="X118" s="35">
        <v>-6.9683661119515889</v>
      </c>
      <c r="Y118" s="35">
        <v>-7.0235854765506813</v>
      </c>
      <c r="Z118" s="35">
        <v>-7.0779924242424244</v>
      </c>
      <c r="AA118" s="35">
        <v>-7.129962121212122</v>
      </c>
      <c r="AB118" s="35">
        <v>-7.1819318181818188</v>
      </c>
      <c r="AC118" s="35">
        <v>-7.2339015151515156</v>
      </c>
      <c r="AD118" s="35">
        <v>-7.2858712121212124</v>
      </c>
      <c r="AE118" s="35">
        <v>-7.3378409090909091</v>
      </c>
      <c r="AF118" s="35">
        <v>-7.3898106060606068</v>
      </c>
      <c r="AG118" s="35">
        <v>-7.4394674735249628</v>
      </c>
      <c r="AH118" s="35">
        <v>-7.4878789712556735</v>
      </c>
      <c r="AI118" s="35">
        <v>-7.5362904689863841</v>
      </c>
      <c r="AJ118" s="35">
        <v>-7.5847019667170956</v>
      </c>
      <c r="AK118" s="35">
        <v>-7.6331134644478063</v>
      </c>
      <c r="AL118" s="35">
        <v>-7.6815249621785169</v>
      </c>
      <c r="AM118" s="35">
        <v>-7.7298275340393339</v>
      </c>
      <c r="AN118" s="35">
        <v>-7.7755158850226929</v>
      </c>
      <c r="AO118" s="35">
        <v>-7.821204236006051</v>
      </c>
      <c r="AP118" s="35">
        <v>-7.8668925869894091</v>
      </c>
      <c r="AQ118" s="35">
        <v>-7.9125809379727681</v>
      </c>
      <c r="AR118" s="35">
        <v>-7.9582692889561262</v>
      </c>
      <c r="AS118" s="35">
        <v>-8.0039576399394843</v>
      </c>
      <c r="AT118" s="35">
        <v>-8.0486051437216339</v>
      </c>
      <c r="AU118" s="35">
        <v>-8.0918729198184565</v>
      </c>
      <c r="AV118" s="35">
        <v>-8.135140695915279</v>
      </c>
      <c r="AW118" s="35">
        <v>-8.1784084720121033</v>
      </c>
      <c r="AX118" s="35">
        <v>-8.2216762481089258</v>
      </c>
      <c r="AY118" s="35">
        <v>-8.2649440242057501</v>
      </c>
      <c r="AZ118" s="35">
        <v>-8.3082118003025727</v>
      </c>
      <c r="BA118" s="35">
        <v>-8.3507878787878784</v>
      </c>
      <c r="BB118" s="35">
        <v>-8.3932121212121213</v>
      </c>
      <c r="BC118" s="35">
        <v>-8.4356363636363625</v>
      </c>
      <c r="BD118" s="35">
        <v>-8.4780606060606054</v>
      </c>
      <c r="BE118" s="35">
        <v>-8.5204848484848483</v>
      </c>
      <c r="BF118" s="35">
        <v>-8.5629090909090912</v>
      </c>
      <c r="BG118" s="35">
        <v>-8.6052771084337358</v>
      </c>
      <c r="BH118" s="35">
        <v>-8.6474457831325307</v>
      </c>
      <c r="BI118" s="35">
        <v>-8.6900969696969703</v>
      </c>
      <c r="BJ118" s="35">
        <v>-8.7331272727272733</v>
      </c>
      <c r="BK118" s="35">
        <v>-8.7772606060606062</v>
      </c>
      <c r="BL118" s="35">
        <v>-8.8216606060606058</v>
      </c>
      <c r="BM118" s="35">
        <v>-8.8665090909090907</v>
      </c>
      <c r="BN118" s="35">
        <v>-8.9120969696969699</v>
      </c>
      <c r="BO118" s="35">
        <v>-8.9581575757575767</v>
      </c>
      <c r="BP118" s="35">
        <v>-9.0051084337349412</v>
      </c>
      <c r="BQ118" s="35">
        <v>-9.052545454545454</v>
      </c>
      <c r="BR118" s="35">
        <v>-9.1010303030303028</v>
      </c>
      <c r="BS118" s="35">
        <v>-9.1506969696969698</v>
      </c>
      <c r="BT118" s="35">
        <v>-9.2010000000000005</v>
      </c>
    </row>
    <row r="119" spans="1:72" ht="21.75" hidden="1" thickBot="1" x14ac:dyDescent="0.4">
      <c r="A119" s="83"/>
    </row>
    <row r="120" spans="1:72" ht="21.75" hidden="1" thickBot="1" x14ac:dyDescent="0.4">
      <c r="A120" s="88"/>
    </row>
    <row r="121" spans="1:72" ht="21.75" hidden="1" thickBot="1" x14ac:dyDescent="0.4">
      <c r="A121" s="88"/>
    </row>
    <row r="122" spans="1:72" ht="21.75" hidden="1" thickBot="1" x14ac:dyDescent="0.4">
      <c r="A122" s="88"/>
    </row>
    <row r="123" spans="1:72" ht="21.75" hidden="1" thickBot="1" x14ac:dyDescent="0.4">
      <c r="A123" s="88"/>
    </row>
    <row r="124" spans="1:72" ht="21.75" hidden="1" thickBot="1" x14ac:dyDescent="0.4">
      <c r="A124" s="88"/>
    </row>
    <row r="125" spans="1:72" ht="21.75" hidden="1" thickBot="1" x14ac:dyDescent="0.4">
      <c r="A125" s="88"/>
    </row>
    <row r="126" spans="1:72" ht="21.75" hidden="1" thickBot="1" x14ac:dyDescent="0.4">
      <c r="A126" s="88"/>
    </row>
    <row r="127" spans="1:72" ht="21.75" hidden="1" thickBot="1" x14ac:dyDescent="0.4">
      <c r="A127" s="88"/>
    </row>
    <row r="128" spans="1:72" ht="21.75" hidden="1" thickBot="1" x14ac:dyDescent="0.4">
      <c r="A128" s="88"/>
    </row>
    <row r="129" spans="1:72" ht="21.75" hidden="1" thickBot="1" x14ac:dyDescent="0.4">
      <c r="A129" s="88"/>
    </row>
    <row r="130" spans="1:72" ht="22.5" hidden="1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1.75" hidden="1" thickBot="1" x14ac:dyDescent="0.4"/>
    <row r="132" spans="1:72" ht="30" customHeight="1" thickTop="1" thickBot="1" x14ac:dyDescent="0.4">
      <c r="A132" s="86" t="s">
        <v>28</v>
      </c>
      <c r="B132" s="59">
        <v>300</v>
      </c>
      <c r="C132" s="59">
        <v>310</v>
      </c>
      <c r="D132" s="59">
        <v>320</v>
      </c>
      <c r="E132" s="59">
        <v>330</v>
      </c>
      <c r="F132" s="59">
        <v>340</v>
      </c>
      <c r="G132" s="59">
        <v>350</v>
      </c>
      <c r="H132" s="59">
        <v>360</v>
      </c>
      <c r="I132" s="59">
        <v>370</v>
      </c>
      <c r="J132" s="59">
        <v>380</v>
      </c>
      <c r="K132" s="59">
        <v>390</v>
      </c>
      <c r="L132" s="59">
        <v>400</v>
      </c>
      <c r="M132" s="59">
        <v>410</v>
      </c>
      <c r="N132" s="59">
        <v>420</v>
      </c>
      <c r="O132" s="59">
        <v>430</v>
      </c>
      <c r="P132" s="59">
        <v>440</v>
      </c>
      <c r="Q132" s="59">
        <v>450</v>
      </c>
      <c r="R132" s="59">
        <v>460</v>
      </c>
      <c r="S132" s="59">
        <v>470</v>
      </c>
      <c r="T132" s="59">
        <v>480</v>
      </c>
      <c r="U132" s="59">
        <v>490</v>
      </c>
      <c r="V132" s="59">
        <v>500</v>
      </c>
      <c r="W132" s="59">
        <v>510</v>
      </c>
      <c r="X132" s="59">
        <v>520</v>
      </c>
      <c r="Y132" s="59">
        <v>530</v>
      </c>
      <c r="Z132" s="59">
        <v>540</v>
      </c>
      <c r="AA132" s="59">
        <v>550</v>
      </c>
      <c r="AB132" s="59">
        <v>560</v>
      </c>
      <c r="AC132" s="59">
        <v>570</v>
      </c>
      <c r="AD132" s="59">
        <v>580</v>
      </c>
      <c r="AE132" s="59">
        <v>590</v>
      </c>
      <c r="AF132" s="59">
        <v>600</v>
      </c>
      <c r="AG132" s="59">
        <v>610</v>
      </c>
      <c r="AH132" s="59">
        <v>620</v>
      </c>
      <c r="AI132" s="59">
        <v>630</v>
      </c>
      <c r="AJ132" s="59">
        <v>640</v>
      </c>
      <c r="AK132" s="59">
        <v>650</v>
      </c>
      <c r="AL132" s="59">
        <v>660</v>
      </c>
      <c r="AM132" s="59">
        <v>670</v>
      </c>
      <c r="AN132" s="59">
        <v>680</v>
      </c>
      <c r="AO132" s="59">
        <v>690</v>
      </c>
      <c r="AP132" s="59">
        <v>700</v>
      </c>
      <c r="AQ132" s="59">
        <v>710</v>
      </c>
      <c r="AR132" s="59">
        <v>720</v>
      </c>
      <c r="AS132" s="59">
        <v>730</v>
      </c>
      <c r="AT132" s="59">
        <v>740</v>
      </c>
      <c r="AU132" s="59">
        <v>750</v>
      </c>
      <c r="AV132" s="59">
        <v>760</v>
      </c>
      <c r="AW132" s="59">
        <v>770</v>
      </c>
      <c r="AX132" s="59">
        <v>780</v>
      </c>
      <c r="AY132" s="59">
        <v>790</v>
      </c>
      <c r="AZ132" s="59">
        <v>800</v>
      </c>
      <c r="BA132" s="59">
        <v>810</v>
      </c>
      <c r="BB132" s="59">
        <v>820</v>
      </c>
      <c r="BC132" s="59">
        <v>830</v>
      </c>
      <c r="BD132" s="59">
        <v>840</v>
      </c>
      <c r="BE132" s="59">
        <v>850</v>
      </c>
      <c r="BF132" s="59">
        <v>860</v>
      </c>
      <c r="BG132" s="59">
        <v>870</v>
      </c>
      <c r="BH132" s="59">
        <v>880</v>
      </c>
      <c r="BI132" s="59">
        <v>890</v>
      </c>
      <c r="BJ132" s="59">
        <v>900</v>
      </c>
      <c r="BK132" s="59">
        <v>910</v>
      </c>
      <c r="BL132" s="59">
        <v>920</v>
      </c>
      <c r="BM132" s="59">
        <v>930</v>
      </c>
      <c r="BN132" s="59">
        <v>940</v>
      </c>
      <c r="BO132" s="59">
        <v>950</v>
      </c>
      <c r="BP132" s="59">
        <v>960</v>
      </c>
      <c r="BQ132" s="59">
        <v>970</v>
      </c>
      <c r="BR132" s="59">
        <v>980</v>
      </c>
      <c r="BS132" s="59">
        <v>990</v>
      </c>
      <c r="BT132" s="59">
        <v>1000</v>
      </c>
    </row>
    <row r="133" spans="1:72" ht="9.9499999999999993" customHeight="1" thickTop="1" thickBot="1" x14ac:dyDescent="0.4">
      <c r="A133" s="83" t="s">
        <v>111</v>
      </c>
      <c r="B133" s="35">
        <v>0.08</v>
      </c>
      <c r="C133" s="35">
        <v>0.08</v>
      </c>
      <c r="D133" s="35">
        <v>0.08</v>
      </c>
      <c r="E133" s="35">
        <v>0.08</v>
      </c>
      <c r="F133" s="35">
        <v>0.08</v>
      </c>
      <c r="G133" s="35">
        <v>0.08</v>
      </c>
      <c r="H133" s="35">
        <v>0.08</v>
      </c>
      <c r="I133" s="35">
        <v>0.08</v>
      </c>
      <c r="J133" s="35">
        <v>0.08</v>
      </c>
      <c r="K133" s="35">
        <v>0.08</v>
      </c>
      <c r="L133" s="35">
        <v>0.08</v>
      </c>
      <c r="M133" s="35">
        <v>0.08</v>
      </c>
      <c r="N133" s="35">
        <v>0.08</v>
      </c>
      <c r="O133" s="35">
        <v>0.08</v>
      </c>
      <c r="P133" s="35">
        <v>0.08</v>
      </c>
      <c r="Q133" s="35">
        <v>0.08</v>
      </c>
      <c r="R133" s="35">
        <v>0.08</v>
      </c>
      <c r="S133" s="35">
        <v>0.08</v>
      </c>
      <c r="T133" s="35">
        <v>0.08</v>
      </c>
      <c r="U133" s="35">
        <v>0.08</v>
      </c>
      <c r="V133" s="35">
        <v>0.08</v>
      </c>
      <c r="W133" s="35">
        <v>0.08</v>
      </c>
      <c r="X133" s="35">
        <v>0.08</v>
      </c>
      <c r="Y133" s="35">
        <v>0.08</v>
      </c>
      <c r="Z133" s="35">
        <v>0.08</v>
      </c>
      <c r="AA133" s="35">
        <v>0.08</v>
      </c>
      <c r="AB133" s="35">
        <v>0.08</v>
      </c>
      <c r="AC133" s="35">
        <v>0.08</v>
      </c>
      <c r="AD133" s="35">
        <v>0.08</v>
      </c>
      <c r="AE133" s="35">
        <v>0.08</v>
      </c>
      <c r="AF133" s="35">
        <v>0.08</v>
      </c>
      <c r="AG133" s="35">
        <v>0.08</v>
      </c>
      <c r="AH133" s="35">
        <v>0.08</v>
      </c>
      <c r="AI133" s="35">
        <v>0.08</v>
      </c>
      <c r="AJ133" s="35">
        <v>0.08</v>
      </c>
      <c r="AK133" s="35">
        <v>0.08</v>
      </c>
      <c r="AL133" s="35">
        <v>0.08</v>
      </c>
      <c r="AM133" s="35">
        <v>7.9999975757575753E-2</v>
      </c>
      <c r="AN133" s="35">
        <v>7.9999369696969705E-2</v>
      </c>
      <c r="AO133" s="35">
        <v>7.9998295180722892E-2</v>
      </c>
      <c r="AP133" s="35">
        <v>7.9996487951807221E-2</v>
      </c>
      <c r="AQ133" s="35">
        <v>7.9992018181818184E-2</v>
      </c>
      <c r="AR133" s="35">
        <v>7.9985933333333342E-2</v>
      </c>
      <c r="AS133" s="35">
        <v>7.9972599999999991E-2</v>
      </c>
      <c r="AT133" s="35">
        <v>7.9948581818181819E-2</v>
      </c>
      <c r="AU133" s="35">
        <v>7.9910400000000006E-2</v>
      </c>
      <c r="AV133" s="35">
        <v>4.2225149454545675E-2</v>
      </c>
      <c r="AW133" s="35">
        <v>1.8513600000000054E-4</v>
      </c>
      <c r="AX133" s="35">
        <v>6.3336000000000533E-5</v>
      </c>
      <c r="AY133" s="35">
        <v>5.7159233253012144E-22</v>
      </c>
      <c r="AZ133" s="35">
        <v>9.2805525301203196E-23</v>
      </c>
      <c r="BA133" s="35">
        <v>5.800937061199996E-24</v>
      </c>
      <c r="BB133" s="35">
        <v>4.7973237211999962E-24</v>
      </c>
      <c r="BC133" s="35">
        <v>3.7937103811999957E-24</v>
      </c>
      <c r="BD133" s="35">
        <v>2.7900970411999951E-24</v>
      </c>
      <c r="BE133" s="35">
        <v>1.7864837011999953E-24</v>
      </c>
      <c r="BF133" s="35">
        <v>7.8287036119999478E-25</v>
      </c>
      <c r="BG133" s="35">
        <v>4.5413544578313127E-29</v>
      </c>
      <c r="BH133" s="35">
        <v>1.567511084337341E-29</v>
      </c>
      <c r="BI133" s="35">
        <v>2.0010460606060583E-30</v>
      </c>
      <c r="BJ133" s="35">
        <v>9.4898545454545205E-31</v>
      </c>
      <c r="BK133" s="35">
        <v>4.4543975757575653E-31</v>
      </c>
      <c r="BL133" s="35">
        <v>9.554329333333318E-32</v>
      </c>
      <c r="BM133" s="35">
        <v>2.855595999999984E-32</v>
      </c>
      <c r="BN133" s="35">
        <v>1.5691992121212091E-33</v>
      </c>
      <c r="BO133" s="35">
        <v>1.5657496969696647E-34</v>
      </c>
      <c r="BP133" s="35">
        <v>4.2198192771084282E-35</v>
      </c>
      <c r="BQ133" s="35">
        <v>0</v>
      </c>
      <c r="BR133" s="35">
        <v>0</v>
      </c>
      <c r="BS133" s="35">
        <v>0</v>
      </c>
      <c r="BT133" s="35">
        <v>0</v>
      </c>
    </row>
    <row r="134" spans="1:72" ht="9.9499999999999993" customHeight="1" thickBot="1" x14ac:dyDescent="0.4">
      <c r="A134" s="83" t="s">
        <v>112</v>
      </c>
      <c r="B134" s="35">
        <v>0.08</v>
      </c>
      <c r="C134" s="35">
        <v>0.08</v>
      </c>
      <c r="D134" s="35">
        <v>0.08</v>
      </c>
      <c r="E134" s="35">
        <v>0.08</v>
      </c>
      <c r="F134" s="35">
        <v>0.08</v>
      </c>
      <c r="G134" s="35">
        <v>0.08</v>
      </c>
      <c r="H134" s="35">
        <v>0.08</v>
      </c>
      <c r="I134" s="35">
        <v>0.08</v>
      </c>
      <c r="J134" s="35">
        <v>0.08</v>
      </c>
      <c r="K134" s="35">
        <v>0.08</v>
      </c>
      <c r="L134" s="35">
        <v>0.08</v>
      </c>
      <c r="M134" s="35">
        <v>0.08</v>
      </c>
      <c r="N134" s="35">
        <v>0.08</v>
      </c>
      <c r="O134" s="35">
        <v>0.08</v>
      </c>
      <c r="P134" s="35">
        <v>0.08</v>
      </c>
      <c r="Q134" s="35">
        <v>0.08</v>
      </c>
      <c r="R134" s="35">
        <v>0.08</v>
      </c>
      <c r="S134" s="35">
        <v>0.08</v>
      </c>
      <c r="T134" s="35">
        <v>0.08</v>
      </c>
      <c r="U134" s="35">
        <v>0.08</v>
      </c>
      <c r="V134" s="35">
        <v>0.08</v>
      </c>
      <c r="W134" s="35">
        <v>0.08</v>
      </c>
      <c r="X134" s="35">
        <v>0.08</v>
      </c>
      <c r="Y134" s="35">
        <v>0.08</v>
      </c>
      <c r="Z134" s="35">
        <v>0.08</v>
      </c>
      <c r="AA134" s="35">
        <v>0.08</v>
      </c>
      <c r="AB134" s="35">
        <v>0.08</v>
      </c>
      <c r="AC134" s="35">
        <v>0.08</v>
      </c>
      <c r="AD134" s="35">
        <v>0.08</v>
      </c>
      <c r="AE134" s="35">
        <v>0.08</v>
      </c>
      <c r="AF134" s="35">
        <v>0.08</v>
      </c>
      <c r="AG134" s="35">
        <v>0.08</v>
      </c>
      <c r="AH134" s="35">
        <v>0.08</v>
      </c>
      <c r="AI134" s="35">
        <v>0.08</v>
      </c>
      <c r="AJ134" s="35">
        <v>0.08</v>
      </c>
      <c r="AK134" s="35">
        <v>0.08</v>
      </c>
      <c r="AL134" s="35">
        <v>0.08</v>
      </c>
      <c r="AM134" s="35">
        <v>0.08</v>
      </c>
      <c r="AN134" s="35">
        <v>0.08</v>
      </c>
      <c r="AO134" s="35">
        <v>0.08</v>
      </c>
      <c r="AP134" s="35">
        <v>0.08</v>
      </c>
      <c r="AQ134" s="35">
        <v>0.08</v>
      </c>
      <c r="AR134" s="35">
        <v>0.08</v>
      </c>
      <c r="AS134" s="35">
        <v>0.08</v>
      </c>
      <c r="AT134" s="35">
        <v>0.08</v>
      </c>
      <c r="AU134" s="35">
        <v>0.08</v>
      </c>
      <c r="AV134" s="35">
        <v>4.2181818181818403E-2</v>
      </c>
      <c r="AW134" s="35">
        <v>4.1371636363636485E-27</v>
      </c>
      <c r="AX134" s="35">
        <v>1.4153454545454668E-27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</row>
    <row r="135" spans="1:72" ht="9.9499999999999993" customHeight="1" thickBot="1" x14ac:dyDescent="0.4">
      <c r="A135" s="83" t="s">
        <v>92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0</v>
      </c>
      <c r="AH135" s="35">
        <v>0</v>
      </c>
      <c r="AI135" s="35">
        <v>0</v>
      </c>
      <c r="AJ135" s="35">
        <v>0</v>
      </c>
      <c r="AK135" s="35">
        <v>0</v>
      </c>
      <c r="AL135" s="35">
        <v>0</v>
      </c>
      <c r="AM135" s="35">
        <v>0</v>
      </c>
      <c r="AN135" s="35">
        <v>0</v>
      </c>
      <c r="AO135" s="35">
        <v>0</v>
      </c>
      <c r="AP135" s="35">
        <v>0</v>
      </c>
      <c r="AQ135" s="35">
        <v>0</v>
      </c>
      <c r="AR135" s="35">
        <v>0</v>
      </c>
      <c r="AS135" s="35">
        <v>0</v>
      </c>
      <c r="AT135" s="35">
        <v>0</v>
      </c>
      <c r="AU135" s="35">
        <v>0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3.8403333333333549E-22</v>
      </c>
      <c r="BB135" s="35">
        <v>8.5236666666666889E-22</v>
      </c>
      <c r="BC135" s="35">
        <v>1.3207000000000021E-21</v>
      </c>
      <c r="BD135" s="35">
        <v>1.7890333333333356E-21</v>
      </c>
      <c r="BE135" s="35">
        <v>2.2573666666666689E-21</v>
      </c>
      <c r="BF135" s="35">
        <v>2.7257000000000021E-21</v>
      </c>
      <c r="BG135" s="35">
        <v>3.0570987951807761E-20</v>
      </c>
      <c r="BH135" s="35">
        <v>1.5548002409638589E-19</v>
      </c>
      <c r="BI135" s="35">
        <v>5.0622664242424438E-18</v>
      </c>
      <c r="BJ135" s="35">
        <v>1.3726242181818202E-17</v>
      </c>
      <c r="BK135" s="35">
        <v>1.3922784242424272E-16</v>
      </c>
      <c r="BL135" s="35">
        <v>3.6103000000000106E-16</v>
      </c>
      <c r="BM135" s="35">
        <v>8.2403000000000109E-16</v>
      </c>
      <c r="BN135" s="35">
        <v>2.1732490909090953E-15</v>
      </c>
      <c r="BO135" s="35">
        <v>4.0890672727272772E-15</v>
      </c>
      <c r="BP135" s="35">
        <v>4.3634253012048194E-15</v>
      </c>
      <c r="BQ135" s="35">
        <v>4.5990727272727275E-15</v>
      </c>
      <c r="BR135" s="35">
        <v>4.9039818181818185E-15</v>
      </c>
      <c r="BS135" s="35">
        <v>5.2872454545454545E-15</v>
      </c>
      <c r="BT135" s="35">
        <v>5.7126999999999999E-15</v>
      </c>
    </row>
    <row r="136" spans="1:72" ht="9.9499999999999993" customHeight="1" thickBot="1" x14ac:dyDescent="0.4">
      <c r="A136" s="83" t="s">
        <v>53</v>
      </c>
      <c r="B136" s="35">
        <v>1.6380516951641748E-19</v>
      </c>
      <c r="C136" s="35">
        <v>2.2469925892549466E-19</v>
      </c>
      <c r="D136" s="35">
        <v>2.8559334833457187E-19</v>
      </c>
      <c r="E136" s="35">
        <v>3.4648743774364903E-19</v>
      </c>
      <c r="F136" s="35">
        <v>5.501346898638447E-19</v>
      </c>
      <c r="G136" s="35">
        <v>2.3954433131618775E-18</v>
      </c>
      <c r="H136" s="35">
        <v>4.2407519364599097E-18</v>
      </c>
      <c r="I136" s="35">
        <v>6.0860605597579426E-18</v>
      </c>
      <c r="J136" s="35">
        <v>7.9313691830559763E-18</v>
      </c>
      <c r="K136" s="35">
        <v>9.7766778063540085E-18</v>
      </c>
      <c r="L136" s="35">
        <v>1.1621986429652041E-17</v>
      </c>
      <c r="M136" s="35">
        <v>1.1704085103274133E-17</v>
      </c>
      <c r="N136" s="35">
        <v>9.7978831953467491E-18</v>
      </c>
      <c r="O136" s="35">
        <v>7.891681287419364E-18</v>
      </c>
      <c r="P136" s="35">
        <v>5.9854793794919806E-18</v>
      </c>
      <c r="Q136" s="35">
        <v>4.0792774715645971E-18</v>
      </c>
      <c r="R136" s="35">
        <v>2.1730755636372136E-18</v>
      </c>
      <c r="S136" s="35">
        <v>2.6687365570982856E-19</v>
      </c>
      <c r="T136" s="35">
        <v>1.1238027231936251E-13</v>
      </c>
      <c r="U136" s="35">
        <v>2.4305500756816902E-13</v>
      </c>
      <c r="V136" s="35">
        <v>3.7372974281697558E-13</v>
      </c>
      <c r="W136" s="35">
        <v>5.0440447806578208E-13</v>
      </c>
      <c r="X136" s="35">
        <v>6.3507921331458863E-13</v>
      </c>
      <c r="Y136" s="35">
        <v>7.6575394856339518E-13</v>
      </c>
      <c r="Z136" s="35">
        <v>2.013920606060606E-12</v>
      </c>
      <c r="AA136" s="35">
        <v>6.61456303030303E-12</v>
      </c>
      <c r="AB136" s="35">
        <v>1.1215205454545454E-11</v>
      </c>
      <c r="AC136" s="35">
        <v>1.5815847878787878E-11</v>
      </c>
      <c r="AD136" s="35">
        <v>2.0416490303030304E-11</v>
      </c>
      <c r="AE136" s="35">
        <v>2.5017132727272727E-11</v>
      </c>
      <c r="AF136" s="35">
        <v>2.961777515151515E-11</v>
      </c>
      <c r="AG136" s="35">
        <v>2.8331566565809381E-11</v>
      </c>
      <c r="AH136" s="35">
        <v>2.3875515128593044E-11</v>
      </c>
      <c r="AI136" s="35">
        <v>1.9419463691376707E-11</v>
      </c>
      <c r="AJ136" s="35">
        <v>1.4963412254160369E-11</v>
      </c>
      <c r="AK136" s="35">
        <v>1.0507360816944035E-11</v>
      </c>
      <c r="AL136" s="35">
        <v>6.0513093797276975E-12</v>
      </c>
      <c r="AM136" s="35">
        <v>1.7401421818181838E-12</v>
      </c>
      <c r="AN136" s="35">
        <v>9.0619672727272916E-13</v>
      </c>
      <c r="AO136" s="35">
        <v>3.3844728915662692E-13</v>
      </c>
      <c r="AP136" s="35">
        <v>1.870557228915669E-13</v>
      </c>
      <c r="AQ136" s="35">
        <v>8.6996909090909457E-14</v>
      </c>
      <c r="AR136" s="35">
        <v>1.1808546593939428E-14</v>
      </c>
      <c r="AS136" s="35">
        <v>4.2903790181818518E-15</v>
      </c>
      <c r="AT136" s="35">
        <v>3.7143454545454684E-18</v>
      </c>
      <c r="AU136" s="35">
        <v>6.6980000000001395E-19</v>
      </c>
      <c r="AV136" s="35">
        <v>1.3184981818181887E-34</v>
      </c>
      <c r="AW136" s="35">
        <v>0</v>
      </c>
      <c r="AX136" s="35">
        <v>0</v>
      </c>
      <c r="AY136" s="35">
        <v>1.3081445783132476E-25</v>
      </c>
      <c r="AZ136" s="35">
        <v>4.0334457831325394E-25</v>
      </c>
      <c r="BA136" s="35">
        <v>5.1901030303070212E-13</v>
      </c>
      <c r="BB136" s="35">
        <v>1.1519496969700275E-12</v>
      </c>
      <c r="BC136" s="35">
        <v>1.7848890909093529E-12</v>
      </c>
      <c r="BD136" s="35">
        <v>2.4178284848486785E-12</v>
      </c>
      <c r="BE136" s="35">
        <v>3.0507678787880037E-12</v>
      </c>
      <c r="BF136" s="35">
        <v>3.6837072727273292E-12</v>
      </c>
      <c r="BG136" s="35">
        <v>8.6469253012049044E-12</v>
      </c>
      <c r="BH136" s="35">
        <v>2.8962949397590416E-11</v>
      </c>
      <c r="BI136" s="35">
        <v>1.4035756363636405E-10</v>
      </c>
      <c r="BJ136" s="35">
        <v>3.233139272727277E-10</v>
      </c>
      <c r="BK136" s="35">
        <v>1.0064073939393956E-9</v>
      </c>
      <c r="BL136" s="35">
        <v>1.86617272727273E-9</v>
      </c>
      <c r="BM136" s="35">
        <v>3.0879909090909115E-9</v>
      </c>
      <c r="BN136" s="35">
        <v>5.3013733333333394E-9</v>
      </c>
      <c r="BO136" s="35">
        <v>8.1487066666666726E-9</v>
      </c>
      <c r="BP136" s="35">
        <v>9.2324891566265066E-9</v>
      </c>
      <c r="BQ136" s="35">
        <v>1.0335572727272727E-8</v>
      </c>
      <c r="BR136" s="35">
        <v>1.1655148484848485E-8</v>
      </c>
      <c r="BS136" s="35">
        <v>1.3242878787878787E-8</v>
      </c>
      <c r="BT136" s="35">
        <v>1.4975E-8</v>
      </c>
    </row>
    <row r="137" spans="1:72" ht="9.9499999999999993" customHeight="1" thickBot="1" x14ac:dyDescent="0.4">
      <c r="A137" s="83" t="s">
        <v>61</v>
      </c>
      <c r="B137" s="35">
        <v>0.08</v>
      </c>
      <c r="C137" s="35">
        <v>0.08</v>
      </c>
      <c r="D137" s="35">
        <v>0.08</v>
      </c>
      <c r="E137" s="35">
        <v>0.08</v>
      </c>
      <c r="F137" s="35">
        <v>0.08</v>
      </c>
      <c r="G137" s="35">
        <v>0.08</v>
      </c>
      <c r="H137" s="35">
        <v>0.08</v>
      </c>
      <c r="I137" s="35">
        <v>0.08</v>
      </c>
      <c r="J137" s="35">
        <v>0.08</v>
      </c>
      <c r="K137" s="35">
        <v>0.08</v>
      </c>
      <c r="L137" s="35">
        <v>0.08</v>
      </c>
      <c r="M137" s="35">
        <v>0.08</v>
      </c>
      <c r="N137" s="35">
        <v>0.08</v>
      </c>
      <c r="O137" s="35">
        <v>0.08</v>
      </c>
      <c r="P137" s="35">
        <v>0.08</v>
      </c>
      <c r="Q137" s="35">
        <v>0.08</v>
      </c>
      <c r="R137" s="35">
        <v>0.08</v>
      </c>
      <c r="S137" s="35">
        <v>0.08</v>
      </c>
      <c r="T137" s="35">
        <v>0.08</v>
      </c>
      <c r="U137" s="35">
        <v>0.08</v>
      </c>
      <c r="V137" s="35">
        <v>0.08</v>
      </c>
      <c r="W137" s="35">
        <v>0.08</v>
      </c>
      <c r="X137" s="35">
        <v>0.08</v>
      </c>
      <c r="Y137" s="35">
        <v>0.08</v>
      </c>
      <c r="Z137" s="35">
        <v>0.08</v>
      </c>
      <c r="AA137" s="35">
        <v>0.08</v>
      </c>
      <c r="AB137" s="35">
        <v>0.08</v>
      </c>
      <c r="AC137" s="35">
        <v>0.08</v>
      </c>
      <c r="AD137" s="35">
        <v>0.08</v>
      </c>
      <c r="AE137" s="35">
        <v>0.08</v>
      </c>
      <c r="AF137" s="35">
        <v>0.08</v>
      </c>
      <c r="AG137" s="35">
        <v>0.08</v>
      </c>
      <c r="AH137" s="35">
        <v>0.08</v>
      </c>
      <c r="AI137" s="35">
        <v>0.08</v>
      </c>
      <c r="AJ137" s="35">
        <v>0.08</v>
      </c>
      <c r="AK137" s="35">
        <v>0.08</v>
      </c>
      <c r="AL137" s="35">
        <v>0.08</v>
      </c>
      <c r="AM137" s="35">
        <v>8.000002424242425E-2</v>
      </c>
      <c r="AN137" s="35">
        <v>8.0000630303030298E-2</v>
      </c>
      <c r="AO137" s="35">
        <v>8.0001704819277111E-2</v>
      </c>
      <c r="AP137" s="35">
        <v>8.0003512048192782E-2</v>
      </c>
      <c r="AQ137" s="35">
        <v>8.000798181818182E-2</v>
      </c>
      <c r="AR137" s="35">
        <v>8.0014066666666661E-2</v>
      </c>
      <c r="AS137" s="35">
        <v>8.0027399999999999E-2</v>
      </c>
      <c r="AT137" s="35">
        <v>8.0051157575757578E-2</v>
      </c>
      <c r="AU137" s="35">
        <v>8.0088733333333328E-2</v>
      </c>
      <c r="AV137" s="35">
        <v>4.499780363636384E-2</v>
      </c>
      <c r="AW137" s="35">
        <v>5.388271491515168E-3</v>
      </c>
      <c r="AX137" s="35">
        <v>1.8465137339394103E-3</v>
      </c>
      <c r="AY137" s="35">
        <v>3.630292771084342E-6</v>
      </c>
      <c r="AZ137" s="35">
        <v>1.1940277108433647E-6</v>
      </c>
      <c r="BA137" s="35">
        <v>6.6765203333333281E-7</v>
      </c>
      <c r="BB137" s="35">
        <v>5.6052036666666622E-7</v>
      </c>
      <c r="BC137" s="35">
        <v>4.5338869999999953E-7</v>
      </c>
      <c r="BD137" s="35">
        <v>3.4625703333333289E-7</v>
      </c>
      <c r="BE137" s="35">
        <v>2.3912536666666625E-7</v>
      </c>
      <c r="BF137" s="35">
        <v>1.3199369999999956E-7</v>
      </c>
      <c r="BG137" s="35">
        <v>4.5675036144578256E-8</v>
      </c>
      <c r="BH137" s="35">
        <v>3.3147927710843337E-8</v>
      </c>
      <c r="BI137" s="35">
        <v>2.6452193939393936E-8</v>
      </c>
      <c r="BJ137" s="35">
        <v>2.433825454545454E-8</v>
      </c>
      <c r="BK137" s="35">
        <v>2.0704339393939384E-8</v>
      </c>
      <c r="BL137" s="35">
        <v>1.6538401212121198E-8</v>
      </c>
      <c r="BM137" s="35">
        <v>1.1286098181818171E-8</v>
      </c>
      <c r="BN137" s="35">
        <v>7.9005799999999942E-9</v>
      </c>
      <c r="BO137" s="35">
        <v>5.7085799999999952E-9</v>
      </c>
      <c r="BP137" s="35">
        <v>3.4829915662650582E-9</v>
      </c>
      <c r="BQ137" s="35">
        <v>1.7005836363636363E-9</v>
      </c>
      <c r="BR137" s="35">
        <v>9.5552909090909092E-10</v>
      </c>
      <c r="BS137" s="35">
        <v>5.2516515151515155E-10</v>
      </c>
      <c r="BT137" s="35">
        <v>2.6424999999999999E-10</v>
      </c>
    </row>
    <row r="138" spans="1:72" ht="9.9499999999999993" customHeight="1" thickBot="1" x14ac:dyDescent="0.4">
      <c r="A138" s="83" t="s">
        <v>93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3.9504056789814768E-29</v>
      </c>
      <c r="U138" s="35">
        <v>8.5439003435064363E-29</v>
      </c>
      <c r="V138" s="35">
        <v>1.3137395008031399E-28</v>
      </c>
      <c r="W138" s="35">
        <v>1.7730889672556357E-28</v>
      </c>
      <c r="X138" s="35">
        <v>2.2324384337081316E-28</v>
      </c>
      <c r="Y138" s="35">
        <v>2.6917879001606279E-28</v>
      </c>
      <c r="Z138" s="35">
        <v>3.9591201219772728E-23</v>
      </c>
      <c r="AA138" s="35">
        <v>1.9795479157886366E-22</v>
      </c>
      <c r="AB138" s="35">
        <v>3.563183819379546E-22</v>
      </c>
      <c r="AC138" s="35">
        <v>5.1468197229704549E-22</v>
      </c>
      <c r="AD138" s="35">
        <v>6.7304556265613643E-22</v>
      </c>
      <c r="AE138" s="35">
        <v>8.3140915301522737E-22</v>
      </c>
      <c r="AF138" s="35">
        <v>9.8977274337431812E-22</v>
      </c>
      <c r="AG138" s="35">
        <v>2.9925526383055965E-17</v>
      </c>
      <c r="AH138" s="35">
        <v>7.5963189741603604E-17</v>
      </c>
      <c r="AI138" s="35">
        <v>1.2200085310015123E-16</v>
      </c>
      <c r="AJ138" s="35">
        <v>1.6803851645869886E-16</v>
      </c>
      <c r="AK138" s="35">
        <v>2.1407617981724651E-16</v>
      </c>
      <c r="AL138" s="35">
        <v>2.6011384317579416E-16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1.7673666666666302E-12</v>
      </c>
      <c r="AS138" s="35">
        <v>9.7906999999999639E-12</v>
      </c>
      <c r="AT138" s="35">
        <v>5.4462412121211695E-11</v>
      </c>
      <c r="AU138" s="35">
        <v>1.477145333333329E-10</v>
      </c>
      <c r="AV138" s="35">
        <v>8.1816854545454165E-10</v>
      </c>
      <c r="AW138" s="35">
        <v>1.5552884848484844E-9</v>
      </c>
      <c r="AX138" s="35">
        <v>1.6490460606060602E-9</v>
      </c>
      <c r="AY138" s="35">
        <v>1.815081927710843E-9</v>
      </c>
      <c r="AZ138" s="35">
        <v>2.0594192771084347E-9</v>
      </c>
      <c r="BA138" s="35">
        <v>2.3510772727272742E-9</v>
      </c>
      <c r="BB138" s="35">
        <v>2.6531227272727284E-9</v>
      </c>
      <c r="BC138" s="35">
        <v>2.9551681818181831E-9</v>
      </c>
      <c r="BD138" s="35">
        <v>3.2572136363636374E-9</v>
      </c>
      <c r="BE138" s="35">
        <v>3.559259090909092E-9</v>
      </c>
      <c r="BF138" s="35">
        <v>3.8613045454545467E-9</v>
      </c>
      <c r="BG138" s="35">
        <v>4.1629265060240978E-9</v>
      </c>
      <c r="BH138" s="35">
        <v>4.4630469879518084E-9</v>
      </c>
      <c r="BI138" s="35">
        <v>4.7440260606060612E-9</v>
      </c>
      <c r="BJ138" s="35">
        <v>5.0099654545454555E-9</v>
      </c>
      <c r="BK138" s="35">
        <v>5.2227939393939402E-9</v>
      </c>
      <c r="BL138" s="35">
        <v>5.40961696969697E-9</v>
      </c>
      <c r="BM138" s="35">
        <v>5.5373745454545454E-9</v>
      </c>
      <c r="BN138" s="35">
        <v>5.606128484848485E-9</v>
      </c>
      <c r="BO138" s="35">
        <v>5.6371587878787877E-9</v>
      </c>
      <c r="BP138" s="35">
        <v>5.5672096385542168E-9</v>
      </c>
      <c r="BQ138" s="35">
        <v>5.4618272727272728E-9</v>
      </c>
      <c r="BR138" s="35">
        <v>5.2835848484848487E-9</v>
      </c>
      <c r="BS138" s="35">
        <v>5.0468424242424244E-9</v>
      </c>
      <c r="BT138" s="35">
        <v>4.7786E-9</v>
      </c>
    </row>
    <row r="139" spans="1:72" ht="9.9499999999999993" customHeight="1" thickBot="1" x14ac:dyDescent="0.4">
      <c r="A139" s="83" t="s">
        <v>68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2.2045153327874484E-25</v>
      </c>
      <c r="U139" s="35">
        <v>4.7679039705635445E-25</v>
      </c>
      <c r="V139" s="35">
        <v>7.3312926083396402E-25</v>
      </c>
      <c r="W139" s="35">
        <v>9.8946812461157349E-25</v>
      </c>
      <c r="X139" s="35">
        <v>1.2458069883891832E-24</v>
      </c>
      <c r="Y139" s="35">
        <v>1.5021458521667928E-24</v>
      </c>
      <c r="Z139" s="35">
        <v>4.29864787030303E-20</v>
      </c>
      <c r="AA139" s="35">
        <v>2.1492561591515151E-19</v>
      </c>
      <c r="AB139" s="35">
        <v>3.8686475312727271E-19</v>
      </c>
      <c r="AC139" s="35">
        <v>5.5880389033939395E-19</v>
      </c>
      <c r="AD139" s="35">
        <v>7.3074302755151513E-19</v>
      </c>
      <c r="AE139" s="35">
        <v>9.0268216476363641E-19</v>
      </c>
      <c r="AF139" s="35">
        <v>1.0746213019757575E-18</v>
      </c>
      <c r="AG139" s="35">
        <v>8.181681302269286E-15</v>
      </c>
      <c r="AH139" s="35">
        <v>2.0767137459606652E-14</v>
      </c>
      <c r="AI139" s="35">
        <v>3.3352593616944011E-14</v>
      </c>
      <c r="AJ139" s="35">
        <v>4.5938049774281376E-14</v>
      </c>
      <c r="AK139" s="35">
        <v>5.8523505931618734E-14</v>
      </c>
      <c r="AL139" s="35">
        <v>7.1108962088956105E-14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6.1611309090908785E-11</v>
      </c>
      <c r="AR139" s="35">
        <v>1.762423636363607E-10</v>
      </c>
      <c r="AS139" s="35">
        <v>8.2589690909090617E-10</v>
      </c>
      <c r="AT139" s="35">
        <v>3.6633054545454282E-9</v>
      </c>
      <c r="AU139" s="35">
        <v>9.4007599999999724E-9</v>
      </c>
      <c r="AV139" s="35">
        <v>4.1844090909090726E-8</v>
      </c>
      <c r="AW139" s="35">
        <v>7.7359036363636336E-8</v>
      </c>
      <c r="AX139" s="35">
        <v>8.3020854545454515E-8</v>
      </c>
      <c r="AY139" s="35">
        <v>9.2006927710843348E-8</v>
      </c>
      <c r="AZ139" s="35">
        <v>1.0459427710843379E-7</v>
      </c>
      <c r="BA139" s="35">
        <v>1.200930606060607E-7</v>
      </c>
      <c r="BB139" s="35">
        <v>1.3623093939393947E-7</v>
      </c>
      <c r="BC139" s="35">
        <v>1.5236881818181825E-7</v>
      </c>
      <c r="BD139" s="35">
        <v>1.6850669696969705E-7</v>
      </c>
      <c r="BE139" s="35">
        <v>1.8464457575757586E-7</v>
      </c>
      <c r="BF139" s="35">
        <v>2.0078245454545463E-7</v>
      </c>
      <c r="BG139" s="35">
        <v>2.1712855421686755E-7</v>
      </c>
      <c r="BH139" s="35">
        <v>2.3421289156626509E-7</v>
      </c>
      <c r="BI139" s="35">
        <v>2.5065606060606065E-7</v>
      </c>
      <c r="BJ139" s="35">
        <v>2.6659545454545459E-7</v>
      </c>
      <c r="BK139" s="35">
        <v>2.8037842424242424E-7</v>
      </c>
      <c r="BL139" s="35">
        <v>2.9302945454545454E-7</v>
      </c>
      <c r="BM139" s="35">
        <v>3.0306581818181821E-7</v>
      </c>
      <c r="BN139" s="35">
        <v>3.1032206060606065E-7</v>
      </c>
      <c r="BO139" s="35">
        <v>3.158008484848485E-7</v>
      </c>
      <c r="BP139" s="35">
        <v>3.1621084337349397E-7</v>
      </c>
      <c r="BQ139" s="35">
        <v>3.1474818181818184E-7</v>
      </c>
      <c r="BR139" s="35">
        <v>3.094087878787879E-7</v>
      </c>
      <c r="BS139" s="35">
        <v>3.0065787878787879E-7</v>
      </c>
      <c r="BT139" s="35">
        <v>2.9007E-7</v>
      </c>
    </row>
    <row r="140" spans="1:72" ht="9.9499999999999993" customHeight="1" thickBot="1" x14ac:dyDescent="0.4">
      <c r="A140" s="83" t="s">
        <v>93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1.9489929224773116E-22</v>
      </c>
      <c r="U140" s="35">
        <v>4.2152550229160405E-22</v>
      </c>
      <c r="V140" s="35">
        <v>6.4815171233547687E-22</v>
      </c>
      <c r="W140" s="35">
        <v>8.7477792237934973E-22</v>
      </c>
      <c r="X140" s="35">
        <v>1.1014041324232226E-21</v>
      </c>
      <c r="Y140" s="35">
        <v>1.3280303424670955E-21</v>
      </c>
      <c r="Z140" s="35">
        <v>7.1700018636363624E-18</v>
      </c>
      <c r="AA140" s="35">
        <v>3.5844017318181814E-17</v>
      </c>
      <c r="AB140" s="35">
        <v>6.4518032772727268E-17</v>
      </c>
      <c r="AC140" s="35">
        <v>9.3192048227272715E-17</v>
      </c>
      <c r="AD140" s="35">
        <v>1.2186606368181818E-16</v>
      </c>
      <c r="AE140" s="35">
        <v>1.5054007913636362E-16</v>
      </c>
      <c r="AF140" s="35">
        <v>1.7921409459090907E-16</v>
      </c>
      <c r="AG140" s="35">
        <v>3.3528939939485613E-13</v>
      </c>
      <c r="AH140" s="35">
        <v>8.5082809077155792E-13</v>
      </c>
      <c r="AI140" s="35">
        <v>1.3663667821482597E-12</v>
      </c>
      <c r="AJ140" s="35">
        <v>1.8819054735249615E-12</v>
      </c>
      <c r="AK140" s="35">
        <v>2.3974441649016635E-12</v>
      </c>
      <c r="AL140" s="35">
        <v>2.9129828562783651E-12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1.0409701818181771E-9</v>
      </c>
      <c r="AR140" s="35">
        <v>2.6354836363636017E-9</v>
      </c>
      <c r="AS140" s="35">
        <v>1.0274029090909056E-8</v>
      </c>
      <c r="AT140" s="35">
        <v>3.6561127272727036E-8</v>
      </c>
      <c r="AU140" s="35">
        <v>8.7568399999999764E-8</v>
      </c>
      <c r="AV140" s="35">
        <v>3.1388563636363512E-7</v>
      </c>
      <c r="AW140" s="35">
        <v>5.5988084848484824E-7</v>
      </c>
      <c r="AX140" s="35">
        <v>6.0665660606060582E-7</v>
      </c>
      <c r="AY140" s="35">
        <v>6.7517180722891544E-7</v>
      </c>
      <c r="AZ140" s="35">
        <v>7.6723807228915691E-7</v>
      </c>
      <c r="BA140" s="35">
        <v>8.8294178787878844E-7</v>
      </c>
      <c r="BB140" s="35">
        <v>1.0038342121212126E-6</v>
      </c>
      <c r="BC140" s="35">
        <v>1.1247266363636368E-6</v>
      </c>
      <c r="BD140" s="35">
        <v>1.2456190606060611E-6</v>
      </c>
      <c r="BE140" s="35">
        <v>1.3665114848484853E-6</v>
      </c>
      <c r="BF140" s="35">
        <v>1.4874039090909095E-6</v>
      </c>
      <c r="BG140" s="35">
        <v>1.6112012048192776E-6</v>
      </c>
      <c r="BH140" s="35">
        <v>1.7452975903614463E-6</v>
      </c>
      <c r="BI140" s="35">
        <v>1.8770321212121215E-6</v>
      </c>
      <c r="BJ140" s="35">
        <v>2.0069109090909094E-6</v>
      </c>
      <c r="BK140" s="35">
        <v>2.1253733333333339E-6</v>
      </c>
      <c r="BL140" s="35">
        <v>2.2373333333333336E-6</v>
      </c>
      <c r="BM140" s="35">
        <v>2.3340000000000004E-6</v>
      </c>
      <c r="BN140" s="35">
        <v>2.4131060606060607E-6</v>
      </c>
      <c r="BO140" s="35">
        <v>2.4809848484848486E-6</v>
      </c>
      <c r="BP140" s="35">
        <v>2.5148710843373495E-6</v>
      </c>
      <c r="BQ140" s="35">
        <v>2.5356181818181818E-6</v>
      </c>
      <c r="BR140" s="35">
        <v>2.5290121212121213E-6</v>
      </c>
      <c r="BS140" s="35">
        <v>2.4964454545454543E-6</v>
      </c>
      <c r="BT140" s="35">
        <v>2.4499E-6</v>
      </c>
    </row>
    <row r="141" spans="1:72" ht="9.9499999999999993" customHeight="1" thickBot="1" x14ac:dyDescent="0.4">
      <c r="A141" s="83" t="s">
        <v>95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2.0877009733358596E-20</v>
      </c>
      <c r="U141" s="35">
        <v>4.5152312388426674E-20</v>
      </c>
      <c r="V141" s="35">
        <v>6.9427615043494749E-20</v>
      </c>
      <c r="W141" s="35">
        <v>9.3702917698562812E-20</v>
      </c>
      <c r="X141" s="35">
        <v>1.179782203536309E-19</v>
      </c>
      <c r="Y141" s="35">
        <v>1.4225352300869895E-19</v>
      </c>
      <c r="Z141" s="35">
        <v>2.9488923045454544E-16</v>
      </c>
      <c r="AA141" s="35">
        <v>1.4738043122727272E-15</v>
      </c>
      <c r="AB141" s="35">
        <v>2.6527193940909088E-15</v>
      </c>
      <c r="AC141" s="35">
        <v>3.8316344759090915E-15</v>
      </c>
      <c r="AD141" s="35">
        <v>5.010549557727273E-15</v>
      </c>
      <c r="AE141" s="35">
        <v>6.1894646395454546E-15</v>
      </c>
      <c r="AF141" s="35">
        <v>7.3683797213636353E-15</v>
      </c>
      <c r="AG141" s="35">
        <v>5.9909492829046894E-12</v>
      </c>
      <c r="AH141" s="35">
        <v>1.5195823564296519E-11</v>
      </c>
      <c r="AI141" s="35">
        <v>2.4400697845688349E-11</v>
      </c>
      <c r="AJ141" s="35">
        <v>3.3605572127080175E-11</v>
      </c>
      <c r="AK141" s="35">
        <v>4.2810446408472008E-11</v>
      </c>
      <c r="AL141" s="35">
        <v>5.2015320689863834E-11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1.0875471515151468E-8</v>
      </c>
      <c r="AR141" s="35">
        <v>2.5608957575757289E-8</v>
      </c>
      <c r="AS141" s="35">
        <v>8.8545927272726984E-8</v>
      </c>
      <c r="AT141" s="35">
        <v>2.7609533333333171E-7</v>
      </c>
      <c r="AU141" s="35">
        <v>6.2882866666666494E-7</v>
      </c>
      <c r="AV141" s="35">
        <v>1.9856630909090832E-6</v>
      </c>
      <c r="AW141" s="35">
        <v>3.485827878787876E-6</v>
      </c>
      <c r="AX141" s="35">
        <v>4.0498884848484823E-6</v>
      </c>
      <c r="AY141" s="35">
        <v>4.795556626506022E-6</v>
      </c>
      <c r="AZ141" s="35">
        <v>5.7379662650602442E-6</v>
      </c>
      <c r="BA141" s="35">
        <v>7.2571709090909163E-6</v>
      </c>
      <c r="BB141" s="35">
        <v>8.9029890909090978E-6</v>
      </c>
      <c r="BC141" s="35">
        <v>1.0548807272727281E-5</v>
      </c>
      <c r="BD141" s="35">
        <v>1.2194625454545461E-5</v>
      </c>
      <c r="BE141" s="35">
        <v>1.3840443636363644E-5</v>
      </c>
      <c r="BF141" s="35">
        <v>1.5486261818181824E-5</v>
      </c>
      <c r="BG141" s="35">
        <v>1.7298662650602419E-5</v>
      </c>
      <c r="BH141" s="35">
        <v>1.9701674698795185E-5</v>
      </c>
      <c r="BI141" s="35">
        <v>2.2262175757575761E-5</v>
      </c>
      <c r="BJ141" s="35">
        <v>2.4946418181818188E-5</v>
      </c>
      <c r="BK141" s="35">
        <v>2.7804387878787886E-5</v>
      </c>
      <c r="BL141" s="35">
        <v>3.0699709090909097E-5</v>
      </c>
      <c r="BM141" s="35">
        <v>3.3652436363636369E-5</v>
      </c>
      <c r="BN141" s="35">
        <v>3.6561909090909096E-5</v>
      </c>
      <c r="BO141" s="35">
        <v>3.9443727272727279E-5</v>
      </c>
      <c r="BP141" s="35">
        <v>4.2077554216867471E-5</v>
      </c>
      <c r="BQ141" s="35">
        <v>4.4579636363636361E-5</v>
      </c>
      <c r="BR141" s="35">
        <v>4.6798424242424239E-5</v>
      </c>
      <c r="BS141" s="35">
        <v>4.8639030303030301E-5</v>
      </c>
      <c r="BT141" s="35">
        <v>5.0275999999999998E-5</v>
      </c>
    </row>
    <row r="142" spans="1:72" ht="9.9499999999999993" customHeight="1" thickBot="1" x14ac:dyDescent="0.4">
      <c r="A142" s="83" t="s">
        <v>102</v>
      </c>
      <c r="B142" s="35">
        <v>9.4211043872919802E-33</v>
      </c>
      <c r="C142" s="35">
        <v>1.2923373676248108E-32</v>
      </c>
      <c r="D142" s="35">
        <v>1.6425642965204237E-32</v>
      </c>
      <c r="E142" s="35">
        <v>1.9927912254160366E-32</v>
      </c>
      <c r="F142" s="35">
        <v>6.3035354765507674E-30</v>
      </c>
      <c r="G142" s="35">
        <v>8.4808353933434248E-29</v>
      </c>
      <c r="H142" s="35">
        <v>1.6331317239031773E-28</v>
      </c>
      <c r="I142" s="35">
        <v>2.4181799084720118E-28</v>
      </c>
      <c r="J142" s="35">
        <v>3.2032280930408469E-28</v>
      </c>
      <c r="K142" s="35">
        <v>3.9882762776096814E-28</v>
      </c>
      <c r="L142" s="35">
        <v>4.7733244621785165E-28</v>
      </c>
      <c r="M142" s="35">
        <v>4.8229348199697335E-26</v>
      </c>
      <c r="N142" s="35">
        <v>1.4974085500756427E-25</v>
      </c>
      <c r="O142" s="35">
        <v>2.5125236181543117E-25</v>
      </c>
      <c r="P142" s="35">
        <v>3.5276386862329811E-25</v>
      </c>
      <c r="Q142" s="35">
        <v>4.5427537543116496E-25</v>
      </c>
      <c r="R142" s="35">
        <v>5.5578688223903186E-25</v>
      </c>
      <c r="S142" s="35">
        <v>6.5729838904689885E-25</v>
      </c>
      <c r="T142" s="35">
        <v>1.934020915279883E-23</v>
      </c>
      <c r="U142" s="35">
        <v>4.1047998865355553E-23</v>
      </c>
      <c r="V142" s="35">
        <v>6.2755788577912276E-23</v>
      </c>
      <c r="W142" s="35">
        <v>8.4463578290468998E-23</v>
      </c>
      <c r="X142" s="35">
        <v>1.0617136800302572E-22</v>
      </c>
      <c r="Y142" s="35">
        <v>1.2787915771558244E-22</v>
      </c>
      <c r="Z142" s="35">
        <v>4.903925757575757E-22</v>
      </c>
      <c r="AA142" s="35">
        <v>1.8753228787878785E-21</v>
      </c>
      <c r="AB142" s="35">
        <v>3.2602531818181813E-21</v>
      </c>
      <c r="AC142" s="35">
        <v>4.6451834848484836E-21</v>
      </c>
      <c r="AD142" s="35">
        <v>6.0301137878787867E-21</v>
      </c>
      <c r="AE142" s="35">
        <v>7.4150440909090906E-21</v>
      </c>
      <c r="AF142" s="35">
        <v>8.7999743939393937E-21</v>
      </c>
      <c r="AG142" s="35">
        <v>3.3605644780635397E-20</v>
      </c>
      <c r="AH142" s="35">
        <v>7.1022482904689841E-20</v>
      </c>
      <c r="AI142" s="35">
        <v>1.0843932102874431E-19</v>
      </c>
      <c r="AJ142" s="35">
        <v>1.4585615915279874E-19</v>
      </c>
      <c r="AK142" s="35">
        <v>1.8327299727685322E-19</v>
      </c>
      <c r="AL142" s="35">
        <v>2.2068983540090765E-19</v>
      </c>
      <c r="AM142" s="35">
        <v>2.6325193939393899E-19</v>
      </c>
      <c r="AN142" s="35">
        <v>4.2930042424242383E-19</v>
      </c>
      <c r="AO142" s="35">
        <v>6.5468753012048103E-19</v>
      </c>
      <c r="AP142" s="35">
        <v>9.7288632530120344E-19</v>
      </c>
      <c r="AQ142" s="35">
        <v>1.4948090909090882E-18</v>
      </c>
      <c r="AR142" s="35">
        <v>2.1307533333333285E-18</v>
      </c>
      <c r="AS142" s="35">
        <v>3.2114199999999954E-18</v>
      </c>
      <c r="AT142" s="35">
        <v>4.6446866666666579E-18</v>
      </c>
      <c r="AU142" s="35">
        <v>6.5453533333333246E-18</v>
      </c>
      <c r="AV142" s="35">
        <v>9.4951909090908942E-18</v>
      </c>
      <c r="AW142" s="35">
        <v>1.2927872727272706E-17</v>
      </c>
      <c r="AX142" s="35">
        <v>1.761150909090907E-17</v>
      </c>
      <c r="AY142" s="35">
        <v>2.3321698795180713E-17</v>
      </c>
      <c r="AZ142" s="35">
        <v>3.0143987951807257E-17</v>
      </c>
      <c r="BA142" s="35">
        <v>4.7034993939394032E-17</v>
      </c>
      <c r="BB142" s="35">
        <v>6.6136206060606151E-17</v>
      </c>
      <c r="BC142" s="35">
        <v>8.5237418181818276E-17</v>
      </c>
      <c r="BD142" s="35">
        <v>1.043386303030304E-16</v>
      </c>
      <c r="BE142" s="35">
        <v>1.2343984242424253E-16</v>
      </c>
      <c r="BF142" s="35">
        <v>1.4254105454545465E-16</v>
      </c>
      <c r="BG142" s="35">
        <v>1.6661771084337366E-16</v>
      </c>
      <c r="BH142" s="35">
        <v>2.0833457831325311E-16</v>
      </c>
      <c r="BI142" s="35">
        <v>2.5906139393939407E-16</v>
      </c>
      <c r="BJ142" s="35">
        <v>3.1686745454545462E-16</v>
      </c>
      <c r="BK142" s="35">
        <v>3.9368424242424258E-16</v>
      </c>
      <c r="BL142" s="35">
        <v>4.7947684848484869E-16</v>
      </c>
      <c r="BM142" s="35">
        <v>5.8546472727272758E-16</v>
      </c>
      <c r="BN142" s="35">
        <v>7.130170303030307E-16</v>
      </c>
      <c r="BO142" s="35">
        <v>8.5435642424242453E-16</v>
      </c>
      <c r="BP142" s="35">
        <v>1.0381825301204821E-15</v>
      </c>
      <c r="BQ142" s="35">
        <v>1.2414636363636364E-15</v>
      </c>
      <c r="BR142" s="35">
        <v>1.4860090909090908E-15</v>
      </c>
      <c r="BS142" s="35">
        <v>1.7779848484848483E-15</v>
      </c>
      <c r="BT142" s="35">
        <v>2.0954999999999998E-15</v>
      </c>
    </row>
    <row r="143" spans="1:72" ht="9.9499999999999993" customHeight="1" thickBot="1" x14ac:dyDescent="0.4">
      <c r="A143" s="83" t="s">
        <v>96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1.3177776096822972E-25</v>
      </c>
      <c r="N143" s="35">
        <v>4.1215597579425104E-25</v>
      </c>
      <c r="O143" s="35">
        <v>6.9253419062027235E-25</v>
      </c>
      <c r="P143" s="35">
        <v>9.729124054462937E-25</v>
      </c>
      <c r="Q143" s="35">
        <v>1.253290620272315E-24</v>
      </c>
      <c r="R143" s="35">
        <v>1.5336688350983364E-24</v>
      </c>
      <c r="S143" s="35">
        <v>1.8140470499243577E-24</v>
      </c>
      <c r="T143" s="35">
        <v>3.6874925336611278E-20</v>
      </c>
      <c r="U143" s="35">
        <v>7.9750590495461492E-20</v>
      </c>
      <c r="V143" s="35">
        <v>1.2262625565431169E-19</v>
      </c>
      <c r="W143" s="35">
        <v>1.6550192081316191E-19</v>
      </c>
      <c r="X143" s="35">
        <v>2.083775859720121E-19</v>
      </c>
      <c r="Y143" s="35">
        <v>2.5125325113086236E-19</v>
      </c>
      <c r="Z143" s="35">
        <v>1.5750752325757574E-16</v>
      </c>
      <c r="AA143" s="35">
        <v>7.8640397628787863E-16</v>
      </c>
      <c r="AB143" s="35">
        <v>1.4153004293181817E-15</v>
      </c>
      <c r="AC143" s="35">
        <v>2.0441968823484844E-15</v>
      </c>
      <c r="AD143" s="35">
        <v>2.6730933353787873E-15</v>
      </c>
      <c r="AE143" s="35">
        <v>3.3019897884090903E-15</v>
      </c>
      <c r="AF143" s="35">
        <v>3.9308862414393936E-15</v>
      </c>
      <c r="AG143" s="35">
        <v>1.1469954553706501E-12</v>
      </c>
      <c r="AH143" s="35">
        <v>2.9052176944024198E-12</v>
      </c>
      <c r="AI143" s="35">
        <v>4.6634399334341897E-12</v>
      </c>
      <c r="AJ143" s="35">
        <v>6.4216621724659592E-12</v>
      </c>
      <c r="AK143" s="35">
        <v>8.1798844114977287E-12</v>
      </c>
      <c r="AL143" s="35">
        <v>9.9381066505294982E-12</v>
      </c>
      <c r="AM143" s="35">
        <v>1.3017418181818103E-11</v>
      </c>
      <c r="AN143" s="35">
        <v>4.7802872727272649E-11</v>
      </c>
      <c r="AO143" s="35">
        <v>1.4256472289156574E-10</v>
      </c>
      <c r="AP143" s="35">
        <v>3.3113580722891486E-10</v>
      </c>
      <c r="AQ143" s="35">
        <v>1.0894199999999956E-9</v>
      </c>
      <c r="AR143" s="35">
        <v>2.3533703030302821E-9</v>
      </c>
      <c r="AS143" s="35">
        <v>7.0092490909090701E-9</v>
      </c>
      <c r="AT143" s="35">
        <v>1.8747279999999906E-8</v>
      </c>
      <c r="AU143" s="35">
        <v>3.9873279999999906E-8</v>
      </c>
      <c r="AV143" s="35">
        <v>1.0816379999999963E-7</v>
      </c>
      <c r="AW143" s="35">
        <v>1.8446345454545437E-7</v>
      </c>
      <c r="AX143" s="35">
        <v>2.2533618181818162E-7</v>
      </c>
      <c r="AY143" s="35">
        <v>2.7823240963855408E-7</v>
      </c>
      <c r="AZ143" s="35">
        <v>3.441540963855424E-7</v>
      </c>
      <c r="BA143" s="35">
        <v>4.6959993939394E-7</v>
      </c>
      <c r="BB143" s="35">
        <v>6.0811206060606125E-7</v>
      </c>
      <c r="BC143" s="35">
        <v>7.4662418181818239E-7</v>
      </c>
      <c r="BD143" s="35">
        <v>8.8513630303030354E-7</v>
      </c>
      <c r="BE143" s="35">
        <v>1.0236484242424248E-6</v>
      </c>
      <c r="BF143" s="35">
        <v>1.1621605454545458E-6</v>
      </c>
      <c r="BG143" s="35">
        <v>1.3222843373493986E-6</v>
      </c>
      <c r="BH143" s="35">
        <v>1.5590313253012056E-6</v>
      </c>
      <c r="BI143" s="35">
        <v>1.8234278787878794E-6</v>
      </c>
      <c r="BJ143" s="35">
        <v>2.1095490909090915E-6</v>
      </c>
      <c r="BK143" s="35">
        <v>2.4395709090909097E-6</v>
      </c>
      <c r="BL143" s="35">
        <v>2.7854690909090918E-6</v>
      </c>
      <c r="BM143" s="35">
        <v>3.1641963636363646E-6</v>
      </c>
      <c r="BN143" s="35">
        <v>3.5649206060606069E-6</v>
      </c>
      <c r="BO143" s="35">
        <v>3.9797084848484857E-6</v>
      </c>
      <c r="BP143" s="35">
        <v>4.4137843373493979E-6</v>
      </c>
      <c r="BQ143" s="35">
        <v>4.8508545454545452E-6</v>
      </c>
      <c r="BR143" s="35">
        <v>5.2930363636363638E-6</v>
      </c>
      <c r="BS143" s="35">
        <v>5.7245818181818183E-6</v>
      </c>
      <c r="BT143" s="35">
        <v>6.1503999999999996E-6</v>
      </c>
    </row>
    <row r="144" spans="1:72" ht="9.9499999999999993" customHeight="1" thickBot="1" x14ac:dyDescent="0.4">
      <c r="A144" s="83" t="s">
        <v>97</v>
      </c>
      <c r="B144" s="35">
        <v>0</v>
      </c>
      <c r="C144" s="35">
        <v>0</v>
      </c>
      <c r="D144" s="35">
        <v>0</v>
      </c>
      <c r="E144" s="35">
        <v>0</v>
      </c>
      <c r="F144" s="35">
        <v>2.5561270801815787E-35</v>
      </c>
      <c r="G144" s="35">
        <v>3.450771558245086E-34</v>
      </c>
      <c r="H144" s="35">
        <v>6.6459304084720141E-34</v>
      </c>
      <c r="I144" s="35">
        <v>9.8410892586989417E-34</v>
      </c>
      <c r="J144" s="35">
        <v>1.3036248108925869E-33</v>
      </c>
      <c r="K144" s="35">
        <v>1.6231406959152797E-33</v>
      </c>
      <c r="L144" s="35">
        <v>1.9426565809379725E-33</v>
      </c>
      <c r="M144" s="35">
        <v>4.9465189109374732E-23</v>
      </c>
      <c r="N144" s="35">
        <v>1.54710272316317E-22</v>
      </c>
      <c r="O144" s="35">
        <v>2.5995535552325923E-22</v>
      </c>
      <c r="P144" s="35">
        <v>3.6520043873020144E-22</v>
      </c>
      <c r="Q144" s="35">
        <v>4.7044552193714374E-22</v>
      </c>
      <c r="R144" s="35">
        <v>5.7569060514408595E-22</v>
      </c>
      <c r="S144" s="35">
        <v>6.8093568835102826E-22</v>
      </c>
      <c r="T144" s="35">
        <v>3.6823419217095391E-18</v>
      </c>
      <c r="U144" s="35">
        <v>7.9633259353252721E-18</v>
      </c>
      <c r="V144" s="35">
        <v>1.2244309948941004E-17</v>
      </c>
      <c r="W144" s="35">
        <v>1.6525293962556738E-17</v>
      </c>
      <c r="X144" s="35">
        <v>2.080627797617247E-17</v>
      </c>
      <c r="Y144" s="35">
        <v>2.5087261989788202E-17</v>
      </c>
      <c r="Z144" s="35">
        <v>5.2139685303030307E-15</v>
      </c>
      <c r="AA144" s="35">
        <v>2.5956650651515155E-14</v>
      </c>
      <c r="AB144" s="35">
        <v>4.6699332772727273E-14</v>
      </c>
      <c r="AC144" s="35">
        <v>6.7442014893939404E-14</v>
      </c>
      <c r="AD144" s="35">
        <v>8.8184697015151522E-14</v>
      </c>
      <c r="AE144" s="35">
        <v>1.0892737913636365E-13</v>
      </c>
      <c r="AF144" s="35">
        <v>1.2967006125757576E-13</v>
      </c>
      <c r="AG144" s="35">
        <v>1.4654554130105892E-11</v>
      </c>
      <c r="AH144" s="35">
        <v>3.6989360484114955E-11</v>
      </c>
      <c r="AI144" s="35">
        <v>5.9324166838124027E-11</v>
      </c>
      <c r="AJ144" s="35">
        <v>8.1658973192133093E-11</v>
      </c>
      <c r="AK144" s="35">
        <v>1.0399377954614216E-10</v>
      </c>
      <c r="AL144" s="35">
        <v>1.2632858590015122E-10</v>
      </c>
      <c r="AM144" s="35">
        <v>1.6126648484848407E-10</v>
      </c>
      <c r="AN144" s="35">
        <v>4.9867860606060526E-10</v>
      </c>
      <c r="AO144" s="35">
        <v>1.2795855421686704E-9</v>
      </c>
      <c r="AP144" s="35">
        <v>2.7541638554216804E-9</v>
      </c>
      <c r="AQ144" s="35">
        <v>7.6396763636363349E-9</v>
      </c>
      <c r="AR144" s="35">
        <v>1.5222999999999891E-8</v>
      </c>
      <c r="AS144" s="35">
        <v>3.9322999999999888E-8</v>
      </c>
      <c r="AT144" s="35">
        <v>9.1642727272726859E-8</v>
      </c>
      <c r="AU144" s="35">
        <v>1.8136999999999959E-7</v>
      </c>
      <c r="AV144" s="35">
        <v>4.2893145454545322E-7</v>
      </c>
      <c r="AW144" s="35">
        <v>7.1034472727272633E-7</v>
      </c>
      <c r="AX144" s="35">
        <v>9.2038109090908999E-7</v>
      </c>
      <c r="AY144" s="35">
        <v>1.1936674698795175E-6</v>
      </c>
      <c r="AZ144" s="35">
        <v>1.5354746987951819E-6</v>
      </c>
      <c r="BA144" s="35">
        <v>2.3282536363636403E-6</v>
      </c>
      <c r="BB144" s="35">
        <v>3.2200263636363679E-6</v>
      </c>
      <c r="BC144" s="35">
        <v>4.1117990909090951E-6</v>
      </c>
      <c r="BD144" s="35">
        <v>5.0035718181818223E-6</v>
      </c>
      <c r="BE144" s="35">
        <v>5.8953445454545495E-6</v>
      </c>
      <c r="BF144" s="35">
        <v>6.7871172727272775E-6</v>
      </c>
      <c r="BG144" s="35">
        <v>7.8784746987951881E-6</v>
      </c>
      <c r="BH144" s="35">
        <v>9.6774506024096423E-6</v>
      </c>
      <c r="BI144" s="35">
        <v>1.1789581818181824E-5</v>
      </c>
      <c r="BJ144" s="35">
        <v>1.4147763636363642E-5</v>
      </c>
      <c r="BK144" s="35">
        <v>1.7092206060606066E-5</v>
      </c>
      <c r="BL144" s="35">
        <v>2.0283090909090916E-5</v>
      </c>
      <c r="BM144" s="35">
        <v>2.4010363636363644E-5</v>
      </c>
      <c r="BN144" s="35">
        <v>2.8214915151515161E-5</v>
      </c>
      <c r="BO144" s="35">
        <v>3.272461212121213E-5</v>
      </c>
      <c r="BP144" s="35">
        <v>3.7972180722891569E-5</v>
      </c>
      <c r="BQ144" s="35">
        <v>4.3490636363636366E-5</v>
      </c>
      <c r="BR144" s="35">
        <v>4.9569424242424244E-5</v>
      </c>
      <c r="BS144" s="35">
        <v>5.6089424242424242E-5</v>
      </c>
      <c r="BT144" s="35">
        <v>6.2847000000000003E-5</v>
      </c>
    </row>
    <row r="145" spans="1:72" ht="9.9499999999999993" customHeight="1" thickBot="1" x14ac:dyDescent="0.4">
      <c r="A145" s="83" t="s">
        <v>98</v>
      </c>
      <c r="B145" s="35">
        <v>1.3917189107413007E-28</v>
      </c>
      <c r="C145" s="35">
        <v>1.9090865355521937E-28</v>
      </c>
      <c r="D145" s="35">
        <v>2.4264541603630867E-28</v>
      </c>
      <c r="E145" s="35">
        <v>2.9438217851739795E-28</v>
      </c>
      <c r="F145" s="35">
        <v>7.2386252556733226E-26</v>
      </c>
      <c r="G145" s="35">
        <v>9.729396595158859E-25</v>
      </c>
      <c r="H145" s="35">
        <v>1.8734930664750386E-24</v>
      </c>
      <c r="I145" s="35">
        <v>2.774046473434191E-24</v>
      </c>
      <c r="J145" s="35">
        <v>3.6745998803933433E-24</v>
      </c>
      <c r="K145" s="35">
        <v>4.5751532873524957E-24</v>
      </c>
      <c r="L145" s="35">
        <v>5.4757066943116488E-24</v>
      </c>
      <c r="M145" s="35">
        <v>5.9926783139397766E-17</v>
      </c>
      <c r="N145" s="35">
        <v>1.874305643870529E-16</v>
      </c>
      <c r="O145" s="35">
        <v>3.14934345634708E-16</v>
      </c>
      <c r="P145" s="35">
        <v>4.4243812688236312E-16</v>
      </c>
      <c r="Q145" s="35">
        <v>5.6994190813001824E-16</v>
      </c>
      <c r="R145" s="35">
        <v>6.9744568937767336E-16</v>
      </c>
      <c r="S145" s="35">
        <v>8.2494947062532858E-16</v>
      </c>
      <c r="T145" s="35">
        <v>2.9730954614220947E-13</v>
      </c>
      <c r="U145" s="35">
        <v>6.4203832072617305E-13</v>
      </c>
      <c r="V145" s="35">
        <v>9.8676709531013673E-13</v>
      </c>
      <c r="W145" s="35">
        <v>1.3314958698941002E-12</v>
      </c>
      <c r="X145" s="35">
        <v>1.6762246444780639E-12</v>
      </c>
      <c r="Y145" s="35">
        <v>2.0209534190620272E-12</v>
      </c>
      <c r="Z145" s="35">
        <v>4.9511337121212121E-11</v>
      </c>
      <c r="AA145" s="35">
        <v>2.3843868560606065E-10</v>
      </c>
      <c r="AB145" s="35">
        <v>4.2736603409090913E-10</v>
      </c>
      <c r="AC145" s="35">
        <v>6.1629338257575762E-10</v>
      </c>
      <c r="AD145" s="35">
        <v>8.052207310606061E-10</v>
      </c>
      <c r="AE145" s="35">
        <v>9.9414807954545459E-10</v>
      </c>
      <c r="AF145" s="35">
        <v>1.1830754280303032E-9</v>
      </c>
      <c r="AG145" s="35">
        <v>2.2957901966717089E-8</v>
      </c>
      <c r="AH145" s="35">
        <v>5.6355904992435683E-8</v>
      </c>
      <c r="AI145" s="35">
        <v>8.975390801815428E-8</v>
      </c>
      <c r="AJ145" s="35">
        <v>1.2315191104387288E-7</v>
      </c>
      <c r="AK145" s="35">
        <v>1.5654991406959147E-7</v>
      </c>
      <c r="AL145" s="35">
        <v>1.8994791709531007E-7</v>
      </c>
      <c r="AM145" s="35">
        <v>2.3374115151515085E-7</v>
      </c>
      <c r="AN145" s="35">
        <v>5.2701993939393873E-7</v>
      </c>
      <c r="AO145" s="35">
        <v>1.0428893975903589E-6</v>
      </c>
      <c r="AP145" s="35">
        <v>1.9069134939758999E-6</v>
      </c>
      <c r="AQ145" s="35">
        <v>3.9393624242424123E-6</v>
      </c>
      <c r="AR145" s="35">
        <v>6.7431490909090602E-6</v>
      </c>
      <c r="AS145" s="35">
        <v>1.3447512727272696E-5</v>
      </c>
      <c r="AT145" s="35">
        <v>2.4814848484848404E-5</v>
      </c>
      <c r="AU145" s="35">
        <v>4.2363333333333254E-5</v>
      </c>
      <c r="AV145" s="35">
        <v>7.8518836363636167E-5</v>
      </c>
      <c r="AW145" s="35">
        <v>1.1847624242424228E-4</v>
      </c>
      <c r="AX145" s="35">
        <v>1.4875503030303014E-4</v>
      </c>
      <c r="AY145" s="35">
        <v>1.8631397590361437E-4</v>
      </c>
      <c r="AZ145" s="35">
        <v>2.3175975903614476E-4</v>
      </c>
      <c r="BA145" s="35">
        <v>3.2373157575757623E-4</v>
      </c>
      <c r="BB145" s="35">
        <v>4.2591642424242475E-4</v>
      </c>
      <c r="BC145" s="35">
        <v>5.2810127272727317E-4</v>
      </c>
      <c r="BD145" s="35">
        <v>6.302861212121217E-4</v>
      </c>
      <c r="BE145" s="35">
        <v>7.3247096969697011E-4</v>
      </c>
      <c r="BF145" s="35">
        <v>8.3465581818181864E-4</v>
      </c>
      <c r="BG145" s="35">
        <v>9.5578096385542249E-4</v>
      </c>
      <c r="BH145" s="35">
        <v>1.1440580722891572E-3</v>
      </c>
      <c r="BI145" s="35">
        <v>1.3606551515151521E-3</v>
      </c>
      <c r="BJ145" s="35">
        <v>1.5995036363636369E-3</v>
      </c>
      <c r="BK145" s="35">
        <v>1.8900842424242432E-3</v>
      </c>
      <c r="BL145" s="35">
        <v>2.2023266666666673E-3</v>
      </c>
      <c r="BM145" s="35">
        <v>2.5616600000000008E-3</v>
      </c>
      <c r="BN145" s="35">
        <v>2.9631757575757584E-3</v>
      </c>
      <c r="BO145" s="35">
        <v>3.391660606060607E-3</v>
      </c>
      <c r="BP145" s="35">
        <v>3.8866602409638562E-3</v>
      </c>
      <c r="BQ145" s="35">
        <v>4.4071727272727273E-3</v>
      </c>
      <c r="BR145" s="35">
        <v>4.9807484848484853E-3</v>
      </c>
      <c r="BS145" s="35">
        <v>5.5998636363636363E-3</v>
      </c>
      <c r="BT145" s="35">
        <v>6.2434999999999999E-3</v>
      </c>
    </row>
    <row r="146" spans="1:72" ht="9.9499999999999993" customHeight="1" thickBot="1" x14ac:dyDescent="0.4">
      <c r="A146" s="83" t="s">
        <v>2</v>
      </c>
      <c r="B146" s="35">
        <v>0</v>
      </c>
      <c r="C146" s="35">
        <v>0</v>
      </c>
      <c r="D146" s="35">
        <v>0</v>
      </c>
      <c r="E146" s="35">
        <v>0</v>
      </c>
      <c r="F146" s="35">
        <v>3.5963691376702467E-33</v>
      </c>
      <c r="G146" s="35">
        <v>4.8550983358547692E-32</v>
      </c>
      <c r="H146" s="35">
        <v>9.3505597579425138E-32</v>
      </c>
      <c r="I146" s="35">
        <v>1.3846021180030258E-31</v>
      </c>
      <c r="J146" s="35">
        <v>1.8341482602118003E-31</v>
      </c>
      <c r="K146" s="35">
        <v>2.2836944024205748E-31</v>
      </c>
      <c r="L146" s="35">
        <v>2.7332405446293493E-31</v>
      </c>
      <c r="M146" s="35">
        <v>2.4602856649031725E-25</v>
      </c>
      <c r="N146" s="35">
        <v>7.6949296934205743E-25</v>
      </c>
      <c r="O146" s="35">
        <v>1.2929573721937975E-24</v>
      </c>
      <c r="P146" s="35">
        <v>1.8164217750455377E-24</v>
      </c>
      <c r="Q146" s="35">
        <v>2.3398861778972781E-24</v>
      </c>
      <c r="R146" s="35">
        <v>2.8633505807490181E-24</v>
      </c>
      <c r="S146" s="35">
        <v>3.3868149836007578E-24</v>
      </c>
      <c r="T146" s="35">
        <v>4.223905533282914E-21</v>
      </c>
      <c r="U146" s="35">
        <v>9.1314002231467545E-21</v>
      </c>
      <c r="V146" s="35">
        <v>1.4038894913010595E-20</v>
      </c>
      <c r="W146" s="35">
        <v>1.8946389602874437E-20</v>
      </c>
      <c r="X146" s="35">
        <v>2.3853884292738276E-20</v>
      </c>
      <c r="Y146" s="35">
        <v>2.8761378982602118E-20</v>
      </c>
      <c r="Z146" s="35">
        <v>1.6979176818181819E-18</v>
      </c>
      <c r="AA146" s="35">
        <v>8.3598204090909089E-18</v>
      </c>
      <c r="AB146" s="35">
        <v>1.502172313636364E-17</v>
      </c>
      <c r="AC146" s="35">
        <v>2.1683625863636367E-17</v>
      </c>
      <c r="AD146" s="35">
        <v>2.8345528590909089E-17</v>
      </c>
      <c r="AE146" s="35">
        <v>3.5007431318181816E-17</v>
      </c>
      <c r="AF146" s="35">
        <v>4.1669334045454544E-17</v>
      </c>
      <c r="AG146" s="35">
        <v>1.5433276792738269E-15</v>
      </c>
      <c r="AH146" s="35">
        <v>3.8499841089258684E-15</v>
      </c>
      <c r="AI146" s="35">
        <v>6.1566405385779099E-15</v>
      </c>
      <c r="AJ146" s="35">
        <v>8.4632969682299514E-15</v>
      </c>
      <c r="AK146" s="35">
        <v>1.0769953397881992E-14</v>
      </c>
      <c r="AL146" s="35">
        <v>1.3076609827534034E-14</v>
      </c>
      <c r="AM146" s="35">
        <v>1.627485454545449E-14</v>
      </c>
      <c r="AN146" s="35">
        <v>4.0871218181818127E-14</v>
      </c>
      <c r="AO146" s="35">
        <v>8.8041777108433511E-14</v>
      </c>
      <c r="AP146" s="35">
        <v>1.7052069277108399E-13</v>
      </c>
      <c r="AQ146" s="35">
        <v>3.864789090909079E-13</v>
      </c>
      <c r="AR146" s="35">
        <v>6.9514339393939028E-13</v>
      </c>
      <c r="AS146" s="35">
        <v>1.5021858181818145E-12</v>
      </c>
      <c r="AT146" s="35">
        <v>2.9697290909090799E-12</v>
      </c>
      <c r="AU146" s="35">
        <v>5.3128199999999895E-12</v>
      </c>
      <c r="AV146" s="35">
        <v>1.0750194545454517E-11</v>
      </c>
      <c r="AW146" s="35">
        <v>1.7610515151515104E-11</v>
      </c>
      <c r="AX146" s="35">
        <v>2.8152939393939346E-11</v>
      </c>
      <c r="AY146" s="35">
        <v>4.3761843373493938E-11</v>
      </c>
      <c r="AZ146" s="35">
        <v>6.485943373493984E-11</v>
      </c>
      <c r="BA146" s="35">
        <v>1.7167794848484905E-10</v>
      </c>
      <c r="BB146" s="35">
        <v>2.9731325151515209E-10</v>
      </c>
      <c r="BC146" s="35">
        <v>4.229485545454551E-10</v>
      </c>
      <c r="BD146" s="35">
        <v>5.4858385757575811E-10</v>
      </c>
      <c r="BE146" s="35">
        <v>6.7421916060606113E-10</v>
      </c>
      <c r="BF146" s="35">
        <v>7.9985446363636414E-10</v>
      </c>
      <c r="BG146" s="35">
        <v>9.9114457831325474E-10</v>
      </c>
      <c r="BH146" s="35">
        <v>1.4152108433734952E-9</v>
      </c>
      <c r="BI146" s="35">
        <v>2.0058145454545469E-9</v>
      </c>
      <c r="BJ146" s="35">
        <v>2.7272690909090923E-9</v>
      </c>
      <c r="BK146" s="35">
        <v>3.8773612121212151E-9</v>
      </c>
      <c r="BL146" s="35">
        <v>5.2612060606060654E-9</v>
      </c>
      <c r="BM146" s="35">
        <v>7.1896909090909136E-9</v>
      </c>
      <c r="BN146" s="35">
        <v>9.8044072727272799E-9</v>
      </c>
      <c r="BO146" s="35">
        <v>1.2857861818181824E-8</v>
      </c>
      <c r="BP146" s="35">
        <v>1.7498361445783138E-8</v>
      </c>
      <c r="BQ146" s="35">
        <v>2.2952454545454544E-8</v>
      </c>
      <c r="BR146" s="35">
        <v>3.0150636363636366E-8</v>
      </c>
      <c r="BS146" s="35">
        <v>3.9646272727272729E-8</v>
      </c>
      <c r="BT146" s="35">
        <v>5.0378999999999997E-8</v>
      </c>
    </row>
    <row r="147" spans="1:72" ht="9.9499999999999993" customHeight="1" thickBot="1" x14ac:dyDescent="0.4">
      <c r="A147" s="83" t="s">
        <v>1</v>
      </c>
      <c r="B147" s="35">
        <v>0.2</v>
      </c>
      <c r="C147" s="35">
        <v>0.2</v>
      </c>
      <c r="D147" s="35">
        <v>0.2</v>
      </c>
      <c r="E147" s="35">
        <v>0.2</v>
      </c>
      <c r="F147" s="35">
        <v>0.2</v>
      </c>
      <c r="G147" s="35">
        <v>0.2</v>
      </c>
      <c r="H147" s="35">
        <v>0.2</v>
      </c>
      <c r="I147" s="35">
        <v>0.2</v>
      </c>
      <c r="J147" s="35">
        <v>0.2</v>
      </c>
      <c r="K147" s="35">
        <v>0.2</v>
      </c>
      <c r="L147" s="35">
        <v>0.2</v>
      </c>
      <c r="M147" s="35">
        <v>0.2</v>
      </c>
      <c r="N147" s="35">
        <v>0.2</v>
      </c>
      <c r="O147" s="35">
        <v>0.2</v>
      </c>
      <c r="P147" s="35">
        <v>0.2</v>
      </c>
      <c r="Q147" s="35">
        <v>0.2</v>
      </c>
      <c r="R147" s="35">
        <v>0.2</v>
      </c>
      <c r="S147" s="35">
        <v>0.2</v>
      </c>
      <c r="T147" s="35">
        <v>0.2</v>
      </c>
      <c r="U147" s="35">
        <v>0.2</v>
      </c>
      <c r="V147" s="35">
        <v>0.2</v>
      </c>
      <c r="W147" s="35">
        <v>0.2</v>
      </c>
      <c r="X147" s="35">
        <v>0.2</v>
      </c>
      <c r="Y147" s="35">
        <v>0.2</v>
      </c>
      <c r="Z147" s="35">
        <v>0.2</v>
      </c>
      <c r="AA147" s="35">
        <v>0.2</v>
      </c>
      <c r="AB147" s="35">
        <v>0.2</v>
      </c>
      <c r="AC147" s="35">
        <v>0.2</v>
      </c>
      <c r="AD147" s="35">
        <v>0.2</v>
      </c>
      <c r="AE147" s="35">
        <v>0.2</v>
      </c>
      <c r="AF147" s="35">
        <v>0.2</v>
      </c>
      <c r="AG147" s="35">
        <v>0.2</v>
      </c>
      <c r="AH147" s="35">
        <v>0.2</v>
      </c>
      <c r="AI147" s="35">
        <v>0.2</v>
      </c>
      <c r="AJ147" s="35">
        <v>0.2</v>
      </c>
      <c r="AK147" s="35">
        <v>0.2</v>
      </c>
      <c r="AL147" s="35">
        <v>0.2</v>
      </c>
      <c r="AM147" s="35">
        <v>0.2</v>
      </c>
      <c r="AN147" s="35">
        <v>0.2</v>
      </c>
      <c r="AO147" s="35">
        <v>0.2</v>
      </c>
      <c r="AP147" s="35">
        <v>0.2</v>
      </c>
      <c r="AQ147" s="35">
        <v>0.2</v>
      </c>
      <c r="AR147" s="35">
        <v>0.2</v>
      </c>
      <c r="AS147" s="35">
        <v>0.2</v>
      </c>
      <c r="AT147" s="35">
        <v>0.2</v>
      </c>
      <c r="AU147" s="35">
        <v>0.2</v>
      </c>
      <c r="AV147" s="35">
        <v>0.2</v>
      </c>
      <c r="AW147" s="35">
        <v>0.2</v>
      </c>
      <c r="AX147" s="35">
        <v>0.2</v>
      </c>
      <c r="AY147" s="35">
        <v>0.2</v>
      </c>
      <c r="AZ147" s="35">
        <v>0.2</v>
      </c>
      <c r="BA147" s="35">
        <v>0.2</v>
      </c>
      <c r="BB147" s="35">
        <v>0.2</v>
      </c>
      <c r="BC147" s="35">
        <v>0.2</v>
      </c>
      <c r="BD147" s="35">
        <v>0.2</v>
      </c>
      <c r="BE147" s="35">
        <v>0.2</v>
      </c>
      <c r="BF147" s="35">
        <v>0.2</v>
      </c>
      <c r="BG147" s="35">
        <v>0.2</v>
      </c>
      <c r="BH147" s="35">
        <v>0.2</v>
      </c>
      <c r="BI147" s="35">
        <v>0.2</v>
      </c>
      <c r="BJ147" s="35">
        <v>0.2</v>
      </c>
      <c r="BK147" s="35">
        <v>0.2</v>
      </c>
      <c r="BL147" s="35">
        <v>0.2</v>
      </c>
      <c r="BM147" s="35">
        <v>0.2</v>
      </c>
      <c r="BN147" s="35">
        <v>0.2</v>
      </c>
      <c r="BO147" s="35">
        <v>0.2</v>
      </c>
      <c r="BP147" s="35">
        <v>0.2</v>
      </c>
      <c r="BQ147" s="35">
        <v>0.2</v>
      </c>
      <c r="BR147" s="35">
        <v>0.2</v>
      </c>
      <c r="BS147" s="35">
        <v>0.2</v>
      </c>
      <c r="BT147" s="35">
        <v>0.2</v>
      </c>
    </row>
    <row r="148" spans="1:72" ht="9.9499999999999993" customHeight="1" thickBot="1" x14ac:dyDescent="0.4">
      <c r="A148" s="83" t="s">
        <v>113</v>
      </c>
      <c r="B148" s="35">
        <v>0</v>
      </c>
      <c r="C148" s="35">
        <v>0</v>
      </c>
      <c r="D148" s="35">
        <v>0</v>
      </c>
      <c r="E148" s="35">
        <v>0</v>
      </c>
      <c r="F148" s="35">
        <v>8.358245083207377E-32</v>
      </c>
      <c r="G148" s="35">
        <v>1.1283630862329811E-30</v>
      </c>
      <c r="H148" s="35">
        <v>2.1731437216338881E-30</v>
      </c>
      <c r="I148" s="35">
        <v>3.2179243570347953E-30</v>
      </c>
      <c r="J148" s="35">
        <v>4.2627049924357028E-30</v>
      </c>
      <c r="K148" s="35">
        <v>5.3074856278366097E-30</v>
      </c>
      <c r="L148" s="35">
        <v>6.3522662632375172E-30</v>
      </c>
      <c r="M148" s="35">
        <v>1.9334620272314649E-29</v>
      </c>
      <c r="N148" s="35">
        <v>4.577849319213312E-29</v>
      </c>
      <c r="O148" s="35">
        <v>7.2222366111951592E-29</v>
      </c>
      <c r="P148" s="35">
        <v>9.8666239031770063E-29</v>
      </c>
      <c r="Q148" s="35">
        <v>1.2511011195158852E-28</v>
      </c>
      <c r="R148" s="35">
        <v>1.5155398487140701E-28</v>
      </c>
      <c r="S148" s="35">
        <v>1.7799785779122547E-28</v>
      </c>
      <c r="T148" s="35">
        <v>2.6089466717095368E-26</v>
      </c>
      <c r="U148" s="35">
        <v>5.6214776853252692E-26</v>
      </c>
      <c r="V148" s="35">
        <v>8.6340086989410027E-26</v>
      </c>
      <c r="W148" s="35">
        <v>1.1646539712556734E-25</v>
      </c>
      <c r="X148" s="35">
        <v>1.4659070726172466E-25</v>
      </c>
      <c r="Y148" s="35">
        <v>1.7671601739788199E-25</v>
      </c>
      <c r="Z148" s="35">
        <v>4.2733613636363634E-25</v>
      </c>
      <c r="AA148" s="35">
        <v>1.3394406818181817E-24</v>
      </c>
      <c r="AB148" s="35">
        <v>2.251545227272727E-24</v>
      </c>
      <c r="AC148" s="35">
        <v>3.1636497727272727E-24</v>
      </c>
      <c r="AD148" s="35">
        <v>4.075754318181818E-24</v>
      </c>
      <c r="AE148" s="35">
        <v>4.9878588636363636E-24</v>
      </c>
      <c r="AF148" s="35">
        <v>5.8999634090909085E-24</v>
      </c>
      <c r="AG148" s="35">
        <v>1.3839053434190619E-22</v>
      </c>
      <c r="AH148" s="35">
        <v>3.4173104871406955E-22</v>
      </c>
      <c r="AI148" s="35">
        <v>5.4507156308623285E-22</v>
      </c>
      <c r="AJ148" s="35">
        <v>7.4841207745839615E-22</v>
      </c>
      <c r="AK148" s="35">
        <v>9.5175259183055954E-22</v>
      </c>
      <c r="AL148" s="35">
        <v>1.1550931062027228E-21</v>
      </c>
      <c r="AM148" s="35">
        <v>1.3511848484848486E-21</v>
      </c>
      <c r="AN148" s="35">
        <v>1.3733060606060605E-21</v>
      </c>
      <c r="AO148" s="35">
        <v>2.2055415662650544E-21</v>
      </c>
      <c r="AP148" s="35">
        <v>4.3048789156626424E-21</v>
      </c>
      <c r="AQ148" s="35">
        <v>1.2358978181818136E-20</v>
      </c>
      <c r="AR148" s="35">
        <v>2.5185593939393745E-20</v>
      </c>
      <c r="AS148" s="35">
        <v>6.7568018181817982E-20</v>
      </c>
      <c r="AT148" s="35">
        <v>3.3869558787878529E-19</v>
      </c>
      <c r="AU148" s="35">
        <v>9.1304346666666417E-19</v>
      </c>
      <c r="AV148" s="35">
        <v>3.5758563895636158E-13</v>
      </c>
      <c r="AW148" s="35">
        <v>7.9586884848484712E-13</v>
      </c>
      <c r="AX148" s="35">
        <v>1.0992446060606048E-12</v>
      </c>
      <c r="AY148" s="35">
        <v>1.4679108433734931E-12</v>
      </c>
      <c r="AZ148" s="35">
        <v>1.9073084337349414E-12</v>
      </c>
      <c r="BA148" s="35">
        <v>3.0955866666666726E-12</v>
      </c>
      <c r="BB148" s="35">
        <v>4.4482533333333395E-12</v>
      </c>
      <c r="BC148" s="35">
        <v>5.8009200000000063E-12</v>
      </c>
      <c r="BD148" s="35">
        <v>7.1535866666666716E-12</v>
      </c>
      <c r="BE148" s="35">
        <v>8.5062533333333385E-12</v>
      </c>
      <c r="BF148" s="35">
        <v>9.8589200000000054E-12</v>
      </c>
      <c r="BG148" s="35">
        <v>1.1623566265060254E-11</v>
      </c>
      <c r="BH148" s="35">
        <v>1.4848867469879528E-11</v>
      </c>
      <c r="BI148" s="35">
        <v>1.8905769696969708E-11</v>
      </c>
      <c r="BJ148" s="35">
        <v>2.3616072727272736E-11</v>
      </c>
      <c r="BK148" s="35">
        <v>3.0221933333333351E-11</v>
      </c>
      <c r="BL148" s="35">
        <v>3.7783921212121233E-11</v>
      </c>
      <c r="BM148" s="35">
        <v>4.7533618181818199E-11</v>
      </c>
      <c r="BN148" s="35">
        <v>5.9834963636363672E-11</v>
      </c>
      <c r="BO148" s="35">
        <v>7.3767690909090937E-11</v>
      </c>
      <c r="BP148" s="35">
        <v>9.3261867469879541E-11</v>
      </c>
      <c r="BQ148" s="35">
        <v>1.1552818181818182E-10</v>
      </c>
      <c r="BR148" s="35">
        <v>1.4372212121212121E-10</v>
      </c>
      <c r="BS148" s="35">
        <v>1.7956636363636365E-10</v>
      </c>
      <c r="BT148" s="35">
        <v>2.1952999999999999E-10</v>
      </c>
    </row>
    <row r="149" spans="1:72" ht="9.9499999999999993" customHeight="1" thickBot="1" x14ac:dyDescent="0.4">
      <c r="A149" s="83" t="s">
        <v>101</v>
      </c>
      <c r="B149" s="35">
        <v>8.5144000780393311E-19</v>
      </c>
      <c r="C149" s="35">
        <v>1.1679604139763991E-18</v>
      </c>
      <c r="D149" s="35">
        <v>1.4844808201488653E-18</v>
      </c>
      <c r="E149" s="35">
        <v>1.8010012263213316E-18</v>
      </c>
      <c r="F149" s="35">
        <v>1.05581553101363E-16</v>
      </c>
      <c r="G149" s="35">
        <v>1.3991984668683822E-15</v>
      </c>
      <c r="H149" s="35">
        <v>2.6928153806354013E-15</v>
      </c>
      <c r="I149" s="35">
        <v>3.9864322944024213E-15</v>
      </c>
      <c r="J149" s="35">
        <v>5.28004920816944E-15</v>
      </c>
      <c r="K149" s="35">
        <v>6.5736661219364596E-15</v>
      </c>
      <c r="L149" s="35">
        <v>7.8672830357034791E-15</v>
      </c>
      <c r="M149" s="35">
        <v>7.8594781543116357E-14</v>
      </c>
      <c r="N149" s="35">
        <v>2.2762006142208766E-13</v>
      </c>
      <c r="O149" s="35">
        <v>3.76645341301059E-13</v>
      </c>
      <c r="P149" s="35">
        <v>5.2567062118003033E-13</v>
      </c>
      <c r="Q149" s="35">
        <v>6.7469590105900161E-13</v>
      </c>
      <c r="R149" s="35">
        <v>8.237211809379729E-13</v>
      </c>
      <c r="S149" s="35">
        <v>9.7274646081694438E-13</v>
      </c>
      <c r="T149" s="35">
        <v>4.9860903933434284E-12</v>
      </c>
      <c r="U149" s="35">
        <v>9.6285094553706582E-12</v>
      </c>
      <c r="V149" s="35">
        <v>1.4270928517397889E-11</v>
      </c>
      <c r="W149" s="35">
        <v>1.8913347579425119E-11</v>
      </c>
      <c r="X149" s="35">
        <v>2.355576664145235E-11</v>
      </c>
      <c r="Y149" s="35">
        <v>2.819818570347958E-11</v>
      </c>
      <c r="Z149" s="35">
        <v>3.3155833333333337E-11</v>
      </c>
      <c r="AA149" s="35">
        <v>3.9059166666666669E-11</v>
      </c>
      <c r="AB149" s="35">
        <v>4.4962500000000001E-11</v>
      </c>
      <c r="AC149" s="35">
        <v>5.0865833333333333E-11</v>
      </c>
      <c r="AD149" s="35">
        <v>5.6769166666666672E-11</v>
      </c>
      <c r="AE149" s="35">
        <v>6.2672499999999997E-11</v>
      </c>
      <c r="AF149" s="35">
        <v>6.8575833333333342E-11</v>
      </c>
      <c r="AG149" s="35">
        <v>2.6602137972768524E-10</v>
      </c>
      <c r="AH149" s="35">
        <v>5.6660504084720107E-10</v>
      </c>
      <c r="AI149" s="35">
        <v>8.671887019667168E-10</v>
      </c>
      <c r="AJ149" s="35">
        <v>1.1677723630862327E-9</v>
      </c>
      <c r="AK149" s="35">
        <v>1.4683560242057485E-9</v>
      </c>
      <c r="AL149" s="35">
        <v>1.7689396853252642E-9</v>
      </c>
      <c r="AM149" s="35">
        <v>2.0410903030303039E-9</v>
      </c>
      <c r="AN149" s="35">
        <v>1.6308478787878798E-9</v>
      </c>
      <c r="AO149" s="35">
        <v>1.8204542168674666E-9</v>
      </c>
      <c r="AP149" s="35">
        <v>2.9482855421686702E-9</v>
      </c>
      <c r="AQ149" s="35">
        <v>6.2377036363636182E-9</v>
      </c>
      <c r="AR149" s="35">
        <v>1.0948809090909037E-8</v>
      </c>
      <c r="AS149" s="35">
        <v>2.2815172727272671E-8</v>
      </c>
      <c r="AT149" s="35">
        <v>8.4572351515150947E-8</v>
      </c>
      <c r="AU149" s="35">
        <v>2.124638666666661E-7</v>
      </c>
      <c r="AV149" s="35">
        <v>7.2776490498181398E-2</v>
      </c>
      <c r="AW149" s="35">
        <v>0.15442666666666666</v>
      </c>
      <c r="AX149" s="35">
        <v>0.15809333333333331</v>
      </c>
      <c r="AY149" s="35">
        <v>0.16</v>
      </c>
      <c r="AZ149" s="35">
        <v>0.16</v>
      </c>
      <c r="BA149" s="35">
        <v>0.16</v>
      </c>
      <c r="BB149" s="35">
        <v>0.16</v>
      </c>
      <c r="BC149" s="35">
        <v>0.16</v>
      </c>
      <c r="BD149" s="35">
        <v>0.16</v>
      </c>
      <c r="BE149" s="35">
        <v>0.16</v>
      </c>
      <c r="BF149" s="35">
        <v>0.16</v>
      </c>
      <c r="BG149" s="35">
        <v>0.16</v>
      </c>
      <c r="BH149" s="35">
        <v>0.16</v>
      </c>
      <c r="BI149" s="35">
        <v>0.16</v>
      </c>
      <c r="BJ149" s="35">
        <v>0.16</v>
      </c>
      <c r="BK149" s="35">
        <v>0.16</v>
      </c>
      <c r="BL149" s="35">
        <v>0.16</v>
      </c>
      <c r="BM149" s="35">
        <v>0.16</v>
      </c>
      <c r="BN149" s="35">
        <v>0.16</v>
      </c>
      <c r="BO149" s="35">
        <v>0.16</v>
      </c>
      <c r="BP149" s="35">
        <v>0.16</v>
      </c>
      <c r="BQ149" s="35">
        <v>0.16</v>
      </c>
      <c r="BR149" s="35">
        <v>0.16</v>
      </c>
      <c r="BS149" s="35">
        <v>0.16</v>
      </c>
      <c r="BT149" s="35">
        <v>0.16</v>
      </c>
    </row>
    <row r="150" spans="1:72" ht="9.9499999999999993" customHeight="1" thickBot="1" x14ac:dyDescent="0.4">
      <c r="A150" s="83" t="s">
        <v>110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2.3287655068078721E-34</v>
      </c>
      <c r="U150" s="35">
        <v>5.0366323751891117E-34</v>
      </c>
      <c r="V150" s="35">
        <v>7.7444992435703513E-34</v>
      </c>
      <c r="W150" s="35">
        <v>1.045236611195159E-33</v>
      </c>
      <c r="X150" s="35">
        <v>1.3160232980332829E-33</v>
      </c>
      <c r="Y150" s="35">
        <v>1.5868099848714069E-33</v>
      </c>
      <c r="Z150" s="35">
        <v>2.2059979545454547E-32</v>
      </c>
      <c r="AA150" s="35">
        <v>1.0314029772727274E-31</v>
      </c>
      <c r="AB150" s="35">
        <v>1.8422061590909093E-31</v>
      </c>
      <c r="AC150" s="35">
        <v>2.6530093409090909E-31</v>
      </c>
      <c r="AD150" s="35">
        <v>3.463812522727273E-31</v>
      </c>
      <c r="AE150" s="35">
        <v>4.2746157045454546E-31</v>
      </c>
      <c r="AF150" s="35">
        <v>5.0854188863636367E-31</v>
      </c>
      <c r="AG150" s="35">
        <v>7.277670850226925E-29</v>
      </c>
      <c r="AH150" s="35">
        <v>1.8391484465960656E-28</v>
      </c>
      <c r="AI150" s="35">
        <v>2.9505298081694387E-28</v>
      </c>
      <c r="AJ150" s="35">
        <v>4.0619111697428128E-28</v>
      </c>
      <c r="AK150" s="35">
        <v>5.1732925313161856E-28</v>
      </c>
      <c r="AL150" s="35">
        <v>6.2846738928895584E-28</v>
      </c>
      <c r="AM150" s="35">
        <v>7.4488460606060546E-28</v>
      </c>
      <c r="AN150" s="35">
        <v>9.8799975757575706E-28</v>
      </c>
      <c r="AO150" s="35">
        <v>2.2558819277108353E-27</v>
      </c>
      <c r="AP150" s="35">
        <v>5.1266048192770966E-27</v>
      </c>
      <c r="AQ150" s="35">
        <v>2.0277523636363546E-26</v>
      </c>
      <c r="AR150" s="35">
        <v>4.7752333333332803E-26</v>
      </c>
      <c r="AS150" s="35">
        <v>1.6471899999999947E-25</v>
      </c>
      <c r="AT150" s="35">
        <v>1.1355653333333238E-24</v>
      </c>
      <c r="AU150" s="35">
        <v>3.2382986666666576E-24</v>
      </c>
      <c r="AV150" s="35">
        <v>2.1736019513836236E-18</v>
      </c>
      <c r="AW150" s="35">
        <v>5.1508545454545258E-18</v>
      </c>
      <c r="AX150" s="35">
        <v>9.4035818181817987E-18</v>
      </c>
      <c r="AY150" s="35">
        <v>1.6000349397590345E-17</v>
      </c>
      <c r="AZ150" s="35">
        <v>2.5136493975903647E-17</v>
      </c>
      <c r="BA150" s="35">
        <v>9.2312542424242779E-17</v>
      </c>
      <c r="BB150" s="35">
        <v>1.7222905757575792E-16</v>
      </c>
      <c r="BC150" s="35">
        <v>2.5214557272727307E-16</v>
      </c>
      <c r="BD150" s="35">
        <v>3.3206208787878821E-16</v>
      </c>
      <c r="BE150" s="35">
        <v>4.1197860303030336E-16</v>
      </c>
      <c r="BF150" s="35">
        <v>4.9189511818181855E-16</v>
      </c>
      <c r="BG150" s="35">
        <v>6.271573493975918E-16</v>
      </c>
      <c r="BH150" s="35">
        <v>9.5864530120482013E-16</v>
      </c>
      <c r="BI150" s="35">
        <v>1.4593703030303045E-15</v>
      </c>
      <c r="BJ150" s="35">
        <v>2.093067272727274E-15</v>
      </c>
      <c r="BK150" s="35">
        <v>3.2229072727272754E-15</v>
      </c>
      <c r="BL150" s="35">
        <v>4.6545048484848531E-15</v>
      </c>
      <c r="BM150" s="35">
        <v>6.805292727272732E-15</v>
      </c>
      <c r="BN150" s="35">
        <v>9.9953357575757661E-15</v>
      </c>
      <c r="BO150" s="35">
        <v>1.3849820606060613E-14</v>
      </c>
      <c r="BP150" s="35">
        <v>2.0486891566265068E-14</v>
      </c>
      <c r="BQ150" s="35">
        <v>2.8752363636363636E-14</v>
      </c>
      <c r="BR150" s="35">
        <v>4.0546909090909097E-14</v>
      </c>
      <c r="BS150" s="35">
        <v>5.7797121212121212E-14</v>
      </c>
      <c r="BT150" s="35">
        <v>7.7984999999999995E-14</v>
      </c>
    </row>
    <row r="151" spans="1:72" ht="9.9499999999999993" customHeight="1" thickBot="1" x14ac:dyDescent="0.4">
      <c r="A151" s="83" t="s">
        <v>126</v>
      </c>
      <c r="B151" s="35">
        <v>2.0038668810948497E-23</v>
      </c>
      <c r="C151" s="35">
        <v>2.7487987991828988E-23</v>
      </c>
      <c r="D151" s="35">
        <v>3.4937307172709473E-23</v>
      </c>
      <c r="E151" s="35">
        <v>4.2386626353589964E-23</v>
      </c>
      <c r="F151" s="35">
        <v>2.1771765809380023E-21</v>
      </c>
      <c r="G151" s="35">
        <v>2.8776383842662651E-20</v>
      </c>
      <c r="H151" s="35">
        <v>5.5375591104387298E-20</v>
      </c>
      <c r="I151" s="35">
        <v>8.197479836611195E-20</v>
      </c>
      <c r="J151" s="35">
        <v>1.0857400562783659E-19</v>
      </c>
      <c r="K151" s="35">
        <v>1.3517321288956126E-19</v>
      </c>
      <c r="L151" s="35">
        <v>1.617724201512859E-19</v>
      </c>
      <c r="M151" s="35">
        <v>4.7080330435703387E-16</v>
      </c>
      <c r="N151" s="35">
        <v>1.4721382710741298E-15</v>
      </c>
      <c r="O151" s="35">
        <v>2.4734732377912255E-15</v>
      </c>
      <c r="P151" s="35">
        <v>3.4748082045083212E-15</v>
      </c>
      <c r="Q151" s="35">
        <v>4.4761431712254169E-15</v>
      </c>
      <c r="R151" s="35">
        <v>5.4774781379425131E-15</v>
      </c>
      <c r="S151" s="35">
        <v>6.4788131046596084E-15</v>
      </c>
      <c r="T151" s="35">
        <v>1.00827511346445E-13</v>
      </c>
      <c r="U151" s="35">
        <v>2.1037229198184588E-13</v>
      </c>
      <c r="V151" s="35">
        <v>3.1991707261724676E-13</v>
      </c>
      <c r="W151" s="35">
        <v>4.2946185325264762E-13</v>
      </c>
      <c r="X151" s="35">
        <v>5.3900663388804842E-13</v>
      </c>
      <c r="Y151" s="35">
        <v>6.4855141452344928E-13</v>
      </c>
      <c r="Z151" s="35">
        <v>8.7861113636363638E-13</v>
      </c>
      <c r="AA151" s="35">
        <v>1.4702156818181817E-12</v>
      </c>
      <c r="AB151" s="35">
        <v>2.0618202272727275E-12</v>
      </c>
      <c r="AC151" s="35">
        <v>2.6534247727272725E-12</v>
      </c>
      <c r="AD151" s="35">
        <v>3.2450293181818184E-12</v>
      </c>
      <c r="AE151" s="35">
        <v>3.8366338636363634E-12</v>
      </c>
      <c r="AF151" s="35">
        <v>4.4282384090909092E-12</v>
      </c>
      <c r="AG151" s="35">
        <v>3.7059060211800293E-11</v>
      </c>
      <c r="AH151" s="35">
        <v>8.6941768229954593E-11</v>
      </c>
      <c r="AI151" s="35">
        <v>1.3682447624810889E-10</v>
      </c>
      <c r="AJ151" s="35">
        <v>1.8670718426626321E-10</v>
      </c>
      <c r="AK151" s="35">
        <v>2.3658989228441749E-10</v>
      </c>
      <c r="AL151" s="35">
        <v>2.8647260030257181E-10</v>
      </c>
      <c r="AM151" s="35">
        <v>3.3296169696969706E-10</v>
      </c>
      <c r="AN151" s="35">
        <v>2.9800412121212132E-10</v>
      </c>
      <c r="AO151" s="35">
        <v>3.994219277108425E-10</v>
      </c>
      <c r="AP151" s="35">
        <v>7.1414481927710716E-10</v>
      </c>
      <c r="AQ151" s="35">
        <v>1.7706305454545394E-9</v>
      </c>
      <c r="AR151" s="35">
        <v>3.3707575757575544E-9</v>
      </c>
      <c r="AS151" s="35">
        <v>8.067727272727252E-9</v>
      </c>
      <c r="AT151" s="35">
        <v>3.543351515151489E-8</v>
      </c>
      <c r="AU151" s="35">
        <v>9.2848666666666406E-8</v>
      </c>
      <c r="AV151" s="35">
        <v>3.7603619253090692E-2</v>
      </c>
      <c r="AW151" s="35">
        <v>7.9553484848484859E-2</v>
      </c>
      <c r="AX151" s="35">
        <v>7.9611060606060616E-2</v>
      </c>
      <c r="AY151" s="35">
        <v>7.9594156626506027E-2</v>
      </c>
      <c r="AZ151" s="35">
        <v>7.9496566265060242E-2</v>
      </c>
      <c r="BA151" s="35">
        <v>7.9301333333333321E-2</v>
      </c>
      <c r="BB151" s="35">
        <v>7.9084666666666664E-2</v>
      </c>
      <c r="BC151" s="35">
        <v>7.8867999999999994E-2</v>
      </c>
      <c r="BD151" s="35">
        <v>7.8651333333333323E-2</v>
      </c>
      <c r="BE151" s="35">
        <v>7.8434666666666653E-2</v>
      </c>
      <c r="BF151" s="35">
        <v>7.8217999999999996E-2</v>
      </c>
      <c r="BG151" s="35">
        <v>7.7961927710843371E-2</v>
      </c>
      <c r="BH151" s="35">
        <v>7.7566144578313248E-2</v>
      </c>
      <c r="BI151" s="35">
        <v>7.7111660606060603E-2</v>
      </c>
      <c r="BJ151" s="35">
        <v>7.6611054545454541E-2</v>
      </c>
      <c r="BK151" s="35">
        <v>7.6004557575757581E-2</v>
      </c>
      <c r="BL151" s="35">
        <v>7.5353866666666672E-2</v>
      </c>
      <c r="BM151" s="35">
        <v>7.4607199999999999E-2</v>
      </c>
      <c r="BN151" s="35">
        <v>7.3775133333333326E-2</v>
      </c>
      <c r="BO151" s="35">
        <v>7.2888466666666665E-2</v>
      </c>
      <c r="BP151" s="35">
        <v>7.1867554216867469E-2</v>
      </c>
      <c r="BQ151" s="35">
        <v>7.0795545454545458E-2</v>
      </c>
      <c r="BR151" s="35">
        <v>6.9617363636363644E-2</v>
      </c>
      <c r="BS151" s="35">
        <v>6.83489696969697E-2</v>
      </c>
      <c r="BT151" s="35">
        <v>6.7031999999999994E-2</v>
      </c>
    </row>
    <row r="152" spans="1:72" ht="9.9499999999999993" customHeight="1" thickBot="1" x14ac:dyDescent="0.4">
      <c r="A152" s="88" t="s">
        <v>100</v>
      </c>
      <c r="B152" s="35">
        <v>3.5030636913767009E-35</v>
      </c>
      <c r="C152" s="35">
        <v>4.805317851739788E-35</v>
      </c>
      <c r="D152" s="35">
        <v>6.1075720121028746E-35</v>
      </c>
      <c r="E152" s="35">
        <v>7.4098261724659622E-35</v>
      </c>
      <c r="F152" s="35">
        <v>6.3888662058939928E-28</v>
      </c>
      <c r="G152" s="35">
        <v>8.6249683019692763E-27</v>
      </c>
      <c r="H152" s="35">
        <v>1.6611049983349154E-26</v>
      </c>
      <c r="I152" s="35">
        <v>2.4597131664729031E-26</v>
      </c>
      <c r="J152" s="35">
        <v>3.2583213346108905E-26</v>
      </c>
      <c r="K152" s="35">
        <v>4.0569295027488783E-26</v>
      </c>
      <c r="L152" s="35">
        <v>4.855537670886866E-26</v>
      </c>
      <c r="M152" s="35">
        <v>1.6085013794735218E-21</v>
      </c>
      <c r="N152" s="35">
        <v>5.030732425161874E-21</v>
      </c>
      <c r="O152" s="35">
        <v>8.4529634708502275E-21</v>
      </c>
      <c r="P152" s="35">
        <v>1.187519451653858E-20</v>
      </c>
      <c r="Q152" s="35">
        <v>1.5297425562226931E-20</v>
      </c>
      <c r="R152" s="35">
        <v>1.8719656607915283E-20</v>
      </c>
      <c r="S152" s="35">
        <v>2.2141887653603637E-20</v>
      </c>
      <c r="T152" s="35">
        <v>3.4851629462935032E-17</v>
      </c>
      <c r="U152" s="35">
        <v>7.5350476512859369E-17</v>
      </c>
      <c r="V152" s="35">
        <v>1.1584932356278371E-16</v>
      </c>
      <c r="W152" s="35">
        <v>1.5634817061270804E-16</v>
      </c>
      <c r="X152" s="35">
        <v>1.9684701766263238E-16</v>
      </c>
      <c r="Y152" s="35">
        <v>2.3734586471255674E-16</v>
      </c>
      <c r="Z152" s="35">
        <v>2.1050790909090908E-15</v>
      </c>
      <c r="AA152" s="35">
        <v>9.4545154545454557E-15</v>
      </c>
      <c r="AB152" s="35">
        <v>1.6803951818181818E-14</v>
      </c>
      <c r="AC152" s="35">
        <v>2.4153388181818181E-14</v>
      </c>
      <c r="AD152" s="35">
        <v>3.1502824545454548E-14</v>
      </c>
      <c r="AE152" s="35">
        <v>3.8852260909090915E-14</v>
      </c>
      <c r="AF152" s="35">
        <v>4.6201697272727275E-14</v>
      </c>
      <c r="AG152" s="35">
        <v>4.0556872980332813E-12</v>
      </c>
      <c r="AH152" s="35">
        <v>1.0220169295007562E-11</v>
      </c>
      <c r="AI152" s="35">
        <v>1.638465129198184E-11</v>
      </c>
      <c r="AJ152" s="35">
        <v>2.2549133288956117E-11</v>
      </c>
      <c r="AK152" s="35">
        <v>2.8713615285930398E-11</v>
      </c>
      <c r="AL152" s="35">
        <v>3.4878097282904675E-11</v>
      </c>
      <c r="AM152" s="35">
        <v>4.1161309090909071E-11</v>
      </c>
      <c r="AN152" s="35">
        <v>5.0294036363636344E-11</v>
      </c>
      <c r="AO152" s="35">
        <v>1.0319713855421652E-10</v>
      </c>
      <c r="AP152" s="35">
        <v>2.2456159638554163E-10</v>
      </c>
      <c r="AQ152" s="35">
        <v>8.010561212121178E-10</v>
      </c>
      <c r="AR152" s="35">
        <v>1.8002733333333155E-9</v>
      </c>
      <c r="AS152" s="35">
        <v>5.7249399999999825E-9</v>
      </c>
      <c r="AT152" s="35">
        <v>3.5421539393939102E-8</v>
      </c>
      <c r="AU152" s="35">
        <v>9.9280933333333044E-8</v>
      </c>
      <c r="AV152" s="35">
        <v>3.7818241573999788E-2</v>
      </c>
      <c r="AW152" s="35">
        <v>0.08</v>
      </c>
      <c r="AX152" s="35">
        <v>0.08</v>
      </c>
      <c r="AY152" s="35">
        <v>0.08</v>
      </c>
      <c r="AZ152" s="35">
        <v>0.08</v>
      </c>
      <c r="BA152" s="35">
        <v>0.08</v>
      </c>
      <c r="BB152" s="35">
        <v>0.08</v>
      </c>
      <c r="BC152" s="35">
        <v>0.08</v>
      </c>
      <c r="BD152" s="35">
        <v>0.08</v>
      </c>
      <c r="BE152" s="35">
        <v>0.08</v>
      </c>
      <c r="BF152" s="35">
        <v>0.08</v>
      </c>
      <c r="BG152" s="35">
        <v>0.08</v>
      </c>
      <c r="BH152" s="35">
        <v>0.08</v>
      </c>
      <c r="BI152" s="35">
        <v>0.08</v>
      </c>
      <c r="BJ152" s="35">
        <v>0.08</v>
      </c>
      <c r="BK152" s="35">
        <v>0.08</v>
      </c>
      <c r="BL152" s="35">
        <v>0.08</v>
      </c>
      <c r="BM152" s="35">
        <v>0.08</v>
      </c>
      <c r="BN152" s="35">
        <v>0.08</v>
      </c>
      <c r="BO152" s="35">
        <v>0.08</v>
      </c>
      <c r="BP152" s="35">
        <v>0.08</v>
      </c>
      <c r="BQ152" s="35">
        <v>0.08</v>
      </c>
      <c r="BR152" s="35">
        <v>0.08</v>
      </c>
      <c r="BS152" s="35">
        <v>0.08</v>
      </c>
      <c r="BT152" s="35">
        <v>0.08</v>
      </c>
    </row>
    <row r="153" spans="1:72" ht="9.9499999999999993" customHeight="1" thickBot="1" x14ac:dyDescent="0.4">
      <c r="A153" s="88" t="s">
        <v>26</v>
      </c>
      <c r="B153" s="35">
        <v>-18.624069591527988</v>
      </c>
      <c r="C153" s="35">
        <v>-18.625582450832074</v>
      </c>
      <c r="D153" s="35">
        <v>-18.627095310136156</v>
      </c>
      <c r="E153" s="35">
        <v>-18.628608169440241</v>
      </c>
      <c r="F153" s="35">
        <v>-18.631089258698939</v>
      </c>
      <c r="G153" s="35">
        <v>-18.644704992435702</v>
      </c>
      <c r="H153" s="35">
        <v>-18.658320726172466</v>
      </c>
      <c r="I153" s="35">
        <v>-18.671936459909226</v>
      </c>
      <c r="J153" s="35">
        <v>-18.685552193645989</v>
      </c>
      <c r="K153" s="35">
        <v>-18.699167927382753</v>
      </c>
      <c r="L153" s="35">
        <v>-18.712783661119516</v>
      </c>
      <c r="M153" s="35">
        <v>-18.728532526475036</v>
      </c>
      <c r="N153" s="35">
        <v>-18.746686838124052</v>
      </c>
      <c r="O153" s="35">
        <v>-18.764841149773069</v>
      </c>
      <c r="P153" s="35">
        <v>-18.782995461422086</v>
      </c>
      <c r="Q153" s="35">
        <v>-18.801149773071103</v>
      </c>
      <c r="R153" s="35">
        <v>-18.81930408472012</v>
      </c>
      <c r="S153" s="35">
        <v>-18.837458396369136</v>
      </c>
      <c r="T153" s="35">
        <v>-18.856913767019666</v>
      </c>
      <c r="U153" s="35">
        <v>-18.876580937972768</v>
      </c>
      <c r="V153" s="35">
        <v>-18.896248108925871</v>
      </c>
      <c r="W153" s="35">
        <v>-18.91591527987897</v>
      </c>
      <c r="X153" s="35">
        <v>-18.935582450832072</v>
      </c>
      <c r="Y153" s="35">
        <v>-18.955249621785175</v>
      </c>
      <c r="Z153" s="35">
        <v>-18.975303030303028</v>
      </c>
      <c r="AA153" s="35">
        <v>-18.996515151515151</v>
      </c>
      <c r="AB153" s="35">
        <v>-19.017727272727271</v>
      </c>
      <c r="AC153" s="35">
        <v>-19.038939393939394</v>
      </c>
      <c r="AD153" s="35">
        <v>-19.060151515151514</v>
      </c>
      <c r="AE153" s="35">
        <v>-19.081363636363637</v>
      </c>
      <c r="AF153" s="35">
        <v>-19.102575757575757</v>
      </c>
      <c r="AG153" s="35">
        <v>-19.12376701966717</v>
      </c>
      <c r="AH153" s="35">
        <v>-19.144947049924358</v>
      </c>
      <c r="AI153" s="35">
        <v>-19.166127080181543</v>
      </c>
      <c r="AJ153" s="35">
        <v>-19.187307110438727</v>
      </c>
      <c r="AK153" s="35">
        <v>-19.208487140695915</v>
      </c>
      <c r="AL153" s="35">
        <v>-19.2296671709531</v>
      </c>
      <c r="AM153" s="35">
        <v>-19.250727272727271</v>
      </c>
      <c r="AN153" s="35">
        <v>-19.268909090909091</v>
      </c>
      <c r="AO153" s="35">
        <v>-19.289397590361446</v>
      </c>
      <c r="AP153" s="35">
        <v>-19.313493975903615</v>
      </c>
      <c r="AQ153" s="35">
        <v>-19.333272727272728</v>
      </c>
      <c r="AR153" s="35">
        <v>-19.351454545454548</v>
      </c>
      <c r="AS153" s="35">
        <v>-19.369636363636364</v>
      </c>
      <c r="AT153" s="35">
        <v>-19.390424242424242</v>
      </c>
      <c r="AU153" s="35">
        <v>-19.414666666666669</v>
      </c>
      <c r="AV153" s="35">
        <v>-19.43418181818182</v>
      </c>
      <c r="AW153" s="35">
        <v>-19.452363636363636</v>
      </c>
      <c r="AX153" s="35">
        <v>-19.470545454545455</v>
      </c>
      <c r="AY153" s="35">
        <v>-19.491566265060243</v>
      </c>
      <c r="AZ153" s="35">
        <v>-19.515662650602408</v>
      </c>
      <c r="BA153" s="35">
        <v>-19.536151515151516</v>
      </c>
      <c r="BB153" s="35">
        <v>-19.555848484848486</v>
      </c>
      <c r="BC153" s="35">
        <v>-19.575545454545455</v>
      </c>
      <c r="BD153" s="35">
        <v>-19.595242424242425</v>
      </c>
      <c r="BE153" s="35">
        <v>-19.614939393939395</v>
      </c>
      <c r="BF153" s="35">
        <v>-19.634636363636364</v>
      </c>
      <c r="BG153" s="35">
        <v>-19.653975903614455</v>
      </c>
      <c r="BH153" s="35">
        <v>-19.672048192771083</v>
      </c>
      <c r="BI153" s="35">
        <v>-19.69018181818182</v>
      </c>
      <c r="BJ153" s="35">
        <v>-19.708363636363636</v>
      </c>
      <c r="BK153" s="35">
        <v>-19.726545454545455</v>
      </c>
      <c r="BL153" s="35">
        <v>-19.746303030303029</v>
      </c>
      <c r="BM153" s="35">
        <v>-19.770545454545456</v>
      </c>
      <c r="BN153" s="35">
        <v>-19.791090909090908</v>
      </c>
      <c r="BO153" s="35">
        <v>-19.809272727272727</v>
      </c>
      <c r="BP153" s="35">
        <v>-19.827349397590361</v>
      </c>
      <c r="BQ153" s="35">
        <v>-19.847272727272728</v>
      </c>
      <c r="BR153" s="35">
        <v>-19.871515151515151</v>
      </c>
      <c r="BS153" s="35">
        <v>-19.891818181818181</v>
      </c>
      <c r="BT153" s="35">
        <v>-19.91</v>
      </c>
    </row>
    <row r="154" spans="1:72" ht="9.9499999999999993" customHeight="1" thickBot="1" x14ac:dyDescent="0.4">
      <c r="A154" s="88" t="s">
        <v>5</v>
      </c>
      <c r="B154" s="35">
        <v>-60.113812405446296</v>
      </c>
      <c r="C154" s="35">
        <v>-58.327125567322241</v>
      </c>
      <c r="D154" s="35">
        <v>-56.540438729198186</v>
      </c>
      <c r="E154" s="35">
        <v>-54.753751891074131</v>
      </c>
      <c r="F154" s="35">
        <v>-52.981467473524958</v>
      </c>
      <c r="G154" s="35">
        <v>-51.374810892586986</v>
      </c>
      <c r="H154" s="35">
        <v>-49.768154311649013</v>
      </c>
      <c r="I154" s="35">
        <v>-48.161497730711048</v>
      </c>
      <c r="J154" s="35">
        <v>-46.554841149773075</v>
      </c>
      <c r="K154" s="35">
        <v>-44.948184568835103</v>
      </c>
      <c r="L154" s="35">
        <v>-43.34152798789713</v>
      </c>
      <c r="M154" s="35">
        <v>-42.578169440242057</v>
      </c>
      <c r="N154" s="35">
        <v>-42.765763993948561</v>
      </c>
      <c r="O154" s="35">
        <v>-42.953358547655071</v>
      </c>
      <c r="P154" s="35">
        <v>-43.140953101361575</v>
      </c>
      <c r="Q154" s="35">
        <v>-43.328547655068078</v>
      </c>
      <c r="R154" s="35">
        <v>-43.516142208774582</v>
      </c>
      <c r="S154" s="35">
        <v>-43.703736762481086</v>
      </c>
      <c r="T154" s="35">
        <v>-43.249909228441751</v>
      </c>
      <c r="U154" s="35">
        <v>-42.69166414523449</v>
      </c>
      <c r="V154" s="35">
        <v>-42.13341906202723</v>
      </c>
      <c r="W154" s="35">
        <v>-41.575173978819969</v>
      </c>
      <c r="X154" s="35">
        <v>-41.016928895612708</v>
      </c>
      <c r="Y154" s="35">
        <v>-40.458683812405447</v>
      </c>
      <c r="Z154" s="35">
        <v>-39.93659090909091</v>
      </c>
      <c r="AA154" s="35">
        <v>-39.522954545454546</v>
      </c>
      <c r="AB154" s="35">
        <v>-39.109318181818182</v>
      </c>
      <c r="AC154" s="35">
        <v>-38.695681818181818</v>
      </c>
      <c r="AD154" s="35">
        <v>-38.282045454545454</v>
      </c>
      <c r="AE154" s="35">
        <v>-37.86840909090909</v>
      </c>
      <c r="AF154" s="35">
        <v>-37.454772727272726</v>
      </c>
      <c r="AG154" s="35">
        <v>-37.107428139183057</v>
      </c>
      <c r="AH154" s="35">
        <v>-36.795779122541603</v>
      </c>
      <c r="AI154" s="35">
        <v>-36.484130105900149</v>
      </c>
      <c r="AJ154" s="35">
        <v>-36.172481089258703</v>
      </c>
      <c r="AK154" s="35">
        <v>-35.860832072617249</v>
      </c>
      <c r="AL154" s="35">
        <v>-35.549183055975796</v>
      </c>
      <c r="AM154" s="35">
        <v>-35.239333333333335</v>
      </c>
      <c r="AN154" s="35">
        <v>-34.972666666666669</v>
      </c>
      <c r="AO154" s="35">
        <v>-34.716024096385546</v>
      </c>
      <c r="AP154" s="35">
        <v>-34.475060240963856</v>
      </c>
      <c r="AQ154" s="35">
        <v>-34.24187878787879</v>
      </c>
      <c r="AR154" s="35">
        <v>-34.01254545454546</v>
      </c>
      <c r="AS154" s="35">
        <v>-33.794363636363641</v>
      </c>
      <c r="AT154" s="35">
        <v>-33.584000000000003</v>
      </c>
      <c r="AU154" s="35">
        <v>-33.384000000000007</v>
      </c>
      <c r="AV154" s="35">
        <v>-33.278545454545458</v>
      </c>
      <c r="AW154" s="35">
        <v>-33.177696969696974</v>
      </c>
      <c r="AX154" s="35">
        <v>-32.929212121212117</v>
      </c>
      <c r="AY154" s="35">
        <v>-32.690120481927707</v>
      </c>
      <c r="AZ154" s="35">
        <v>-32.461204819277107</v>
      </c>
      <c r="BA154" s="35">
        <v>-32.244818181818182</v>
      </c>
      <c r="BB154" s="35">
        <v>-32.031181818181821</v>
      </c>
      <c r="BC154" s="35">
        <v>-31.817545454545456</v>
      </c>
      <c r="BD154" s="35">
        <v>-31.603909090909092</v>
      </c>
      <c r="BE154" s="35">
        <v>-31.390272727272727</v>
      </c>
      <c r="BF154" s="35">
        <v>-31.176636363636366</v>
      </c>
      <c r="BG154" s="35">
        <v>-30.966265060240964</v>
      </c>
      <c r="BH154" s="35">
        <v>-30.767469879518071</v>
      </c>
      <c r="BI154" s="35">
        <v>-30.568000000000001</v>
      </c>
      <c r="BJ154" s="35">
        <v>-30.368000000000002</v>
      </c>
      <c r="BK154" s="35">
        <v>-30.173515151515151</v>
      </c>
      <c r="BL154" s="35">
        <v>-29.981151515151517</v>
      </c>
      <c r="BM154" s="35">
        <v>-29.793272727272726</v>
      </c>
      <c r="BN154" s="35">
        <v>-29.605393939393938</v>
      </c>
      <c r="BO154" s="35">
        <v>-29.417515151515151</v>
      </c>
      <c r="BP154" s="35">
        <v>-29.230722891566266</v>
      </c>
      <c r="BQ154" s="35">
        <v>-29.043636363636363</v>
      </c>
      <c r="BR154" s="35">
        <v>-28.855757575757575</v>
      </c>
      <c r="BS154" s="35">
        <v>-28.671818181818182</v>
      </c>
      <c r="BT154" s="35">
        <v>-28.49</v>
      </c>
    </row>
    <row r="155" spans="1:72" ht="9.9499999999999993" customHeight="1" thickBot="1" x14ac:dyDescent="0.4">
      <c r="A155" s="88" t="s">
        <v>6</v>
      </c>
      <c r="B155" s="35">
        <v>-15.005385779122541</v>
      </c>
      <c r="C155" s="35">
        <v>-14.68768532526475</v>
      </c>
      <c r="D155" s="35">
        <v>-14.36998487140696</v>
      </c>
      <c r="E155" s="35">
        <v>-14.052284417549167</v>
      </c>
      <c r="F155" s="35">
        <v>-13.721875945537064</v>
      </c>
      <c r="G155" s="35">
        <v>-13.245325264750377</v>
      </c>
      <c r="H155" s="35">
        <v>-12.76877458396369</v>
      </c>
      <c r="I155" s="35">
        <v>-12.292223903177003</v>
      </c>
      <c r="J155" s="35">
        <v>-11.815673222390318</v>
      </c>
      <c r="K155" s="35">
        <v>-11.339122541603631</v>
      </c>
      <c r="L155" s="35">
        <v>-10.862571860816944</v>
      </c>
      <c r="M155" s="35">
        <v>-10.873086232980333</v>
      </c>
      <c r="N155" s="35">
        <v>-11.432844175491679</v>
      </c>
      <c r="O155" s="35">
        <v>-11.992602118003026</v>
      </c>
      <c r="P155" s="35">
        <v>-12.552360060514372</v>
      </c>
      <c r="Q155" s="35">
        <v>-13.112118003025719</v>
      </c>
      <c r="R155" s="35">
        <v>-13.671875945537067</v>
      </c>
      <c r="S155" s="35">
        <v>-14.231633888048414</v>
      </c>
      <c r="T155" s="35">
        <v>-14.273570347957641</v>
      </c>
      <c r="U155" s="35">
        <v>-14.231210287443268</v>
      </c>
      <c r="V155" s="35">
        <v>-14.188850226928896</v>
      </c>
      <c r="W155" s="35">
        <v>-14.146490166414523</v>
      </c>
      <c r="X155" s="35">
        <v>-14.10413010590015</v>
      </c>
      <c r="Y155" s="35">
        <v>-14.061770045385778</v>
      </c>
      <c r="Z155" s="35">
        <v>-14.026590909090908</v>
      </c>
      <c r="AA155" s="35">
        <v>-14.012954545454544</v>
      </c>
      <c r="AB155" s="35">
        <v>-13.999318181818181</v>
      </c>
      <c r="AC155" s="35">
        <v>-13.985681818181817</v>
      </c>
      <c r="AD155" s="35">
        <v>-13.972045454545453</v>
      </c>
      <c r="AE155" s="35">
        <v>-13.95840909090909</v>
      </c>
      <c r="AF155" s="35">
        <v>-13.944772727272726</v>
      </c>
      <c r="AG155" s="35">
        <v>-13.942950075642965</v>
      </c>
      <c r="AH155" s="35">
        <v>-13.947488653555219</v>
      </c>
      <c r="AI155" s="35">
        <v>-13.952027231467474</v>
      </c>
      <c r="AJ155" s="35">
        <v>-13.956565809379727</v>
      </c>
      <c r="AK155" s="35">
        <v>-13.961104387291982</v>
      </c>
      <c r="AL155" s="35">
        <v>-13.965642965204237</v>
      </c>
      <c r="AM155" s="35">
        <v>-13.970484848484849</v>
      </c>
      <c r="AN155" s="35">
        <v>-13.982606060606061</v>
      </c>
      <c r="AO155" s="35">
        <v>-13.997048192771084</v>
      </c>
      <c r="AP155" s="35">
        <v>-14.01512048192771</v>
      </c>
      <c r="AQ155" s="35">
        <v>-14.033272727272728</v>
      </c>
      <c r="AR155" s="35">
        <v>-14.051454545454545</v>
      </c>
      <c r="AS155" s="35">
        <v>-14.069636363636365</v>
      </c>
      <c r="AT155" s="35">
        <v>-14.090424242424243</v>
      </c>
      <c r="AU155" s="35">
        <v>-14.114666666666666</v>
      </c>
      <c r="AV155" s="35">
        <v>-14.134181818181817</v>
      </c>
      <c r="AW155" s="35">
        <v>-14.136606060606061</v>
      </c>
      <c r="AX155" s="35">
        <v>-14.033575757575758</v>
      </c>
      <c r="AY155" s="35">
        <v>-13.942409638554217</v>
      </c>
      <c r="AZ155" s="35">
        <v>-13.864096385542169</v>
      </c>
      <c r="BA155" s="35">
        <v>-13.79160606060606</v>
      </c>
      <c r="BB155" s="35">
        <v>-13.720393939393938</v>
      </c>
      <c r="BC155" s="35">
        <v>-13.649181818181818</v>
      </c>
      <c r="BD155" s="35">
        <v>-13.577969696969697</v>
      </c>
      <c r="BE155" s="35">
        <v>-13.506757575757575</v>
      </c>
      <c r="BF155" s="35">
        <v>-13.435545454545455</v>
      </c>
      <c r="BG155" s="35">
        <v>-13.366746987951808</v>
      </c>
      <c r="BH155" s="35">
        <v>-13.306506024096386</v>
      </c>
      <c r="BI155" s="35">
        <v>-13.242666666666667</v>
      </c>
      <c r="BJ155" s="35">
        <v>-13.176</v>
      </c>
      <c r="BK155" s="35">
        <v>-13.114848484848485</v>
      </c>
      <c r="BL155" s="35">
        <v>-13.054242424242425</v>
      </c>
      <c r="BM155" s="35">
        <v>-12.993636363636364</v>
      </c>
      <c r="BN155" s="35">
        <v>-12.933030303030304</v>
      </c>
      <c r="BO155" s="35">
        <v>-12.872424242424241</v>
      </c>
      <c r="BP155" s="35">
        <v>-12.812168674698794</v>
      </c>
      <c r="BQ155" s="35">
        <v>-12.751818181818182</v>
      </c>
      <c r="BR155" s="35">
        <v>-12.691212121212121</v>
      </c>
      <c r="BS155" s="35">
        <v>-12.630606060606061</v>
      </c>
      <c r="BT155" s="35">
        <v>-12.57</v>
      </c>
    </row>
    <row r="156" spans="1:72" ht="9.9499999999999993" customHeight="1" thickBot="1" x14ac:dyDescent="0.4">
      <c r="A156" s="88" t="s">
        <v>7</v>
      </c>
      <c r="B156" s="35">
        <v>-22.403555219364598</v>
      </c>
      <c r="C156" s="35">
        <v>-21.828668683812403</v>
      </c>
      <c r="D156" s="35">
        <v>-21.253782148260211</v>
      </c>
      <c r="E156" s="35">
        <v>-20.678895612708018</v>
      </c>
      <c r="F156" s="35">
        <v>-20.14249621785174</v>
      </c>
      <c r="G156" s="35">
        <v>-20.048698940998484</v>
      </c>
      <c r="H156" s="35">
        <v>-19.954901664145233</v>
      </c>
      <c r="I156" s="35">
        <v>-19.861104387291981</v>
      </c>
      <c r="J156" s="35">
        <v>-19.767307110438729</v>
      </c>
      <c r="K156" s="35">
        <v>-19.673509833585477</v>
      </c>
      <c r="L156" s="35">
        <v>-19.579712556732225</v>
      </c>
      <c r="M156" s="35">
        <v>-19.084175491679275</v>
      </c>
      <c r="N156" s="35">
        <v>-18.135612708018154</v>
      </c>
      <c r="O156" s="35">
        <v>-17.187049924357034</v>
      </c>
      <c r="P156" s="35">
        <v>-16.238487140695916</v>
      </c>
      <c r="Q156" s="35">
        <v>-15.289924357034796</v>
      </c>
      <c r="R156" s="35">
        <v>-14.341361573373675</v>
      </c>
      <c r="S156" s="35">
        <v>-13.392798789712554</v>
      </c>
      <c r="T156" s="35">
        <v>-13.057034795763993</v>
      </c>
      <c r="U156" s="35">
        <v>-12.821028744326776</v>
      </c>
      <c r="V156" s="35">
        <v>-12.585022692889561</v>
      </c>
      <c r="W156" s="35">
        <v>-12.349016641452344</v>
      </c>
      <c r="X156" s="35">
        <v>-12.113010590015127</v>
      </c>
      <c r="Y156" s="35">
        <v>-11.877004538577912</v>
      </c>
      <c r="Z156" s="35">
        <v>-11.652651515151515</v>
      </c>
      <c r="AA156" s="35">
        <v>-11.463257575757575</v>
      </c>
      <c r="AB156" s="35">
        <v>-11.273863636363636</v>
      </c>
      <c r="AC156" s="35">
        <v>-11.084469696969697</v>
      </c>
      <c r="AD156" s="35">
        <v>-10.895075757575757</v>
      </c>
      <c r="AE156" s="35">
        <v>-10.705681818181818</v>
      </c>
      <c r="AF156" s="35">
        <v>-10.516287878787878</v>
      </c>
      <c r="AG156" s="35">
        <v>-10.348124054462934</v>
      </c>
      <c r="AH156" s="35">
        <v>-10.191391830559757</v>
      </c>
      <c r="AI156" s="35">
        <v>-10.034659606656581</v>
      </c>
      <c r="AJ156" s="35">
        <v>-9.8779273827534038</v>
      </c>
      <c r="AK156" s="35">
        <v>-9.721195158850227</v>
      </c>
      <c r="AL156" s="35">
        <v>-9.5644629349470502</v>
      </c>
      <c r="AM156" s="35">
        <v>-9.4083272727272735</v>
      </c>
      <c r="AN156" s="35">
        <v>-9.266509090909091</v>
      </c>
      <c r="AO156" s="35">
        <v>-9.1273734939759041</v>
      </c>
      <c r="AP156" s="35">
        <v>-8.9924337349397589</v>
      </c>
      <c r="AQ156" s="35">
        <v>-8.8604363636363637</v>
      </c>
      <c r="AR156" s="35">
        <v>-8.7299151515151525</v>
      </c>
      <c r="AS156" s="35">
        <v>-8.6038545454545456</v>
      </c>
      <c r="AT156" s="35">
        <v>-8.4796181818181822</v>
      </c>
      <c r="AU156" s="35">
        <v>-8.357800000000001</v>
      </c>
      <c r="AV156" s="35">
        <v>-8.248745454545455</v>
      </c>
      <c r="AW156" s="35">
        <v>-8.1640121212121208</v>
      </c>
      <c r="AX156" s="35">
        <v>-8.2179515151515155</v>
      </c>
      <c r="AY156" s="35">
        <v>-8.266240963855422</v>
      </c>
      <c r="AZ156" s="35">
        <v>-8.3084096385542185</v>
      </c>
      <c r="BA156" s="35">
        <v>-8.3507878787878802</v>
      </c>
      <c r="BB156" s="35">
        <v>-8.3932121212121213</v>
      </c>
      <c r="BC156" s="35">
        <v>-8.4356363636363643</v>
      </c>
      <c r="BD156" s="35">
        <v>-8.4780606060606072</v>
      </c>
      <c r="BE156" s="35">
        <v>-8.5204848484848483</v>
      </c>
      <c r="BF156" s="35">
        <v>-8.5629090909090912</v>
      </c>
      <c r="BG156" s="35">
        <v>-8.6052771084337358</v>
      </c>
      <c r="BH156" s="35">
        <v>-8.6474457831325307</v>
      </c>
      <c r="BI156" s="35">
        <v>-8.6900969696969703</v>
      </c>
      <c r="BJ156" s="35">
        <v>-8.7331272727272733</v>
      </c>
      <c r="BK156" s="35">
        <v>-8.7772606060606062</v>
      </c>
      <c r="BL156" s="35">
        <v>-8.8216606060606058</v>
      </c>
      <c r="BM156" s="35">
        <v>-8.8665090909090907</v>
      </c>
      <c r="BN156" s="35">
        <v>-8.9120969696969699</v>
      </c>
      <c r="BO156" s="35">
        <v>-8.9581575757575767</v>
      </c>
      <c r="BP156" s="35">
        <v>-9.0051084337349412</v>
      </c>
      <c r="BQ156" s="35">
        <v>-9.052545454545454</v>
      </c>
      <c r="BR156" s="35">
        <v>-9.1010303030303028</v>
      </c>
      <c r="BS156" s="35">
        <v>-9.1506969696969698</v>
      </c>
      <c r="BT156" s="35">
        <v>-9.2010000000000005</v>
      </c>
    </row>
    <row r="157" spans="1:72" ht="9.9499999999999993" customHeight="1" thickBot="1" x14ac:dyDescent="0.4">
      <c r="A157" s="88"/>
    </row>
    <row r="158" spans="1:72" ht="9.9499999999999993" customHeight="1" thickBot="1" x14ac:dyDescent="0.4">
      <c r="A158" s="88"/>
    </row>
    <row r="159" spans="1:72" ht="9.9499999999999993" customHeight="1" thickBot="1" x14ac:dyDescent="0.4">
      <c r="A159" s="88"/>
    </row>
    <row r="160" spans="1:72" ht="9.9499999999999993" customHeight="1" thickBot="1" x14ac:dyDescent="0.4">
      <c r="A160" s="88"/>
    </row>
    <row r="161" spans="1:72" ht="9.9499999999999993" customHeight="1" thickBot="1" x14ac:dyDescent="0.4">
      <c r="A161" s="88"/>
    </row>
    <row r="162" spans="1:72" ht="9.9499999999999993" customHeight="1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9.9499999999999993" customHeight="1" thickTop="1" thickBot="1" x14ac:dyDescent="0.4"/>
    <row r="164" spans="1:72" ht="30.75" customHeight="1" thickTop="1" thickBot="1" x14ac:dyDescent="0.4">
      <c r="A164" s="86" t="s">
        <v>29</v>
      </c>
      <c r="B164" s="59">
        <v>300</v>
      </c>
      <c r="C164" s="59">
        <v>310</v>
      </c>
      <c r="D164" s="59">
        <v>320</v>
      </c>
      <c r="E164" s="59">
        <v>330</v>
      </c>
      <c r="F164" s="59">
        <v>340</v>
      </c>
      <c r="G164" s="59">
        <v>350</v>
      </c>
      <c r="H164" s="59">
        <v>360</v>
      </c>
      <c r="I164" s="59">
        <v>370</v>
      </c>
      <c r="J164" s="59">
        <v>380</v>
      </c>
      <c r="K164" s="59">
        <v>390</v>
      </c>
      <c r="L164" s="59">
        <v>400</v>
      </c>
      <c r="M164" s="59">
        <v>410</v>
      </c>
      <c r="N164" s="59">
        <v>420</v>
      </c>
      <c r="O164" s="59">
        <v>430</v>
      </c>
      <c r="P164" s="59">
        <v>440</v>
      </c>
      <c r="Q164" s="59">
        <v>450</v>
      </c>
      <c r="R164" s="59">
        <v>460</v>
      </c>
      <c r="S164" s="59">
        <v>470</v>
      </c>
      <c r="T164" s="59">
        <v>480</v>
      </c>
      <c r="U164" s="59">
        <v>490</v>
      </c>
      <c r="V164" s="59">
        <v>500</v>
      </c>
      <c r="W164" s="59">
        <v>510</v>
      </c>
      <c r="X164" s="59">
        <v>520</v>
      </c>
      <c r="Y164" s="59">
        <v>530</v>
      </c>
      <c r="Z164" s="59">
        <v>540</v>
      </c>
      <c r="AA164" s="59">
        <v>550</v>
      </c>
      <c r="AB164" s="59">
        <v>560</v>
      </c>
      <c r="AC164" s="59">
        <v>570</v>
      </c>
      <c r="AD164" s="59">
        <v>580</v>
      </c>
      <c r="AE164" s="59">
        <v>590</v>
      </c>
      <c r="AF164" s="59">
        <v>600</v>
      </c>
      <c r="AG164" s="59">
        <v>610</v>
      </c>
      <c r="AH164" s="59">
        <v>620</v>
      </c>
      <c r="AI164" s="59">
        <v>630</v>
      </c>
      <c r="AJ164" s="59">
        <v>640</v>
      </c>
      <c r="AK164" s="59">
        <v>650</v>
      </c>
      <c r="AL164" s="59">
        <v>660</v>
      </c>
      <c r="AM164" s="59">
        <v>670</v>
      </c>
      <c r="AN164" s="59">
        <v>680</v>
      </c>
      <c r="AO164" s="59">
        <v>690</v>
      </c>
      <c r="AP164" s="59">
        <v>700</v>
      </c>
      <c r="AQ164" s="59">
        <v>710</v>
      </c>
      <c r="AR164" s="59">
        <v>720</v>
      </c>
      <c r="AS164" s="59">
        <v>730</v>
      </c>
      <c r="AT164" s="59">
        <v>740</v>
      </c>
      <c r="AU164" s="59">
        <v>750</v>
      </c>
      <c r="AV164" s="59">
        <v>760</v>
      </c>
      <c r="AW164" s="59">
        <v>770</v>
      </c>
      <c r="AX164" s="59">
        <v>780</v>
      </c>
      <c r="AY164" s="59">
        <v>790</v>
      </c>
      <c r="AZ164" s="59">
        <v>800</v>
      </c>
      <c r="BA164" s="59">
        <v>810</v>
      </c>
      <c r="BB164" s="59">
        <v>820</v>
      </c>
      <c r="BC164" s="59">
        <v>830</v>
      </c>
      <c r="BD164" s="59">
        <v>840</v>
      </c>
      <c r="BE164" s="59">
        <v>850</v>
      </c>
      <c r="BF164" s="59">
        <v>860</v>
      </c>
      <c r="BG164" s="59">
        <v>870</v>
      </c>
      <c r="BH164" s="59">
        <v>880</v>
      </c>
      <c r="BI164" s="59">
        <v>890</v>
      </c>
      <c r="BJ164" s="59">
        <v>900</v>
      </c>
      <c r="BK164" s="59">
        <v>910</v>
      </c>
      <c r="BL164" s="59">
        <v>920</v>
      </c>
      <c r="BM164" s="59">
        <v>930</v>
      </c>
      <c r="BN164" s="59">
        <v>940</v>
      </c>
      <c r="BO164" s="59">
        <v>950</v>
      </c>
      <c r="BP164" s="59">
        <v>960</v>
      </c>
      <c r="BQ164" s="59">
        <v>970</v>
      </c>
      <c r="BR164" s="59">
        <v>980</v>
      </c>
      <c r="BS164" s="59">
        <v>990</v>
      </c>
      <c r="BT164" s="59">
        <v>1000</v>
      </c>
    </row>
    <row r="165" spans="1:72" ht="9.9499999999999993" customHeight="1" thickTop="1" thickBot="1" x14ac:dyDescent="0.4">
      <c r="A165" s="83" t="s">
        <v>97</v>
      </c>
      <c r="B165" s="35">
        <v>0</v>
      </c>
      <c r="C165" s="35">
        <v>0</v>
      </c>
      <c r="D165" s="35">
        <v>0</v>
      </c>
      <c r="E165" s="35">
        <v>0</v>
      </c>
      <c r="F165" s="35">
        <v>2.6121633888048777E-35</v>
      </c>
      <c r="G165" s="35">
        <v>3.5264205748865385E-34</v>
      </c>
      <c r="H165" s="35">
        <v>6.7916248108925888E-34</v>
      </c>
      <c r="I165" s="35">
        <v>1.0056829046898639E-33</v>
      </c>
      <c r="J165" s="35">
        <v>1.3322033282904689E-33</v>
      </c>
      <c r="K165" s="35">
        <v>1.658723751891074E-33</v>
      </c>
      <c r="L165" s="35">
        <v>1.9852441754916792E-33</v>
      </c>
      <c r="M165" s="35">
        <v>4.9301649018646194E-23</v>
      </c>
      <c r="N165" s="35">
        <v>1.5419877458564198E-22</v>
      </c>
      <c r="O165" s="35">
        <v>2.5909590015263772E-22</v>
      </c>
      <c r="P165" s="35">
        <v>3.6399302571963353E-22</v>
      </c>
      <c r="Q165" s="35">
        <v>4.6889015128662929E-22</v>
      </c>
      <c r="R165" s="35">
        <v>5.7378727685362501E-22</v>
      </c>
      <c r="S165" s="35">
        <v>6.7868440242062082E-22</v>
      </c>
      <c r="T165" s="35">
        <v>3.5500222204992521E-18</v>
      </c>
      <c r="U165" s="35">
        <v>7.6771487908472079E-18</v>
      </c>
      <c r="V165" s="35">
        <v>1.1804275361195164E-17</v>
      </c>
      <c r="W165" s="35">
        <v>1.5931401931543123E-17</v>
      </c>
      <c r="X165" s="35">
        <v>2.0058528501891079E-17</v>
      </c>
      <c r="Y165" s="35">
        <v>2.4185655072239036E-17</v>
      </c>
      <c r="Z165" s="35">
        <v>4.3088233863636359E-15</v>
      </c>
      <c r="AA165" s="35">
        <v>2.1434992931818184E-14</v>
      </c>
      <c r="AB165" s="35">
        <v>3.8561162477272726E-14</v>
      </c>
      <c r="AC165" s="35">
        <v>5.5687332022727273E-14</v>
      </c>
      <c r="AD165" s="35">
        <v>7.2813501568181827E-14</v>
      </c>
      <c r="AE165" s="35">
        <v>8.9939671113636368E-14</v>
      </c>
      <c r="AF165" s="35">
        <v>1.0706584065909091E-13</v>
      </c>
      <c r="AG165" s="35">
        <v>7.5311176399394846E-12</v>
      </c>
      <c r="AH165" s="35">
        <v>1.8943514009077151E-11</v>
      </c>
      <c r="AI165" s="35">
        <v>3.0355910378214819E-11</v>
      </c>
      <c r="AJ165" s="35">
        <v>4.1768306747352487E-11</v>
      </c>
      <c r="AK165" s="35">
        <v>5.3180703116490155E-11</v>
      </c>
      <c r="AL165" s="35">
        <v>6.4593099485627817E-11</v>
      </c>
      <c r="AM165" s="35">
        <v>1.3451027685324927E-10</v>
      </c>
      <c r="AN165" s="35">
        <v>1.6085421981845646E-9</v>
      </c>
      <c r="AO165" s="35">
        <v>3.0825741195158803E-9</v>
      </c>
      <c r="AP165" s="35">
        <v>4.5566060408471961E-9</v>
      </c>
      <c r="AQ165" s="35">
        <v>6.0306379621785114E-9</v>
      </c>
      <c r="AR165" s="35">
        <v>7.504669883509826E-9</v>
      </c>
      <c r="AS165" s="35">
        <v>8.9787018048411421E-9</v>
      </c>
      <c r="AT165" s="35">
        <v>1.413039272727268E-8</v>
      </c>
      <c r="AU165" s="35">
        <v>2.4157119999999955E-8</v>
      </c>
      <c r="AV165" s="35">
        <v>4.4733654545454441E-8</v>
      </c>
      <c r="AW165" s="35">
        <v>7.1865503030302802E-8</v>
      </c>
      <c r="AX165" s="35">
        <v>1.2295398787878764E-7</v>
      </c>
      <c r="AY165" s="35">
        <v>1.9863614457831307E-7</v>
      </c>
      <c r="AZ165" s="35">
        <v>3.009614457831329E-7</v>
      </c>
      <c r="BA165" s="35">
        <v>4.7990121212121296E-7</v>
      </c>
      <c r="BB165" s="35">
        <v>7.3896266666666928E-7</v>
      </c>
      <c r="BC165" s="35">
        <v>1.3070960000000026E-6</v>
      </c>
      <c r="BD165" s="35">
        <v>2.1116181818181864E-6</v>
      </c>
      <c r="BE165" s="35">
        <v>3.1343454545454593E-6</v>
      </c>
      <c r="BF165" s="35">
        <v>4.748356363636372E-6</v>
      </c>
      <c r="BG165" s="35">
        <v>6.6416795180723001E-6</v>
      </c>
      <c r="BH165" s="35">
        <v>9.2120409638554301E-6</v>
      </c>
      <c r="BI165" s="35">
        <v>1.170634545454546E-5</v>
      </c>
      <c r="BJ165" s="35">
        <v>1.4140890909090914E-5</v>
      </c>
      <c r="BK165" s="35">
        <v>1.7092206060606066E-5</v>
      </c>
      <c r="BL165" s="35">
        <v>2.0283090909090916E-5</v>
      </c>
      <c r="BM165" s="35">
        <v>2.4010363636363644E-5</v>
      </c>
      <c r="BN165" s="35">
        <v>2.8214915151515161E-5</v>
      </c>
      <c r="BO165" s="35">
        <v>3.272461212121213E-5</v>
      </c>
      <c r="BP165" s="35">
        <v>3.7972180722891569E-5</v>
      </c>
      <c r="BQ165" s="35">
        <v>4.3490636363636366E-5</v>
      </c>
      <c r="BR165" s="35">
        <v>4.9569424242424244E-5</v>
      </c>
      <c r="BS165" s="35">
        <v>5.6089424242424242E-5</v>
      </c>
      <c r="BT165" s="35">
        <v>6.2847000000000003E-5</v>
      </c>
    </row>
    <row r="166" spans="1:72" ht="9.9499999999999993" customHeight="1" thickBot="1" x14ac:dyDescent="0.4">
      <c r="A166" s="83" t="s">
        <v>98</v>
      </c>
      <c r="B166" s="35">
        <v>2.8997800000000032E-32</v>
      </c>
      <c r="C166" s="35">
        <v>1.1886506303030337E-30</v>
      </c>
      <c r="D166" s="35">
        <v>4.1948312363636398E-30</v>
      </c>
      <c r="E166" s="35">
        <v>1.542510181818184E-28</v>
      </c>
      <c r="F166" s="35">
        <v>7.3438347987898145E-26</v>
      </c>
      <c r="G166" s="35">
        <v>9.8713844783661184E-25</v>
      </c>
      <c r="H166" s="35">
        <v>1.9008385476853256E-24</v>
      </c>
      <c r="I166" s="35">
        <v>2.8145386475340394E-24</v>
      </c>
      <c r="J166" s="35">
        <v>3.7282387473827531E-24</v>
      </c>
      <c r="K166" s="35">
        <v>4.6419388472314672E-24</v>
      </c>
      <c r="L166" s="35">
        <v>5.5556389470801806E-24</v>
      </c>
      <c r="M166" s="35">
        <v>5.9794529059755717E-17</v>
      </c>
      <c r="N166" s="35">
        <v>1.8701691846370435E-16</v>
      </c>
      <c r="O166" s="35">
        <v>3.1423930786765299E-16</v>
      </c>
      <c r="P166" s="35">
        <v>4.4146169727160161E-16</v>
      </c>
      <c r="Q166" s="35">
        <v>5.6868408667555028E-16</v>
      </c>
      <c r="R166" s="35">
        <v>6.959064760794989E-16</v>
      </c>
      <c r="S166" s="35">
        <v>8.2312886548344752E-16</v>
      </c>
      <c r="T166" s="35">
        <v>2.9015210363086298E-13</v>
      </c>
      <c r="U166" s="35">
        <v>6.2656043343419116E-13</v>
      </c>
      <c r="V166" s="35">
        <v>9.6296876323751934E-13</v>
      </c>
      <c r="W166" s="35">
        <v>1.2993770930408475E-12</v>
      </c>
      <c r="X166" s="35">
        <v>1.6357854228441757E-12</v>
      </c>
      <c r="Y166" s="35">
        <v>1.9721937526475039E-12</v>
      </c>
      <c r="Z166" s="35">
        <v>4.3787965909090906E-11</v>
      </c>
      <c r="AA166" s="35">
        <v>2.1004182954545455E-10</v>
      </c>
      <c r="AB166" s="35">
        <v>3.7629569318181817E-10</v>
      </c>
      <c r="AC166" s="35">
        <v>5.425495568181818E-10</v>
      </c>
      <c r="AD166" s="35">
        <v>7.0880342045454537E-10</v>
      </c>
      <c r="AE166" s="35">
        <v>8.7505728409090905E-10</v>
      </c>
      <c r="AF166" s="35">
        <v>1.0413111477272726E-9</v>
      </c>
      <c r="AG166" s="35">
        <v>1.4950154311649012E-8</v>
      </c>
      <c r="AH166" s="35">
        <v>3.6258853252647498E-8</v>
      </c>
      <c r="AI166" s="35">
        <v>5.7567552193645978E-8</v>
      </c>
      <c r="AJ166" s="35">
        <v>7.8876251134644458E-8</v>
      </c>
      <c r="AK166" s="35">
        <v>1.0018495007564294E-7</v>
      </c>
      <c r="AL166" s="35">
        <v>1.214936490166414E-7</v>
      </c>
      <c r="AM166" s="35">
        <v>1.7502685325264559E-7</v>
      </c>
      <c r="AN166" s="35">
        <v>1.001948184568833E-6</v>
      </c>
      <c r="AO166" s="35">
        <v>1.8288695158850203E-6</v>
      </c>
      <c r="AP166" s="35">
        <v>2.6557908472012076E-6</v>
      </c>
      <c r="AQ166" s="35">
        <v>3.4827121785173949E-6</v>
      </c>
      <c r="AR166" s="35">
        <v>4.3096335098335826E-6</v>
      </c>
      <c r="AS166" s="35">
        <v>5.1365548411497699E-6</v>
      </c>
      <c r="AT166" s="35">
        <v>7.2546957575757401E-6</v>
      </c>
      <c r="AU166" s="35">
        <v>1.1084453333333316E-5</v>
      </c>
      <c r="AV166" s="35">
        <v>1.7598781818181785E-5</v>
      </c>
      <c r="AW166" s="35">
        <v>2.5620042424242364E-5</v>
      </c>
      <c r="AX166" s="35">
        <v>3.8658830303030244E-5</v>
      </c>
      <c r="AY166" s="35">
        <v>5.6020108433734901E-5</v>
      </c>
      <c r="AZ166" s="35">
        <v>7.8064084337349472E-5</v>
      </c>
      <c r="BA166" s="35">
        <v>1.1173488484848502E-4</v>
      </c>
      <c r="BB166" s="35">
        <v>1.5598006060606098E-4</v>
      </c>
      <c r="BC166" s="35">
        <v>2.393921818181822E-4</v>
      </c>
      <c r="BD166" s="35">
        <v>3.4553303030303089E-4</v>
      </c>
      <c r="BE166" s="35">
        <v>4.7265424242424298E-4</v>
      </c>
      <c r="BF166" s="35">
        <v>6.507890909090917E-4</v>
      </c>
      <c r="BG166" s="35">
        <v>8.5153084337349504E-4</v>
      </c>
      <c r="BH166" s="35">
        <v>1.1053983132530128E-3</v>
      </c>
      <c r="BI166" s="35">
        <v>1.3541812121212128E-3</v>
      </c>
      <c r="BJ166" s="35">
        <v>1.5989690909090915E-3</v>
      </c>
      <c r="BK166" s="35">
        <v>1.8900842424242432E-3</v>
      </c>
      <c r="BL166" s="35">
        <v>2.2023266666666673E-3</v>
      </c>
      <c r="BM166" s="35">
        <v>2.5616600000000008E-3</v>
      </c>
      <c r="BN166" s="35">
        <v>2.9631757575757584E-3</v>
      </c>
      <c r="BO166" s="35">
        <v>3.391660606060607E-3</v>
      </c>
      <c r="BP166" s="35">
        <v>3.8866602409638562E-3</v>
      </c>
      <c r="BQ166" s="35">
        <v>4.4071727272727273E-3</v>
      </c>
      <c r="BR166" s="35">
        <v>4.9807484848484853E-3</v>
      </c>
      <c r="BS166" s="35">
        <v>5.5998636363636363E-3</v>
      </c>
      <c r="BT166" s="35">
        <v>6.2434999999999999E-3</v>
      </c>
    </row>
    <row r="167" spans="1:72" ht="9.9499999999999993" customHeight="1" thickBot="1" x14ac:dyDescent="0.4">
      <c r="A167" s="83" t="s">
        <v>2</v>
      </c>
      <c r="B167" s="35">
        <v>0</v>
      </c>
      <c r="C167" s="35">
        <v>0</v>
      </c>
      <c r="D167" s="35">
        <v>0</v>
      </c>
      <c r="E167" s="35">
        <v>0</v>
      </c>
      <c r="F167" s="35">
        <v>3.6225113464448309E-33</v>
      </c>
      <c r="G167" s="35">
        <v>4.8903903177004578E-32</v>
      </c>
      <c r="H167" s="35">
        <v>9.4185295007564324E-32</v>
      </c>
      <c r="I167" s="35">
        <v>1.3946668683812408E-31</v>
      </c>
      <c r="J167" s="35">
        <v>1.847480786686838E-31</v>
      </c>
      <c r="K167" s="35">
        <v>2.3002947049924358E-31</v>
      </c>
      <c r="L167" s="35">
        <v>2.7531086232980331E-31</v>
      </c>
      <c r="M167" s="35">
        <v>2.4575126138629306E-25</v>
      </c>
      <c r="N167" s="35">
        <v>7.6862564878266251E-25</v>
      </c>
      <c r="O167" s="35">
        <v>1.2915000361790319E-24</v>
      </c>
      <c r="P167" s="35">
        <v>1.8143744235754015E-24</v>
      </c>
      <c r="Q167" s="35">
        <v>2.3372488109717708E-24</v>
      </c>
      <c r="R167" s="35">
        <v>2.8601231983681401E-24</v>
      </c>
      <c r="S167" s="35">
        <v>3.3829975857645093E-24</v>
      </c>
      <c r="T167" s="35">
        <v>4.1727705219364697E-21</v>
      </c>
      <c r="U167" s="35">
        <v>9.0208104311649099E-21</v>
      </c>
      <c r="V167" s="35">
        <v>1.3868850340393349E-20</v>
      </c>
      <c r="W167" s="35">
        <v>1.8716890249621789E-20</v>
      </c>
      <c r="X167" s="35">
        <v>2.3564930158850231E-20</v>
      </c>
      <c r="Y167" s="35">
        <v>2.8412970068078671E-20</v>
      </c>
      <c r="Z167" s="35">
        <v>1.5944713863636367E-18</v>
      </c>
      <c r="AA167" s="35">
        <v>7.8441609318181827E-18</v>
      </c>
      <c r="AB167" s="35">
        <v>1.4093850477272728E-17</v>
      </c>
      <c r="AC167" s="35">
        <v>2.0343540022727275E-17</v>
      </c>
      <c r="AD167" s="35">
        <v>2.6593229568181823E-17</v>
      </c>
      <c r="AE167" s="35">
        <v>3.2842919113636367E-17</v>
      </c>
      <c r="AF167" s="35">
        <v>3.9092608659090914E-17</v>
      </c>
      <c r="AG167" s="35">
        <v>1.2395731921331311E-15</v>
      </c>
      <c r="AH167" s="35">
        <v>3.0831011800302561E-15</v>
      </c>
      <c r="AI167" s="35">
        <v>4.9266291679273803E-15</v>
      </c>
      <c r="AJ167" s="35">
        <v>6.7701571558245057E-15</v>
      </c>
      <c r="AK167" s="35">
        <v>8.613685143721631E-15</v>
      </c>
      <c r="AL167" s="35">
        <v>1.0457213131618756E-14</v>
      </c>
      <c r="AM167" s="35">
        <v>1.8919121028743943E-14</v>
      </c>
      <c r="AN167" s="35">
        <v>1.8622214674735207E-13</v>
      </c>
      <c r="AO167" s="35">
        <v>3.5352517246596021E-13</v>
      </c>
      <c r="AP167" s="35">
        <v>5.2082819818456836E-13</v>
      </c>
      <c r="AQ167" s="35">
        <v>6.881312239031764E-13</v>
      </c>
      <c r="AR167" s="35">
        <v>8.5543424962178454E-13</v>
      </c>
      <c r="AS167" s="35">
        <v>1.0227372753403925E-12</v>
      </c>
      <c r="AT167" s="35">
        <v>1.5982145454545405E-12</v>
      </c>
      <c r="AU167" s="35">
        <v>2.7147599999999948E-12</v>
      </c>
      <c r="AV167" s="35">
        <v>5.0687163636363516E-12</v>
      </c>
      <c r="AW167" s="35">
        <v>8.2280096969696691E-12</v>
      </c>
      <c r="AX167" s="35">
        <v>1.4441161212121184E-11</v>
      </c>
      <c r="AY167" s="35">
        <v>2.4165301204819252E-11</v>
      </c>
      <c r="AZ167" s="35">
        <v>3.7693012048192817E-11</v>
      </c>
      <c r="BA167" s="35">
        <v>6.3576024242424362E-11</v>
      </c>
      <c r="BB167" s="35">
        <v>9.8807151515151822E-11</v>
      </c>
      <c r="BC167" s="35">
        <v>1.6643745454545488E-10</v>
      </c>
      <c r="BD167" s="35">
        <v>2.6834993939394002E-10</v>
      </c>
      <c r="BE167" s="35">
        <v>4.0190751515151576E-10</v>
      </c>
      <c r="BF167" s="35">
        <v>6.3968581818181936E-10</v>
      </c>
      <c r="BG167" s="35">
        <v>9.3777108433735133E-10</v>
      </c>
      <c r="BH167" s="35">
        <v>1.3944578313253026E-9</v>
      </c>
      <c r="BI167" s="35">
        <v>2.0015866666666683E-9</v>
      </c>
      <c r="BJ167" s="35">
        <v>2.7269200000000016E-9</v>
      </c>
      <c r="BK167" s="35">
        <v>3.8773612121212151E-9</v>
      </c>
      <c r="BL167" s="35">
        <v>5.2612060606060654E-9</v>
      </c>
      <c r="BM167" s="35">
        <v>7.1896909090909136E-9</v>
      </c>
      <c r="BN167" s="35">
        <v>9.8044072727272799E-9</v>
      </c>
      <c r="BO167" s="35">
        <v>1.2857861818181824E-8</v>
      </c>
      <c r="BP167" s="35">
        <v>1.7498361445783138E-8</v>
      </c>
      <c r="BQ167" s="35">
        <v>2.2952454545454544E-8</v>
      </c>
      <c r="BR167" s="35">
        <v>3.0150636363636366E-8</v>
      </c>
      <c r="BS167" s="35">
        <v>3.9646272727272729E-8</v>
      </c>
      <c r="BT167" s="35">
        <v>5.0378999999999997E-8</v>
      </c>
    </row>
    <row r="168" spans="1:72" ht="9.9499999999999993" customHeight="1" thickBot="1" x14ac:dyDescent="0.4">
      <c r="A168" s="83" t="s">
        <v>1</v>
      </c>
      <c r="B168" s="35">
        <v>0.2</v>
      </c>
      <c r="C168" s="35">
        <v>0.2</v>
      </c>
      <c r="D168" s="35">
        <v>0.2</v>
      </c>
      <c r="E168" s="35">
        <v>0.2</v>
      </c>
      <c r="F168" s="35">
        <v>0.2</v>
      </c>
      <c r="G168" s="35">
        <v>0.2</v>
      </c>
      <c r="H168" s="35">
        <v>0.2</v>
      </c>
      <c r="I168" s="35">
        <v>0.2</v>
      </c>
      <c r="J168" s="35">
        <v>0.2</v>
      </c>
      <c r="K168" s="35">
        <v>0.2</v>
      </c>
      <c r="L168" s="35">
        <v>0.2</v>
      </c>
      <c r="M168" s="35">
        <v>0.2</v>
      </c>
      <c r="N168" s="35">
        <v>0.2</v>
      </c>
      <c r="O168" s="35">
        <v>0.2</v>
      </c>
      <c r="P168" s="35">
        <v>0.2</v>
      </c>
      <c r="Q168" s="35">
        <v>0.2</v>
      </c>
      <c r="R168" s="35">
        <v>0.2</v>
      </c>
      <c r="S168" s="35">
        <v>0.2</v>
      </c>
      <c r="T168" s="35">
        <v>0.2</v>
      </c>
      <c r="U168" s="35">
        <v>0.2</v>
      </c>
      <c r="V168" s="35">
        <v>0.2</v>
      </c>
      <c r="W168" s="35">
        <v>0.2</v>
      </c>
      <c r="X168" s="35">
        <v>0.2</v>
      </c>
      <c r="Y168" s="35">
        <v>0.2</v>
      </c>
      <c r="Z168" s="35">
        <v>0.2</v>
      </c>
      <c r="AA168" s="35">
        <v>0.2</v>
      </c>
      <c r="AB168" s="35">
        <v>0.2</v>
      </c>
      <c r="AC168" s="35">
        <v>0.2</v>
      </c>
      <c r="AD168" s="35">
        <v>0.2</v>
      </c>
      <c r="AE168" s="35">
        <v>0.2</v>
      </c>
      <c r="AF168" s="35">
        <v>0.2</v>
      </c>
      <c r="AG168" s="35">
        <v>0.2</v>
      </c>
      <c r="AH168" s="35">
        <v>0.2</v>
      </c>
      <c r="AI168" s="35">
        <v>0.2</v>
      </c>
      <c r="AJ168" s="35">
        <v>0.2</v>
      </c>
      <c r="AK168" s="35">
        <v>0.2</v>
      </c>
      <c r="AL168" s="35">
        <v>0.2</v>
      </c>
      <c r="AM168" s="35">
        <v>0.2</v>
      </c>
      <c r="AN168" s="35">
        <v>0.2</v>
      </c>
      <c r="AO168" s="35">
        <v>0.2</v>
      </c>
      <c r="AP168" s="35">
        <v>0.2</v>
      </c>
      <c r="AQ168" s="35">
        <v>0.2</v>
      </c>
      <c r="AR168" s="35">
        <v>0.2</v>
      </c>
      <c r="AS168" s="35">
        <v>0.2</v>
      </c>
      <c r="AT168" s="35">
        <v>0.2</v>
      </c>
      <c r="AU168" s="35">
        <v>0.2</v>
      </c>
      <c r="AV168" s="35">
        <v>0.2</v>
      </c>
      <c r="AW168" s="35">
        <v>0.2</v>
      </c>
      <c r="AX168" s="35">
        <v>0.2</v>
      </c>
      <c r="AY168" s="35">
        <v>0.2</v>
      </c>
      <c r="AZ168" s="35">
        <v>0.2</v>
      </c>
      <c r="BA168" s="35">
        <v>0.2</v>
      </c>
      <c r="BB168" s="35">
        <v>0.2</v>
      </c>
      <c r="BC168" s="35">
        <v>0.2</v>
      </c>
      <c r="BD168" s="35">
        <v>0.2</v>
      </c>
      <c r="BE168" s="35">
        <v>0.2</v>
      </c>
      <c r="BF168" s="35">
        <v>0.2</v>
      </c>
      <c r="BG168" s="35">
        <v>0.2</v>
      </c>
      <c r="BH168" s="35">
        <v>0.2</v>
      </c>
      <c r="BI168" s="35">
        <v>0.2</v>
      </c>
      <c r="BJ168" s="35">
        <v>0.2</v>
      </c>
      <c r="BK168" s="35">
        <v>0.2</v>
      </c>
      <c r="BL168" s="35">
        <v>0.2</v>
      </c>
      <c r="BM168" s="35">
        <v>0.2</v>
      </c>
      <c r="BN168" s="35">
        <v>0.2</v>
      </c>
      <c r="BO168" s="35">
        <v>0.2</v>
      </c>
      <c r="BP168" s="35">
        <v>0.2</v>
      </c>
      <c r="BQ168" s="35">
        <v>0.2</v>
      </c>
      <c r="BR168" s="35">
        <v>0.2</v>
      </c>
      <c r="BS168" s="35">
        <v>0.2</v>
      </c>
      <c r="BT168" s="35">
        <v>0.2</v>
      </c>
    </row>
    <row r="169" spans="1:72" ht="9.9499999999999993" customHeight="1" thickBot="1" x14ac:dyDescent="0.4">
      <c r="A169" s="83" t="s">
        <v>99</v>
      </c>
      <c r="B169" s="35">
        <v>8.0006872727272721E-2</v>
      </c>
      <c r="C169" s="35">
        <v>8.0009151515151505E-2</v>
      </c>
      <c r="D169" s="35">
        <v>8.0012181818181816E-2</v>
      </c>
      <c r="E169" s="35">
        <v>8.0015654545454548E-2</v>
      </c>
      <c r="F169" s="35">
        <v>8.0021711043872928E-2</v>
      </c>
      <c r="G169" s="35">
        <v>8.0055599092284421E-2</v>
      </c>
      <c r="H169" s="35">
        <v>8.0089487140695914E-2</v>
      </c>
      <c r="I169" s="35">
        <v>8.0123375189107421E-2</v>
      </c>
      <c r="J169" s="35">
        <v>8.0157263237518914E-2</v>
      </c>
      <c r="K169" s="35">
        <v>8.0191151285930407E-2</v>
      </c>
      <c r="L169" s="35">
        <v>8.0225039334341899E-2</v>
      </c>
      <c r="M169" s="35">
        <v>8.0222521936459901E-2</v>
      </c>
      <c r="N169" s="35">
        <v>8.0178951588502259E-2</v>
      </c>
      <c r="O169" s="35">
        <v>8.0135381240544631E-2</v>
      </c>
      <c r="P169" s="35">
        <v>8.009181089258699E-2</v>
      </c>
      <c r="Q169" s="35">
        <v>8.0048240544629348E-2</v>
      </c>
      <c r="R169" s="35">
        <v>8.0004670196671707E-2</v>
      </c>
      <c r="S169" s="35">
        <v>7.9961099848714065E-2</v>
      </c>
      <c r="T169" s="35">
        <v>7.9897102874432677E-2</v>
      </c>
      <c r="U169" s="35">
        <v>7.9829780635400902E-2</v>
      </c>
      <c r="V169" s="35">
        <v>7.976245839636914E-2</v>
      </c>
      <c r="W169" s="35">
        <v>7.9695136157337365E-2</v>
      </c>
      <c r="X169" s="35">
        <v>7.962781391830559E-2</v>
      </c>
      <c r="Y169" s="35">
        <v>7.9560491679273829E-2</v>
      </c>
      <c r="Z169" s="35">
        <v>7.9431742424242419E-2</v>
      </c>
      <c r="AA169" s="35">
        <v>7.9118712121212117E-2</v>
      </c>
      <c r="AB169" s="35">
        <v>7.8805681818181816E-2</v>
      </c>
      <c r="AC169" s="35">
        <v>7.8492651515151515E-2</v>
      </c>
      <c r="AD169" s="35">
        <v>7.8179621212121214E-2</v>
      </c>
      <c r="AE169" s="35">
        <v>7.7866590909090913E-2</v>
      </c>
      <c r="AF169" s="35">
        <v>7.7553560606060612E-2</v>
      </c>
      <c r="AG169" s="35">
        <v>7.6818977307110431E-2</v>
      </c>
      <c r="AH169" s="35">
        <v>7.5857403933434195E-2</v>
      </c>
      <c r="AI169" s="35">
        <v>7.4895830559757945E-2</v>
      </c>
      <c r="AJ169" s="35">
        <v>7.3934257186081695E-2</v>
      </c>
      <c r="AK169" s="35">
        <v>7.2972683812405445E-2</v>
      </c>
      <c r="AL169" s="35">
        <v>7.2011110438729195E-2</v>
      </c>
      <c r="AM169" s="35">
        <v>7.1009252647503782E-2</v>
      </c>
      <c r="AN169" s="35">
        <v>6.9040568835098334E-2</v>
      </c>
      <c r="AO169" s="35">
        <v>6.7071885022692901E-2</v>
      </c>
      <c r="AP169" s="35">
        <v>6.5103201210287454E-2</v>
      </c>
      <c r="AQ169" s="35">
        <v>6.3134517397882006E-2</v>
      </c>
      <c r="AR169" s="35">
        <v>6.1165833585476559E-2</v>
      </c>
      <c r="AS169" s="35">
        <v>5.9197149773071112E-2</v>
      </c>
      <c r="AT169" s="35">
        <v>5.6985666666666678E-2</v>
      </c>
      <c r="AU169" s="35">
        <v>5.4452333333333346E-2</v>
      </c>
      <c r="AV169" s="35">
        <v>5.1811218181818192E-2</v>
      </c>
      <c r="AW169" s="35">
        <v>4.9129775757575773E-2</v>
      </c>
      <c r="AX169" s="35">
        <v>4.6381896969696981E-2</v>
      </c>
      <c r="AY169" s="35">
        <v>4.363618072289157E-2</v>
      </c>
      <c r="AZ169" s="35">
        <v>4.0892807228915654E-2</v>
      </c>
      <c r="BA169" s="35">
        <v>3.8122381818181804E-2</v>
      </c>
      <c r="BB169" s="35">
        <v>3.470146060606058E-2</v>
      </c>
      <c r="BC169" s="35">
        <v>2.8133581818181787E-2</v>
      </c>
      <c r="BD169" s="35">
        <v>2.208255151515149E-2</v>
      </c>
      <c r="BE169" s="35">
        <v>1.6508612121212095E-2</v>
      </c>
      <c r="BF169" s="35">
        <v>1.1448183636363612E-2</v>
      </c>
      <c r="BG169" s="35">
        <v>6.6215954216867282E-3</v>
      </c>
      <c r="BH169" s="35">
        <v>2.3520291566264933E-3</v>
      </c>
      <c r="BI169" s="35">
        <v>3.1281762036363574E-4</v>
      </c>
      <c r="BJ169" s="35">
        <v>2.6027656727272092E-5</v>
      </c>
      <c r="BK169" s="35">
        <v>1.227555454545452E-7</v>
      </c>
      <c r="BL169" s="35">
        <v>4.1819581818181776E-8</v>
      </c>
      <c r="BM169" s="35">
        <v>2.3914127272727234E-8</v>
      </c>
      <c r="BN169" s="35">
        <v>1.3804361818181807E-8</v>
      </c>
      <c r="BO169" s="35">
        <v>8.678725454545444E-9</v>
      </c>
      <c r="BP169" s="35">
        <v>6.2163120481927694E-9</v>
      </c>
      <c r="BQ169" s="35">
        <v>4.0803181818181819E-9</v>
      </c>
      <c r="BR169" s="35">
        <v>2.4470454545454546E-9</v>
      </c>
      <c r="BS169" s="35">
        <v>1.6116575757575757E-9</v>
      </c>
      <c r="BT169" s="35">
        <v>1.2058999999999999E-9</v>
      </c>
    </row>
    <row r="170" spans="1:72" ht="9.9499999999999993" customHeight="1" thickBot="1" x14ac:dyDescent="0.4">
      <c r="A170" s="83" t="s">
        <v>64</v>
      </c>
      <c r="B170" s="35">
        <v>7.999250303030303E-2</v>
      </c>
      <c r="C170" s="35">
        <v>7.9989618181818184E-2</v>
      </c>
      <c r="D170" s="35">
        <v>7.9985981818181826E-2</v>
      </c>
      <c r="E170" s="35">
        <v>7.9981460606060609E-2</v>
      </c>
      <c r="F170" s="35">
        <v>7.9973211800302577E-2</v>
      </c>
      <c r="G170" s="35">
        <v>7.9925859304084731E-2</v>
      </c>
      <c r="H170" s="35">
        <v>7.9878506807866873E-2</v>
      </c>
      <c r="I170" s="35">
        <v>7.9831154311649014E-2</v>
      </c>
      <c r="J170" s="35">
        <v>7.9783801815431168E-2</v>
      </c>
      <c r="K170" s="35">
        <v>7.9736449319213309E-2</v>
      </c>
      <c r="L170" s="35">
        <v>7.9689096822995464E-2</v>
      </c>
      <c r="M170" s="35">
        <v>7.9690948562783664E-2</v>
      </c>
      <c r="N170" s="35">
        <v>7.9748285930408475E-2</v>
      </c>
      <c r="O170" s="35">
        <v>7.9805623298033285E-2</v>
      </c>
      <c r="P170" s="35">
        <v>7.9862960665658095E-2</v>
      </c>
      <c r="Q170" s="35">
        <v>7.9920298033282905E-2</v>
      </c>
      <c r="R170" s="35">
        <v>7.9977635400907715E-2</v>
      </c>
      <c r="S170" s="35">
        <v>8.0034972768532525E-2</v>
      </c>
      <c r="T170" s="35">
        <v>8.0100636913767023E-2</v>
      </c>
      <c r="U170" s="35">
        <v>8.0167656580937982E-2</v>
      </c>
      <c r="V170" s="35">
        <v>8.0234676248108927E-2</v>
      </c>
      <c r="W170" s="35">
        <v>8.0301695915279886E-2</v>
      </c>
      <c r="X170" s="35">
        <v>8.0368715582450831E-2</v>
      </c>
      <c r="Y170" s="35">
        <v>8.043573524962179E-2</v>
      </c>
      <c r="Z170" s="35">
        <v>8.0564181818181826E-2</v>
      </c>
      <c r="AA170" s="35">
        <v>8.0876909090909097E-2</v>
      </c>
      <c r="AB170" s="35">
        <v>8.1189636363636367E-2</v>
      </c>
      <c r="AC170" s="35">
        <v>8.1502363636363637E-2</v>
      </c>
      <c r="AD170" s="35">
        <v>8.1815090909090907E-2</v>
      </c>
      <c r="AE170" s="35">
        <v>8.2127818181818177E-2</v>
      </c>
      <c r="AF170" s="35">
        <v>8.2440545454545447E-2</v>
      </c>
      <c r="AG170" s="35">
        <v>8.3174727685325259E-2</v>
      </c>
      <c r="AH170" s="35">
        <v>8.4135847201210284E-2</v>
      </c>
      <c r="AI170" s="35">
        <v>8.509696671709531E-2</v>
      </c>
      <c r="AJ170" s="35">
        <v>8.6058086232980335E-2</v>
      </c>
      <c r="AK170" s="35">
        <v>8.7019205748865347E-2</v>
      </c>
      <c r="AL170" s="35">
        <v>8.7980325264750373E-2</v>
      </c>
      <c r="AM170" s="35">
        <v>8.898171104387291E-2</v>
      </c>
      <c r="AN170" s="35">
        <v>9.0949487140695909E-2</v>
      </c>
      <c r="AO170" s="35">
        <v>9.2917263237518907E-2</v>
      </c>
      <c r="AP170" s="35">
        <v>9.4885039334341892E-2</v>
      </c>
      <c r="AQ170" s="35">
        <v>9.685281543116489E-2</v>
      </c>
      <c r="AR170" s="35">
        <v>9.8820591527987889E-2</v>
      </c>
      <c r="AS170" s="35">
        <v>0.10078836762481089</v>
      </c>
      <c r="AT170" s="35">
        <v>0.10299933333333332</v>
      </c>
      <c r="AU170" s="35">
        <v>0.10553266666666666</v>
      </c>
      <c r="AV170" s="35">
        <v>0.10816999999999999</v>
      </c>
      <c r="AW170" s="35">
        <v>0.11084690909090908</v>
      </c>
      <c r="AX170" s="35">
        <v>0.11359236363636363</v>
      </c>
      <c r="AY170" s="35">
        <v>0.1163356626506024</v>
      </c>
      <c r="AZ170" s="35">
        <v>0.1190766265060241</v>
      </c>
      <c r="BA170" s="35">
        <v>0.12149824242424244</v>
      </c>
      <c r="BB170" s="35">
        <v>0.1202716181818181</v>
      </c>
      <c r="BC170" s="35">
        <v>0.10157525454545446</v>
      </c>
      <c r="BD170" s="35">
        <v>8.4180466666666592E-2</v>
      </c>
      <c r="BE170" s="35">
        <v>6.7987133333333255E-2</v>
      </c>
      <c r="BF170" s="35">
        <v>5.0341690909090825E-2</v>
      </c>
      <c r="BG170" s="35">
        <v>3.1938971084337263E-2</v>
      </c>
      <c r="BH170" s="35">
        <v>1.1620657831325244E-2</v>
      </c>
      <c r="BI170" s="35">
        <v>1.7713390981818145E-3</v>
      </c>
      <c r="BJ170" s="35">
        <v>1.4765891636363271E-4</v>
      </c>
      <c r="BK170" s="35">
        <v>9.1067036363636218E-7</v>
      </c>
      <c r="BL170" s="35">
        <v>3.7368709090909059E-7</v>
      </c>
      <c r="BM170" s="35">
        <v>2.3821436363636332E-7</v>
      </c>
      <c r="BN170" s="35">
        <v>1.5945315151515142E-7</v>
      </c>
      <c r="BO170" s="35">
        <v>1.1695012121212112E-7</v>
      </c>
      <c r="BP170" s="35">
        <v>9.3198915662650586E-8</v>
      </c>
      <c r="BQ170" s="35">
        <v>7.0230545454545454E-8</v>
      </c>
      <c r="BR170" s="35">
        <v>4.7265696969696967E-8</v>
      </c>
      <c r="BS170" s="35">
        <v>3.608712121212121E-8</v>
      </c>
      <c r="BT170" s="35">
        <v>3.1254999999999998E-8</v>
      </c>
    </row>
    <row r="171" spans="1:72" ht="9.9499999999999993" customHeight="1" thickBot="1" x14ac:dyDescent="0.4">
      <c r="A171" s="83" t="s">
        <v>52</v>
      </c>
      <c r="B171" s="35">
        <v>1.1947269090909094E-6</v>
      </c>
      <c r="C171" s="35">
        <v>1.6292163636363644E-6</v>
      </c>
      <c r="D171" s="35">
        <v>2.177943636363637E-6</v>
      </c>
      <c r="E171" s="35">
        <v>2.9016939393939404E-6</v>
      </c>
      <c r="F171" s="35">
        <v>4.6997523449319364E-6</v>
      </c>
      <c r="G171" s="35">
        <v>1.8107906656580946E-5</v>
      </c>
      <c r="H171" s="35">
        <v>3.1516060968229957E-5</v>
      </c>
      <c r="I171" s="35">
        <v>4.4924215279878965E-5</v>
      </c>
      <c r="J171" s="35">
        <v>5.8332369591527979E-5</v>
      </c>
      <c r="K171" s="35">
        <v>7.1740523903177E-5</v>
      </c>
      <c r="L171" s="35">
        <v>8.5148678214826007E-5</v>
      </c>
      <c r="M171" s="35">
        <v>8.5885675189107432E-5</v>
      </c>
      <c r="N171" s="35">
        <v>7.2333920272314679E-5</v>
      </c>
      <c r="O171" s="35">
        <v>5.8782165355521939E-5</v>
      </c>
      <c r="P171" s="35">
        <v>4.5230410438729193E-5</v>
      </c>
      <c r="Q171" s="35">
        <v>3.1678655521936446E-5</v>
      </c>
      <c r="R171" s="35">
        <v>1.8126900605143706E-5</v>
      </c>
      <c r="S171" s="35">
        <v>4.575145688350953E-6</v>
      </c>
      <c r="T171" s="35">
        <v>2.8743599092284419E-6</v>
      </c>
      <c r="U171" s="35">
        <v>3.1028016641452347E-6</v>
      </c>
      <c r="V171" s="35">
        <v>3.3312434190620274E-6</v>
      </c>
      <c r="W171" s="35">
        <v>3.5596851739788201E-6</v>
      </c>
      <c r="X171" s="35">
        <v>3.7881269288956129E-6</v>
      </c>
      <c r="Y171" s="35">
        <v>4.016568683812406E-6</v>
      </c>
      <c r="Z171" s="35">
        <v>4.2504530303030306E-6</v>
      </c>
      <c r="AA171" s="35">
        <v>4.5006651515151513E-6</v>
      </c>
      <c r="AB171" s="35">
        <v>4.7508772727272729E-6</v>
      </c>
      <c r="AC171" s="35">
        <v>5.0010893939393945E-6</v>
      </c>
      <c r="AD171" s="35">
        <v>5.2513015151515153E-6</v>
      </c>
      <c r="AE171" s="35">
        <v>5.501513636363636E-6</v>
      </c>
      <c r="AF171" s="35">
        <v>5.7517257575757576E-6</v>
      </c>
      <c r="AG171" s="35">
        <v>6.0941963691376707E-6</v>
      </c>
      <c r="AH171" s="35">
        <v>6.4863446293494706E-6</v>
      </c>
      <c r="AI171" s="35">
        <v>6.8784928895612705E-6</v>
      </c>
      <c r="AJ171" s="35">
        <v>7.2706411497730704E-6</v>
      </c>
      <c r="AK171" s="35">
        <v>7.662789409984872E-6</v>
      </c>
      <c r="AL171" s="35">
        <v>8.0549376701966703E-6</v>
      </c>
      <c r="AM171" s="35">
        <v>8.4663204236006029E-6</v>
      </c>
      <c r="AN171" s="35">
        <v>9.3393310136157314E-6</v>
      </c>
      <c r="AO171" s="35">
        <v>1.021234160363086E-5</v>
      </c>
      <c r="AP171" s="35">
        <v>1.1085352193645988E-5</v>
      </c>
      <c r="AQ171" s="35">
        <v>1.1958362783661117E-5</v>
      </c>
      <c r="AR171" s="35">
        <v>1.2831373373676245E-5</v>
      </c>
      <c r="AS171" s="35">
        <v>1.3704383963691374E-5</v>
      </c>
      <c r="AT171" s="35">
        <v>1.4826672727272722E-5</v>
      </c>
      <c r="AU171" s="35">
        <v>1.6279399999999995E-5</v>
      </c>
      <c r="AV171" s="35">
        <v>1.7995909090909085E-5</v>
      </c>
      <c r="AW171" s="35">
        <v>1.9839921212121201E-5</v>
      </c>
      <c r="AX171" s="35">
        <v>2.2039315151515141E-5</v>
      </c>
      <c r="AY171" s="35">
        <v>2.4465409638554211E-5</v>
      </c>
      <c r="AZ171" s="35">
        <v>2.7137096385542178E-5</v>
      </c>
      <c r="BA171" s="35">
        <v>3.0192303030303045E-5</v>
      </c>
      <c r="BB171" s="35">
        <v>3.2104090909090893E-5</v>
      </c>
      <c r="BC171" s="35">
        <v>2.8022272727272708E-5</v>
      </c>
      <c r="BD171" s="35">
        <v>2.431453939393938E-5</v>
      </c>
      <c r="BE171" s="35">
        <v>2.0952115151515136E-5</v>
      </c>
      <c r="BF171" s="35">
        <v>1.6458163636363615E-5</v>
      </c>
      <c r="BG171" s="35">
        <v>1.1265706024096355E-5</v>
      </c>
      <c r="BH171" s="35">
        <v>4.1961879518072094E-6</v>
      </c>
      <c r="BI171" s="35">
        <v>7.1740926545454398E-7</v>
      </c>
      <c r="BJ171" s="35">
        <v>5.9925810909089416E-8</v>
      </c>
      <c r="BK171" s="35">
        <v>4.723288484848479E-10</v>
      </c>
      <c r="BL171" s="35">
        <v>2.2725733333333319E-10</v>
      </c>
      <c r="BM171" s="35">
        <v>1.6032399999999985E-10</v>
      </c>
      <c r="BN171" s="35">
        <v>1.2179818181818178E-10</v>
      </c>
      <c r="BO171" s="35">
        <v>1.014345454545454E-10</v>
      </c>
      <c r="BP171" s="35">
        <v>8.9252674698795171E-11</v>
      </c>
      <c r="BQ171" s="35">
        <v>7.5226363636363638E-11</v>
      </c>
      <c r="BR171" s="35">
        <v>5.6100909090909095E-11</v>
      </c>
      <c r="BS171" s="35">
        <v>4.8512757575757577E-11</v>
      </c>
      <c r="BT171" s="35">
        <v>4.7136999999999998E-11</v>
      </c>
    </row>
    <row r="172" spans="1:72" ht="9.9499999999999993" customHeight="1" thickBot="1" x14ac:dyDescent="0.4">
      <c r="A172" s="83" t="s">
        <v>90</v>
      </c>
      <c r="B172" s="35">
        <v>7.9994751515151508E-2</v>
      </c>
      <c r="C172" s="35">
        <v>7.9993078787878785E-2</v>
      </c>
      <c r="D172" s="35">
        <v>7.9990654545454551E-2</v>
      </c>
      <c r="E172" s="35">
        <v>7.9987345454545458E-2</v>
      </c>
      <c r="F172" s="35">
        <v>7.9982366111951586E-2</v>
      </c>
      <c r="G172" s="35">
        <v>7.9961942511346445E-2</v>
      </c>
      <c r="H172" s="35">
        <v>7.9941518910741305E-2</v>
      </c>
      <c r="I172" s="35">
        <v>7.9921095310136164E-2</v>
      </c>
      <c r="J172" s="35">
        <v>7.990067170953101E-2</v>
      </c>
      <c r="K172" s="35">
        <v>7.9880248108925869E-2</v>
      </c>
      <c r="L172" s="35">
        <v>7.9859824508320729E-2</v>
      </c>
      <c r="M172" s="35">
        <v>7.9856821482602119E-2</v>
      </c>
      <c r="N172" s="35">
        <v>7.9873462934947057E-2</v>
      </c>
      <c r="O172" s="35">
        <v>7.989010438729198E-2</v>
      </c>
      <c r="P172" s="35">
        <v>7.9906745839636917E-2</v>
      </c>
      <c r="Q172" s="35">
        <v>7.9923387291981854E-2</v>
      </c>
      <c r="R172" s="35">
        <v>7.9940028744326777E-2</v>
      </c>
      <c r="S172" s="35">
        <v>7.9956670196671714E-2</v>
      </c>
      <c r="T172" s="35">
        <v>7.9954706505295015E-2</v>
      </c>
      <c r="U172" s="35">
        <v>7.9949714069591532E-2</v>
      </c>
      <c r="V172" s="35">
        <v>7.994472163388805E-2</v>
      </c>
      <c r="W172" s="35">
        <v>7.9939729198184567E-2</v>
      </c>
      <c r="X172" s="35">
        <v>7.9934736762481085E-2</v>
      </c>
      <c r="Y172" s="35">
        <v>7.9929744326777602E-2</v>
      </c>
      <c r="Z172" s="35">
        <v>7.9924371212121204E-2</v>
      </c>
      <c r="AA172" s="35">
        <v>7.9917856060606057E-2</v>
      </c>
      <c r="AB172" s="35">
        <v>7.9911340909090911E-2</v>
      </c>
      <c r="AC172" s="35">
        <v>7.9904825757575751E-2</v>
      </c>
      <c r="AD172" s="35">
        <v>7.9898310606060605E-2</v>
      </c>
      <c r="AE172" s="35">
        <v>7.9891795454545445E-2</v>
      </c>
      <c r="AF172" s="35">
        <v>7.9885280303030298E-2</v>
      </c>
      <c r="AG172" s="35">
        <v>7.9877493192133123E-2</v>
      </c>
      <c r="AH172" s="35">
        <v>7.9869021180030253E-2</v>
      </c>
      <c r="AI172" s="35">
        <v>7.9860549167927383E-2</v>
      </c>
      <c r="AJ172" s="35">
        <v>7.98520771558245E-2</v>
      </c>
      <c r="AK172" s="35">
        <v>7.984360514372163E-2</v>
      </c>
      <c r="AL172" s="35">
        <v>7.983513313161876E-2</v>
      </c>
      <c r="AM172" s="35">
        <v>7.9826455370650529E-2</v>
      </c>
      <c r="AN172" s="35">
        <v>7.9812839636913768E-2</v>
      </c>
      <c r="AO172" s="35">
        <v>7.9799223903177008E-2</v>
      </c>
      <c r="AP172" s="35">
        <v>7.9785608169440247E-2</v>
      </c>
      <c r="AQ172" s="35">
        <v>7.9771992435703473E-2</v>
      </c>
      <c r="AR172" s="35">
        <v>7.9758376701966713E-2</v>
      </c>
      <c r="AS172" s="35">
        <v>7.9744760968229952E-2</v>
      </c>
      <c r="AT172" s="35">
        <v>7.9728921212121218E-2</v>
      </c>
      <c r="AU172" s="35">
        <v>7.9710133333333336E-2</v>
      </c>
      <c r="AV172" s="35">
        <v>7.9689454545454549E-2</v>
      </c>
      <c r="AW172" s="35">
        <v>7.9667848484848494E-2</v>
      </c>
      <c r="AX172" s="35">
        <v>7.9643606060606054E-2</v>
      </c>
      <c r="AY172" s="35">
        <v>7.9617698795180714E-2</v>
      </c>
      <c r="AZ172" s="35">
        <v>7.9589987951807231E-2</v>
      </c>
      <c r="BA172" s="35">
        <v>7.8847E-2</v>
      </c>
      <c r="BB172" s="35">
        <v>7.2557175757575615E-2</v>
      </c>
      <c r="BC172" s="35">
        <v>3.9952327272727128E-2</v>
      </c>
      <c r="BD172" s="35">
        <v>1.9207544242424199E-2</v>
      </c>
      <c r="BE172" s="35">
        <v>9.4105139393938931E-3</v>
      </c>
      <c r="BF172" s="35">
        <v>5.03669454545453E-3</v>
      </c>
      <c r="BG172" s="35">
        <v>1.9697931927710787E-3</v>
      </c>
      <c r="BH172" s="35">
        <v>6.6339861445782766E-4</v>
      </c>
      <c r="BI172" s="35">
        <v>5.853179427878776E-5</v>
      </c>
      <c r="BJ172" s="35">
        <v>4.865355490908969E-6</v>
      </c>
      <c r="BK172" s="35">
        <v>1.9661016969696932E-8</v>
      </c>
      <c r="BL172" s="35">
        <v>6.1607175757575695E-9</v>
      </c>
      <c r="BM172" s="35">
        <v>3.3873236363636304E-9</v>
      </c>
      <c r="BN172" s="35">
        <v>1.8511575757575741E-9</v>
      </c>
      <c r="BO172" s="35">
        <v>1.1060060606060591E-9</v>
      </c>
      <c r="BP172" s="35">
        <v>7.711802409638551E-10</v>
      </c>
      <c r="BQ172" s="35">
        <v>4.8821545454545455E-10</v>
      </c>
      <c r="BR172" s="35">
        <v>2.8636696969696968E-10</v>
      </c>
      <c r="BS172" s="35">
        <v>1.8376363636363638E-10</v>
      </c>
      <c r="BT172" s="35">
        <v>1.3460000000000001E-10</v>
      </c>
    </row>
    <row r="173" spans="1:72" ht="9.9499999999999993" customHeight="1" thickBot="1" x14ac:dyDescent="0.4">
      <c r="A173" s="83" t="s">
        <v>59</v>
      </c>
      <c r="B173" s="35">
        <v>1.0939238787878791E-5</v>
      </c>
      <c r="C173" s="35">
        <v>1.4673187878787884E-5</v>
      </c>
      <c r="D173" s="35">
        <v>1.9328945454545459E-5</v>
      </c>
      <c r="E173" s="35">
        <v>2.5371703030303035E-5</v>
      </c>
      <c r="F173" s="35">
        <v>3.4684052950075689E-5</v>
      </c>
      <c r="G173" s="35">
        <v>7.5697214826021207E-5</v>
      </c>
      <c r="H173" s="35">
        <v>1.1671037670196674E-4</v>
      </c>
      <c r="I173" s="35">
        <v>1.5772353857791224E-4</v>
      </c>
      <c r="J173" s="35">
        <v>1.9873670045385779E-4</v>
      </c>
      <c r="K173" s="35">
        <v>2.3974986232980331E-4</v>
      </c>
      <c r="L173" s="35">
        <v>2.8076302420574885E-4</v>
      </c>
      <c r="M173" s="35">
        <v>2.8687090015128592E-4</v>
      </c>
      <c r="N173" s="35">
        <v>2.5361749621785173E-4</v>
      </c>
      <c r="O173" s="35">
        <v>2.2036409228441754E-4</v>
      </c>
      <c r="P173" s="35">
        <v>1.8711068835098333E-4</v>
      </c>
      <c r="Q173" s="35">
        <v>1.5385728441754911E-4</v>
      </c>
      <c r="R173" s="35">
        <v>1.206038804841149E-4</v>
      </c>
      <c r="S173" s="35">
        <v>8.7350476550680708E-5</v>
      </c>
      <c r="T173" s="35">
        <v>9.1287844175491699E-5</v>
      </c>
      <c r="U173" s="35">
        <v>1.0127952344931923E-4</v>
      </c>
      <c r="V173" s="35">
        <v>1.1127120272314675E-4</v>
      </c>
      <c r="W173" s="35">
        <v>1.2126288199697428E-4</v>
      </c>
      <c r="X173" s="35">
        <v>1.3125456127080181E-4</v>
      </c>
      <c r="Y173" s="35">
        <v>1.4124624054462934E-4</v>
      </c>
      <c r="Z173" s="35">
        <v>1.5193280303030303E-4</v>
      </c>
      <c r="AA173" s="35">
        <v>1.6470401515151513E-4</v>
      </c>
      <c r="AB173" s="35">
        <v>1.7747522727272727E-4</v>
      </c>
      <c r="AC173" s="35">
        <v>1.902464393939394E-4</v>
      </c>
      <c r="AD173" s="35">
        <v>2.0301765151515151E-4</v>
      </c>
      <c r="AE173" s="35">
        <v>2.1578886363636364E-4</v>
      </c>
      <c r="AF173" s="35">
        <v>2.2856007575757577E-4</v>
      </c>
      <c r="AG173" s="35">
        <v>2.4423242057488654E-4</v>
      </c>
      <c r="AH173" s="35">
        <v>2.6146691376701964E-4</v>
      </c>
      <c r="AI173" s="35">
        <v>2.7870140695915281E-4</v>
      </c>
      <c r="AJ173" s="35">
        <v>2.9593590015128591E-4</v>
      </c>
      <c r="AK173" s="35">
        <v>3.1317039334341902E-4</v>
      </c>
      <c r="AL173" s="35">
        <v>3.3040488653555218E-4</v>
      </c>
      <c r="AM173" s="35">
        <v>3.48037806354009E-4</v>
      </c>
      <c r="AN173" s="35">
        <v>3.7523296520423596E-4</v>
      </c>
      <c r="AO173" s="35">
        <v>4.0242812405446286E-4</v>
      </c>
      <c r="AP173" s="35">
        <v>4.2962328290468976E-4</v>
      </c>
      <c r="AQ173" s="35">
        <v>4.5681844175491672E-4</v>
      </c>
      <c r="AR173" s="35">
        <v>4.8401360060514362E-4</v>
      </c>
      <c r="AS173" s="35">
        <v>5.1120875945537053E-4</v>
      </c>
      <c r="AT173" s="35">
        <v>5.4278157575757561E-4</v>
      </c>
      <c r="AU173" s="35">
        <v>5.8015733333333314E-4</v>
      </c>
      <c r="AV173" s="35">
        <v>6.2165527272727255E-4</v>
      </c>
      <c r="AW173" s="35">
        <v>6.6508799999999977E-4</v>
      </c>
      <c r="AX173" s="35">
        <v>7.1368799999999976E-4</v>
      </c>
      <c r="AY173" s="35">
        <v>7.6531084337349382E-4</v>
      </c>
      <c r="AZ173" s="35">
        <v>8.2020843373494E-4</v>
      </c>
      <c r="BA173" s="35">
        <v>8.747973939393942E-4</v>
      </c>
      <c r="BB173" s="35">
        <v>8.6966509090908954E-4</v>
      </c>
      <c r="BC173" s="35">
        <v>5.7328327272727149E-4</v>
      </c>
      <c r="BD173" s="35">
        <v>3.642929696969691E-4</v>
      </c>
      <c r="BE173" s="35">
        <v>2.35971757575757E-4</v>
      </c>
      <c r="BF173" s="35">
        <v>1.5232214545454509E-4</v>
      </c>
      <c r="BG173" s="35">
        <v>8.0774025301204595E-5</v>
      </c>
      <c r="BH173" s="35">
        <v>2.8465049397590205E-5</v>
      </c>
      <c r="BI173" s="35">
        <v>3.6007411248484778E-6</v>
      </c>
      <c r="BJ173" s="35">
        <v>3.0010027636362917E-7</v>
      </c>
      <c r="BK173" s="35">
        <v>1.8125723030302996E-9</v>
      </c>
      <c r="BL173" s="35">
        <v>7.424435757575752E-10</v>
      </c>
      <c r="BM173" s="35">
        <v>4.7364963636363582E-10</v>
      </c>
      <c r="BN173" s="35">
        <v>3.1770199999999981E-10</v>
      </c>
      <c r="BO173" s="35">
        <v>2.339019999999998E-10</v>
      </c>
      <c r="BP173" s="35">
        <v>1.8726903614457827E-10</v>
      </c>
      <c r="BQ173" s="35">
        <v>1.4198890909090909E-10</v>
      </c>
      <c r="BR173" s="35">
        <v>9.6251939393939382E-11</v>
      </c>
      <c r="BS173" s="35">
        <v>7.4245090909090904E-11</v>
      </c>
      <c r="BT173" s="35">
        <v>6.5016000000000003E-11</v>
      </c>
    </row>
    <row r="174" spans="1:72" ht="9.9499999999999993" customHeight="1" thickBot="1" x14ac:dyDescent="0.4">
      <c r="A174" s="83" t="s">
        <v>69</v>
      </c>
      <c r="B174" s="35">
        <v>9.7689369696969755E-9</v>
      </c>
      <c r="C174" s="35">
        <v>1.7059072727272739E-8</v>
      </c>
      <c r="D174" s="35">
        <v>2.8264527272727285E-8</v>
      </c>
      <c r="E174" s="35">
        <v>4.847508484848487E-8</v>
      </c>
      <c r="F174" s="35">
        <v>7.1069242057488659E-8</v>
      </c>
      <c r="G174" s="35">
        <v>8.2772267776096834E-8</v>
      </c>
      <c r="H174" s="35">
        <v>9.4475293494704995E-8</v>
      </c>
      <c r="I174" s="35">
        <v>1.0617831921331316E-7</v>
      </c>
      <c r="J174" s="35">
        <v>1.1788134493192133E-7</v>
      </c>
      <c r="K174" s="35">
        <v>1.2958437065052951E-7</v>
      </c>
      <c r="L174" s="35">
        <v>1.4128739636913767E-7</v>
      </c>
      <c r="M174" s="35">
        <v>6.4985701361573254E-6</v>
      </c>
      <c r="N174" s="35">
        <v>2.0011506596066561E-5</v>
      </c>
      <c r="O174" s="35">
        <v>3.3524443055975791E-5</v>
      </c>
      <c r="P174" s="35">
        <v>4.7037379515885031E-5</v>
      </c>
      <c r="Q174" s="35">
        <v>6.0550315975794264E-5</v>
      </c>
      <c r="R174" s="35">
        <v>7.4063252435703511E-5</v>
      </c>
      <c r="S174" s="35">
        <v>8.7576188895612737E-5</v>
      </c>
      <c r="T174" s="35">
        <v>1.5180199697428152E-4</v>
      </c>
      <c r="U174" s="35">
        <v>2.2428338880484128E-4</v>
      </c>
      <c r="V174" s="35">
        <v>2.9676478063540103E-4</v>
      </c>
      <c r="W174" s="35">
        <v>3.6924617246596072E-4</v>
      </c>
      <c r="X174" s="35">
        <v>4.4172756429652048E-4</v>
      </c>
      <c r="Y174" s="35">
        <v>5.1420895612708023E-4</v>
      </c>
      <c r="Z174" s="35">
        <v>6.4846886363636362E-4</v>
      </c>
      <c r="AA174" s="35">
        <v>9.6806431818181817E-4</v>
      </c>
      <c r="AB174" s="35">
        <v>1.2876597727272728E-3</v>
      </c>
      <c r="AC174" s="35">
        <v>1.6072552272727273E-3</v>
      </c>
      <c r="AD174" s="35">
        <v>1.9268506818181817E-3</v>
      </c>
      <c r="AE174" s="35">
        <v>2.2464461363636366E-3</v>
      </c>
      <c r="AF174" s="35">
        <v>2.566041590909091E-3</v>
      </c>
      <c r="AG174" s="35">
        <v>3.3087540090771554E-3</v>
      </c>
      <c r="AH174" s="35">
        <v>4.2792986384266249E-3</v>
      </c>
      <c r="AI174" s="35">
        <v>5.2498432677760953E-3</v>
      </c>
      <c r="AJ174" s="35">
        <v>6.2203878971255656E-3</v>
      </c>
      <c r="AK174" s="35">
        <v>7.1909325264750343E-3</v>
      </c>
      <c r="AL174" s="35">
        <v>8.1614771558245047E-3</v>
      </c>
      <c r="AM174" s="35">
        <v>9.172460514372158E-3</v>
      </c>
      <c r="AN174" s="35">
        <v>1.1153973373676242E-2</v>
      </c>
      <c r="AO174" s="35">
        <v>1.3135486232980326E-2</v>
      </c>
      <c r="AP174" s="35">
        <v>1.511699909228441E-2</v>
      </c>
      <c r="AQ174" s="35">
        <v>1.7098511951588492E-2</v>
      </c>
      <c r="AR174" s="35">
        <v>1.9080024810892576E-2</v>
      </c>
      <c r="AS174" s="35">
        <v>2.106153767019666E-2</v>
      </c>
      <c r="AT174" s="35">
        <v>2.3285806060606047E-2</v>
      </c>
      <c r="AU174" s="35">
        <v>2.5831866666666654E-2</v>
      </c>
      <c r="AV174" s="35">
        <v>2.8481927272727262E-2</v>
      </c>
      <c r="AW174" s="35">
        <v>3.117022424242423E-2</v>
      </c>
      <c r="AX174" s="35">
        <v>3.3918103030303022E-2</v>
      </c>
      <c r="AY174" s="35">
        <v>3.665687951807229E-2</v>
      </c>
      <c r="AZ174" s="35">
        <v>3.9385795180722903E-2</v>
      </c>
      <c r="BA174" s="35">
        <v>4.1913084848484862E-2</v>
      </c>
      <c r="BB174" s="35">
        <v>4.2740624242424211E-2</v>
      </c>
      <c r="BC174" s="35">
        <v>3.5485472727272691E-2</v>
      </c>
      <c r="BD174" s="35">
        <v>2.9250151515151489E-2</v>
      </c>
      <c r="BE174" s="35">
        <v>2.39562121212121E-2</v>
      </c>
      <c r="BF174" s="35">
        <v>1.8008454545454518E-2</v>
      </c>
      <c r="BG174" s="35">
        <v>1.166600722891563E-2</v>
      </c>
      <c r="BH174" s="35">
        <v>4.2705855421686541E-3</v>
      </c>
      <c r="BI174" s="35">
        <v>6.7177846593939258E-4</v>
      </c>
      <c r="BJ174" s="35">
        <v>5.6025726545453161E-5</v>
      </c>
      <c r="BK174" s="35">
        <v>3.6649357575757514E-7</v>
      </c>
      <c r="BL174" s="35">
        <v>1.5595362424242412E-7</v>
      </c>
      <c r="BM174" s="35">
        <v>1.0146756363636351E-7</v>
      </c>
      <c r="BN174" s="35">
        <v>6.9637642424242384E-8</v>
      </c>
      <c r="BO174" s="35">
        <v>5.2292793939393904E-8</v>
      </c>
      <c r="BP174" s="35">
        <v>4.2303771084337339E-8</v>
      </c>
      <c r="BQ174" s="35">
        <v>3.242818181818182E-8</v>
      </c>
      <c r="BR174" s="35">
        <v>2.2102121212121214E-8</v>
      </c>
      <c r="BS174" s="35">
        <v>1.7107242424242424E-8</v>
      </c>
      <c r="BT174" s="35">
        <v>1.4982999999999999E-8</v>
      </c>
    </row>
    <row r="175" spans="1:72" ht="9.9499999999999993" customHeight="1" thickBot="1" x14ac:dyDescent="0.4">
      <c r="A175" s="83" t="s">
        <v>115</v>
      </c>
      <c r="B175" s="35">
        <v>0</v>
      </c>
      <c r="C175" s="35">
        <v>0</v>
      </c>
      <c r="D175" s="35">
        <v>0</v>
      </c>
      <c r="E175" s="35">
        <v>0</v>
      </c>
      <c r="F175" s="35">
        <v>0</v>
      </c>
      <c r="G175" s="35">
        <v>0</v>
      </c>
      <c r="H175" s="35">
        <v>0</v>
      </c>
      <c r="I175" s="35">
        <v>0</v>
      </c>
      <c r="J175" s="35">
        <v>0</v>
      </c>
      <c r="K175" s="35">
        <v>0</v>
      </c>
      <c r="L175" s="35">
        <v>0</v>
      </c>
      <c r="M175" s="35">
        <v>5.354444780635391E-36</v>
      </c>
      <c r="N175" s="35">
        <v>1.6746880484114973E-35</v>
      </c>
      <c r="O175" s="35">
        <v>2.8139316187594554E-35</v>
      </c>
      <c r="P175" s="35">
        <v>3.9531751891074136E-35</v>
      </c>
      <c r="Q175" s="35">
        <v>5.0924187594553717E-35</v>
      </c>
      <c r="R175" s="35">
        <v>6.2316623298033304E-35</v>
      </c>
      <c r="S175" s="35">
        <v>7.3709059001512881E-35</v>
      </c>
      <c r="T175" s="35">
        <v>1.4839944477761001E-29</v>
      </c>
      <c r="U175" s="35">
        <v>3.2095606307715607E-29</v>
      </c>
      <c r="V175" s="35">
        <v>4.9351268137670215E-29</v>
      </c>
      <c r="W175" s="35">
        <v>6.6606929967624823E-29</v>
      </c>
      <c r="X175" s="35">
        <v>8.3862591797579437E-29</v>
      </c>
      <c r="Y175" s="35">
        <v>1.0111825362753404E-28</v>
      </c>
      <c r="Z175" s="35">
        <v>2.3678748910606062E-24</v>
      </c>
      <c r="AA175" s="35">
        <v>1.1838918215303031E-23</v>
      </c>
      <c r="AB175" s="35">
        <v>2.1309961539545457E-23</v>
      </c>
      <c r="AC175" s="35">
        <v>3.0781004863787883E-23</v>
      </c>
      <c r="AD175" s="35">
        <v>4.0252048188030309E-23</v>
      </c>
      <c r="AE175" s="35">
        <v>4.9723091512272736E-23</v>
      </c>
      <c r="AF175" s="35">
        <v>5.9194134836515156E-23</v>
      </c>
      <c r="AG175" s="35">
        <v>1.6283490552744322E-17</v>
      </c>
      <c r="AH175" s="35">
        <v>4.1334918312350965E-17</v>
      </c>
      <c r="AI175" s="35">
        <v>6.6386346071957616E-17</v>
      </c>
      <c r="AJ175" s="35">
        <v>9.1437773831564255E-17</v>
      </c>
      <c r="AK175" s="35">
        <v>1.1648920159117089E-16</v>
      </c>
      <c r="AL175" s="35">
        <v>1.4154062935077755E-16</v>
      </c>
      <c r="AM175" s="35">
        <v>1.9168047296519329E-13</v>
      </c>
      <c r="AN175" s="35">
        <v>4.9795525470952975E-12</v>
      </c>
      <c r="AO175" s="35">
        <v>9.7674246212254014E-12</v>
      </c>
      <c r="AP175" s="35">
        <v>1.4555296695355505E-11</v>
      </c>
      <c r="AQ175" s="35">
        <v>1.9343168769485609E-11</v>
      </c>
      <c r="AR175" s="35">
        <v>2.4131040843615713E-11</v>
      </c>
      <c r="AS175" s="35">
        <v>2.8918912917745817E-11</v>
      </c>
      <c r="AT175" s="35">
        <v>1.0778718787878706E-10</v>
      </c>
      <c r="AU175" s="35">
        <v>2.8485506666666587E-10</v>
      </c>
      <c r="AV175" s="35">
        <v>4.3371909090909027E-10</v>
      </c>
      <c r="AW175" s="35">
        <v>6.4856981818181492E-10</v>
      </c>
      <c r="AX175" s="35">
        <v>1.3582607272727239E-9</v>
      </c>
      <c r="AY175" s="35">
        <v>3.9440903614457745E-9</v>
      </c>
      <c r="AZ175" s="35">
        <v>8.562403614457847E-9</v>
      </c>
      <c r="BA175" s="35">
        <v>2.0393127077030415E-4</v>
      </c>
      <c r="BB175" s="35">
        <v>2.7046867878788494E-3</v>
      </c>
      <c r="BC175" s="35">
        <v>1.6200844363636425E-2</v>
      </c>
      <c r="BD175" s="35">
        <v>2.8154757575757625E-2</v>
      </c>
      <c r="BE175" s="35">
        <v>3.8685060606060653E-2</v>
      </c>
      <c r="BF175" s="35">
        <v>4.926598181818187E-2</v>
      </c>
      <c r="BG175" s="35">
        <v>5.9963951807228966E-2</v>
      </c>
      <c r="BH175" s="35">
        <v>7.1050096385542202E-2</v>
      </c>
      <c r="BI175" s="35">
        <v>7.6144533333333334E-2</v>
      </c>
      <c r="BJ175" s="35">
        <v>7.6531199999999994E-2</v>
      </c>
      <c r="BK175" s="35">
        <v>7.6004557575757581E-2</v>
      </c>
      <c r="BL175" s="35">
        <v>7.5353866666666672E-2</v>
      </c>
      <c r="BM175" s="35">
        <v>7.4607199999999999E-2</v>
      </c>
      <c r="BN175" s="35">
        <v>7.3775133333333326E-2</v>
      </c>
      <c r="BO175" s="35">
        <v>7.2888466666666665E-2</v>
      </c>
      <c r="BP175" s="35">
        <v>7.1867554216867469E-2</v>
      </c>
      <c r="BQ175" s="35">
        <v>7.0795545454545458E-2</v>
      </c>
      <c r="BR175" s="35">
        <v>6.9617363636363644E-2</v>
      </c>
      <c r="BS175" s="35">
        <v>6.83489696969697E-2</v>
      </c>
      <c r="BT175" s="35">
        <v>6.7031999999999994E-2</v>
      </c>
    </row>
    <row r="176" spans="1:72" ht="9.9499999999999993" customHeight="1" thickBot="1" x14ac:dyDescent="0.4">
      <c r="A176" s="83" t="s">
        <v>89</v>
      </c>
      <c r="B176" s="35">
        <v>0</v>
      </c>
      <c r="C176" s="35">
        <v>0</v>
      </c>
      <c r="D176" s="35">
        <v>0</v>
      </c>
      <c r="E176" s="35">
        <v>0</v>
      </c>
      <c r="F176" s="35">
        <v>0</v>
      </c>
      <c r="G176" s="35">
        <v>0</v>
      </c>
      <c r="H176" s="35">
        <v>0</v>
      </c>
      <c r="I176" s="35">
        <v>0</v>
      </c>
      <c r="J176" s="35">
        <v>0</v>
      </c>
      <c r="K176" s="35">
        <v>0</v>
      </c>
      <c r="L176" s="35">
        <v>0</v>
      </c>
      <c r="M176" s="35">
        <v>2.6821996974281338E-34</v>
      </c>
      <c r="N176" s="35">
        <v>8.3890075642965174E-34</v>
      </c>
      <c r="O176" s="35">
        <v>1.4095815431164901E-33</v>
      </c>
      <c r="P176" s="35">
        <v>1.9802623298033284E-33</v>
      </c>
      <c r="Q176" s="35">
        <v>2.5509431164901668E-33</v>
      </c>
      <c r="R176" s="35">
        <v>3.1216239031770052E-33</v>
      </c>
      <c r="S176" s="35">
        <v>3.6923046898638435E-33</v>
      </c>
      <c r="T176" s="35">
        <v>2.1783959003782199E-28</v>
      </c>
      <c r="U176" s="35">
        <v>4.7113705263993994E-28</v>
      </c>
      <c r="V176" s="35">
        <v>7.244345152420578E-28</v>
      </c>
      <c r="W176" s="35">
        <v>9.7773197784417557E-28</v>
      </c>
      <c r="X176" s="35">
        <v>1.2310294404462935E-27</v>
      </c>
      <c r="Y176" s="35">
        <v>1.4843269030484115E-27</v>
      </c>
      <c r="Z176" s="35">
        <v>1.3079262394696968E-23</v>
      </c>
      <c r="AA176" s="35">
        <v>6.5389614773484844E-23</v>
      </c>
      <c r="AB176" s="35">
        <v>1.1769996715227272E-22</v>
      </c>
      <c r="AC176" s="35">
        <v>1.7001031953106059E-22</v>
      </c>
      <c r="AD176" s="35">
        <v>2.2232067190984844E-22</v>
      </c>
      <c r="AE176" s="35">
        <v>2.7463102428863633E-22</v>
      </c>
      <c r="AF176" s="35">
        <v>3.2694137666742423E-22</v>
      </c>
      <c r="AG176" s="35">
        <v>4.4692973931921314E-17</v>
      </c>
      <c r="AH176" s="35">
        <v>1.1345086421180025E-16</v>
      </c>
      <c r="AI176" s="35">
        <v>1.8220875449167919E-16</v>
      </c>
      <c r="AJ176" s="35">
        <v>2.5096664477155818E-16</v>
      </c>
      <c r="AK176" s="35">
        <v>3.197245350514371E-16</v>
      </c>
      <c r="AL176" s="35">
        <v>3.8848242533131607E-16</v>
      </c>
      <c r="AM176" s="35">
        <v>3.5969531003023674E-13</v>
      </c>
      <c r="AN176" s="35">
        <v>9.3407158107866644E-12</v>
      </c>
      <c r="AO176" s="35">
        <v>1.8321736311543094E-11</v>
      </c>
      <c r="AP176" s="35">
        <v>2.7302756812299523E-11</v>
      </c>
      <c r="AQ176" s="35">
        <v>3.628377731305595E-11</v>
      </c>
      <c r="AR176" s="35">
        <v>4.5264797813812383E-11</v>
      </c>
      <c r="AS176" s="35">
        <v>5.4245818314568809E-11</v>
      </c>
      <c r="AT176" s="35">
        <v>1.9462084848484705E-10</v>
      </c>
      <c r="AU176" s="35">
        <v>5.0916933333333193E-10</v>
      </c>
      <c r="AV176" s="35">
        <v>7.5927327272727165E-10</v>
      </c>
      <c r="AW176" s="35">
        <v>1.1159115151515097E-9</v>
      </c>
      <c r="AX176" s="35">
        <v>2.3071539393939339E-9</v>
      </c>
      <c r="AY176" s="35">
        <v>6.6498963855421535E-9</v>
      </c>
      <c r="AZ176" s="35">
        <v>1.4406763855421715E-8</v>
      </c>
      <c r="BA176" s="35">
        <v>3.4513352514545654E-4</v>
      </c>
      <c r="BB176" s="35">
        <v>4.9904671515152658E-3</v>
      </c>
      <c r="BC176" s="35">
        <v>3.0261097454545569E-2</v>
      </c>
      <c r="BD176" s="35">
        <v>5.3711872727272819E-2</v>
      </c>
      <c r="BE176" s="35">
        <v>7.548278181818191E-2</v>
      </c>
      <c r="BF176" s="35">
        <v>9.8194872727272828E-2</v>
      </c>
      <c r="BG176" s="35">
        <v>0.12143120481927722</v>
      </c>
      <c r="BH176" s="35">
        <v>0.14602759036144586</v>
      </c>
      <c r="BI176" s="35">
        <v>0.1579190909090909</v>
      </c>
      <c r="BJ176" s="35">
        <v>0.15982818181818181</v>
      </c>
      <c r="BK176" s="35">
        <v>0.16</v>
      </c>
      <c r="BL176" s="35">
        <v>0.16</v>
      </c>
      <c r="BM176" s="35">
        <v>0.16</v>
      </c>
      <c r="BN176" s="35">
        <v>0.16</v>
      </c>
      <c r="BO176" s="35">
        <v>0.16</v>
      </c>
      <c r="BP176" s="35">
        <v>0.16</v>
      </c>
      <c r="BQ176" s="35">
        <v>0.16</v>
      </c>
      <c r="BR176" s="35">
        <v>0.16</v>
      </c>
      <c r="BS176" s="35">
        <v>0.16</v>
      </c>
      <c r="BT176" s="35">
        <v>0.16</v>
      </c>
    </row>
    <row r="177" spans="1:72" ht="9.9499999999999993" customHeight="1" thickBot="1" x14ac:dyDescent="0.4">
      <c r="A177" s="83" t="s">
        <v>91</v>
      </c>
      <c r="B177" s="35">
        <v>0</v>
      </c>
      <c r="C177" s="35">
        <v>0</v>
      </c>
      <c r="D177" s="35">
        <v>0</v>
      </c>
      <c r="E177" s="35">
        <v>0</v>
      </c>
      <c r="F177" s="35">
        <v>0</v>
      </c>
      <c r="G177" s="35">
        <v>0</v>
      </c>
      <c r="H177" s="35">
        <v>0</v>
      </c>
      <c r="I177" s="35">
        <v>0</v>
      </c>
      <c r="J177" s="35">
        <v>0</v>
      </c>
      <c r="K177" s="35">
        <v>0</v>
      </c>
      <c r="L177" s="35">
        <v>0</v>
      </c>
      <c r="M177" s="35">
        <v>0</v>
      </c>
      <c r="N177" s="35">
        <v>0</v>
      </c>
      <c r="O177" s="35">
        <v>0</v>
      </c>
      <c r="P177" s="35">
        <v>0</v>
      </c>
      <c r="Q177" s="35">
        <v>0</v>
      </c>
      <c r="R177" s="35">
        <v>0</v>
      </c>
      <c r="S177" s="35">
        <v>0</v>
      </c>
      <c r="T177" s="35">
        <v>1.8279878971255712E-33</v>
      </c>
      <c r="U177" s="35">
        <v>3.9535552193646021E-33</v>
      </c>
      <c r="V177" s="35">
        <v>6.0791225416036326E-33</v>
      </c>
      <c r="W177" s="35">
        <v>8.2046898638426638E-33</v>
      </c>
      <c r="X177" s="35">
        <v>1.0330257186081694E-32</v>
      </c>
      <c r="Y177" s="35">
        <v>1.2455824508320725E-32</v>
      </c>
      <c r="Z177" s="35">
        <v>8.7375135178030315E-27</v>
      </c>
      <c r="AA177" s="35">
        <v>4.3687511389015156E-26</v>
      </c>
      <c r="AB177" s="35">
        <v>7.863750926022728E-26</v>
      </c>
      <c r="AC177" s="35">
        <v>1.1358750713143941E-25</v>
      </c>
      <c r="AD177" s="35">
        <v>1.4853750500265153E-25</v>
      </c>
      <c r="AE177" s="35">
        <v>1.8348750287386367E-25</v>
      </c>
      <c r="AF177" s="35">
        <v>2.1843750074507577E-25</v>
      </c>
      <c r="AG177" s="35">
        <v>7.9569461040744284E-19</v>
      </c>
      <c r="AH177" s="35">
        <v>2.0198398100035088E-18</v>
      </c>
      <c r="AI177" s="35">
        <v>3.2439850095995746E-18</v>
      </c>
      <c r="AJ177" s="35">
        <v>4.4681302091956408E-18</v>
      </c>
      <c r="AK177" s="35">
        <v>5.6922754087917062E-18</v>
      </c>
      <c r="AL177" s="35">
        <v>6.9164206083877724E-18</v>
      </c>
      <c r="AM177" s="35">
        <v>7.5669162150071315E-14</v>
      </c>
      <c r="AN177" s="35">
        <v>1.9671959259019617E-12</v>
      </c>
      <c r="AO177" s="35">
        <v>3.8587226896538522E-12</v>
      </c>
      <c r="AP177" s="35">
        <v>5.750249453405743E-12</v>
      </c>
      <c r="AQ177" s="35">
        <v>7.6417762171576323E-12</v>
      </c>
      <c r="AR177" s="35">
        <v>9.5333029809095232E-12</v>
      </c>
      <c r="AS177" s="35">
        <v>1.1424829744661414E-11</v>
      </c>
      <c r="AT177" s="35">
        <v>6.2585490909090384E-11</v>
      </c>
      <c r="AU177" s="35">
        <v>1.7905639999999947E-10</v>
      </c>
      <c r="AV177" s="35">
        <v>3.694443636363627E-10</v>
      </c>
      <c r="AW177" s="35">
        <v>7.1930327272726688E-10</v>
      </c>
      <c r="AX177" s="35">
        <v>1.9968669090909033E-9</v>
      </c>
      <c r="AY177" s="35">
        <v>8.2843710843373259E-9</v>
      </c>
      <c r="AZ177" s="35">
        <v>1.9999310843373532E-8</v>
      </c>
      <c r="BA177" s="35">
        <v>7.155480906909131E-4</v>
      </c>
      <c r="BB177" s="35">
        <v>7.0078872727274213E-3</v>
      </c>
      <c r="BC177" s="35">
        <v>3.9761341818181965E-2</v>
      </c>
      <c r="BD177" s="35">
        <v>6.0610515151515193E-2</v>
      </c>
      <c r="BE177" s="35">
        <v>7.0471121212121249E-2</v>
      </c>
      <c r="BF177" s="35">
        <v>7.4887109090909107E-2</v>
      </c>
      <c r="BG177" s="35">
        <v>7.7990156626506033E-2</v>
      </c>
      <c r="BH177" s="35">
        <v>7.9322686746987947E-2</v>
      </c>
      <c r="BI177" s="35">
        <v>7.9939884848484841E-2</v>
      </c>
      <c r="BJ177" s="35">
        <v>7.9995036363636363E-2</v>
      </c>
      <c r="BK177" s="35">
        <v>0.08</v>
      </c>
      <c r="BL177" s="35">
        <v>0.08</v>
      </c>
      <c r="BM177" s="35">
        <v>0.08</v>
      </c>
      <c r="BN177" s="35">
        <v>0.08</v>
      </c>
      <c r="BO177" s="35">
        <v>0.08</v>
      </c>
      <c r="BP177" s="35">
        <v>0.08</v>
      </c>
      <c r="BQ177" s="35">
        <v>0.08</v>
      </c>
      <c r="BR177" s="35">
        <v>0.08</v>
      </c>
      <c r="BS177" s="35">
        <v>0.08</v>
      </c>
      <c r="BT177" s="35">
        <v>0.08</v>
      </c>
    </row>
    <row r="178" spans="1:72" ht="9.9499999999999993" customHeight="1" thickBot="1" x14ac:dyDescent="0.4">
      <c r="A178" s="83" t="s">
        <v>26</v>
      </c>
      <c r="B178" s="35">
        <v>-18.61</v>
      </c>
      <c r="C178" s="35">
        <v>-18.612303030303028</v>
      </c>
      <c r="D178" s="35">
        <v>-18.618363636363636</v>
      </c>
      <c r="E178" s="35">
        <v>-18.624424242424244</v>
      </c>
      <c r="F178" s="35">
        <v>-18.631089258698939</v>
      </c>
      <c r="G178" s="35">
        <v>-18.644704992435702</v>
      </c>
      <c r="H178" s="35">
        <v>-18.658320726172466</v>
      </c>
      <c r="I178" s="35">
        <v>-18.671936459909226</v>
      </c>
      <c r="J178" s="35">
        <v>-18.685552193645989</v>
      </c>
      <c r="K178" s="35">
        <v>-18.699167927382753</v>
      </c>
      <c r="L178" s="35">
        <v>-18.712783661119516</v>
      </c>
      <c r="M178" s="35">
        <v>-18.728532526475036</v>
      </c>
      <c r="N178" s="35">
        <v>-18.746686838124052</v>
      </c>
      <c r="O178" s="35">
        <v>-18.764841149773069</v>
      </c>
      <c r="P178" s="35">
        <v>-18.782995461422086</v>
      </c>
      <c r="Q178" s="35">
        <v>-18.801149773071103</v>
      </c>
      <c r="R178" s="35">
        <v>-18.81930408472012</v>
      </c>
      <c r="S178" s="35">
        <v>-18.837458396369136</v>
      </c>
      <c r="T178" s="35">
        <v>-18.856913767019666</v>
      </c>
      <c r="U178" s="35">
        <v>-18.876580937972768</v>
      </c>
      <c r="V178" s="35">
        <v>-18.896248108925871</v>
      </c>
      <c r="W178" s="35">
        <v>-18.91591527987897</v>
      </c>
      <c r="X178" s="35">
        <v>-18.935582450832072</v>
      </c>
      <c r="Y178" s="35">
        <v>-18.955249621785175</v>
      </c>
      <c r="Z178" s="35">
        <v>-18.975303030303028</v>
      </c>
      <c r="AA178" s="35">
        <v>-18.996515151515151</v>
      </c>
      <c r="AB178" s="35">
        <v>-19.017727272727271</v>
      </c>
      <c r="AC178" s="35">
        <v>-19.038939393939394</v>
      </c>
      <c r="AD178" s="35">
        <v>-19.060151515151514</v>
      </c>
      <c r="AE178" s="35">
        <v>-19.081363636363637</v>
      </c>
      <c r="AF178" s="35">
        <v>-19.102575757575757</v>
      </c>
      <c r="AG178" s="35">
        <v>-19.12376701966717</v>
      </c>
      <c r="AH178" s="35">
        <v>-19.144947049924358</v>
      </c>
      <c r="AI178" s="35">
        <v>-19.166127080181543</v>
      </c>
      <c r="AJ178" s="35">
        <v>-19.187307110438727</v>
      </c>
      <c r="AK178" s="35">
        <v>-19.208487140695915</v>
      </c>
      <c r="AL178" s="35">
        <v>-19.2296671709531</v>
      </c>
      <c r="AM178" s="35">
        <v>-19.250786686838126</v>
      </c>
      <c r="AN178" s="35">
        <v>-19.270453857791225</v>
      </c>
      <c r="AO178" s="35">
        <v>-19.290121028744327</v>
      </c>
      <c r="AP178" s="35">
        <v>-19.309788199697426</v>
      </c>
      <c r="AQ178" s="35">
        <v>-19.329455370650528</v>
      </c>
      <c r="AR178" s="35">
        <v>-19.349122541603631</v>
      </c>
      <c r="AS178" s="35">
        <v>-19.36878971255673</v>
      </c>
      <c r="AT178" s="35">
        <v>-19.390424242424242</v>
      </c>
      <c r="AU178" s="35">
        <v>-19.414666666666669</v>
      </c>
      <c r="AV178" s="35">
        <v>-19.43418181818182</v>
      </c>
      <c r="AW178" s="35">
        <v>-19.452363636363636</v>
      </c>
      <c r="AX178" s="35">
        <v>-19.470545454545455</v>
      </c>
      <c r="AY178" s="35">
        <v>-19.488674698795183</v>
      </c>
      <c r="AZ178" s="35">
        <v>-19.506746987951807</v>
      </c>
      <c r="BA178" s="35">
        <v>-19.52987878787879</v>
      </c>
      <c r="BB178" s="35">
        <v>-19.553090909090908</v>
      </c>
      <c r="BC178" s="35">
        <v>-19.571272727272728</v>
      </c>
      <c r="BD178" s="35">
        <v>-19.589454545454544</v>
      </c>
      <c r="BE178" s="35">
        <v>-19.607636363636363</v>
      </c>
      <c r="BF178" s="35">
        <v>-19.631090909090908</v>
      </c>
      <c r="BG178" s="35">
        <v>-19.653975903614455</v>
      </c>
      <c r="BH178" s="35">
        <v>-19.672048192771083</v>
      </c>
      <c r="BI178" s="35">
        <v>-19.69018181818182</v>
      </c>
      <c r="BJ178" s="35">
        <v>-19.708363636363636</v>
      </c>
      <c r="BK178" s="35">
        <v>-19.726545454545455</v>
      </c>
      <c r="BL178" s="35">
        <v>-19.746303030303029</v>
      </c>
      <c r="BM178" s="35">
        <v>-19.770545454545456</v>
      </c>
      <c r="BN178" s="35">
        <v>-19.791090909090908</v>
      </c>
      <c r="BO178" s="35">
        <v>-19.809272727272727</v>
      </c>
      <c r="BP178" s="35">
        <v>-19.827349397590361</v>
      </c>
      <c r="BQ178" s="35">
        <v>-19.847272727272728</v>
      </c>
      <c r="BR178" s="35">
        <v>-19.871515151515151</v>
      </c>
      <c r="BS178" s="35">
        <v>-19.891818181818181</v>
      </c>
      <c r="BT178" s="35">
        <v>-19.91</v>
      </c>
    </row>
    <row r="179" spans="1:72" ht="9.9499999999999993" customHeight="1" thickBot="1" x14ac:dyDescent="0.4">
      <c r="A179" s="83" t="s">
        <v>5</v>
      </c>
      <c r="B179" s="35">
        <v>-60.071090909090906</v>
      </c>
      <c r="C179" s="35">
        <v>-58.274363636363631</v>
      </c>
      <c r="D179" s="35">
        <v>-56.601636363636359</v>
      </c>
      <c r="E179" s="35">
        <v>-55.048363636363632</v>
      </c>
      <c r="F179" s="35">
        <v>-53.531588502269287</v>
      </c>
      <c r="G179" s="35">
        <v>-51.926444780635393</v>
      </c>
      <c r="H179" s="35">
        <v>-50.321301059001506</v>
      </c>
      <c r="I179" s="35">
        <v>-48.716157337367619</v>
      </c>
      <c r="J179" s="35">
        <v>-47.111013615733732</v>
      </c>
      <c r="K179" s="35">
        <v>-45.505869894099845</v>
      </c>
      <c r="L179" s="35">
        <v>-43.900726172465959</v>
      </c>
      <c r="M179" s="35">
        <v>-43.136747352496215</v>
      </c>
      <c r="N179" s="35">
        <v>-43.321316187594554</v>
      </c>
      <c r="O179" s="35">
        <v>-43.505885022692887</v>
      </c>
      <c r="P179" s="35">
        <v>-43.690453857791226</v>
      </c>
      <c r="Q179" s="35">
        <v>-43.875022692889566</v>
      </c>
      <c r="R179" s="35">
        <v>-44.059591527987898</v>
      </c>
      <c r="S179" s="35">
        <v>-44.244160363086237</v>
      </c>
      <c r="T179" s="35">
        <v>-43.788608169440245</v>
      </c>
      <c r="U179" s="35">
        <v>-43.228850226928898</v>
      </c>
      <c r="V179" s="35">
        <v>-42.669092284417552</v>
      </c>
      <c r="W179" s="35">
        <v>-42.109334341906205</v>
      </c>
      <c r="X179" s="35">
        <v>-41.549576399394859</v>
      </c>
      <c r="Y179" s="35">
        <v>-40.989818456883512</v>
      </c>
      <c r="Z179" s="35">
        <v>-40.463939393939391</v>
      </c>
      <c r="AA179" s="35">
        <v>-40.039696969696969</v>
      </c>
      <c r="AB179" s="35">
        <v>-39.615454545454547</v>
      </c>
      <c r="AC179" s="35">
        <v>-39.191212121212125</v>
      </c>
      <c r="AD179" s="35">
        <v>-38.766969696969696</v>
      </c>
      <c r="AE179" s="35">
        <v>-38.342727272727274</v>
      </c>
      <c r="AF179" s="35">
        <v>-37.918484848484852</v>
      </c>
      <c r="AG179" s="35">
        <v>-37.544810892586995</v>
      </c>
      <c r="AH179" s="35">
        <v>-37.198366111951593</v>
      </c>
      <c r="AI179" s="35">
        <v>-36.851921331316191</v>
      </c>
      <c r="AJ179" s="35">
        <v>-36.50547655068079</v>
      </c>
      <c r="AK179" s="35">
        <v>-36.159031770045388</v>
      </c>
      <c r="AL179" s="35">
        <v>-35.812586989409986</v>
      </c>
      <c r="AM179" s="35">
        <v>-35.467594553706505</v>
      </c>
      <c r="AN179" s="35">
        <v>-35.157458396369137</v>
      </c>
      <c r="AO179" s="35">
        <v>-34.847322239031769</v>
      </c>
      <c r="AP179" s="35">
        <v>-34.537186081694401</v>
      </c>
      <c r="AQ179" s="35">
        <v>-34.227049924357033</v>
      </c>
      <c r="AR179" s="35">
        <v>-33.916913767019665</v>
      </c>
      <c r="AS179" s="35">
        <v>-33.606777609682297</v>
      </c>
      <c r="AT179" s="35">
        <v>-33.299696969696974</v>
      </c>
      <c r="AU179" s="35">
        <v>-32.99666666666667</v>
      </c>
      <c r="AV179" s="35">
        <v>-32.698363636363638</v>
      </c>
      <c r="AW179" s="35">
        <v>-32.401393939393941</v>
      </c>
      <c r="AX179" s="35">
        <v>-32.104424242424244</v>
      </c>
      <c r="AY179" s="35">
        <v>-31.808313253012049</v>
      </c>
      <c r="AZ179" s="35">
        <v>-31.513132530120483</v>
      </c>
      <c r="BA179" s="35">
        <v>-31.22642424242424</v>
      </c>
      <c r="BB179" s="35">
        <v>-30.988969696969697</v>
      </c>
      <c r="BC179" s="35">
        <v>-30.982909090909089</v>
      </c>
      <c r="BD179" s="35">
        <v>-30.957939393939395</v>
      </c>
      <c r="BE179" s="35">
        <v>-30.915515151515152</v>
      </c>
      <c r="BF179" s="35">
        <v>-30.852</v>
      </c>
      <c r="BG179" s="35">
        <v>-30.781445783132529</v>
      </c>
      <c r="BH179" s="35">
        <v>-30.69710843373494</v>
      </c>
      <c r="BI179" s="35">
        <v>-30.554787878787877</v>
      </c>
      <c r="BJ179" s="35">
        <v>-30.366909090909093</v>
      </c>
      <c r="BK179" s="35">
        <v>-30.173515151515151</v>
      </c>
      <c r="BL179" s="35">
        <v>-29.981151515151517</v>
      </c>
      <c r="BM179" s="35">
        <v>-29.793272727272726</v>
      </c>
      <c r="BN179" s="35">
        <v>-29.605393939393938</v>
      </c>
      <c r="BO179" s="35">
        <v>-29.417515151515151</v>
      </c>
      <c r="BP179" s="35">
        <v>-29.230722891566266</v>
      </c>
      <c r="BQ179" s="35">
        <v>-29.043636363636363</v>
      </c>
      <c r="BR179" s="35">
        <v>-28.855757575757575</v>
      </c>
      <c r="BS179" s="35">
        <v>-28.671818181818182</v>
      </c>
      <c r="BT179" s="35">
        <v>-28.49</v>
      </c>
    </row>
    <row r="180" spans="1:72" ht="9.9499999999999993" customHeight="1" thickBot="1" x14ac:dyDescent="0.4">
      <c r="A180" s="83" t="s">
        <v>6</v>
      </c>
      <c r="B180" s="35">
        <v>-15.986666666666665</v>
      </c>
      <c r="C180" s="35">
        <v>-15.667151515151515</v>
      </c>
      <c r="D180" s="35">
        <v>-15.370181818181816</v>
      </c>
      <c r="E180" s="35">
        <v>-15.099757575757575</v>
      </c>
      <c r="F180" s="35">
        <v>-14.822118003025718</v>
      </c>
      <c r="G180" s="35">
        <v>-14.3485930408472</v>
      </c>
      <c r="H180" s="35">
        <v>-13.875068078668683</v>
      </c>
      <c r="I180" s="35">
        <v>-13.401543116490167</v>
      </c>
      <c r="J180" s="35">
        <v>-12.928018154311649</v>
      </c>
      <c r="K180" s="35">
        <v>-12.454493192133132</v>
      </c>
      <c r="L180" s="35">
        <v>-11.980968229954614</v>
      </c>
      <c r="M180" s="35">
        <v>-11.990953101361573</v>
      </c>
      <c r="N180" s="35">
        <v>-12.546172465960666</v>
      </c>
      <c r="O180" s="35">
        <v>-13.101391830559759</v>
      </c>
      <c r="P180" s="35">
        <v>-13.656611195158851</v>
      </c>
      <c r="Q180" s="35">
        <v>-14.211830559757944</v>
      </c>
      <c r="R180" s="35">
        <v>-14.767049924357035</v>
      </c>
      <c r="S180" s="35">
        <v>-15.322269288956129</v>
      </c>
      <c r="T180" s="35">
        <v>-15.362269288956128</v>
      </c>
      <c r="U180" s="35">
        <v>-15.31839636913767</v>
      </c>
      <c r="V180" s="35">
        <v>-15.274523449319213</v>
      </c>
      <c r="W180" s="35">
        <v>-15.230650529500757</v>
      </c>
      <c r="X180" s="35">
        <v>-15.186777609682299</v>
      </c>
      <c r="Y180" s="35">
        <v>-15.142904689863842</v>
      </c>
      <c r="Z180" s="35">
        <v>-15.103939393939394</v>
      </c>
      <c r="AA180" s="35">
        <v>-15.079696969696968</v>
      </c>
      <c r="AB180" s="35">
        <v>-15.055454545454545</v>
      </c>
      <c r="AC180" s="35">
        <v>-15.031212121212121</v>
      </c>
      <c r="AD180" s="35">
        <v>-15.006969696969696</v>
      </c>
      <c r="AE180" s="35">
        <v>-14.982727272727272</v>
      </c>
      <c r="AF180" s="35">
        <v>-14.958484848484847</v>
      </c>
      <c r="AG180" s="35">
        <v>-14.933282904689863</v>
      </c>
      <c r="AH180" s="35">
        <v>-14.907564296520423</v>
      </c>
      <c r="AI180" s="35">
        <v>-14.881845688350984</v>
      </c>
      <c r="AJ180" s="35">
        <v>-14.856127080181542</v>
      </c>
      <c r="AK180" s="35">
        <v>-14.830408472012103</v>
      </c>
      <c r="AL180" s="35">
        <v>-14.804689863842661</v>
      </c>
      <c r="AM180" s="35">
        <v>-14.778124054462934</v>
      </c>
      <c r="AN180" s="35">
        <v>-14.731225416036308</v>
      </c>
      <c r="AO180" s="35">
        <v>-14.684326777609682</v>
      </c>
      <c r="AP180" s="35">
        <v>-14.637428139183056</v>
      </c>
      <c r="AQ180" s="35">
        <v>-14.59052950075643</v>
      </c>
      <c r="AR180" s="35">
        <v>-14.543630862329804</v>
      </c>
      <c r="AS180" s="35">
        <v>-14.496732223903178</v>
      </c>
      <c r="AT180" s="35">
        <v>-14.443939393939395</v>
      </c>
      <c r="AU180" s="35">
        <v>-14.383333333333333</v>
      </c>
      <c r="AV180" s="35">
        <v>-14.318</v>
      </c>
      <c r="AW180" s="35">
        <v>-14.251333333333333</v>
      </c>
      <c r="AX180" s="35">
        <v>-14.184666666666667</v>
      </c>
      <c r="AY180" s="35">
        <v>-14.115301204819277</v>
      </c>
      <c r="AZ180" s="35">
        <v>-14.04301204819277</v>
      </c>
      <c r="BA180" s="35">
        <v>-13.965393939393939</v>
      </c>
      <c r="BB180" s="35">
        <v>-13.878363636363636</v>
      </c>
      <c r="BC180" s="35">
        <v>-13.751090909090909</v>
      </c>
      <c r="BD180" s="35">
        <v>-13.639575757575757</v>
      </c>
      <c r="BE180" s="35">
        <v>-13.54260606060606</v>
      </c>
      <c r="BF180" s="35">
        <v>-13.461454545454545</v>
      </c>
      <c r="BG180" s="35">
        <v>-13.384096385542168</v>
      </c>
      <c r="BH180" s="35">
        <v>-13.311807228915661</v>
      </c>
      <c r="BI180" s="35">
        <v>-13.242666666666667</v>
      </c>
      <c r="BJ180" s="35">
        <v>-13.176</v>
      </c>
      <c r="BK180" s="35">
        <v>-13.114848484848485</v>
      </c>
      <c r="BL180" s="35">
        <v>-13.054242424242425</v>
      </c>
      <c r="BM180" s="35">
        <v>-12.993636363636364</v>
      </c>
      <c r="BN180" s="35">
        <v>-12.933030303030304</v>
      </c>
      <c r="BO180" s="35">
        <v>-12.872424242424241</v>
      </c>
      <c r="BP180" s="35">
        <v>-12.812168674698794</v>
      </c>
      <c r="BQ180" s="35">
        <v>-12.751818181818182</v>
      </c>
      <c r="BR180" s="35">
        <v>-12.691212121212121</v>
      </c>
      <c r="BS180" s="35">
        <v>-12.630606060606061</v>
      </c>
      <c r="BT180" s="35">
        <v>-12.57</v>
      </c>
    </row>
    <row r="181" spans="1:72" ht="9.9499999999999993" customHeight="1" thickBot="1" x14ac:dyDescent="0.4">
      <c r="A181" s="83" t="s">
        <v>7</v>
      </c>
      <c r="B181" s="35">
        <v>-22.205757575757573</v>
      </c>
      <c r="C181" s="35">
        <v>-21.627333333333333</v>
      </c>
      <c r="D181" s="35">
        <v>-21.093999999999998</v>
      </c>
      <c r="E181" s="35">
        <v>-20.596060606060604</v>
      </c>
      <c r="F181" s="35">
        <v>-20.142375189107412</v>
      </c>
      <c r="G181" s="35">
        <v>-20.047065052950074</v>
      </c>
      <c r="H181" s="35">
        <v>-19.951754916792737</v>
      </c>
      <c r="I181" s="35">
        <v>-19.8564447806354</v>
      </c>
      <c r="J181" s="35">
        <v>-19.761134644478062</v>
      </c>
      <c r="K181" s="35">
        <v>-19.665824508320725</v>
      </c>
      <c r="L181" s="35">
        <v>-19.570514372163387</v>
      </c>
      <c r="M181" s="35">
        <v>-19.074886535552196</v>
      </c>
      <c r="N181" s="35">
        <v>-18.127836611195157</v>
      </c>
      <c r="O181" s="35">
        <v>-17.180786686838125</v>
      </c>
      <c r="P181" s="35">
        <v>-16.233736762481087</v>
      </c>
      <c r="Q181" s="35">
        <v>-15.286686838124053</v>
      </c>
      <c r="R181" s="35">
        <v>-14.339636913767016</v>
      </c>
      <c r="S181" s="35">
        <v>-13.392586989409981</v>
      </c>
      <c r="T181" s="35">
        <v>-13.058335854765506</v>
      </c>
      <c r="U181" s="35">
        <v>-12.823842662632375</v>
      </c>
      <c r="V181" s="35">
        <v>-12.589349470499243</v>
      </c>
      <c r="W181" s="35">
        <v>-12.354856278366112</v>
      </c>
      <c r="X181" s="35">
        <v>-12.120363086232981</v>
      </c>
      <c r="Y181" s="35">
        <v>-11.88586989409985</v>
      </c>
      <c r="Z181" s="35">
        <v>-11.664545454545456</v>
      </c>
      <c r="AA181" s="35">
        <v>-11.482727272727274</v>
      </c>
      <c r="AB181" s="35">
        <v>-11.300909090909091</v>
      </c>
      <c r="AC181" s="35">
        <v>-11.119090909090909</v>
      </c>
      <c r="AD181" s="35">
        <v>-10.937272727272727</v>
      </c>
      <c r="AE181" s="35">
        <v>-10.755454545454546</v>
      </c>
      <c r="AF181" s="35">
        <v>-10.573636363636364</v>
      </c>
      <c r="AG181" s="35">
        <v>-10.424152798789713</v>
      </c>
      <c r="AH181" s="35">
        <v>-10.292080181543117</v>
      </c>
      <c r="AI181" s="35">
        <v>-10.160007564296521</v>
      </c>
      <c r="AJ181" s="35">
        <v>-10.027934947049925</v>
      </c>
      <c r="AK181" s="35">
        <v>-9.8958623298033288</v>
      </c>
      <c r="AL181" s="35">
        <v>-9.7637897125567328</v>
      </c>
      <c r="AM181" s="35">
        <v>-9.6337140695915284</v>
      </c>
      <c r="AN181" s="35">
        <v>-9.5515658093797278</v>
      </c>
      <c r="AO181" s="35">
        <v>-9.4694175491679271</v>
      </c>
      <c r="AP181" s="35">
        <v>-9.3872692889561264</v>
      </c>
      <c r="AQ181" s="35">
        <v>-9.3051210287443276</v>
      </c>
      <c r="AR181" s="35">
        <v>-9.2229727685325269</v>
      </c>
      <c r="AS181" s="35">
        <v>-9.1408245083207262</v>
      </c>
      <c r="AT181" s="35">
        <v>-9.071587878787879</v>
      </c>
      <c r="AU181" s="35">
        <v>-9.0194666666666663</v>
      </c>
      <c r="AV181" s="35">
        <v>-8.9758545454545455</v>
      </c>
      <c r="AW181" s="35">
        <v>-8.9359818181818174</v>
      </c>
      <c r="AX181" s="35">
        <v>-8.9050727272727261</v>
      </c>
      <c r="AY181" s="35">
        <v>-8.8783012048192766</v>
      </c>
      <c r="AZ181" s="35">
        <v>-8.8560120481927704</v>
      </c>
      <c r="BA181" s="35">
        <v>-8.8400727272727266</v>
      </c>
      <c r="BB181" s="35">
        <v>-8.8179030303030288</v>
      </c>
      <c r="BC181" s="35">
        <v>-8.7585090909090901</v>
      </c>
      <c r="BD181" s="35">
        <v>-8.7151878787878783</v>
      </c>
      <c r="BE181" s="35">
        <v>-8.6867030303030308</v>
      </c>
      <c r="BF181" s="35">
        <v>-8.6735090909090911</v>
      </c>
      <c r="BG181" s="35">
        <v>-8.6656626506024086</v>
      </c>
      <c r="BH181" s="35">
        <v>-8.668674698795181</v>
      </c>
      <c r="BI181" s="35">
        <v>-8.6927393939393944</v>
      </c>
      <c r="BJ181" s="35">
        <v>-8.7333454545454554</v>
      </c>
      <c r="BK181" s="35">
        <v>-8.7772606060606062</v>
      </c>
      <c r="BL181" s="35">
        <v>-8.8216606060606058</v>
      </c>
      <c r="BM181" s="35">
        <v>-8.8665090909090907</v>
      </c>
      <c r="BN181" s="35">
        <v>-8.9120969696969699</v>
      </c>
      <c r="BO181" s="35">
        <v>-8.9581575757575767</v>
      </c>
      <c r="BP181" s="35">
        <v>-9.0051084337349412</v>
      </c>
      <c r="BQ181" s="35">
        <v>-9.052545454545454</v>
      </c>
      <c r="BR181" s="35">
        <v>-9.1010303030303028</v>
      </c>
      <c r="BS181" s="35">
        <v>-9.1506969696969698</v>
      </c>
      <c r="BT181" s="35">
        <v>-9.2010000000000005</v>
      </c>
    </row>
    <row r="182" spans="1:72" ht="9.9499999999999993" customHeight="1" thickBot="1" x14ac:dyDescent="0.4">
      <c r="A182" s="83"/>
    </row>
    <row r="183" spans="1:72" ht="9.9499999999999993" customHeight="1" thickBot="1" x14ac:dyDescent="0.4">
      <c r="A183" s="83"/>
    </row>
    <row r="184" spans="1:72" ht="9.9499999999999993" customHeight="1" thickBot="1" x14ac:dyDescent="0.4">
      <c r="A184" s="88"/>
    </row>
    <row r="185" spans="1:72" ht="9.9499999999999993" customHeight="1" thickBot="1" x14ac:dyDescent="0.4">
      <c r="A185" s="88"/>
    </row>
    <row r="186" spans="1:72" ht="9.9499999999999993" customHeight="1" thickBot="1" x14ac:dyDescent="0.4">
      <c r="A186" s="88"/>
    </row>
    <row r="187" spans="1:72" ht="9.9499999999999993" customHeight="1" thickBot="1" x14ac:dyDescent="0.4">
      <c r="A187" s="88"/>
    </row>
    <row r="188" spans="1:72" ht="9.9499999999999993" customHeight="1" thickBot="1" x14ac:dyDescent="0.4">
      <c r="A188" s="88"/>
    </row>
    <row r="189" spans="1:72" ht="9.9499999999999993" customHeight="1" thickBot="1" x14ac:dyDescent="0.4">
      <c r="A189" s="88"/>
    </row>
    <row r="190" spans="1:72" ht="9.9499999999999993" customHeight="1" thickBot="1" x14ac:dyDescent="0.4">
      <c r="A190" s="88"/>
    </row>
    <row r="191" spans="1:72" ht="9.9499999999999993" customHeight="1" thickBot="1" x14ac:dyDescent="0.4">
      <c r="A191" s="88"/>
    </row>
    <row r="192" spans="1:72" ht="9.9499999999999993" customHeight="1" thickBot="1" x14ac:dyDescent="0.4">
      <c r="A192" s="88"/>
    </row>
    <row r="193" spans="1:72" ht="9.9499999999999993" customHeight="1" thickBot="1" x14ac:dyDescent="0.4">
      <c r="A193" s="88"/>
    </row>
    <row r="194" spans="1:72" ht="9.9499999999999993" customHeight="1" thickTop="1" thickBot="1" x14ac:dyDescent="0.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1.75" thickTop="1" x14ac:dyDescent="0.35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G42"/>
  <sheetViews>
    <sheetView zoomScaleNormal="100" workbookViewId="0">
      <pane xSplit="1" topLeftCell="L1" activePane="topRight" state="frozen"/>
      <selection pane="topRight" activeCell="L1" sqref="L1:AD22"/>
    </sheetView>
  </sheetViews>
  <sheetFormatPr defaultRowHeight="21" x14ac:dyDescent="0.35"/>
  <cols>
    <col min="1" max="1" width="4.81640625" customWidth="1"/>
  </cols>
  <sheetData>
    <row r="1" spans="1:33" ht="28.5" x14ac:dyDescent="0.45">
      <c r="A1" s="42">
        <v>0</v>
      </c>
      <c r="C1" s="129" t="s">
        <v>67</v>
      </c>
      <c r="D1" s="130" t="s">
        <v>137</v>
      </c>
      <c r="E1" s="131" t="s">
        <v>149</v>
      </c>
      <c r="F1" s="144" t="s">
        <v>158</v>
      </c>
      <c r="G1" s="130" t="s">
        <v>72</v>
      </c>
      <c r="H1" s="131" t="s">
        <v>73</v>
      </c>
      <c r="I1" s="144" t="s">
        <v>74</v>
      </c>
      <c r="J1" s="130" t="s">
        <v>75</v>
      </c>
      <c r="K1" s="131" t="s">
        <v>76</v>
      </c>
      <c r="L1" s="144"/>
      <c r="M1" s="130"/>
      <c r="N1" s="131"/>
      <c r="O1" s="144"/>
      <c r="P1" s="130"/>
      <c r="Q1" s="131"/>
      <c r="R1" s="144"/>
      <c r="S1" s="130"/>
      <c r="T1" s="131"/>
      <c r="U1" s="144"/>
      <c r="V1" s="130"/>
      <c r="W1" s="131"/>
      <c r="X1" s="150"/>
      <c r="Y1" s="139"/>
      <c r="Z1" s="146"/>
      <c r="AA1" s="148"/>
      <c r="AB1" s="130"/>
      <c r="AC1" s="131"/>
      <c r="AD1" s="106"/>
      <c r="AE1" s="106"/>
      <c r="AF1" s="106"/>
      <c r="AG1" s="105"/>
    </row>
    <row r="2" spans="1:33" ht="21.75" customHeight="1" x14ac:dyDescent="0.35">
      <c r="A2" s="43" t="s">
        <v>30</v>
      </c>
      <c r="B2" s="107" t="s">
        <v>125</v>
      </c>
      <c r="C2" s="132" t="s">
        <v>114</v>
      </c>
      <c r="D2" s="133" t="s">
        <v>114</v>
      </c>
      <c r="E2" s="134" t="s">
        <v>114</v>
      </c>
      <c r="F2" s="132" t="s">
        <v>114</v>
      </c>
      <c r="G2" s="133" t="s">
        <v>114</v>
      </c>
      <c r="H2" s="134" t="s">
        <v>114</v>
      </c>
      <c r="I2" s="132" t="s">
        <v>114</v>
      </c>
      <c r="J2" s="133" t="s">
        <v>114</v>
      </c>
      <c r="K2" s="134" t="s">
        <v>114</v>
      </c>
      <c r="L2" s="147"/>
      <c r="M2" s="133"/>
      <c r="N2" s="134"/>
      <c r="O2" s="132"/>
      <c r="P2" s="133"/>
      <c r="Q2" s="134"/>
      <c r="R2" s="147"/>
      <c r="S2" s="133"/>
      <c r="T2" s="134"/>
      <c r="U2" s="132"/>
      <c r="V2" s="133"/>
      <c r="W2" s="134"/>
      <c r="X2" s="132"/>
      <c r="Y2" s="133"/>
      <c r="Z2" s="134"/>
      <c r="AA2" s="147"/>
      <c r="AB2" s="149"/>
      <c r="AC2" s="134"/>
    </row>
    <row r="3" spans="1:33" x14ac:dyDescent="0.35">
      <c r="B3" s="107" t="s">
        <v>70</v>
      </c>
      <c r="C3" s="135" t="s">
        <v>128</v>
      </c>
      <c r="D3" s="136" t="s">
        <v>138</v>
      </c>
      <c r="E3" s="137" t="s">
        <v>128</v>
      </c>
      <c r="F3" s="135" t="s">
        <v>128</v>
      </c>
      <c r="G3" s="136" t="s">
        <v>128</v>
      </c>
      <c r="H3" s="145" t="s">
        <v>138</v>
      </c>
      <c r="I3" s="135" t="s">
        <v>138</v>
      </c>
      <c r="J3" s="136" t="s">
        <v>128</v>
      </c>
      <c r="K3" s="145" t="s">
        <v>138</v>
      </c>
      <c r="L3" s="135"/>
      <c r="M3" s="136"/>
      <c r="N3" s="137"/>
      <c r="O3" s="135"/>
      <c r="P3" s="136"/>
      <c r="Q3" s="145"/>
      <c r="R3" s="135"/>
      <c r="S3" s="136"/>
      <c r="T3" s="137"/>
      <c r="U3" s="135"/>
      <c r="V3" s="136"/>
      <c r="W3" s="145"/>
      <c r="X3" s="135"/>
      <c r="Y3" s="136"/>
      <c r="Z3" s="137"/>
      <c r="AA3" s="135"/>
      <c r="AB3" s="136"/>
      <c r="AC3" s="137"/>
    </row>
    <row r="4" spans="1:33" x14ac:dyDescent="0.35">
      <c r="B4" s="107" t="s">
        <v>61</v>
      </c>
      <c r="C4" s="138" t="s">
        <v>129</v>
      </c>
      <c r="D4" s="139" t="s">
        <v>139</v>
      </c>
      <c r="E4" s="140" t="s">
        <v>150</v>
      </c>
      <c r="F4" s="142" t="s">
        <v>159</v>
      </c>
      <c r="G4" s="130" t="s">
        <v>167</v>
      </c>
      <c r="H4" s="131" t="s">
        <v>175</v>
      </c>
      <c r="I4" s="138" t="s">
        <v>185</v>
      </c>
      <c r="J4" s="139" t="s">
        <v>202</v>
      </c>
      <c r="K4" s="146" t="s">
        <v>219</v>
      </c>
      <c r="L4" s="138"/>
      <c r="M4" s="139"/>
      <c r="N4" s="140"/>
      <c r="O4" s="142"/>
      <c r="P4" s="130"/>
      <c r="Q4" s="131"/>
      <c r="R4" s="142"/>
      <c r="S4" s="130"/>
      <c r="T4" s="143"/>
      <c r="U4" s="142"/>
      <c r="V4" s="130"/>
      <c r="W4" s="131"/>
      <c r="X4" s="138"/>
      <c r="Y4" s="139"/>
      <c r="Z4" s="140"/>
      <c r="AA4" s="138"/>
      <c r="AB4" s="139"/>
      <c r="AC4" s="140"/>
    </row>
    <row r="5" spans="1:33" x14ac:dyDescent="0.35">
      <c r="B5" s="128"/>
      <c r="C5" s="138" t="s">
        <v>128</v>
      </c>
      <c r="D5" s="139" t="s">
        <v>128</v>
      </c>
      <c r="E5" s="140" t="s">
        <v>128</v>
      </c>
      <c r="F5" s="138" t="s">
        <v>128</v>
      </c>
      <c r="G5" s="139" t="s">
        <v>128</v>
      </c>
      <c r="H5" s="146" t="s">
        <v>138</v>
      </c>
      <c r="I5" s="138" t="s">
        <v>186</v>
      </c>
      <c r="J5" s="139" t="s">
        <v>203</v>
      </c>
      <c r="K5" s="146" t="s">
        <v>220</v>
      </c>
      <c r="L5" s="138"/>
      <c r="M5" s="139"/>
      <c r="N5" s="140"/>
      <c r="O5" s="138"/>
      <c r="P5" s="139"/>
      <c r="Q5" s="146"/>
      <c r="R5" s="138"/>
      <c r="S5" s="141"/>
      <c r="T5" s="140"/>
      <c r="U5" s="138"/>
      <c r="V5" s="141"/>
      <c r="W5" s="146"/>
      <c r="X5" s="138"/>
      <c r="Y5" s="139"/>
      <c r="Z5" s="140"/>
      <c r="AA5" s="138"/>
      <c r="AB5" s="139"/>
      <c r="AC5" s="140"/>
    </row>
    <row r="6" spans="1:33" x14ac:dyDescent="0.35">
      <c r="B6" s="107" t="s">
        <v>65</v>
      </c>
      <c r="C6" s="138" t="s">
        <v>128</v>
      </c>
      <c r="D6" s="139" t="s">
        <v>128</v>
      </c>
      <c r="E6" s="140" t="s">
        <v>128</v>
      </c>
      <c r="F6" s="138" t="s">
        <v>128</v>
      </c>
      <c r="G6" s="139" t="s">
        <v>128</v>
      </c>
      <c r="H6" s="146" t="s">
        <v>138</v>
      </c>
      <c r="I6" s="138" t="s">
        <v>187</v>
      </c>
      <c r="J6" s="139" t="s">
        <v>204</v>
      </c>
      <c r="K6" s="146" t="s">
        <v>221</v>
      </c>
      <c r="L6" s="138"/>
      <c r="M6" s="139"/>
      <c r="N6" s="140"/>
      <c r="O6" s="138"/>
      <c r="P6" s="139"/>
      <c r="Q6" s="146"/>
      <c r="R6" s="138"/>
      <c r="S6" s="139"/>
      <c r="T6" s="140"/>
      <c r="U6" s="138"/>
      <c r="V6" s="139"/>
      <c r="W6" s="146"/>
      <c r="X6" s="138"/>
      <c r="Y6" s="139"/>
      <c r="Z6" s="140"/>
      <c r="AA6" s="138"/>
      <c r="AB6" s="139"/>
      <c r="AC6" s="140"/>
    </row>
    <row r="7" spans="1:33" x14ac:dyDescent="0.35">
      <c r="B7" s="107" t="s">
        <v>127</v>
      </c>
      <c r="C7" s="138" t="s">
        <v>128</v>
      </c>
      <c r="D7" s="139" t="s">
        <v>128</v>
      </c>
      <c r="E7" s="140" t="s">
        <v>128</v>
      </c>
      <c r="F7" s="138" t="s">
        <v>128</v>
      </c>
      <c r="G7" s="139" t="s">
        <v>128</v>
      </c>
      <c r="H7" s="146" t="s">
        <v>138</v>
      </c>
      <c r="I7" s="138" t="s">
        <v>188</v>
      </c>
      <c r="J7" s="139" t="s">
        <v>205</v>
      </c>
      <c r="K7" s="146" t="s">
        <v>222</v>
      </c>
      <c r="L7" s="138"/>
      <c r="M7" s="139"/>
      <c r="N7" s="140"/>
      <c r="O7" s="138"/>
      <c r="P7" s="139"/>
      <c r="Q7" s="146"/>
      <c r="R7" s="142"/>
      <c r="S7" s="130"/>
      <c r="T7" s="143"/>
      <c r="U7" s="142"/>
      <c r="V7" s="130"/>
      <c r="W7" s="131"/>
      <c r="X7" s="138"/>
      <c r="Y7" s="139"/>
      <c r="Z7" s="140"/>
      <c r="AA7" s="138"/>
      <c r="AB7" s="139"/>
      <c r="AC7" s="140"/>
    </row>
    <row r="8" spans="1:33" x14ac:dyDescent="0.35">
      <c r="B8" s="107" t="s">
        <v>71</v>
      </c>
      <c r="C8" s="138" t="s">
        <v>128</v>
      </c>
      <c r="D8" s="139" t="s">
        <v>128</v>
      </c>
      <c r="E8" s="140" t="s">
        <v>128</v>
      </c>
      <c r="F8" s="138" t="s">
        <v>128</v>
      </c>
      <c r="G8" s="139" t="s">
        <v>128</v>
      </c>
      <c r="H8" s="146" t="s">
        <v>138</v>
      </c>
      <c r="I8" s="138" t="s">
        <v>189</v>
      </c>
      <c r="J8" s="139" t="s">
        <v>206</v>
      </c>
      <c r="K8" s="146" t="s">
        <v>223</v>
      </c>
      <c r="L8" s="138"/>
      <c r="M8" s="139"/>
      <c r="N8" s="140"/>
      <c r="O8" s="138"/>
      <c r="P8" s="139"/>
      <c r="Q8" s="146"/>
      <c r="R8" s="138"/>
      <c r="S8" s="139"/>
      <c r="T8" s="140"/>
      <c r="U8" s="138"/>
      <c r="V8" s="139"/>
      <c r="W8" s="146"/>
      <c r="X8" s="138"/>
      <c r="Y8" s="139"/>
      <c r="Z8" s="140"/>
      <c r="AA8" s="138"/>
      <c r="AB8" s="139"/>
      <c r="AC8" s="140"/>
    </row>
    <row r="9" spans="1:33" x14ac:dyDescent="0.35">
      <c r="B9" s="107" t="s">
        <v>55</v>
      </c>
      <c r="C9" s="138" t="s">
        <v>128</v>
      </c>
      <c r="D9" s="139" t="s">
        <v>128</v>
      </c>
      <c r="E9" s="140" t="s">
        <v>128</v>
      </c>
      <c r="F9" s="138" t="s">
        <v>128</v>
      </c>
      <c r="G9" s="139" t="s">
        <v>128</v>
      </c>
      <c r="H9" s="146" t="s">
        <v>138</v>
      </c>
      <c r="I9" s="138" t="s">
        <v>190</v>
      </c>
      <c r="J9" s="139" t="s">
        <v>207</v>
      </c>
      <c r="K9" s="146" t="s">
        <v>224</v>
      </c>
      <c r="L9" s="138"/>
      <c r="M9" s="139"/>
      <c r="N9" s="140"/>
      <c r="O9" s="138"/>
      <c r="P9" s="139"/>
      <c r="Q9" s="146"/>
      <c r="R9" s="142"/>
      <c r="S9" s="130"/>
      <c r="T9" s="143"/>
      <c r="U9" s="142"/>
      <c r="V9" s="130"/>
      <c r="W9" s="131"/>
      <c r="X9" s="138"/>
      <c r="Y9" s="139"/>
      <c r="Z9" s="140"/>
      <c r="AA9" s="138"/>
      <c r="AB9" s="139"/>
      <c r="AC9" s="140"/>
    </row>
    <row r="10" spans="1:33" x14ac:dyDescent="0.35">
      <c r="B10" s="128"/>
      <c r="C10" s="138" t="s">
        <v>128</v>
      </c>
      <c r="D10" s="139" t="s">
        <v>128</v>
      </c>
      <c r="E10" s="140" t="s">
        <v>128</v>
      </c>
      <c r="F10" s="138" t="s">
        <v>128</v>
      </c>
      <c r="G10" s="139" t="s">
        <v>128</v>
      </c>
      <c r="H10" s="146" t="s">
        <v>176</v>
      </c>
      <c r="I10" s="138" t="s">
        <v>191</v>
      </c>
      <c r="J10" s="139" t="s">
        <v>208</v>
      </c>
      <c r="K10" s="146" t="s">
        <v>225</v>
      </c>
      <c r="L10" s="138"/>
      <c r="M10" s="139"/>
      <c r="N10" s="140"/>
      <c r="O10" s="138"/>
      <c r="P10" s="139"/>
      <c r="Q10" s="146"/>
      <c r="R10" s="142"/>
      <c r="S10" s="130"/>
      <c r="T10" s="143"/>
      <c r="U10" s="142"/>
      <c r="V10" s="130"/>
      <c r="W10" s="131"/>
      <c r="X10" s="138"/>
      <c r="Y10" s="139"/>
      <c r="Z10" s="140"/>
      <c r="AA10" s="138"/>
      <c r="AB10" s="139"/>
      <c r="AC10" s="140"/>
    </row>
    <row r="11" spans="1:33" x14ac:dyDescent="0.35">
      <c r="B11" s="107" t="s">
        <v>54</v>
      </c>
      <c r="C11" s="138" t="s">
        <v>128</v>
      </c>
      <c r="D11" s="139" t="s">
        <v>140</v>
      </c>
      <c r="E11" s="140" t="s">
        <v>151</v>
      </c>
      <c r="F11" s="138" t="s">
        <v>160</v>
      </c>
      <c r="G11" s="139" t="s">
        <v>168</v>
      </c>
      <c r="H11" s="146" t="s">
        <v>177</v>
      </c>
      <c r="I11" s="138" t="s">
        <v>192</v>
      </c>
      <c r="J11" s="139" t="s">
        <v>209</v>
      </c>
      <c r="K11" s="146" t="s">
        <v>226</v>
      </c>
      <c r="L11" s="142"/>
      <c r="M11" s="130"/>
      <c r="N11" s="143"/>
      <c r="O11" s="138"/>
      <c r="P11" s="141"/>
      <c r="Q11" s="146"/>
      <c r="R11" s="138"/>
      <c r="S11" s="139"/>
      <c r="T11" s="140"/>
      <c r="U11" s="138"/>
      <c r="V11" s="139"/>
      <c r="W11" s="146"/>
      <c r="X11" s="138"/>
      <c r="Y11" s="139"/>
      <c r="Z11" s="140"/>
      <c r="AA11" s="138"/>
      <c r="AB11" s="139"/>
      <c r="AC11" s="140"/>
    </row>
    <row r="12" spans="1:33" x14ac:dyDescent="0.35">
      <c r="B12" s="107" t="s">
        <v>56</v>
      </c>
      <c r="C12" s="138" t="s">
        <v>128</v>
      </c>
      <c r="D12" s="139" t="s">
        <v>128</v>
      </c>
      <c r="E12" s="140" t="s">
        <v>128</v>
      </c>
      <c r="F12" s="138" t="s">
        <v>128</v>
      </c>
      <c r="G12" s="139" t="s">
        <v>138</v>
      </c>
      <c r="H12" s="146" t="s">
        <v>178</v>
      </c>
      <c r="I12" s="138" t="s">
        <v>193</v>
      </c>
      <c r="J12" s="139" t="s">
        <v>210</v>
      </c>
      <c r="K12" s="146" t="s">
        <v>227</v>
      </c>
      <c r="L12" s="138"/>
      <c r="M12" s="139"/>
      <c r="N12" s="140"/>
      <c r="O12" s="142"/>
      <c r="P12" s="130"/>
      <c r="Q12" s="131"/>
      <c r="R12" s="138"/>
      <c r="S12" s="139"/>
      <c r="T12" s="140"/>
      <c r="U12" s="138"/>
      <c r="V12" s="139"/>
      <c r="W12" s="146"/>
      <c r="X12" s="138"/>
      <c r="Y12" s="139"/>
      <c r="Z12" s="140"/>
      <c r="AA12" s="138"/>
      <c r="AB12" s="139"/>
      <c r="AC12" s="140"/>
    </row>
    <row r="13" spans="1:33" x14ac:dyDescent="0.35">
      <c r="B13" s="107" t="s">
        <v>57</v>
      </c>
      <c r="C13" s="138" t="s">
        <v>130</v>
      </c>
      <c r="D13" s="139" t="s">
        <v>141</v>
      </c>
      <c r="E13" s="140" t="s">
        <v>141</v>
      </c>
      <c r="F13" s="138" t="s">
        <v>130</v>
      </c>
      <c r="G13" s="139" t="s">
        <v>130</v>
      </c>
      <c r="H13" s="146" t="s">
        <v>130</v>
      </c>
      <c r="I13" s="138" t="s">
        <v>130</v>
      </c>
      <c r="J13" s="139" t="s">
        <v>130</v>
      </c>
      <c r="K13" s="146" t="s">
        <v>130</v>
      </c>
      <c r="L13" s="138"/>
      <c r="M13" s="139"/>
      <c r="N13" s="140"/>
      <c r="O13" s="138"/>
      <c r="P13" s="139"/>
      <c r="Q13" s="146"/>
      <c r="R13" s="138"/>
      <c r="S13" s="139"/>
      <c r="T13" s="140"/>
      <c r="U13" s="138"/>
      <c r="V13" s="139"/>
      <c r="W13" s="146"/>
      <c r="X13" s="138"/>
      <c r="Y13" s="139"/>
      <c r="Z13" s="140"/>
      <c r="AA13" s="138"/>
      <c r="AB13" s="139"/>
      <c r="AC13" s="140"/>
    </row>
    <row r="14" spans="1:33" x14ac:dyDescent="0.35">
      <c r="B14" s="107" t="s">
        <v>2</v>
      </c>
      <c r="C14" s="138" t="s">
        <v>131</v>
      </c>
      <c r="D14" s="139" t="s">
        <v>142</v>
      </c>
      <c r="E14" s="140" t="s">
        <v>152</v>
      </c>
      <c r="F14" s="138" t="s">
        <v>161</v>
      </c>
      <c r="G14" s="139" t="s">
        <v>169</v>
      </c>
      <c r="H14" s="146" t="s">
        <v>179</v>
      </c>
      <c r="I14" s="138" t="s">
        <v>194</v>
      </c>
      <c r="J14" s="139" t="s">
        <v>211</v>
      </c>
      <c r="K14" s="146" t="s">
        <v>228</v>
      </c>
      <c r="L14" s="138"/>
      <c r="M14" s="139"/>
      <c r="N14" s="140"/>
      <c r="O14" s="138"/>
      <c r="P14" s="139"/>
      <c r="Q14" s="146"/>
      <c r="R14" s="142"/>
      <c r="S14" s="130"/>
      <c r="T14" s="143"/>
      <c r="U14" s="142"/>
      <c r="V14" s="130"/>
      <c r="W14" s="131"/>
      <c r="X14" s="138"/>
      <c r="Y14" s="139"/>
      <c r="Z14" s="140"/>
      <c r="AA14" s="138"/>
      <c r="AB14" s="139"/>
      <c r="AC14" s="140"/>
    </row>
    <row r="15" spans="1:33" x14ac:dyDescent="0.35">
      <c r="B15" s="107" t="s">
        <v>1</v>
      </c>
      <c r="C15" s="138" t="s">
        <v>132</v>
      </c>
      <c r="D15" s="139" t="s">
        <v>143</v>
      </c>
      <c r="E15" s="140" t="s">
        <v>153</v>
      </c>
      <c r="F15" s="138" t="s">
        <v>162</v>
      </c>
      <c r="G15" s="139" t="s">
        <v>170</v>
      </c>
      <c r="H15" s="146" t="s">
        <v>180</v>
      </c>
      <c r="I15" s="138" t="s">
        <v>195</v>
      </c>
      <c r="J15" s="141" t="s">
        <v>212</v>
      </c>
      <c r="K15" s="146" t="s">
        <v>229</v>
      </c>
      <c r="L15" s="138"/>
      <c r="M15" s="139"/>
      <c r="N15" s="140"/>
      <c r="O15" s="138"/>
      <c r="P15" s="139"/>
      <c r="Q15" s="146"/>
      <c r="R15" s="138"/>
      <c r="S15" s="139"/>
      <c r="T15" s="140"/>
      <c r="U15" s="138"/>
      <c r="V15" s="139"/>
      <c r="W15" s="146"/>
      <c r="X15" s="138"/>
      <c r="Y15" s="139"/>
      <c r="Z15" s="140"/>
      <c r="AA15" s="138"/>
      <c r="AB15" s="139"/>
      <c r="AC15" s="140"/>
    </row>
    <row r="16" spans="1:33" x14ac:dyDescent="0.35">
      <c r="B16" s="107" t="s">
        <v>66</v>
      </c>
      <c r="C16" s="138" t="s">
        <v>133</v>
      </c>
      <c r="D16" s="141" t="s">
        <v>144</v>
      </c>
      <c r="E16" s="140" t="s">
        <v>154</v>
      </c>
      <c r="F16" s="138" t="s">
        <v>163</v>
      </c>
      <c r="G16" s="141" t="s">
        <v>171</v>
      </c>
      <c r="H16" s="146" t="s">
        <v>181</v>
      </c>
      <c r="I16" s="138" t="s">
        <v>196</v>
      </c>
      <c r="J16" s="141" t="s">
        <v>213</v>
      </c>
      <c r="K16" s="146" t="s">
        <v>230</v>
      </c>
      <c r="L16" s="142"/>
      <c r="M16" s="130"/>
      <c r="N16" s="143"/>
      <c r="O16" s="142"/>
      <c r="P16" s="130"/>
      <c r="Q16" s="131"/>
      <c r="R16" s="138"/>
      <c r="S16" s="139"/>
      <c r="T16" s="140"/>
      <c r="U16" s="138"/>
      <c r="V16" s="139"/>
      <c r="W16" s="146"/>
      <c r="X16" s="142"/>
      <c r="Y16" s="130"/>
      <c r="Z16" s="143"/>
      <c r="AA16" s="138"/>
      <c r="AB16" s="139"/>
      <c r="AC16" s="140"/>
    </row>
    <row r="17" spans="1:33" x14ac:dyDescent="0.35">
      <c r="B17" s="107" t="s">
        <v>64</v>
      </c>
      <c r="C17" s="138" t="s">
        <v>134</v>
      </c>
      <c r="D17" s="141" t="s">
        <v>145</v>
      </c>
      <c r="E17" s="140" t="s">
        <v>155</v>
      </c>
      <c r="F17" s="138" t="s">
        <v>164</v>
      </c>
      <c r="G17" s="141" t="s">
        <v>172</v>
      </c>
      <c r="H17" s="146" t="s">
        <v>182</v>
      </c>
      <c r="I17" s="138" t="s">
        <v>197</v>
      </c>
      <c r="J17" s="141" t="s">
        <v>214</v>
      </c>
      <c r="K17" s="146" t="s">
        <v>231</v>
      </c>
      <c r="L17" s="138"/>
      <c r="M17" s="141"/>
      <c r="N17" s="140"/>
      <c r="O17" s="138"/>
      <c r="P17" s="139"/>
      <c r="Q17" s="146"/>
      <c r="R17" s="138"/>
      <c r="S17" s="139"/>
      <c r="T17" s="140"/>
      <c r="U17" s="138"/>
      <c r="V17" s="139"/>
      <c r="W17" s="146"/>
      <c r="X17" s="138"/>
      <c r="Y17" s="139"/>
      <c r="Z17" s="140"/>
      <c r="AA17" s="138"/>
      <c r="AB17" s="139"/>
      <c r="AC17" s="140"/>
    </row>
    <row r="18" spans="1:33" x14ac:dyDescent="0.35">
      <c r="B18" s="107" t="s">
        <v>52</v>
      </c>
      <c r="C18" s="138" t="s">
        <v>135</v>
      </c>
      <c r="D18" s="141" t="s">
        <v>146</v>
      </c>
      <c r="E18" s="140" t="s">
        <v>156</v>
      </c>
      <c r="F18" s="138" t="s">
        <v>165</v>
      </c>
      <c r="G18" s="141" t="s">
        <v>173</v>
      </c>
      <c r="H18" s="146" t="s">
        <v>183</v>
      </c>
      <c r="I18" s="138" t="s">
        <v>198</v>
      </c>
      <c r="J18" s="139" t="s">
        <v>215</v>
      </c>
      <c r="K18" s="146" t="s">
        <v>232</v>
      </c>
      <c r="L18" s="138"/>
      <c r="M18" s="139"/>
      <c r="N18" s="140"/>
      <c r="O18" s="138"/>
      <c r="P18" s="139"/>
      <c r="Q18" s="146"/>
      <c r="R18" s="138"/>
      <c r="S18" s="139"/>
      <c r="T18" s="140"/>
      <c r="U18" s="138"/>
      <c r="V18" s="139"/>
      <c r="W18" s="146"/>
      <c r="X18" s="138"/>
      <c r="Y18" s="139"/>
      <c r="Z18" s="140"/>
      <c r="AA18" s="138"/>
      <c r="AB18" s="139"/>
      <c r="AC18" s="140"/>
    </row>
    <row r="19" spans="1:33" x14ac:dyDescent="0.35">
      <c r="B19" s="107" t="s">
        <v>60</v>
      </c>
      <c r="C19" s="138" t="s">
        <v>136</v>
      </c>
      <c r="D19" s="141" t="s">
        <v>147</v>
      </c>
      <c r="E19" s="140" t="s">
        <v>157</v>
      </c>
      <c r="F19" s="138" t="s">
        <v>166</v>
      </c>
      <c r="G19" s="141" t="s">
        <v>174</v>
      </c>
      <c r="H19" s="146" t="s">
        <v>184</v>
      </c>
      <c r="I19" s="138" t="s">
        <v>199</v>
      </c>
      <c r="J19" s="139" t="s">
        <v>216</v>
      </c>
      <c r="K19" s="146" t="s">
        <v>233</v>
      </c>
      <c r="L19" s="138"/>
      <c r="M19" s="139"/>
      <c r="N19" s="140"/>
      <c r="O19" s="138"/>
      <c r="P19" s="139"/>
      <c r="Q19" s="146"/>
      <c r="R19" s="138"/>
      <c r="S19" s="141"/>
      <c r="T19" s="140"/>
      <c r="U19" s="138"/>
      <c r="V19" s="141"/>
      <c r="W19" s="146"/>
      <c r="X19" s="138"/>
      <c r="Y19" s="139"/>
      <c r="Z19" s="140"/>
      <c r="AA19" s="138"/>
      <c r="AB19" s="139"/>
      <c r="AC19" s="140"/>
    </row>
    <row r="20" spans="1:33" x14ac:dyDescent="0.35">
      <c r="B20" s="107" t="s">
        <v>59</v>
      </c>
      <c r="C20" s="138" t="s">
        <v>128</v>
      </c>
      <c r="D20" s="139" t="s">
        <v>148</v>
      </c>
      <c r="E20" s="140" t="s">
        <v>128</v>
      </c>
      <c r="F20" s="138" t="s">
        <v>128</v>
      </c>
      <c r="G20" s="139" t="s">
        <v>138</v>
      </c>
      <c r="H20" s="146" t="s">
        <v>138</v>
      </c>
      <c r="I20" s="138" t="s">
        <v>200</v>
      </c>
      <c r="J20" s="139" t="s">
        <v>217</v>
      </c>
      <c r="K20" s="146" t="s">
        <v>234</v>
      </c>
      <c r="L20" s="138"/>
      <c r="M20" s="139"/>
      <c r="N20" s="140"/>
      <c r="O20" s="138"/>
      <c r="P20" s="139"/>
      <c r="Q20" s="146"/>
      <c r="R20" s="138"/>
      <c r="S20" s="141"/>
      <c r="T20" s="140"/>
      <c r="U20" s="138"/>
      <c r="V20" s="141"/>
      <c r="W20" s="146"/>
      <c r="X20" s="138"/>
      <c r="Y20" s="139"/>
      <c r="Z20" s="140"/>
      <c r="AA20" s="138"/>
      <c r="AB20" s="139"/>
      <c r="AC20" s="140"/>
    </row>
    <row r="21" spans="1:33" x14ac:dyDescent="0.35">
      <c r="B21" s="107" t="s">
        <v>69</v>
      </c>
      <c r="C21" s="142" t="s">
        <v>128</v>
      </c>
      <c r="D21" s="130" t="s">
        <v>128</v>
      </c>
      <c r="E21" s="143" t="s">
        <v>128</v>
      </c>
      <c r="F21" s="138" t="s">
        <v>128</v>
      </c>
      <c r="G21" s="139" t="s">
        <v>138</v>
      </c>
      <c r="H21" s="146" t="s">
        <v>138</v>
      </c>
      <c r="I21" s="138" t="s">
        <v>201</v>
      </c>
      <c r="J21" s="139" t="s">
        <v>218</v>
      </c>
      <c r="K21" s="146" t="s">
        <v>235</v>
      </c>
      <c r="L21" s="138"/>
      <c r="M21" s="139"/>
      <c r="N21" s="140"/>
      <c r="O21" s="138"/>
      <c r="P21" s="139"/>
      <c r="Q21" s="146"/>
      <c r="R21" s="138"/>
      <c r="S21" s="139"/>
      <c r="T21" s="140"/>
      <c r="U21" s="138"/>
      <c r="V21" s="139"/>
      <c r="W21" s="146"/>
      <c r="X21" s="138"/>
      <c r="Y21" s="139"/>
      <c r="Z21" s="140"/>
      <c r="AA21" s="138"/>
      <c r="AB21" s="139"/>
      <c r="AC21" s="140"/>
    </row>
    <row r="22" spans="1:33" x14ac:dyDescent="0.35">
      <c r="A22" t="e">
        <f>$A$1:$AZ$21</f>
        <v>#VALUE!</v>
      </c>
      <c r="B22" s="107" t="s">
        <v>115</v>
      </c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</row>
    <row r="23" spans="1:33" x14ac:dyDescent="0.35">
      <c r="B23" s="107" t="s">
        <v>89</v>
      </c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9"/>
      <c r="AB23" s="109"/>
      <c r="AC23" s="109"/>
      <c r="AD23" s="109"/>
      <c r="AE23" s="109"/>
      <c r="AF23" s="109"/>
      <c r="AG23" s="105"/>
    </row>
    <row r="24" spans="1:33" x14ac:dyDescent="0.35">
      <c r="C24" s="109"/>
      <c r="D24" s="109"/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8"/>
      <c r="AF24" s="109"/>
      <c r="AG24" s="105"/>
    </row>
    <row r="25" spans="1:33" x14ac:dyDescent="0.35"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9"/>
      <c r="AB25" s="109"/>
      <c r="AC25" s="109"/>
      <c r="AD25" s="109"/>
      <c r="AE25" s="109"/>
      <c r="AF25" s="109"/>
      <c r="AG25" s="105"/>
    </row>
    <row r="26" spans="1:33" x14ac:dyDescent="0.35"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8"/>
      <c r="AF26" s="109"/>
      <c r="AG26" s="105"/>
    </row>
    <row r="27" spans="1:33" x14ac:dyDescent="0.35">
      <c r="C27" s="108"/>
      <c r="D27" s="109"/>
      <c r="E27" s="109"/>
      <c r="F27" s="108"/>
      <c r="G27" s="109"/>
      <c r="H27" s="109"/>
      <c r="I27" s="109"/>
      <c r="J27" s="109"/>
      <c r="K27" s="109"/>
      <c r="L27" s="108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5"/>
    </row>
    <row r="28" spans="1:33" x14ac:dyDescent="0.35"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G28" s="105"/>
    </row>
    <row r="29" spans="1:33" x14ac:dyDescent="0.35">
      <c r="C29" s="108"/>
      <c r="D29" s="109"/>
      <c r="E29" s="109"/>
      <c r="F29" s="108"/>
      <c r="G29" s="109"/>
      <c r="H29" s="109"/>
      <c r="I29" s="109"/>
      <c r="J29" s="109"/>
      <c r="K29" s="109"/>
      <c r="L29" s="108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G29" s="105"/>
    </row>
    <row r="30" spans="1:33" x14ac:dyDescent="0.35"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G30" s="105"/>
    </row>
    <row r="31" spans="1:33" x14ac:dyDescent="0.35">
      <c r="C31" s="108"/>
      <c r="D31" s="109"/>
      <c r="E31" s="109"/>
      <c r="F31" s="108"/>
      <c r="G31" s="109"/>
      <c r="H31" s="109"/>
      <c r="I31" s="109"/>
      <c r="J31" s="109"/>
      <c r="K31" s="109"/>
      <c r="L31" s="108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G31" s="105"/>
    </row>
    <row r="32" spans="1:33" x14ac:dyDescent="0.35"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G32" s="105"/>
    </row>
    <row r="33" spans="2:33" x14ac:dyDescent="0.35">
      <c r="C33" s="108"/>
      <c r="D33" s="109"/>
      <c r="E33" s="109"/>
      <c r="F33" s="108"/>
      <c r="G33" s="109"/>
      <c r="H33" s="109"/>
      <c r="I33" s="109"/>
      <c r="J33" s="109"/>
      <c r="K33" s="109"/>
      <c r="L33" s="108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G33" s="105"/>
    </row>
    <row r="34" spans="2:33" x14ac:dyDescent="0.3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G34" s="105"/>
    </row>
    <row r="35" spans="2:33" x14ac:dyDescent="0.35">
      <c r="C35" s="108"/>
      <c r="D35" s="109"/>
      <c r="E35" s="109"/>
      <c r="F35" s="108"/>
      <c r="G35" s="109"/>
      <c r="H35" s="109"/>
      <c r="I35" s="109"/>
      <c r="J35" s="109"/>
      <c r="K35" s="109"/>
      <c r="L35" s="108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2:33" x14ac:dyDescent="0.3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  <row r="37" spans="2:33" x14ac:dyDescent="0.3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</row>
    <row r="38" spans="2:33" x14ac:dyDescent="0.35"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</row>
    <row r="39" spans="2:33" x14ac:dyDescent="0.35">
      <c r="C39" s="108"/>
      <c r="D39" s="109"/>
      <c r="E39" s="109"/>
      <c r="F39" s="108"/>
      <c r="G39" s="109"/>
      <c r="H39" s="109"/>
      <c r="I39" s="109"/>
      <c r="J39" s="109"/>
      <c r="K39" s="109"/>
      <c r="L39" s="108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</row>
    <row r="40" spans="2:33" x14ac:dyDescent="0.35"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</row>
    <row r="41" spans="2:33" x14ac:dyDescent="0.35">
      <c r="B41" s="110"/>
      <c r="C41" s="108"/>
      <c r="D41" s="109"/>
      <c r="E41" s="109"/>
      <c r="F41" s="108"/>
      <c r="G41" s="109"/>
      <c r="H41" s="109"/>
      <c r="I41" s="109"/>
      <c r="J41" s="109"/>
      <c r="K41" s="109"/>
      <c r="L41" s="108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</row>
    <row r="42" spans="2:33" x14ac:dyDescent="0.35">
      <c r="B42" s="110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</row>
  </sheetData>
  <conditionalFormatting sqref="A1:A21">
    <cfRule type="expression" dxfId="0" priority="3">
      <formula>ISNUMBER(A1)</formula>
    </cfRule>
  </conditionalFormatting>
  <conditionalFormatting sqref="AD1:AF1 AA23:AF2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dfluid1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Администратор</cp:lastModifiedBy>
  <dcterms:created xsi:type="dcterms:W3CDTF">2021-02-28T18:39:35Z</dcterms:created>
  <dcterms:modified xsi:type="dcterms:W3CDTF">2021-04-20T19:29:49Z</dcterms:modified>
</cp:coreProperties>
</file>