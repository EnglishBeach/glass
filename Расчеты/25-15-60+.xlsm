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_{3C1724AB-2F1B-4EB9-9C1B-929090B70722}" xr6:coauthVersionLast="46" xr6:coauthVersionMax="46" xr10:uidLastSave="{00000000-0000-0000-0000-000000000000}"/>
  <bookViews>
    <workbookView xWindow="28680" yWindow="-120" windowWidth="29040" windowHeight="15990" activeTab="3" xr2:uid="{0302BE19-1FF7-41F7-880F-6539212B9FEB}"/>
  </bookViews>
  <sheets>
    <sheet name="Values" sheetId="2" r:id="rId1"/>
    <sheet name="ALL" sheetId="4" r:id="rId2"/>
    <sheet name="FLUID" sheetId="10" r:id="rId3"/>
    <sheet name="SOLID" sheetId="9" r:id="rId4"/>
    <sheet name="EVALUATION" sheetId="8" r:id="rId5"/>
    <sheet name="data" sheetId="7" r:id="rId6"/>
  </sheets>
  <functionGroups builtInGroupCount="19"/>
  <externalReferences>
    <externalReference r:id="rId7"/>
  </externalReferences>
  <definedNames>
    <definedName name="H.Ar" localSheetId="1">ALL!$F$34:$AL$34</definedName>
    <definedName name="H.Ar" localSheetId="2">FLUID!$F$34:$AL$34</definedName>
    <definedName name="H.Ar" localSheetId="3">SOLID!$F$34:$AL$34</definedName>
    <definedName name="H.Ga" localSheetId="1">ALL!$F$35:$AL$35</definedName>
    <definedName name="H.Ga" localSheetId="2">FLUID!$F$35:$AL$35</definedName>
    <definedName name="H.Ga" localSheetId="3">SOLID!$F$35:$AL$35</definedName>
    <definedName name="H.Ge" localSheetId="1">ALL!$F$36:$AL$36</definedName>
    <definedName name="H.Ge" localSheetId="2">FLUID!$F$36:$AL$36</definedName>
    <definedName name="H.Ge" localSheetId="3">SOLID!$F$36:$AL$36</definedName>
    <definedName name="H.Se" localSheetId="1">ALL!$F$37:$AL$37</definedName>
    <definedName name="H.Se" localSheetId="2">FLUID!$F$37:$AL$37</definedName>
    <definedName name="H.Se" localSheetId="3">SOLID!$F$37:$AL$37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7" i="9" l="1"/>
  <c r="H117" i="9"/>
  <c r="I117" i="9"/>
  <c r="J117" i="9"/>
  <c r="K117" i="9"/>
  <c r="L117" i="9"/>
  <c r="M117" i="9"/>
  <c r="N117" i="9"/>
  <c r="O117" i="9"/>
  <c r="P117" i="9"/>
  <c r="Q117" i="9"/>
  <c r="R117" i="9"/>
  <c r="S117" i="9"/>
  <c r="T117" i="9"/>
  <c r="U117" i="9"/>
  <c r="V117" i="9"/>
  <c r="W117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L117" i="9"/>
  <c r="G40" i="9"/>
  <c r="H40" i="9"/>
  <c r="I40" i="9"/>
  <c r="J40" i="9"/>
  <c r="K40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AA40" i="9"/>
  <c r="AB40" i="9"/>
  <c r="AC40" i="9"/>
  <c r="AD40" i="9"/>
  <c r="AE40" i="9"/>
  <c r="AF40" i="9"/>
  <c r="AG40" i="9"/>
  <c r="AH40" i="9"/>
  <c r="AI40" i="9"/>
  <c r="AJ40" i="9"/>
  <c r="AK40" i="9"/>
  <c r="AL40" i="9"/>
  <c r="G49" i="9"/>
  <c r="H49" i="9"/>
  <c r="I49" i="9"/>
  <c r="J49" i="9"/>
  <c r="K49" i="9"/>
  <c r="L49" i="9"/>
  <c r="M49" i="9"/>
  <c r="N49" i="9"/>
  <c r="O49" i="9"/>
  <c r="P49" i="9"/>
  <c r="Q49" i="9"/>
  <c r="R49" i="9"/>
  <c r="S49" i="9"/>
  <c r="T49" i="9"/>
  <c r="U49" i="9"/>
  <c r="V49" i="9"/>
  <c r="W49" i="9"/>
  <c r="X49" i="9"/>
  <c r="Y49" i="9"/>
  <c r="Z49" i="9"/>
  <c r="AA49" i="9"/>
  <c r="AB49" i="9"/>
  <c r="AC49" i="9"/>
  <c r="AD49" i="9"/>
  <c r="AE49" i="9"/>
  <c r="AF49" i="9"/>
  <c r="AG49" i="9"/>
  <c r="AH49" i="9"/>
  <c r="AI49" i="9"/>
  <c r="AJ49" i="9"/>
  <c r="AK49" i="9"/>
  <c r="AL49" i="9"/>
  <c r="G83" i="9"/>
  <c r="H83" i="9"/>
  <c r="I83" i="9"/>
  <c r="J83" i="9"/>
  <c r="K83" i="9"/>
  <c r="L83" i="9"/>
  <c r="M83" i="9"/>
  <c r="N83" i="9"/>
  <c r="O83" i="9"/>
  <c r="P83" i="9"/>
  <c r="Q83" i="9"/>
  <c r="R83" i="9"/>
  <c r="S83" i="9"/>
  <c r="T83" i="9"/>
  <c r="U83" i="9"/>
  <c r="V83" i="9"/>
  <c r="W83" i="9"/>
  <c r="X83" i="9"/>
  <c r="Y83" i="9"/>
  <c r="Z83" i="9"/>
  <c r="AA83" i="9"/>
  <c r="AB83" i="9"/>
  <c r="AC83" i="9"/>
  <c r="AD83" i="9"/>
  <c r="AE83" i="9"/>
  <c r="AF83" i="9"/>
  <c r="AG83" i="9"/>
  <c r="AH83" i="9"/>
  <c r="AI83" i="9"/>
  <c r="AJ83" i="9"/>
  <c r="AK83" i="9"/>
  <c r="AL83" i="9"/>
  <c r="D34" i="10"/>
  <c r="G34" i="10" s="1"/>
  <c r="D35" i="4"/>
  <c r="D36" i="4"/>
  <c r="D37" i="4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G83" i="10"/>
  <c r="H83" i="10"/>
  <c r="I83" i="10"/>
  <c r="J83" i="10"/>
  <c r="K83" i="10"/>
  <c r="L83" i="10"/>
  <c r="M83" i="10"/>
  <c r="N83" i="10"/>
  <c r="O83" i="10"/>
  <c r="P83" i="10"/>
  <c r="Q83" i="10"/>
  <c r="R83" i="10"/>
  <c r="S83" i="10"/>
  <c r="T83" i="10"/>
  <c r="U83" i="10"/>
  <c r="V83" i="10"/>
  <c r="W83" i="10"/>
  <c r="X83" i="10"/>
  <c r="Y83" i="10"/>
  <c r="Z83" i="10"/>
  <c r="AA83" i="10"/>
  <c r="AB83" i="10"/>
  <c r="AC83" i="10"/>
  <c r="AD83" i="10"/>
  <c r="AE83" i="10"/>
  <c r="AF83" i="10"/>
  <c r="AG83" i="10"/>
  <c r="AH83" i="10"/>
  <c r="AI83" i="10"/>
  <c r="AJ83" i="10"/>
  <c r="AK83" i="10"/>
  <c r="AL83" i="10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AD83" i="4"/>
  <c r="AE83" i="4"/>
  <c r="AF83" i="4"/>
  <c r="AG83" i="4"/>
  <c r="AH83" i="4"/>
  <c r="AI83" i="4"/>
  <c r="AJ83" i="4"/>
  <c r="AK83" i="4"/>
  <c r="AL83" i="4"/>
  <c r="G117" i="4"/>
  <c r="H117" i="4"/>
  <c r="I117" i="4"/>
  <c r="J117" i="4"/>
  <c r="K117" i="4"/>
  <c r="L117" i="4"/>
  <c r="M117" i="4"/>
  <c r="N117" i="4"/>
  <c r="O117" i="4"/>
  <c r="P117" i="4"/>
  <c r="Q117" i="4"/>
  <c r="R117" i="4"/>
  <c r="S117" i="4"/>
  <c r="T117" i="4"/>
  <c r="U117" i="4"/>
  <c r="V117" i="4"/>
  <c r="W117" i="4"/>
  <c r="X117" i="4"/>
  <c r="Y117" i="4"/>
  <c r="Z117" i="4"/>
  <c r="AA117" i="4"/>
  <c r="AB117" i="4"/>
  <c r="AC117" i="4"/>
  <c r="AD117" i="4"/>
  <c r="AE117" i="4"/>
  <c r="AF117" i="4"/>
  <c r="AG117" i="4"/>
  <c r="AH117" i="4"/>
  <c r="AI117" i="4"/>
  <c r="AJ117" i="4"/>
  <c r="AK117" i="4"/>
  <c r="AL117" i="4"/>
  <c r="D37" i="10"/>
  <c r="M37" i="10" s="1"/>
  <c r="D35" i="10"/>
  <c r="G35" i="10" s="1"/>
  <c r="D36" i="10"/>
  <c r="G36" i="10" s="1"/>
  <c r="A22" i="7"/>
  <c r="F35" i="10" l="1"/>
  <c r="AK35" i="10"/>
  <c r="AC35" i="10"/>
  <c r="T37" i="10"/>
  <c r="AA37" i="10"/>
  <c r="Z37" i="10"/>
  <c r="J37" i="10"/>
  <c r="AG37" i="10"/>
  <c r="Y37" i="10"/>
  <c r="Q37" i="10"/>
  <c r="I37" i="10"/>
  <c r="AB37" i="10"/>
  <c r="AI37" i="10"/>
  <c r="S37" i="10"/>
  <c r="AH37" i="10"/>
  <c r="R37" i="10"/>
  <c r="E37" i="10"/>
  <c r="AF37" i="10"/>
  <c r="X37" i="10"/>
  <c r="P37" i="10"/>
  <c r="H37" i="10"/>
  <c r="AJ37" i="10"/>
  <c r="L37" i="10"/>
  <c r="K37" i="10"/>
  <c r="AE37" i="10"/>
  <c r="W37" i="10"/>
  <c r="O37" i="10"/>
  <c r="G37" i="10"/>
  <c r="AL37" i="10"/>
  <c r="AD37" i="10"/>
  <c r="V37" i="10"/>
  <c r="N37" i="10"/>
  <c r="AK37" i="10"/>
  <c r="AC37" i="10"/>
  <c r="U37" i="10"/>
  <c r="AL36" i="10"/>
  <c r="AD36" i="10"/>
  <c r="V36" i="10"/>
  <c r="N36" i="10"/>
  <c r="AL35" i="10"/>
  <c r="AD35" i="10"/>
  <c r="V35" i="10"/>
  <c r="N35" i="10"/>
  <c r="AL34" i="10"/>
  <c r="AD34" i="10"/>
  <c r="V34" i="10"/>
  <c r="N34" i="10"/>
  <c r="M36" i="10"/>
  <c r="AJ36" i="10"/>
  <c r="L36" i="10"/>
  <c r="AB35" i="10"/>
  <c r="L35" i="10"/>
  <c r="AJ34" i="10"/>
  <c r="AB34" i="10"/>
  <c r="T34" i="10"/>
  <c r="L34" i="10"/>
  <c r="E34" i="10"/>
  <c r="AC36" i="10"/>
  <c r="U36" i="10"/>
  <c r="U35" i="10"/>
  <c r="AK34" i="10"/>
  <c r="U34" i="10"/>
  <c r="AI36" i="10"/>
  <c r="AA36" i="10"/>
  <c r="S36" i="10"/>
  <c r="K36" i="10"/>
  <c r="AI35" i="10"/>
  <c r="AA35" i="10"/>
  <c r="S35" i="10"/>
  <c r="K35" i="10"/>
  <c r="AI34" i="10"/>
  <c r="AA34" i="10"/>
  <c r="S34" i="10"/>
  <c r="K34" i="10"/>
  <c r="T36" i="10"/>
  <c r="T35" i="10"/>
  <c r="E36" i="10"/>
  <c r="E35" i="10"/>
  <c r="AH36" i="10"/>
  <c r="Z36" i="10"/>
  <c r="R36" i="10"/>
  <c r="J36" i="10"/>
  <c r="AH35" i="10"/>
  <c r="Z35" i="10"/>
  <c r="R35" i="10"/>
  <c r="J35" i="10"/>
  <c r="AH34" i="10"/>
  <c r="Z34" i="10"/>
  <c r="R34" i="10"/>
  <c r="J34" i="10"/>
  <c r="AK36" i="10"/>
  <c r="M35" i="10"/>
  <c r="AC34" i="10"/>
  <c r="M34" i="10"/>
  <c r="AB36" i="10"/>
  <c r="AJ35" i="10"/>
  <c r="F36" i="10"/>
  <c r="AG36" i="10"/>
  <c r="Y36" i="10"/>
  <c r="Q36" i="10"/>
  <c r="I36" i="10"/>
  <c r="AG35" i="10"/>
  <c r="Y35" i="10"/>
  <c r="Q35" i="10"/>
  <c r="I35" i="10"/>
  <c r="AG34" i="10"/>
  <c r="Y34" i="10"/>
  <c r="Q34" i="10"/>
  <c r="I34" i="10"/>
  <c r="AF36" i="10"/>
  <c r="X36" i="10"/>
  <c r="P36" i="10"/>
  <c r="H36" i="10"/>
  <c r="AF35" i="10"/>
  <c r="X35" i="10"/>
  <c r="P35" i="10"/>
  <c r="H35" i="10"/>
  <c r="AF34" i="10"/>
  <c r="X34" i="10"/>
  <c r="P34" i="10"/>
  <c r="H34" i="10"/>
  <c r="F34" i="10"/>
  <c r="AE36" i="10"/>
  <c r="W36" i="10"/>
  <c r="O36" i="10"/>
  <c r="AE35" i="10"/>
  <c r="W35" i="10"/>
  <c r="O35" i="10"/>
  <c r="AE34" i="10"/>
  <c r="W34" i="10"/>
  <c r="O34" i="10"/>
  <c r="A98" i="8"/>
  <c r="A99" i="8" s="1"/>
  <c r="B98" i="8"/>
  <c r="G78" i="10" l="1"/>
  <c r="Q71" i="10"/>
  <c r="Q72" i="10"/>
  <c r="Q73" i="10"/>
  <c r="Q74" i="10"/>
  <c r="Q75" i="10"/>
  <c r="Q76" i="10"/>
  <c r="Q77" i="10"/>
  <c r="Q78" i="10"/>
  <c r="Y71" i="10"/>
  <c r="Y72" i="10"/>
  <c r="Y73" i="10"/>
  <c r="Y74" i="10"/>
  <c r="Y75" i="10"/>
  <c r="Y76" i="10"/>
  <c r="Y77" i="10"/>
  <c r="Y78" i="10"/>
  <c r="G76" i="10"/>
  <c r="W71" i="10"/>
  <c r="W72" i="10"/>
  <c r="W73" i="10"/>
  <c r="W74" i="10"/>
  <c r="W75" i="10"/>
  <c r="W76" i="10"/>
  <c r="W77" i="10"/>
  <c r="W78" i="10"/>
  <c r="AG71" i="10"/>
  <c r="AG72" i="10"/>
  <c r="AG73" i="10"/>
  <c r="AG74" i="10"/>
  <c r="AG75" i="10"/>
  <c r="AG76" i="10"/>
  <c r="AG77" i="10"/>
  <c r="AG78" i="10"/>
  <c r="J71" i="10"/>
  <c r="J72" i="10"/>
  <c r="J73" i="10"/>
  <c r="J74" i="10"/>
  <c r="J75" i="10"/>
  <c r="J76" i="10"/>
  <c r="J77" i="10"/>
  <c r="J78" i="10"/>
  <c r="K72" i="10"/>
  <c r="K74" i="10"/>
  <c r="K78" i="10"/>
  <c r="K71" i="10"/>
  <c r="K73" i="10"/>
  <c r="K75" i="10"/>
  <c r="K77" i="10"/>
  <c r="K76" i="10"/>
  <c r="G77" i="10"/>
  <c r="H71" i="10"/>
  <c r="H72" i="10"/>
  <c r="H73" i="10"/>
  <c r="H74" i="10"/>
  <c r="H75" i="10"/>
  <c r="H76" i="10"/>
  <c r="H77" i="10"/>
  <c r="H78" i="10"/>
  <c r="S78" i="10"/>
  <c r="S71" i="10"/>
  <c r="S76" i="10"/>
  <c r="S73" i="10"/>
  <c r="S75" i="10"/>
  <c r="S77" i="10"/>
  <c r="S72" i="10"/>
  <c r="S74" i="10"/>
  <c r="P71" i="10"/>
  <c r="P72" i="10"/>
  <c r="P73" i="10"/>
  <c r="P74" i="10"/>
  <c r="P75" i="10"/>
  <c r="P76" i="10"/>
  <c r="P77" i="10"/>
  <c r="P78" i="10"/>
  <c r="Z71" i="10"/>
  <c r="Z72" i="10"/>
  <c r="Z73" i="10"/>
  <c r="Z74" i="10"/>
  <c r="Z75" i="10"/>
  <c r="Z76" i="10"/>
  <c r="Z77" i="10"/>
  <c r="Z78" i="10"/>
  <c r="G71" i="10"/>
  <c r="AA72" i="10"/>
  <c r="AA76" i="10"/>
  <c r="AA74" i="10"/>
  <c r="AA77" i="10"/>
  <c r="AA78" i="10"/>
  <c r="AA71" i="10"/>
  <c r="AA73" i="10"/>
  <c r="AA75" i="10"/>
  <c r="X71" i="10"/>
  <c r="X72" i="10"/>
  <c r="X73" i="10"/>
  <c r="X74" i="10"/>
  <c r="X75" i="10"/>
  <c r="X76" i="10"/>
  <c r="X77" i="10"/>
  <c r="X78" i="10"/>
  <c r="AH71" i="10"/>
  <c r="AH72" i="10"/>
  <c r="AH73" i="10"/>
  <c r="AH74" i="10"/>
  <c r="AH75" i="10"/>
  <c r="AH76" i="10"/>
  <c r="AH77" i="10"/>
  <c r="AH78" i="10"/>
  <c r="T71" i="10"/>
  <c r="T72" i="10"/>
  <c r="T73" i="10"/>
  <c r="T74" i="10"/>
  <c r="T75" i="10"/>
  <c r="T76" i="10"/>
  <c r="T77" i="10"/>
  <c r="T78" i="10"/>
  <c r="N71" i="10"/>
  <c r="N72" i="10"/>
  <c r="N73" i="10"/>
  <c r="N74" i="10"/>
  <c r="N75" i="10"/>
  <c r="N76" i="10"/>
  <c r="N77" i="10"/>
  <c r="N78" i="10"/>
  <c r="G72" i="10"/>
  <c r="M71" i="10"/>
  <c r="M72" i="10"/>
  <c r="M73" i="10"/>
  <c r="M74" i="10"/>
  <c r="M75" i="10"/>
  <c r="M76" i="10"/>
  <c r="M77" i="10"/>
  <c r="M78" i="10"/>
  <c r="U71" i="10"/>
  <c r="U72" i="10"/>
  <c r="U73" i="10"/>
  <c r="U74" i="10"/>
  <c r="U75" i="10"/>
  <c r="U76" i="10"/>
  <c r="U77" i="10"/>
  <c r="U78" i="10"/>
  <c r="AB71" i="10"/>
  <c r="AB72" i="10"/>
  <c r="AB73" i="10"/>
  <c r="AB74" i="10"/>
  <c r="AB75" i="10"/>
  <c r="AB76" i="10"/>
  <c r="AB77" i="10"/>
  <c r="AB78" i="10"/>
  <c r="V71" i="10"/>
  <c r="V72" i="10"/>
  <c r="V73" i="10"/>
  <c r="V74" i="10"/>
  <c r="V75" i="10"/>
  <c r="V76" i="10"/>
  <c r="V77" i="10"/>
  <c r="V78" i="10"/>
  <c r="G73" i="10"/>
  <c r="AE71" i="10"/>
  <c r="AE72" i="10"/>
  <c r="AE73" i="10"/>
  <c r="AE74" i="10"/>
  <c r="AE75" i="10"/>
  <c r="AE76" i="10"/>
  <c r="AE77" i="10"/>
  <c r="AE78" i="10"/>
  <c r="L71" i="10"/>
  <c r="L72" i="10"/>
  <c r="L73" i="10"/>
  <c r="L74" i="10"/>
  <c r="L75" i="10"/>
  <c r="L76" i="10"/>
  <c r="L77" i="10"/>
  <c r="L78" i="10"/>
  <c r="AI74" i="10"/>
  <c r="AI76" i="10"/>
  <c r="AI72" i="10"/>
  <c r="AI75" i="10"/>
  <c r="AI71" i="10"/>
  <c r="AI73" i="10"/>
  <c r="AI78" i="10"/>
  <c r="AI77" i="10"/>
  <c r="AF71" i="10"/>
  <c r="AF72" i="10"/>
  <c r="AF73" i="10"/>
  <c r="AF74" i="10"/>
  <c r="AF75" i="10"/>
  <c r="AF76" i="10"/>
  <c r="AF77" i="10"/>
  <c r="AF78" i="10"/>
  <c r="I71" i="10"/>
  <c r="I72" i="10"/>
  <c r="I73" i="10"/>
  <c r="I74" i="10"/>
  <c r="I75" i="10"/>
  <c r="I76" i="10"/>
  <c r="I77" i="10"/>
  <c r="I78" i="10"/>
  <c r="AC71" i="10"/>
  <c r="AC72" i="10"/>
  <c r="AC73" i="10"/>
  <c r="AC74" i="10"/>
  <c r="AC75" i="10"/>
  <c r="AC76" i="10"/>
  <c r="AC77" i="10"/>
  <c r="AC78" i="10"/>
  <c r="AK71" i="10"/>
  <c r="AK72" i="10"/>
  <c r="AK73" i="10"/>
  <c r="AK74" i="10"/>
  <c r="AK75" i="10"/>
  <c r="AK76" i="10"/>
  <c r="AK77" i="10"/>
  <c r="AK78" i="10"/>
  <c r="AJ71" i="10"/>
  <c r="AJ72" i="10"/>
  <c r="AJ73" i="10"/>
  <c r="AJ74" i="10"/>
  <c r="AJ75" i="10"/>
  <c r="AJ76" i="10"/>
  <c r="AJ77" i="10"/>
  <c r="AJ78" i="10"/>
  <c r="AD71" i="10"/>
  <c r="AD72" i="10"/>
  <c r="AD73" i="10"/>
  <c r="AD74" i="10"/>
  <c r="AD75" i="10"/>
  <c r="AD76" i="10"/>
  <c r="AD77" i="10"/>
  <c r="AD78" i="10"/>
  <c r="G74" i="10"/>
  <c r="R71" i="10"/>
  <c r="R72" i="10"/>
  <c r="R73" i="10"/>
  <c r="R74" i="10"/>
  <c r="R75" i="10"/>
  <c r="R76" i="10"/>
  <c r="R77" i="10"/>
  <c r="R78" i="10"/>
  <c r="AL71" i="10"/>
  <c r="AL72" i="10"/>
  <c r="AL73" i="10"/>
  <c r="AL74" i="10"/>
  <c r="AL75" i="10"/>
  <c r="AL76" i="10"/>
  <c r="AL77" i="10"/>
  <c r="AL78" i="10"/>
  <c r="G75" i="10"/>
  <c r="O71" i="10"/>
  <c r="O72" i="10"/>
  <c r="O73" i="10"/>
  <c r="O74" i="10"/>
  <c r="O75" i="10"/>
  <c r="O76" i="10"/>
  <c r="O77" i="10"/>
  <c r="O78" i="10"/>
  <c r="D35" i="9"/>
  <c r="D36" i="9"/>
  <c r="D37" i="9"/>
  <c r="D34" i="9"/>
  <c r="D34" i="4"/>
  <c r="V37" i="4" l="1"/>
  <c r="W37" i="4"/>
  <c r="T37" i="4"/>
  <c r="U37" i="4"/>
  <c r="U36" i="4"/>
  <c r="V36" i="4"/>
  <c r="W36" i="4"/>
  <c r="A51" i="8"/>
  <c r="A61" i="8"/>
  <c r="B64" i="8"/>
  <c r="AI34" i="8"/>
  <c r="AI35" i="8"/>
  <c r="AI36" i="8"/>
  <c r="AI37" i="8"/>
  <c r="AI38" i="8"/>
  <c r="AI39" i="8"/>
  <c r="AI40" i="8"/>
  <c r="AI41" i="8"/>
  <c r="AI42" i="8"/>
  <c r="AI43" i="8"/>
  <c r="AI44" i="8"/>
  <c r="AI45" i="8"/>
  <c r="AI46" i="8"/>
  <c r="AI47" i="8"/>
  <c r="AI48" i="8"/>
  <c r="AI49" i="8"/>
  <c r="AI50" i="8"/>
  <c r="AI51" i="8"/>
  <c r="AI52" i="8"/>
  <c r="AI53" i="8"/>
  <c r="AI54" i="8"/>
  <c r="AI55" i="8"/>
  <c r="AI56" i="8"/>
  <c r="AI57" i="8"/>
  <c r="AI58" i="8"/>
  <c r="AI59" i="8"/>
  <c r="AI60" i="8"/>
  <c r="AI61" i="8"/>
  <c r="AI62" i="8"/>
  <c r="AI63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27" i="8"/>
  <c r="B32" i="8"/>
  <c r="AI2" i="8"/>
  <c r="AI3" i="8"/>
  <c r="AI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24" i="8"/>
  <c r="AI25" i="8"/>
  <c r="AI26" i="8"/>
  <c r="AI27" i="8"/>
  <c r="AI28" i="8"/>
  <c r="AI29" i="8"/>
  <c r="AI30" i="8"/>
  <c r="AI31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F145" i="10"/>
  <c r="F146" i="10" s="1"/>
  <c r="E145" i="10"/>
  <c r="E146" i="10" s="1"/>
  <c r="D145" i="10"/>
  <c r="D146" i="10" s="1"/>
  <c r="C145" i="10"/>
  <c r="C146" i="10" s="1"/>
  <c r="C118" i="10"/>
  <c r="AL117" i="10"/>
  <c r="AK117" i="10"/>
  <c r="AJ117" i="10"/>
  <c r="AI117" i="10"/>
  <c r="AH117" i="10"/>
  <c r="AG117" i="10"/>
  <c r="AF117" i="10"/>
  <c r="AE117" i="10"/>
  <c r="AD117" i="10"/>
  <c r="AC117" i="10"/>
  <c r="AB117" i="10"/>
  <c r="AA117" i="10"/>
  <c r="Z117" i="10"/>
  <c r="Y117" i="10"/>
  <c r="X117" i="10"/>
  <c r="W117" i="10"/>
  <c r="V117" i="10"/>
  <c r="U117" i="10"/>
  <c r="T117" i="10"/>
  <c r="S117" i="10"/>
  <c r="R117" i="10"/>
  <c r="Q117" i="10"/>
  <c r="P117" i="10"/>
  <c r="O117" i="10"/>
  <c r="N117" i="10"/>
  <c r="M117" i="10"/>
  <c r="L117" i="10"/>
  <c r="K117" i="10"/>
  <c r="J117" i="10"/>
  <c r="I117" i="10"/>
  <c r="H117" i="10"/>
  <c r="G117" i="10"/>
  <c r="F117" i="10"/>
  <c r="F83" i="10"/>
  <c r="E79" i="10"/>
  <c r="E113" i="10" s="1"/>
  <c r="E78" i="10"/>
  <c r="E112" i="10" s="1"/>
  <c r="E77" i="10"/>
  <c r="E111" i="10" s="1"/>
  <c r="E76" i="10"/>
  <c r="E110" i="10" s="1"/>
  <c r="E75" i="10"/>
  <c r="E109" i="10" s="1"/>
  <c r="E74" i="10"/>
  <c r="E108" i="10" s="1"/>
  <c r="E73" i="10"/>
  <c r="E107" i="10" s="1"/>
  <c r="E72" i="10"/>
  <c r="E106" i="10" s="1"/>
  <c r="E71" i="10"/>
  <c r="E105" i="10" s="1"/>
  <c r="E70" i="10"/>
  <c r="E104" i="10" s="1"/>
  <c r="E69" i="10"/>
  <c r="E103" i="10" s="1"/>
  <c r="E68" i="10"/>
  <c r="E102" i="10" s="1"/>
  <c r="E67" i="10"/>
  <c r="E101" i="10" s="1"/>
  <c r="E66" i="10"/>
  <c r="E100" i="10" s="1"/>
  <c r="E65" i="10"/>
  <c r="E99" i="10" s="1"/>
  <c r="E64" i="10"/>
  <c r="E98" i="10" s="1"/>
  <c r="E63" i="10"/>
  <c r="E97" i="10" s="1"/>
  <c r="E62" i="10"/>
  <c r="E96" i="10" s="1"/>
  <c r="E61" i="10"/>
  <c r="E95" i="10" s="1"/>
  <c r="E60" i="10"/>
  <c r="E94" i="10" s="1"/>
  <c r="E59" i="10"/>
  <c r="E93" i="10" s="1"/>
  <c r="E58" i="10"/>
  <c r="E92" i="10" s="1"/>
  <c r="E57" i="10"/>
  <c r="E91" i="10" s="1"/>
  <c r="E56" i="10"/>
  <c r="E90" i="10" s="1"/>
  <c r="E55" i="10"/>
  <c r="E89" i="10" s="1"/>
  <c r="E54" i="10"/>
  <c r="E88" i="10" s="1"/>
  <c r="E53" i="10"/>
  <c r="E87" i="10" s="1"/>
  <c r="E52" i="10"/>
  <c r="E86" i="10" s="1"/>
  <c r="E51" i="10"/>
  <c r="E85" i="10" s="1"/>
  <c r="E50" i="10"/>
  <c r="E84" i="10" s="1"/>
  <c r="AH2" i="8"/>
  <c r="AG2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F49" i="10"/>
  <c r="B2" i="8" s="1"/>
  <c r="E49" i="10"/>
  <c r="E83" i="10" s="1"/>
  <c r="A45" i="10" a="1"/>
  <c r="D45" i="10" s="1"/>
  <c r="F40" i="10"/>
  <c r="D33" i="10"/>
  <c r="D79" i="10" s="1"/>
  <c r="D113" i="10" s="1"/>
  <c r="C33" i="10"/>
  <c r="C79" i="10" s="1"/>
  <c r="C113" i="10" s="1"/>
  <c r="B33" i="10"/>
  <c r="B79" i="10" s="1"/>
  <c r="B113" i="10" s="1"/>
  <c r="A33" i="10"/>
  <c r="A79" i="10" s="1"/>
  <c r="A113" i="10" s="1"/>
  <c r="D32" i="10"/>
  <c r="D78" i="10" s="1"/>
  <c r="D112" i="10" s="1"/>
  <c r="C32" i="10"/>
  <c r="C78" i="10" s="1"/>
  <c r="C112" i="10" s="1"/>
  <c r="B32" i="10"/>
  <c r="B78" i="10" s="1"/>
  <c r="B112" i="10" s="1"/>
  <c r="A32" i="10"/>
  <c r="A78" i="10" s="1"/>
  <c r="D31" i="10"/>
  <c r="D77" i="10" s="1"/>
  <c r="D111" i="10" s="1"/>
  <c r="C31" i="10"/>
  <c r="C77" i="10" s="1"/>
  <c r="C111" i="10" s="1"/>
  <c r="B31" i="10"/>
  <c r="B77" i="10" s="1"/>
  <c r="B111" i="10" s="1"/>
  <c r="A31" i="10"/>
  <c r="A77" i="10" s="1"/>
  <c r="D30" i="10"/>
  <c r="D76" i="10" s="1"/>
  <c r="D110" i="10" s="1"/>
  <c r="C30" i="10"/>
  <c r="C76" i="10" s="1"/>
  <c r="C110" i="10" s="1"/>
  <c r="B30" i="10"/>
  <c r="B76" i="10" s="1"/>
  <c r="B110" i="10" s="1"/>
  <c r="A30" i="10"/>
  <c r="A76" i="10" s="1"/>
  <c r="D29" i="10"/>
  <c r="D75" i="10" s="1"/>
  <c r="D109" i="10" s="1"/>
  <c r="C29" i="10"/>
  <c r="C75" i="10" s="1"/>
  <c r="C109" i="10" s="1"/>
  <c r="B29" i="10"/>
  <c r="B75" i="10" s="1"/>
  <c r="B109" i="10" s="1"/>
  <c r="A29" i="10"/>
  <c r="A75" i="10" s="1"/>
  <c r="D28" i="10"/>
  <c r="D74" i="10" s="1"/>
  <c r="D108" i="10" s="1"/>
  <c r="C28" i="10"/>
  <c r="C74" i="10" s="1"/>
  <c r="C108" i="10" s="1"/>
  <c r="B28" i="10"/>
  <c r="B74" i="10" s="1"/>
  <c r="B108" i="10" s="1"/>
  <c r="A28" i="10"/>
  <c r="A74" i="10" s="1"/>
  <c r="D27" i="10"/>
  <c r="D73" i="10" s="1"/>
  <c r="D107" i="10" s="1"/>
  <c r="C27" i="10"/>
  <c r="C73" i="10" s="1"/>
  <c r="C107" i="10" s="1"/>
  <c r="B27" i="10"/>
  <c r="B73" i="10" s="1"/>
  <c r="B107" i="10" s="1"/>
  <c r="A27" i="10"/>
  <c r="A73" i="10" s="1"/>
  <c r="D26" i="10"/>
  <c r="D72" i="10" s="1"/>
  <c r="D106" i="10" s="1"/>
  <c r="C26" i="10"/>
  <c r="C72" i="10" s="1"/>
  <c r="C106" i="10" s="1"/>
  <c r="B26" i="10"/>
  <c r="B72" i="10" s="1"/>
  <c r="B106" i="10" s="1"/>
  <c r="A26" i="10"/>
  <c r="A72" i="10" s="1"/>
  <c r="D25" i="10"/>
  <c r="D71" i="10" s="1"/>
  <c r="D105" i="10" s="1"/>
  <c r="C25" i="10"/>
  <c r="C71" i="10" s="1"/>
  <c r="C105" i="10" s="1"/>
  <c r="B25" i="10"/>
  <c r="B71" i="10" s="1"/>
  <c r="B105" i="10" s="1"/>
  <c r="A25" i="10"/>
  <c r="A71" i="10" s="1"/>
  <c r="D24" i="10"/>
  <c r="D70" i="10" s="1"/>
  <c r="D104" i="10" s="1"/>
  <c r="C24" i="10"/>
  <c r="C70" i="10" s="1"/>
  <c r="C104" i="10" s="1"/>
  <c r="B24" i="10"/>
  <c r="B70" i="10" s="1"/>
  <c r="B104" i="10" s="1"/>
  <c r="A24" i="10"/>
  <c r="A70" i="10" s="1"/>
  <c r="D23" i="10"/>
  <c r="D69" i="10" s="1"/>
  <c r="D103" i="10" s="1"/>
  <c r="C23" i="10"/>
  <c r="C69" i="10" s="1"/>
  <c r="C103" i="10" s="1"/>
  <c r="B23" i="10"/>
  <c r="B69" i="10" s="1"/>
  <c r="B103" i="10" s="1"/>
  <c r="A23" i="10"/>
  <c r="A69" i="10" s="1"/>
  <c r="D22" i="10"/>
  <c r="D68" i="10" s="1"/>
  <c r="D102" i="10" s="1"/>
  <c r="C22" i="10"/>
  <c r="C68" i="10" s="1"/>
  <c r="C102" i="10" s="1"/>
  <c r="B22" i="10"/>
  <c r="B68" i="10" s="1"/>
  <c r="B102" i="10" s="1"/>
  <c r="A22" i="10"/>
  <c r="A68" i="10" s="1"/>
  <c r="D21" i="10"/>
  <c r="D67" i="10" s="1"/>
  <c r="D101" i="10" s="1"/>
  <c r="C21" i="10"/>
  <c r="C67" i="10" s="1"/>
  <c r="C101" i="10" s="1"/>
  <c r="B21" i="10"/>
  <c r="B67" i="10" s="1"/>
  <c r="B101" i="10" s="1"/>
  <c r="A21" i="10"/>
  <c r="A67" i="10" s="1"/>
  <c r="D20" i="10"/>
  <c r="D66" i="10" s="1"/>
  <c r="D100" i="10" s="1"/>
  <c r="C20" i="10"/>
  <c r="C66" i="10" s="1"/>
  <c r="C100" i="10" s="1"/>
  <c r="B20" i="10"/>
  <c r="B66" i="10" s="1"/>
  <c r="B100" i="10" s="1"/>
  <c r="A20" i="10"/>
  <c r="A66" i="10" s="1"/>
  <c r="D19" i="10"/>
  <c r="D65" i="10" s="1"/>
  <c r="D99" i="10" s="1"/>
  <c r="C19" i="10"/>
  <c r="C65" i="10" s="1"/>
  <c r="C99" i="10" s="1"/>
  <c r="B19" i="10"/>
  <c r="B65" i="10" s="1"/>
  <c r="B99" i="10" s="1"/>
  <c r="A19" i="10"/>
  <c r="A65" i="10" s="1"/>
  <c r="D18" i="10"/>
  <c r="D64" i="10" s="1"/>
  <c r="D98" i="10" s="1"/>
  <c r="C18" i="10"/>
  <c r="C64" i="10" s="1"/>
  <c r="C98" i="10" s="1"/>
  <c r="B18" i="10"/>
  <c r="B64" i="10" s="1"/>
  <c r="B98" i="10" s="1"/>
  <c r="A18" i="10"/>
  <c r="A64" i="10" s="1"/>
  <c r="D17" i="10"/>
  <c r="D63" i="10" s="1"/>
  <c r="D97" i="10" s="1"/>
  <c r="C17" i="10"/>
  <c r="C63" i="10" s="1"/>
  <c r="C97" i="10" s="1"/>
  <c r="B17" i="10"/>
  <c r="B63" i="10" s="1"/>
  <c r="B97" i="10" s="1"/>
  <c r="A17" i="10"/>
  <c r="A63" i="10" s="1"/>
  <c r="D16" i="10"/>
  <c r="D62" i="10" s="1"/>
  <c r="D96" i="10" s="1"/>
  <c r="C16" i="10"/>
  <c r="C62" i="10" s="1"/>
  <c r="C96" i="10" s="1"/>
  <c r="B16" i="10"/>
  <c r="B62" i="10" s="1"/>
  <c r="B96" i="10" s="1"/>
  <c r="A16" i="10"/>
  <c r="A62" i="10" s="1"/>
  <c r="D15" i="10"/>
  <c r="D61" i="10" s="1"/>
  <c r="D95" i="10" s="1"/>
  <c r="C15" i="10"/>
  <c r="C61" i="10" s="1"/>
  <c r="C95" i="10" s="1"/>
  <c r="B15" i="10"/>
  <c r="B61" i="10" s="1"/>
  <c r="B95" i="10" s="1"/>
  <c r="A15" i="10"/>
  <c r="A61" i="10" s="1"/>
  <c r="D14" i="10"/>
  <c r="D60" i="10" s="1"/>
  <c r="D94" i="10" s="1"/>
  <c r="C14" i="10"/>
  <c r="C60" i="10" s="1"/>
  <c r="C94" i="10" s="1"/>
  <c r="B14" i="10"/>
  <c r="B60" i="10" s="1"/>
  <c r="B94" i="10" s="1"/>
  <c r="A14" i="10"/>
  <c r="A60" i="10" s="1"/>
  <c r="D13" i="10"/>
  <c r="D59" i="10" s="1"/>
  <c r="D93" i="10" s="1"/>
  <c r="C13" i="10"/>
  <c r="C59" i="10" s="1"/>
  <c r="C93" i="10" s="1"/>
  <c r="B13" i="10"/>
  <c r="B59" i="10" s="1"/>
  <c r="B93" i="10" s="1"/>
  <c r="A13" i="10"/>
  <c r="A59" i="10" s="1"/>
  <c r="D12" i="10"/>
  <c r="D58" i="10" s="1"/>
  <c r="D92" i="10" s="1"/>
  <c r="C12" i="10"/>
  <c r="C58" i="10" s="1"/>
  <c r="C92" i="10" s="1"/>
  <c r="B12" i="10"/>
  <c r="B58" i="10" s="1"/>
  <c r="B92" i="10" s="1"/>
  <c r="A12" i="10"/>
  <c r="A58" i="10" s="1"/>
  <c r="D11" i="10"/>
  <c r="D57" i="10" s="1"/>
  <c r="D91" i="10" s="1"/>
  <c r="C11" i="10"/>
  <c r="C57" i="10" s="1"/>
  <c r="C91" i="10" s="1"/>
  <c r="B11" i="10"/>
  <c r="B57" i="10" s="1"/>
  <c r="B91" i="10" s="1"/>
  <c r="A11" i="10"/>
  <c r="A57" i="10" s="1"/>
  <c r="D10" i="10"/>
  <c r="D56" i="10" s="1"/>
  <c r="D90" i="10" s="1"/>
  <c r="C10" i="10"/>
  <c r="C56" i="10" s="1"/>
  <c r="C90" i="10" s="1"/>
  <c r="B10" i="10"/>
  <c r="B56" i="10" s="1"/>
  <c r="B90" i="10" s="1"/>
  <c r="A10" i="10"/>
  <c r="A56" i="10" s="1"/>
  <c r="D9" i="10"/>
  <c r="D55" i="10" s="1"/>
  <c r="D89" i="10" s="1"/>
  <c r="C9" i="10"/>
  <c r="C55" i="10" s="1"/>
  <c r="C89" i="10" s="1"/>
  <c r="B9" i="10"/>
  <c r="B55" i="10" s="1"/>
  <c r="B89" i="10" s="1"/>
  <c r="A9" i="10"/>
  <c r="A55" i="10" s="1"/>
  <c r="D8" i="10"/>
  <c r="D54" i="10" s="1"/>
  <c r="D88" i="10" s="1"/>
  <c r="C8" i="10"/>
  <c r="C54" i="10" s="1"/>
  <c r="C88" i="10" s="1"/>
  <c r="B8" i="10"/>
  <c r="B54" i="10" s="1"/>
  <c r="B88" i="10" s="1"/>
  <c r="A8" i="10"/>
  <c r="A54" i="10" s="1"/>
  <c r="D7" i="10"/>
  <c r="D53" i="10" s="1"/>
  <c r="D87" i="10" s="1"/>
  <c r="C7" i="10"/>
  <c r="C53" i="10" s="1"/>
  <c r="C87" i="10" s="1"/>
  <c r="B7" i="10"/>
  <c r="B53" i="10" s="1"/>
  <c r="B87" i="10" s="1"/>
  <c r="A7" i="10"/>
  <c r="A53" i="10" s="1"/>
  <c r="D6" i="10"/>
  <c r="D52" i="10" s="1"/>
  <c r="D86" i="10" s="1"/>
  <c r="C6" i="10"/>
  <c r="C52" i="10" s="1"/>
  <c r="C86" i="10" s="1"/>
  <c r="B6" i="10"/>
  <c r="B52" i="10" s="1"/>
  <c r="B86" i="10" s="1"/>
  <c r="A6" i="10"/>
  <c r="A52" i="10" s="1"/>
  <c r="D5" i="10"/>
  <c r="D51" i="10" s="1"/>
  <c r="D85" i="10" s="1"/>
  <c r="C5" i="10"/>
  <c r="C51" i="10" s="1"/>
  <c r="C85" i="10" s="1"/>
  <c r="B5" i="10"/>
  <c r="B51" i="10" s="1"/>
  <c r="B85" i="10" s="1"/>
  <c r="A5" i="10"/>
  <c r="A51" i="10" s="1"/>
  <c r="D4" i="10"/>
  <c r="D50" i="10" s="1"/>
  <c r="D84" i="10" s="1"/>
  <c r="C4" i="10"/>
  <c r="C50" i="10" s="1"/>
  <c r="C84" i="10" s="1"/>
  <c r="B4" i="10"/>
  <c r="B50" i="10" s="1"/>
  <c r="B84" i="10" s="1"/>
  <c r="A4" i="10"/>
  <c r="A50" i="10" s="1"/>
  <c r="A2" i="10"/>
  <c r="A118" i="10" s="1"/>
  <c r="A119" i="10" s="1"/>
  <c r="C118" i="9"/>
  <c r="F117" i="9"/>
  <c r="F83" i="9"/>
  <c r="E79" i="9"/>
  <c r="E113" i="9" s="1"/>
  <c r="E78" i="9"/>
  <c r="E112" i="9" s="1"/>
  <c r="E77" i="9"/>
  <c r="E111" i="9" s="1"/>
  <c r="E76" i="9"/>
  <c r="E110" i="9" s="1"/>
  <c r="E75" i="9"/>
  <c r="E109" i="9" s="1"/>
  <c r="E74" i="9"/>
  <c r="E108" i="9" s="1"/>
  <c r="E73" i="9"/>
  <c r="E107" i="9" s="1"/>
  <c r="E72" i="9"/>
  <c r="E106" i="9" s="1"/>
  <c r="E71" i="9"/>
  <c r="E105" i="9" s="1"/>
  <c r="E70" i="9"/>
  <c r="E104" i="9" s="1"/>
  <c r="E69" i="9"/>
  <c r="E103" i="9" s="1"/>
  <c r="E68" i="9"/>
  <c r="E102" i="9" s="1"/>
  <c r="E67" i="9"/>
  <c r="E101" i="9" s="1"/>
  <c r="E66" i="9"/>
  <c r="E100" i="9" s="1"/>
  <c r="E65" i="9"/>
  <c r="E99" i="9" s="1"/>
  <c r="E64" i="9"/>
  <c r="E98" i="9" s="1"/>
  <c r="E63" i="9"/>
  <c r="E97" i="9" s="1"/>
  <c r="E62" i="9"/>
  <c r="E96" i="9" s="1"/>
  <c r="E61" i="9"/>
  <c r="E95" i="9" s="1"/>
  <c r="E60" i="9"/>
  <c r="E94" i="9" s="1"/>
  <c r="E59" i="9"/>
  <c r="E93" i="9" s="1"/>
  <c r="E58" i="9"/>
  <c r="E92" i="9" s="1"/>
  <c r="E57" i="9"/>
  <c r="E91" i="9" s="1"/>
  <c r="E56" i="9"/>
  <c r="E90" i="9" s="1"/>
  <c r="E55" i="9"/>
  <c r="E89" i="9" s="1"/>
  <c r="E54" i="9"/>
  <c r="E88" i="9" s="1"/>
  <c r="E53" i="9"/>
  <c r="E87" i="9" s="1"/>
  <c r="E52" i="9"/>
  <c r="E86" i="9" s="1"/>
  <c r="E51" i="9"/>
  <c r="E85" i="9" s="1"/>
  <c r="E50" i="9"/>
  <c r="E84" i="9" s="1"/>
  <c r="AH34" i="8"/>
  <c r="AG34" i="8"/>
  <c r="AF34" i="8"/>
  <c r="AE34" i="8"/>
  <c r="AD34" i="8"/>
  <c r="AC34" i="8"/>
  <c r="AB34" i="8"/>
  <c r="AA34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F49" i="9"/>
  <c r="B34" i="8" s="1"/>
  <c r="E49" i="9"/>
  <c r="E83" i="9" s="1"/>
  <c r="A45" i="9" a="1"/>
  <c r="C45" i="9" s="1"/>
  <c r="F40" i="9"/>
  <c r="AH37" i="9"/>
  <c r="AL36" i="9"/>
  <c r="AH35" i="9"/>
  <c r="AC34" i="9"/>
  <c r="D33" i="9"/>
  <c r="D79" i="9" s="1"/>
  <c r="D113" i="9" s="1"/>
  <c r="C33" i="9"/>
  <c r="C79" i="9" s="1"/>
  <c r="C113" i="9" s="1"/>
  <c r="B33" i="9"/>
  <c r="B79" i="9" s="1"/>
  <c r="B113" i="9" s="1"/>
  <c r="A33" i="9"/>
  <c r="A79" i="9" s="1"/>
  <c r="A113" i="9" s="1"/>
  <c r="D32" i="9"/>
  <c r="D78" i="9" s="1"/>
  <c r="D112" i="9" s="1"/>
  <c r="C32" i="9"/>
  <c r="C78" i="9" s="1"/>
  <c r="C112" i="9" s="1"/>
  <c r="B32" i="9"/>
  <c r="B78" i="9" s="1"/>
  <c r="B112" i="9" s="1"/>
  <c r="A32" i="9"/>
  <c r="A78" i="9" s="1"/>
  <c r="D31" i="9"/>
  <c r="D77" i="9" s="1"/>
  <c r="D111" i="9" s="1"/>
  <c r="C31" i="9"/>
  <c r="C77" i="9" s="1"/>
  <c r="C111" i="9" s="1"/>
  <c r="B31" i="9"/>
  <c r="B77" i="9" s="1"/>
  <c r="B111" i="9" s="1"/>
  <c r="A31" i="9"/>
  <c r="A77" i="9" s="1"/>
  <c r="D30" i="9"/>
  <c r="D76" i="9" s="1"/>
  <c r="D110" i="9" s="1"/>
  <c r="C30" i="9"/>
  <c r="C76" i="9" s="1"/>
  <c r="C110" i="9" s="1"/>
  <c r="B30" i="9"/>
  <c r="B76" i="9" s="1"/>
  <c r="B110" i="9" s="1"/>
  <c r="A30" i="9"/>
  <c r="A76" i="9" s="1"/>
  <c r="D29" i="9"/>
  <c r="D75" i="9" s="1"/>
  <c r="D109" i="9" s="1"/>
  <c r="C29" i="9"/>
  <c r="C75" i="9" s="1"/>
  <c r="C109" i="9" s="1"/>
  <c r="B29" i="9"/>
  <c r="B75" i="9" s="1"/>
  <c r="B109" i="9" s="1"/>
  <c r="A29" i="9"/>
  <c r="A75" i="9" s="1"/>
  <c r="D28" i="9"/>
  <c r="D74" i="9" s="1"/>
  <c r="D108" i="9" s="1"/>
  <c r="C28" i="9"/>
  <c r="C74" i="9" s="1"/>
  <c r="C108" i="9" s="1"/>
  <c r="B28" i="9"/>
  <c r="B74" i="9" s="1"/>
  <c r="B108" i="9" s="1"/>
  <c r="A28" i="9"/>
  <c r="A74" i="9" s="1"/>
  <c r="D27" i="9"/>
  <c r="D73" i="9" s="1"/>
  <c r="D107" i="9" s="1"/>
  <c r="C27" i="9"/>
  <c r="C73" i="9" s="1"/>
  <c r="C107" i="9" s="1"/>
  <c r="B27" i="9"/>
  <c r="B73" i="9" s="1"/>
  <c r="B107" i="9" s="1"/>
  <c r="A27" i="9"/>
  <c r="A73" i="9" s="1"/>
  <c r="D26" i="9"/>
  <c r="D72" i="9" s="1"/>
  <c r="D106" i="9" s="1"/>
  <c r="C26" i="9"/>
  <c r="C72" i="9" s="1"/>
  <c r="C106" i="9" s="1"/>
  <c r="B26" i="9"/>
  <c r="B72" i="9" s="1"/>
  <c r="B106" i="9" s="1"/>
  <c r="A26" i="9"/>
  <c r="A72" i="9" s="1"/>
  <c r="D25" i="9"/>
  <c r="D71" i="9" s="1"/>
  <c r="D105" i="9" s="1"/>
  <c r="C25" i="9"/>
  <c r="C71" i="9" s="1"/>
  <c r="C105" i="9" s="1"/>
  <c r="B25" i="9"/>
  <c r="B71" i="9" s="1"/>
  <c r="B105" i="9" s="1"/>
  <c r="A25" i="9"/>
  <c r="A71" i="9" s="1"/>
  <c r="D24" i="9"/>
  <c r="D70" i="9" s="1"/>
  <c r="D104" i="9" s="1"/>
  <c r="C24" i="9"/>
  <c r="C70" i="9" s="1"/>
  <c r="C104" i="9" s="1"/>
  <c r="B24" i="9"/>
  <c r="B70" i="9" s="1"/>
  <c r="B104" i="9" s="1"/>
  <c r="A24" i="9"/>
  <c r="A70" i="9" s="1"/>
  <c r="D23" i="9"/>
  <c r="D69" i="9" s="1"/>
  <c r="D103" i="9" s="1"/>
  <c r="C23" i="9"/>
  <c r="C69" i="9" s="1"/>
  <c r="C103" i="9" s="1"/>
  <c r="B23" i="9"/>
  <c r="B69" i="9" s="1"/>
  <c r="B103" i="9" s="1"/>
  <c r="A23" i="9"/>
  <c r="A69" i="9" s="1"/>
  <c r="D22" i="9"/>
  <c r="D68" i="9" s="1"/>
  <c r="D102" i="9" s="1"/>
  <c r="C22" i="9"/>
  <c r="C68" i="9" s="1"/>
  <c r="C102" i="9" s="1"/>
  <c r="B22" i="9"/>
  <c r="B68" i="9" s="1"/>
  <c r="B102" i="9" s="1"/>
  <c r="A22" i="9"/>
  <c r="A68" i="9" s="1"/>
  <c r="D21" i="9"/>
  <c r="D67" i="9" s="1"/>
  <c r="D101" i="9" s="1"/>
  <c r="C21" i="9"/>
  <c r="C67" i="9" s="1"/>
  <c r="C101" i="9" s="1"/>
  <c r="B21" i="9"/>
  <c r="B67" i="9" s="1"/>
  <c r="B101" i="9" s="1"/>
  <c r="A21" i="9"/>
  <c r="A67" i="9" s="1"/>
  <c r="D20" i="9"/>
  <c r="D66" i="9" s="1"/>
  <c r="D100" i="9" s="1"/>
  <c r="C20" i="9"/>
  <c r="C66" i="9" s="1"/>
  <c r="C100" i="9" s="1"/>
  <c r="B20" i="9"/>
  <c r="B66" i="9" s="1"/>
  <c r="B100" i="9" s="1"/>
  <c r="A20" i="9"/>
  <c r="A66" i="9" s="1"/>
  <c r="D19" i="9"/>
  <c r="D65" i="9" s="1"/>
  <c r="D99" i="9" s="1"/>
  <c r="C19" i="9"/>
  <c r="C65" i="9" s="1"/>
  <c r="C99" i="9" s="1"/>
  <c r="B19" i="9"/>
  <c r="B65" i="9" s="1"/>
  <c r="B99" i="9" s="1"/>
  <c r="A19" i="9"/>
  <c r="A65" i="9" s="1"/>
  <c r="D18" i="9"/>
  <c r="D64" i="9" s="1"/>
  <c r="D98" i="9" s="1"/>
  <c r="C18" i="9"/>
  <c r="C64" i="9" s="1"/>
  <c r="C98" i="9" s="1"/>
  <c r="B18" i="9"/>
  <c r="B64" i="9" s="1"/>
  <c r="B98" i="9" s="1"/>
  <c r="A18" i="9"/>
  <c r="A64" i="9" s="1"/>
  <c r="D17" i="9"/>
  <c r="D63" i="9" s="1"/>
  <c r="D97" i="9" s="1"/>
  <c r="C17" i="9"/>
  <c r="C63" i="9" s="1"/>
  <c r="C97" i="9" s="1"/>
  <c r="B17" i="9"/>
  <c r="B63" i="9" s="1"/>
  <c r="B97" i="9" s="1"/>
  <c r="A17" i="9"/>
  <c r="A63" i="9" s="1"/>
  <c r="D16" i="9"/>
  <c r="D62" i="9" s="1"/>
  <c r="D96" i="9" s="1"/>
  <c r="C16" i="9"/>
  <c r="C62" i="9" s="1"/>
  <c r="C96" i="9" s="1"/>
  <c r="B16" i="9"/>
  <c r="B62" i="9" s="1"/>
  <c r="B96" i="9" s="1"/>
  <c r="A16" i="9"/>
  <c r="A62" i="9" s="1"/>
  <c r="D15" i="9"/>
  <c r="D61" i="9" s="1"/>
  <c r="D95" i="9" s="1"/>
  <c r="C15" i="9"/>
  <c r="C61" i="9" s="1"/>
  <c r="C95" i="9" s="1"/>
  <c r="B15" i="9"/>
  <c r="B61" i="9" s="1"/>
  <c r="B95" i="9" s="1"/>
  <c r="A15" i="9"/>
  <c r="A61" i="9" s="1"/>
  <c r="D14" i="9"/>
  <c r="D60" i="9" s="1"/>
  <c r="D94" i="9" s="1"/>
  <c r="C14" i="9"/>
  <c r="C60" i="9" s="1"/>
  <c r="C94" i="9" s="1"/>
  <c r="B14" i="9"/>
  <c r="B60" i="9" s="1"/>
  <c r="B94" i="9" s="1"/>
  <c r="A14" i="9"/>
  <c r="A60" i="9" s="1"/>
  <c r="D13" i="9"/>
  <c r="D59" i="9" s="1"/>
  <c r="D93" i="9" s="1"/>
  <c r="C13" i="9"/>
  <c r="C59" i="9" s="1"/>
  <c r="C93" i="9" s="1"/>
  <c r="B13" i="9"/>
  <c r="B59" i="9" s="1"/>
  <c r="B93" i="9" s="1"/>
  <c r="A13" i="9"/>
  <c r="A59" i="9" s="1"/>
  <c r="D12" i="9"/>
  <c r="D58" i="9" s="1"/>
  <c r="D92" i="9" s="1"/>
  <c r="C12" i="9"/>
  <c r="C58" i="9" s="1"/>
  <c r="C92" i="9" s="1"/>
  <c r="B12" i="9"/>
  <c r="B58" i="9" s="1"/>
  <c r="B92" i="9" s="1"/>
  <c r="A12" i="9"/>
  <c r="A58" i="9" s="1"/>
  <c r="D11" i="9"/>
  <c r="D57" i="9" s="1"/>
  <c r="D91" i="9" s="1"/>
  <c r="C11" i="9"/>
  <c r="C57" i="9" s="1"/>
  <c r="C91" i="9" s="1"/>
  <c r="B11" i="9"/>
  <c r="B57" i="9" s="1"/>
  <c r="B91" i="9" s="1"/>
  <c r="A11" i="9"/>
  <c r="A57" i="9" s="1"/>
  <c r="D10" i="9"/>
  <c r="D56" i="9" s="1"/>
  <c r="D90" i="9" s="1"/>
  <c r="C10" i="9"/>
  <c r="C56" i="9" s="1"/>
  <c r="C90" i="9" s="1"/>
  <c r="B10" i="9"/>
  <c r="B56" i="9" s="1"/>
  <c r="B90" i="9" s="1"/>
  <c r="A10" i="9"/>
  <c r="A56" i="9" s="1"/>
  <c r="D9" i="9"/>
  <c r="D55" i="9" s="1"/>
  <c r="D89" i="9" s="1"/>
  <c r="C9" i="9"/>
  <c r="C55" i="9" s="1"/>
  <c r="C89" i="9" s="1"/>
  <c r="B9" i="9"/>
  <c r="B55" i="9" s="1"/>
  <c r="B89" i="9" s="1"/>
  <c r="A9" i="9"/>
  <c r="A55" i="9" s="1"/>
  <c r="D8" i="9"/>
  <c r="D54" i="9" s="1"/>
  <c r="D88" i="9" s="1"/>
  <c r="C8" i="9"/>
  <c r="C54" i="9" s="1"/>
  <c r="C88" i="9" s="1"/>
  <c r="B8" i="9"/>
  <c r="B54" i="9" s="1"/>
  <c r="B88" i="9" s="1"/>
  <c r="A8" i="9"/>
  <c r="A54" i="9" s="1"/>
  <c r="D7" i="9"/>
  <c r="D53" i="9" s="1"/>
  <c r="D87" i="9" s="1"/>
  <c r="C7" i="9"/>
  <c r="C53" i="9" s="1"/>
  <c r="C87" i="9" s="1"/>
  <c r="B7" i="9"/>
  <c r="B53" i="9" s="1"/>
  <c r="B87" i="9" s="1"/>
  <c r="A7" i="9"/>
  <c r="A53" i="9" s="1"/>
  <c r="D6" i="9"/>
  <c r="D52" i="9" s="1"/>
  <c r="D86" i="9" s="1"/>
  <c r="C6" i="9"/>
  <c r="C52" i="9" s="1"/>
  <c r="C86" i="9" s="1"/>
  <c r="B6" i="9"/>
  <c r="B52" i="9" s="1"/>
  <c r="B86" i="9" s="1"/>
  <c r="A6" i="9"/>
  <c r="A52" i="9" s="1"/>
  <c r="D5" i="9"/>
  <c r="D51" i="9" s="1"/>
  <c r="D85" i="9" s="1"/>
  <c r="C5" i="9"/>
  <c r="C51" i="9" s="1"/>
  <c r="C85" i="9" s="1"/>
  <c r="B5" i="9"/>
  <c r="B51" i="9" s="1"/>
  <c r="B85" i="9" s="1"/>
  <c r="A5" i="9"/>
  <c r="A51" i="9" s="1"/>
  <c r="D4" i="9"/>
  <c r="D50" i="9" s="1"/>
  <c r="D84" i="9" s="1"/>
  <c r="C4" i="9"/>
  <c r="C50" i="9" s="1"/>
  <c r="C84" i="9" s="1"/>
  <c r="B4" i="9"/>
  <c r="B50" i="9" s="1"/>
  <c r="B84" i="9" s="1"/>
  <c r="A4" i="9"/>
  <c r="A50" i="9" s="1"/>
  <c r="A2" i="9"/>
  <c r="A35" i="9" s="1"/>
  <c r="H37" i="4"/>
  <c r="J36" i="4"/>
  <c r="K34" i="4"/>
  <c r="J35" i="4"/>
  <c r="Y65" i="10" l="1"/>
  <c r="K65" i="10"/>
  <c r="H65" i="10"/>
  <c r="U65" i="10"/>
  <c r="L65" i="10"/>
  <c r="I65" i="10"/>
  <c r="W65" i="10"/>
  <c r="AH65" i="10"/>
  <c r="AJ65" i="10"/>
  <c r="P65" i="10"/>
  <c r="AK65" i="10"/>
  <c r="O65" i="10"/>
  <c r="Q65" i="10"/>
  <c r="J65" i="10"/>
  <c r="M65" i="10"/>
  <c r="V65" i="10"/>
  <c r="AE65" i="10"/>
  <c r="AF65" i="10"/>
  <c r="AL65" i="10"/>
  <c r="X65" i="10"/>
  <c r="N65" i="10"/>
  <c r="S65" i="10"/>
  <c r="AB65" i="10"/>
  <c r="AI65" i="10"/>
  <c r="AC65" i="10"/>
  <c r="AD65" i="10"/>
  <c r="R65" i="10"/>
  <c r="AG65" i="10"/>
  <c r="T65" i="10"/>
  <c r="AA65" i="10"/>
  <c r="G65" i="10"/>
  <c r="Z65" i="10"/>
  <c r="P55" i="10"/>
  <c r="AK55" i="10"/>
  <c r="Q55" i="10"/>
  <c r="J55" i="10"/>
  <c r="M55" i="10"/>
  <c r="V55" i="10"/>
  <c r="AE55" i="10"/>
  <c r="AF55" i="10"/>
  <c r="AL55" i="10"/>
  <c r="X55" i="10"/>
  <c r="N55" i="10"/>
  <c r="S55" i="10"/>
  <c r="AB55" i="10"/>
  <c r="AI55" i="10"/>
  <c r="AC55" i="10"/>
  <c r="AD55" i="10"/>
  <c r="R55" i="10"/>
  <c r="AG55" i="10"/>
  <c r="T55" i="10"/>
  <c r="Z55" i="10"/>
  <c r="AA55" i="10"/>
  <c r="Y55" i="10"/>
  <c r="K55" i="10"/>
  <c r="H55" i="10"/>
  <c r="U55" i="10"/>
  <c r="L55" i="10"/>
  <c r="I55" i="10"/>
  <c r="AJ55" i="10"/>
  <c r="W55" i="10"/>
  <c r="AH55" i="10"/>
  <c r="G55" i="10"/>
  <c r="O55" i="10"/>
  <c r="AG67" i="10"/>
  <c r="T67" i="10"/>
  <c r="Z67" i="10"/>
  <c r="AA67" i="10"/>
  <c r="G67" i="10"/>
  <c r="Y67" i="10"/>
  <c r="K67" i="10"/>
  <c r="H67" i="10"/>
  <c r="U67" i="10"/>
  <c r="L67" i="10"/>
  <c r="I67" i="10"/>
  <c r="W67" i="10"/>
  <c r="AH67" i="10"/>
  <c r="P67" i="10"/>
  <c r="AK67" i="10"/>
  <c r="Q67" i="10"/>
  <c r="J67" i="10"/>
  <c r="M67" i="10"/>
  <c r="V67" i="10"/>
  <c r="AE67" i="10"/>
  <c r="AF67" i="10"/>
  <c r="AL67" i="10"/>
  <c r="X67" i="10"/>
  <c r="N67" i="10"/>
  <c r="S67" i="10"/>
  <c r="AI67" i="10"/>
  <c r="AC67" i="10"/>
  <c r="AD67" i="10"/>
  <c r="O67" i="10"/>
  <c r="R67" i="10"/>
  <c r="AB67" i="10"/>
  <c r="AJ67" i="10"/>
  <c r="Y57" i="10"/>
  <c r="K57" i="10"/>
  <c r="G57" i="10"/>
  <c r="H57" i="10"/>
  <c r="U57" i="10"/>
  <c r="L57" i="10"/>
  <c r="I57" i="10"/>
  <c r="AJ57" i="10"/>
  <c r="W57" i="10"/>
  <c r="AH57" i="10"/>
  <c r="P57" i="10"/>
  <c r="AK57" i="10"/>
  <c r="O57" i="10"/>
  <c r="AL57" i="10"/>
  <c r="Q57" i="10"/>
  <c r="J57" i="10"/>
  <c r="M57" i="10"/>
  <c r="V57" i="10"/>
  <c r="AE57" i="10"/>
  <c r="AF57" i="10"/>
  <c r="X57" i="10"/>
  <c r="N57" i="10"/>
  <c r="S57" i="10"/>
  <c r="AB57" i="10"/>
  <c r="AI57" i="10"/>
  <c r="AC57" i="10"/>
  <c r="AD57" i="10"/>
  <c r="R57" i="10"/>
  <c r="AG57" i="10"/>
  <c r="T57" i="10"/>
  <c r="AA57" i="10"/>
  <c r="Z57" i="10"/>
  <c r="G51" i="10"/>
  <c r="AG51" i="10"/>
  <c r="T51" i="10"/>
  <c r="Z51" i="10"/>
  <c r="AA51" i="10"/>
  <c r="Y51" i="10"/>
  <c r="K51" i="10"/>
  <c r="H51" i="10"/>
  <c r="U51" i="10"/>
  <c r="L51" i="10"/>
  <c r="I51" i="10"/>
  <c r="AJ51" i="10"/>
  <c r="W51" i="10"/>
  <c r="AH51" i="10"/>
  <c r="P51" i="10"/>
  <c r="AK51" i="10"/>
  <c r="Q51" i="10"/>
  <c r="J51" i="10"/>
  <c r="M51" i="10"/>
  <c r="V51" i="10"/>
  <c r="AE51" i="10"/>
  <c r="AF51" i="10"/>
  <c r="AL51" i="10"/>
  <c r="X51" i="10"/>
  <c r="N51" i="10"/>
  <c r="AB51" i="10"/>
  <c r="R51" i="10"/>
  <c r="O51" i="10"/>
  <c r="S51" i="10"/>
  <c r="AI51" i="10"/>
  <c r="AC51" i="10"/>
  <c r="AD51" i="10"/>
  <c r="X61" i="10"/>
  <c r="N61" i="10"/>
  <c r="S61" i="10"/>
  <c r="AB61" i="10"/>
  <c r="AI61" i="10"/>
  <c r="AC61" i="10"/>
  <c r="AD61" i="10"/>
  <c r="R61" i="10"/>
  <c r="AG61" i="10"/>
  <c r="T61" i="10"/>
  <c r="G61" i="10"/>
  <c r="Z61" i="10"/>
  <c r="AA61" i="10"/>
  <c r="Y61" i="10"/>
  <c r="K61" i="10"/>
  <c r="H61" i="10"/>
  <c r="U61" i="10"/>
  <c r="L61" i="10"/>
  <c r="I61" i="10"/>
  <c r="AJ61" i="10"/>
  <c r="W61" i="10"/>
  <c r="AH61" i="10"/>
  <c r="P61" i="10"/>
  <c r="AK61" i="10"/>
  <c r="O61" i="10"/>
  <c r="AL61" i="10"/>
  <c r="Q61" i="10"/>
  <c r="AE61" i="10"/>
  <c r="AF61" i="10"/>
  <c r="J61" i="10"/>
  <c r="M61" i="10"/>
  <c r="V61" i="10"/>
  <c r="P63" i="10"/>
  <c r="AK63" i="10"/>
  <c r="Q63" i="10"/>
  <c r="J63" i="10"/>
  <c r="M63" i="10"/>
  <c r="V63" i="10"/>
  <c r="AE63" i="10"/>
  <c r="AF63" i="10"/>
  <c r="AL63" i="10"/>
  <c r="X63" i="10"/>
  <c r="N63" i="10"/>
  <c r="S63" i="10"/>
  <c r="AB63" i="10"/>
  <c r="AI63" i="10"/>
  <c r="AC63" i="10"/>
  <c r="AD63" i="10"/>
  <c r="R63" i="10"/>
  <c r="AG63" i="10"/>
  <c r="T63" i="10"/>
  <c r="Z63" i="10"/>
  <c r="AA63" i="10"/>
  <c r="AJ63" i="10"/>
  <c r="Y63" i="10"/>
  <c r="K63" i="10"/>
  <c r="H63" i="10"/>
  <c r="G63" i="10"/>
  <c r="U63" i="10"/>
  <c r="L63" i="10"/>
  <c r="I63" i="10"/>
  <c r="W63" i="10"/>
  <c r="O63" i="10"/>
  <c r="AH63" i="10"/>
  <c r="Z50" i="10"/>
  <c r="AA50" i="10"/>
  <c r="Y50" i="10"/>
  <c r="G50" i="10"/>
  <c r="K50" i="10"/>
  <c r="H50" i="10"/>
  <c r="U50" i="10"/>
  <c r="L50" i="10"/>
  <c r="I50" i="10"/>
  <c r="AJ50" i="10"/>
  <c r="W50" i="10"/>
  <c r="AH50" i="10"/>
  <c r="P50" i="10"/>
  <c r="AK50" i="10"/>
  <c r="O50" i="10"/>
  <c r="Q50" i="10"/>
  <c r="J50" i="10"/>
  <c r="M50" i="10"/>
  <c r="V50" i="10"/>
  <c r="AE50" i="10"/>
  <c r="AF50" i="10"/>
  <c r="X50" i="10"/>
  <c r="N50" i="10"/>
  <c r="S50" i="10"/>
  <c r="AB50" i="10"/>
  <c r="AI50" i="10"/>
  <c r="AC50" i="10"/>
  <c r="AD50" i="10"/>
  <c r="R50" i="10"/>
  <c r="AG50" i="10"/>
  <c r="AL50" i="10"/>
  <c r="T50" i="10"/>
  <c r="S52" i="10"/>
  <c r="AB52" i="10"/>
  <c r="AI52" i="10"/>
  <c r="AC52" i="10"/>
  <c r="AD52" i="10"/>
  <c r="R52" i="10"/>
  <c r="AG52" i="10"/>
  <c r="T52" i="10"/>
  <c r="Z52" i="10"/>
  <c r="AA52" i="10"/>
  <c r="Y52" i="10"/>
  <c r="K52" i="10"/>
  <c r="H52" i="10"/>
  <c r="U52" i="10"/>
  <c r="L52" i="10"/>
  <c r="I52" i="10"/>
  <c r="AJ52" i="10"/>
  <c r="W52" i="10"/>
  <c r="AH52" i="10"/>
  <c r="P52" i="10"/>
  <c r="AK52" i="10"/>
  <c r="G52" i="10"/>
  <c r="O52" i="10"/>
  <c r="Q52" i="10"/>
  <c r="J52" i="10"/>
  <c r="M52" i="10"/>
  <c r="V52" i="10"/>
  <c r="AE52" i="10"/>
  <c r="AF52" i="10"/>
  <c r="AL52" i="10"/>
  <c r="X52" i="10"/>
  <c r="N52" i="10"/>
  <c r="Q54" i="10"/>
  <c r="J54" i="10"/>
  <c r="M54" i="10"/>
  <c r="V54" i="10"/>
  <c r="AE54" i="10"/>
  <c r="AF54" i="10"/>
  <c r="AL54" i="10"/>
  <c r="X54" i="10"/>
  <c r="N54" i="10"/>
  <c r="S54" i="10"/>
  <c r="AB54" i="10"/>
  <c r="AI54" i="10"/>
  <c r="AC54" i="10"/>
  <c r="AD54" i="10"/>
  <c r="R54" i="10"/>
  <c r="AG54" i="10"/>
  <c r="T54" i="10"/>
  <c r="G54" i="10"/>
  <c r="Z54" i="10"/>
  <c r="AA54" i="10"/>
  <c r="Y54" i="10"/>
  <c r="K54" i="10"/>
  <c r="H54" i="10"/>
  <c r="U54" i="10"/>
  <c r="L54" i="10"/>
  <c r="I54" i="10"/>
  <c r="AJ54" i="10"/>
  <c r="W54" i="10"/>
  <c r="AH54" i="10"/>
  <c r="P54" i="10"/>
  <c r="AK54" i="10"/>
  <c r="O54" i="10"/>
  <c r="W56" i="10"/>
  <c r="AH56" i="10"/>
  <c r="P56" i="10"/>
  <c r="AK56" i="10"/>
  <c r="O56" i="10"/>
  <c r="Q56" i="10"/>
  <c r="J56" i="10"/>
  <c r="M56" i="10"/>
  <c r="V56" i="10"/>
  <c r="AE56" i="10"/>
  <c r="AF56" i="10"/>
  <c r="AL56" i="10"/>
  <c r="G56" i="10"/>
  <c r="X56" i="10"/>
  <c r="N56" i="10"/>
  <c r="S56" i="10"/>
  <c r="AB56" i="10"/>
  <c r="AI56" i="10"/>
  <c r="AC56" i="10"/>
  <c r="AD56" i="10"/>
  <c r="R56" i="10"/>
  <c r="AG56" i="10"/>
  <c r="T56" i="10"/>
  <c r="Z56" i="10"/>
  <c r="AA56" i="10"/>
  <c r="K56" i="10"/>
  <c r="U56" i="10"/>
  <c r="AJ56" i="10"/>
  <c r="Y56" i="10"/>
  <c r="H56" i="10"/>
  <c r="I56" i="10"/>
  <c r="L56" i="10"/>
  <c r="G58" i="10"/>
  <c r="Z58" i="10"/>
  <c r="AA58" i="10"/>
  <c r="Y58" i="10"/>
  <c r="K58" i="10"/>
  <c r="H58" i="10"/>
  <c r="U58" i="10"/>
  <c r="L58" i="10"/>
  <c r="I58" i="10"/>
  <c r="AJ58" i="10"/>
  <c r="W58" i="10"/>
  <c r="AH58" i="10"/>
  <c r="O58" i="10"/>
  <c r="P58" i="10"/>
  <c r="AK58" i="10"/>
  <c r="Q58" i="10"/>
  <c r="J58" i="10"/>
  <c r="M58" i="10"/>
  <c r="V58" i="10"/>
  <c r="AE58" i="10"/>
  <c r="AF58" i="10"/>
  <c r="X58" i="10"/>
  <c r="N58" i="10"/>
  <c r="S58" i="10"/>
  <c r="AB58" i="10"/>
  <c r="AI58" i="10"/>
  <c r="AC58" i="10"/>
  <c r="AD58" i="10"/>
  <c r="R58" i="10"/>
  <c r="T58" i="10"/>
  <c r="AG58" i="10"/>
  <c r="AL58" i="10"/>
  <c r="S60" i="10"/>
  <c r="AB60" i="10"/>
  <c r="AI60" i="10"/>
  <c r="AC60" i="10"/>
  <c r="AD60" i="10"/>
  <c r="R60" i="10"/>
  <c r="AG60" i="10"/>
  <c r="T60" i="10"/>
  <c r="Z60" i="10"/>
  <c r="AA60" i="10"/>
  <c r="Y60" i="10"/>
  <c r="K60" i="10"/>
  <c r="H60" i="10"/>
  <c r="U60" i="10"/>
  <c r="L60" i="10"/>
  <c r="I60" i="10"/>
  <c r="AJ60" i="10"/>
  <c r="W60" i="10"/>
  <c r="AH60" i="10"/>
  <c r="G60" i="10"/>
  <c r="P60" i="10"/>
  <c r="AK60" i="10"/>
  <c r="O60" i="10"/>
  <c r="Q60" i="10"/>
  <c r="J60" i="10"/>
  <c r="M60" i="10"/>
  <c r="V60" i="10"/>
  <c r="AE60" i="10"/>
  <c r="AF60" i="10"/>
  <c r="AL60" i="10"/>
  <c r="X60" i="10"/>
  <c r="N60" i="10"/>
  <c r="Q62" i="10"/>
  <c r="J62" i="10"/>
  <c r="M62" i="10"/>
  <c r="V62" i="10"/>
  <c r="AE62" i="10"/>
  <c r="AF62" i="10"/>
  <c r="AJ62" i="10"/>
  <c r="AL62" i="10"/>
  <c r="X62" i="10"/>
  <c r="N62" i="10"/>
  <c r="S62" i="10"/>
  <c r="AB62" i="10"/>
  <c r="AI62" i="10"/>
  <c r="AC62" i="10"/>
  <c r="AD62" i="10"/>
  <c r="R62" i="10"/>
  <c r="AG62" i="10"/>
  <c r="T62" i="10"/>
  <c r="G62" i="10"/>
  <c r="Z62" i="10"/>
  <c r="AA62" i="10"/>
  <c r="Y62" i="10"/>
  <c r="K62" i="10"/>
  <c r="H62" i="10"/>
  <c r="U62" i="10"/>
  <c r="L62" i="10"/>
  <c r="I62" i="10"/>
  <c r="W62" i="10"/>
  <c r="AH62" i="10"/>
  <c r="O62" i="10"/>
  <c r="P62" i="10"/>
  <c r="AK62" i="10"/>
  <c r="W64" i="10"/>
  <c r="AH64" i="10"/>
  <c r="P64" i="10"/>
  <c r="AK64" i="10"/>
  <c r="G64" i="10"/>
  <c r="Q64" i="10"/>
  <c r="J64" i="10"/>
  <c r="M64" i="10"/>
  <c r="V64" i="10"/>
  <c r="AE64" i="10"/>
  <c r="AF64" i="10"/>
  <c r="AL64" i="10"/>
  <c r="X64" i="10"/>
  <c r="N64" i="10"/>
  <c r="S64" i="10"/>
  <c r="AB64" i="10"/>
  <c r="AI64" i="10"/>
  <c r="AC64" i="10"/>
  <c r="AD64" i="10"/>
  <c r="R64" i="10"/>
  <c r="AG64" i="10"/>
  <c r="T64" i="10"/>
  <c r="Z64" i="10"/>
  <c r="AA64" i="10"/>
  <c r="AJ64" i="10"/>
  <c r="U64" i="10"/>
  <c r="K64" i="10"/>
  <c r="O64" i="10"/>
  <c r="I64" i="10"/>
  <c r="Y64" i="10"/>
  <c r="H64" i="10"/>
  <c r="L64" i="10"/>
  <c r="Z66" i="10"/>
  <c r="AA66" i="10"/>
  <c r="Y66" i="10"/>
  <c r="K66" i="10"/>
  <c r="H66" i="10"/>
  <c r="U66" i="10"/>
  <c r="L66" i="10"/>
  <c r="I66" i="10"/>
  <c r="W66" i="10"/>
  <c r="AH66" i="10"/>
  <c r="AJ66" i="10"/>
  <c r="P66" i="10"/>
  <c r="AK66" i="10"/>
  <c r="O66" i="10"/>
  <c r="Q66" i="10"/>
  <c r="J66" i="10"/>
  <c r="M66" i="10"/>
  <c r="V66" i="10"/>
  <c r="AE66" i="10"/>
  <c r="AF66" i="10"/>
  <c r="X66" i="10"/>
  <c r="N66" i="10"/>
  <c r="S66" i="10"/>
  <c r="AB66" i="10"/>
  <c r="AI66" i="10"/>
  <c r="AC66" i="10"/>
  <c r="AD66" i="10"/>
  <c r="R66" i="10"/>
  <c r="T66" i="10"/>
  <c r="AL66" i="10"/>
  <c r="AG66" i="10"/>
  <c r="G66" i="10"/>
  <c r="S68" i="10"/>
  <c r="AB68" i="10"/>
  <c r="AI68" i="10"/>
  <c r="AC68" i="10"/>
  <c r="AJ68" i="10"/>
  <c r="AD68" i="10"/>
  <c r="R68" i="10"/>
  <c r="AG68" i="10"/>
  <c r="T68" i="10"/>
  <c r="Z68" i="10"/>
  <c r="AA68" i="10"/>
  <c r="Y68" i="10"/>
  <c r="K68" i="10"/>
  <c r="H68" i="10"/>
  <c r="U68" i="10"/>
  <c r="L68" i="10"/>
  <c r="I68" i="10"/>
  <c r="G68" i="10"/>
  <c r="W68" i="10"/>
  <c r="AH68" i="10"/>
  <c r="P68" i="10"/>
  <c r="AK68" i="10"/>
  <c r="O68" i="10"/>
  <c r="Q68" i="10"/>
  <c r="J68" i="10"/>
  <c r="M68" i="10"/>
  <c r="V68" i="10"/>
  <c r="AE68" i="10"/>
  <c r="AF68" i="10"/>
  <c r="AL68" i="10"/>
  <c r="X68" i="10"/>
  <c r="N68" i="10"/>
  <c r="Q70" i="10"/>
  <c r="J70" i="10"/>
  <c r="M70" i="10"/>
  <c r="AE70" i="10"/>
  <c r="AF70" i="10"/>
  <c r="X70" i="10"/>
  <c r="N70" i="10"/>
  <c r="AI70" i="10"/>
  <c r="AB70" i="10"/>
  <c r="AC70" i="10"/>
  <c r="R70" i="10"/>
  <c r="AG70" i="10"/>
  <c r="T70" i="10"/>
  <c r="V70" i="10"/>
  <c r="AJ70" i="10"/>
  <c r="AL70" i="10"/>
  <c r="S70" i="10"/>
  <c r="Z70" i="10"/>
  <c r="G70" i="10"/>
  <c r="Y70" i="10"/>
  <c r="K70" i="10"/>
  <c r="H70" i="10"/>
  <c r="AA70" i="10"/>
  <c r="U70" i="10"/>
  <c r="L70" i="10"/>
  <c r="I70" i="10"/>
  <c r="AD70" i="10"/>
  <c r="W70" i="10"/>
  <c r="AH70" i="10"/>
  <c r="P70" i="10"/>
  <c r="AK70" i="10"/>
  <c r="O70" i="10"/>
  <c r="AG59" i="10"/>
  <c r="T59" i="10"/>
  <c r="Z59" i="10"/>
  <c r="AA59" i="10"/>
  <c r="Y59" i="10"/>
  <c r="K59" i="10"/>
  <c r="H59" i="10"/>
  <c r="U59" i="10"/>
  <c r="L59" i="10"/>
  <c r="I59" i="10"/>
  <c r="AJ59" i="10"/>
  <c r="G59" i="10"/>
  <c r="W59" i="10"/>
  <c r="AH59" i="10"/>
  <c r="P59" i="10"/>
  <c r="AK59" i="10"/>
  <c r="Q59" i="10"/>
  <c r="J59" i="10"/>
  <c r="M59" i="10"/>
  <c r="V59" i="10"/>
  <c r="AE59" i="10"/>
  <c r="AF59" i="10"/>
  <c r="AL59" i="10"/>
  <c r="X59" i="10"/>
  <c r="N59" i="10"/>
  <c r="AC59" i="10"/>
  <c r="AB59" i="10"/>
  <c r="R59" i="10"/>
  <c r="S59" i="10"/>
  <c r="AI59" i="10"/>
  <c r="AD59" i="10"/>
  <c r="O59" i="10"/>
  <c r="A87" i="10"/>
  <c r="X53" i="10"/>
  <c r="N53" i="10"/>
  <c r="S53" i="10"/>
  <c r="AB53" i="10"/>
  <c r="AI53" i="10"/>
  <c r="AC53" i="10"/>
  <c r="AD53" i="10"/>
  <c r="R53" i="10"/>
  <c r="AG53" i="10"/>
  <c r="T53" i="10"/>
  <c r="Z53" i="10"/>
  <c r="AA53" i="10"/>
  <c r="G53" i="10"/>
  <c r="Y53" i="10"/>
  <c r="K53" i="10"/>
  <c r="H53" i="10"/>
  <c r="U53" i="10"/>
  <c r="L53" i="10"/>
  <c r="I53" i="10"/>
  <c r="AJ53" i="10"/>
  <c r="W53" i="10"/>
  <c r="AH53" i="10"/>
  <c r="P53" i="10"/>
  <c r="AK53" i="10"/>
  <c r="O53" i="10"/>
  <c r="Q53" i="10"/>
  <c r="AF53" i="10"/>
  <c r="V53" i="10"/>
  <c r="M53" i="10"/>
  <c r="J53" i="10"/>
  <c r="AL53" i="10"/>
  <c r="AE53" i="10"/>
  <c r="X69" i="10"/>
  <c r="N69" i="10"/>
  <c r="S69" i="10"/>
  <c r="AB69" i="10"/>
  <c r="G69" i="10"/>
  <c r="AI69" i="10"/>
  <c r="AC69" i="10"/>
  <c r="AD69" i="10"/>
  <c r="R69" i="10"/>
  <c r="AG69" i="10"/>
  <c r="T69" i="10"/>
  <c r="Z69" i="10"/>
  <c r="AA69" i="10"/>
  <c r="Y69" i="10"/>
  <c r="K69" i="10"/>
  <c r="H69" i="10"/>
  <c r="U69" i="10"/>
  <c r="L69" i="10"/>
  <c r="I69" i="10"/>
  <c r="AJ69" i="10"/>
  <c r="W69" i="10"/>
  <c r="AH69" i="10"/>
  <c r="P69" i="10"/>
  <c r="AK69" i="10"/>
  <c r="O69" i="10"/>
  <c r="M69" i="10"/>
  <c r="V69" i="10"/>
  <c r="Q69" i="10"/>
  <c r="AL69" i="10"/>
  <c r="AE69" i="10"/>
  <c r="AF69" i="10"/>
  <c r="J69" i="10"/>
  <c r="D45" i="9"/>
  <c r="A60" i="8"/>
  <c r="A59" i="8"/>
  <c r="A58" i="8"/>
  <c r="A57" i="8"/>
  <c r="A64" i="8"/>
  <c r="A56" i="8"/>
  <c r="A63" i="8"/>
  <c r="A55" i="8"/>
  <c r="A62" i="8"/>
  <c r="A54" i="8"/>
  <c r="A26" i="8"/>
  <c r="A25" i="8"/>
  <c r="A45" i="10"/>
  <c r="A32" i="8"/>
  <c r="A24" i="8"/>
  <c r="A31" i="8"/>
  <c r="A23" i="8"/>
  <c r="A30" i="8"/>
  <c r="A29" i="8"/>
  <c r="A28" i="8"/>
  <c r="A34" i="10"/>
  <c r="P35" i="9"/>
  <c r="A43" i="8"/>
  <c r="E36" i="9"/>
  <c r="AC36" i="9"/>
  <c r="A35" i="8"/>
  <c r="A50" i="8"/>
  <c r="A42" i="8"/>
  <c r="W36" i="9"/>
  <c r="L35" i="9"/>
  <c r="G36" i="9"/>
  <c r="AE36" i="9"/>
  <c r="A49" i="8"/>
  <c r="A41" i="8"/>
  <c r="O35" i="9"/>
  <c r="I36" i="9"/>
  <c r="AK36" i="9"/>
  <c r="A48" i="8"/>
  <c r="A40" i="8"/>
  <c r="M36" i="9"/>
  <c r="A47" i="8"/>
  <c r="A39" i="8"/>
  <c r="AB35" i="9"/>
  <c r="O36" i="9"/>
  <c r="A46" i="8"/>
  <c r="A38" i="8"/>
  <c r="AE35" i="9"/>
  <c r="Q36" i="9"/>
  <c r="A53" i="8"/>
  <c r="A45" i="8"/>
  <c r="A37" i="8"/>
  <c r="AF35" i="9"/>
  <c r="U36" i="9"/>
  <c r="A52" i="8"/>
  <c r="A44" i="8"/>
  <c r="A36" i="8"/>
  <c r="A11" i="8"/>
  <c r="A19" i="8"/>
  <c r="A20" i="8"/>
  <c r="A12" i="8"/>
  <c r="A4" i="8"/>
  <c r="A3" i="8"/>
  <c r="A18" i="8"/>
  <c r="A10" i="8"/>
  <c r="A17" i="8"/>
  <c r="A9" i="8"/>
  <c r="A16" i="8"/>
  <c r="A8" i="8"/>
  <c r="A15" i="8"/>
  <c r="A7" i="8"/>
  <c r="A22" i="8"/>
  <c r="A14" i="8"/>
  <c r="A6" i="8"/>
  <c r="A21" i="8"/>
  <c r="A13" i="8"/>
  <c r="A5" i="8"/>
  <c r="A89" i="10"/>
  <c r="A95" i="10"/>
  <c r="A88" i="10"/>
  <c r="A90" i="10"/>
  <c r="A92" i="10"/>
  <c r="A94" i="10"/>
  <c r="A96" i="10"/>
  <c r="A98" i="10"/>
  <c r="A100" i="10"/>
  <c r="A102" i="10"/>
  <c r="A104" i="10"/>
  <c r="A106" i="10"/>
  <c r="A108" i="10"/>
  <c r="A110" i="10"/>
  <c r="A112" i="10"/>
  <c r="A84" i="10"/>
  <c r="A86" i="10"/>
  <c r="A85" i="10"/>
  <c r="A97" i="10"/>
  <c r="A105" i="10"/>
  <c r="A93" i="10"/>
  <c r="A99" i="10"/>
  <c r="A101" i="10"/>
  <c r="A91" i="10"/>
  <c r="B45" i="10"/>
  <c r="D41" i="10" s="1"/>
  <c r="C45" i="10"/>
  <c r="A103" i="10"/>
  <c r="A107" i="10"/>
  <c r="A109" i="10"/>
  <c r="A111" i="10"/>
  <c r="A35" i="10"/>
  <c r="F37" i="10"/>
  <c r="C119" i="10"/>
  <c r="AI37" i="9"/>
  <c r="AA37" i="9"/>
  <c r="S37" i="9"/>
  <c r="K37" i="9"/>
  <c r="AG37" i="9"/>
  <c r="Y37" i="9"/>
  <c r="Q37" i="9"/>
  <c r="I37" i="9"/>
  <c r="AF37" i="9"/>
  <c r="X37" i="9"/>
  <c r="P37" i="9"/>
  <c r="H37" i="9"/>
  <c r="AE37" i="9"/>
  <c r="W37" i="9"/>
  <c r="O37" i="9"/>
  <c r="G37" i="9"/>
  <c r="AL37" i="9"/>
  <c r="AD37" i="9"/>
  <c r="V37" i="9"/>
  <c r="N37" i="9"/>
  <c r="F37" i="9"/>
  <c r="AK37" i="9"/>
  <c r="AC37" i="9"/>
  <c r="U37" i="9"/>
  <c r="M37" i="9"/>
  <c r="E37" i="9"/>
  <c r="AJ37" i="9"/>
  <c r="G34" i="9"/>
  <c r="A85" i="9"/>
  <c r="A87" i="9"/>
  <c r="A89" i="9"/>
  <c r="A91" i="9"/>
  <c r="A93" i="9"/>
  <c r="A95" i="9"/>
  <c r="A97" i="9"/>
  <c r="A99" i="9"/>
  <c r="A101" i="9"/>
  <c r="A103" i="9"/>
  <c r="A105" i="9"/>
  <c r="A107" i="9"/>
  <c r="I34" i="9"/>
  <c r="Y34" i="9"/>
  <c r="R35" i="9"/>
  <c r="L37" i="9"/>
  <c r="AK34" i="9"/>
  <c r="L34" i="9"/>
  <c r="AB34" i="9"/>
  <c r="AG35" i="9"/>
  <c r="Y35" i="9"/>
  <c r="Q35" i="9"/>
  <c r="I35" i="9"/>
  <c r="AL35" i="9"/>
  <c r="AD35" i="9"/>
  <c r="V35" i="9"/>
  <c r="N35" i="9"/>
  <c r="F35" i="9"/>
  <c r="AK35" i="9"/>
  <c r="AC35" i="9"/>
  <c r="U35" i="9"/>
  <c r="M35" i="9"/>
  <c r="E35" i="9"/>
  <c r="AI35" i="9"/>
  <c r="AA35" i="9"/>
  <c r="S35" i="9"/>
  <c r="K35" i="9"/>
  <c r="T35" i="9"/>
  <c r="AJ35" i="9"/>
  <c r="R37" i="9"/>
  <c r="M34" i="9"/>
  <c r="G35" i="9"/>
  <c r="W35" i="9"/>
  <c r="T37" i="9"/>
  <c r="AL34" i="9"/>
  <c r="AD34" i="9"/>
  <c r="V34" i="9"/>
  <c r="N34" i="9"/>
  <c r="F34" i="9"/>
  <c r="AI34" i="9"/>
  <c r="AA34" i="9"/>
  <c r="S34" i="9"/>
  <c r="K34" i="9"/>
  <c r="AH34" i="9"/>
  <c r="Z34" i="9"/>
  <c r="R34" i="9"/>
  <c r="J34" i="9"/>
  <c r="AF34" i="9"/>
  <c r="X34" i="9"/>
  <c r="P34" i="9"/>
  <c r="H34" i="9"/>
  <c r="AJ34" i="9"/>
  <c r="E34" i="9"/>
  <c r="U34" i="9"/>
  <c r="O34" i="9"/>
  <c r="AE34" i="9"/>
  <c r="H35" i="9"/>
  <c r="X35" i="9"/>
  <c r="Z37" i="9"/>
  <c r="T34" i="9"/>
  <c r="W34" i="9"/>
  <c r="J37" i="9"/>
  <c r="A118" i="9"/>
  <c r="A119" i="9" s="1"/>
  <c r="A34" i="9"/>
  <c r="A84" i="9"/>
  <c r="A86" i="9"/>
  <c r="A88" i="9"/>
  <c r="A90" i="9"/>
  <c r="A92" i="9"/>
  <c r="A94" i="9"/>
  <c r="A96" i="9"/>
  <c r="A98" i="9"/>
  <c r="A100" i="9"/>
  <c r="A102" i="9"/>
  <c r="A104" i="9"/>
  <c r="A106" i="9"/>
  <c r="A108" i="9"/>
  <c r="Q34" i="9"/>
  <c r="AG34" i="9"/>
  <c r="J35" i="9"/>
  <c r="Z35" i="9"/>
  <c r="AB37" i="9"/>
  <c r="H36" i="9"/>
  <c r="P36" i="9"/>
  <c r="X36" i="9"/>
  <c r="AF36" i="9"/>
  <c r="Y36" i="9"/>
  <c r="AG36" i="9"/>
  <c r="A110" i="9"/>
  <c r="A112" i="9"/>
  <c r="J36" i="9"/>
  <c r="R36" i="9"/>
  <c r="Z36" i="9"/>
  <c r="AH36" i="9"/>
  <c r="A45" i="9"/>
  <c r="K36" i="9"/>
  <c r="S36" i="9"/>
  <c r="AA36" i="9"/>
  <c r="AI36" i="9"/>
  <c r="B45" i="9"/>
  <c r="L36" i="9"/>
  <c r="T36" i="9"/>
  <c r="AB36" i="9"/>
  <c r="AJ36" i="9"/>
  <c r="A109" i="9"/>
  <c r="A111" i="9"/>
  <c r="F36" i="9"/>
  <c r="N36" i="9"/>
  <c r="V36" i="9"/>
  <c r="AD36" i="9"/>
  <c r="C119" i="9"/>
  <c r="AH34" i="4"/>
  <c r="AG34" i="4"/>
  <c r="AI34" i="4"/>
  <c r="J34" i="4"/>
  <c r="I34" i="4"/>
  <c r="K35" i="4"/>
  <c r="AF34" i="4"/>
  <c r="AD37" i="4"/>
  <c r="Z34" i="4"/>
  <c r="T34" i="4"/>
  <c r="AE37" i="4"/>
  <c r="O34" i="4"/>
  <c r="F37" i="4"/>
  <c r="L34" i="4"/>
  <c r="AK35" i="4"/>
  <c r="AI35" i="4"/>
  <c r="AC35" i="4"/>
  <c r="Y34" i="4"/>
  <c r="H34" i="4"/>
  <c r="R37" i="4"/>
  <c r="AA35" i="4"/>
  <c r="S37" i="4"/>
  <c r="J37" i="4"/>
  <c r="X34" i="4"/>
  <c r="AI37" i="4"/>
  <c r="U35" i="4"/>
  <c r="AJ34" i="4"/>
  <c r="W34" i="4"/>
  <c r="AH37" i="4"/>
  <c r="G37" i="4"/>
  <c r="S35" i="4"/>
  <c r="E37" i="4"/>
  <c r="Z35" i="4"/>
  <c r="AC37" i="4"/>
  <c r="Q35" i="4"/>
  <c r="AE34" i="4"/>
  <c r="R34" i="4"/>
  <c r="G34" i="4"/>
  <c r="AA37" i="4"/>
  <c r="N37" i="4"/>
  <c r="Y36" i="4"/>
  <c r="AF35" i="4"/>
  <c r="X35" i="4"/>
  <c r="P35" i="4"/>
  <c r="H35" i="4"/>
  <c r="AH35" i="4"/>
  <c r="R35" i="4"/>
  <c r="O37" i="4"/>
  <c r="AG36" i="4"/>
  <c r="AG35" i="4"/>
  <c r="Y35" i="4"/>
  <c r="I35" i="4"/>
  <c r="AB34" i="4"/>
  <c r="Z37" i="4"/>
  <c r="AE35" i="4"/>
  <c r="G35" i="4"/>
  <c r="Q34" i="4"/>
  <c r="AL37" i="4"/>
  <c r="M37" i="4"/>
  <c r="Q36" i="4"/>
  <c r="W35" i="4"/>
  <c r="O35" i="4"/>
  <c r="E34" i="4"/>
  <c r="AA34" i="4"/>
  <c r="P34" i="4"/>
  <c r="AK37" i="4"/>
  <c r="K37" i="4"/>
  <c r="AL35" i="4"/>
  <c r="AD35" i="4"/>
  <c r="V35" i="4"/>
  <c r="N35" i="4"/>
  <c r="F35" i="4"/>
  <c r="M35" i="4"/>
  <c r="E35" i="4"/>
  <c r="AJ35" i="4"/>
  <c r="AB35" i="4"/>
  <c r="T35" i="4"/>
  <c r="L35" i="4"/>
  <c r="AJ37" i="4"/>
  <c r="AB37" i="4"/>
  <c r="L37" i="4"/>
  <c r="AG37" i="4"/>
  <c r="Y37" i="4"/>
  <c r="Q37" i="4"/>
  <c r="I37" i="4"/>
  <c r="AF37" i="4"/>
  <c r="X37" i="4"/>
  <c r="P37" i="4"/>
  <c r="I36" i="4"/>
  <c r="AF36" i="4"/>
  <c r="X36" i="4"/>
  <c r="P36" i="4"/>
  <c r="H36" i="4"/>
  <c r="AE36" i="4"/>
  <c r="O36" i="4"/>
  <c r="G36" i="4"/>
  <c r="AL36" i="4"/>
  <c r="N36" i="4"/>
  <c r="F36" i="4"/>
  <c r="E36" i="4"/>
  <c r="AD36" i="4"/>
  <c r="AC36" i="4"/>
  <c r="AJ36" i="4"/>
  <c r="AB36" i="4"/>
  <c r="T36" i="4"/>
  <c r="L36" i="4"/>
  <c r="AK36" i="4"/>
  <c r="M36" i="4"/>
  <c r="AI36" i="4"/>
  <c r="AA36" i="4"/>
  <c r="S36" i="4"/>
  <c r="K36" i="4"/>
  <c r="AH36" i="4"/>
  <c r="Z36" i="4"/>
  <c r="R36" i="4"/>
  <c r="AL34" i="4"/>
  <c r="AD34" i="4"/>
  <c r="V34" i="4"/>
  <c r="N34" i="4"/>
  <c r="F34" i="4"/>
  <c r="AK34" i="4"/>
  <c r="AC34" i="4"/>
  <c r="U34" i="4"/>
  <c r="M34" i="4"/>
  <c r="S34" i="4"/>
  <c r="AC51" i="9" l="1"/>
  <c r="AC72" i="9"/>
  <c r="Y57" i="8" s="1"/>
  <c r="W50" i="9"/>
  <c r="W51" i="9"/>
  <c r="S36" i="8" s="1"/>
  <c r="W52" i="9"/>
  <c r="S37" i="8" s="1"/>
  <c r="W53" i="9"/>
  <c r="S38" i="8" s="1"/>
  <c r="W54" i="9"/>
  <c r="S39" i="8" s="1"/>
  <c r="W55" i="9"/>
  <c r="S40" i="8" s="1"/>
  <c r="W56" i="9"/>
  <c r="S41" i="8" s="1"/>
  <c r="W57" i="9"/>
  <c r="W58" i="9"/>
  <c r="W59" i="9"/>
  <c r="W60" i="9"/>
  <c r="W61" i="9"/>
  <c r="W62" i="9"/>
  <c r="S47" i="8" s="1"/>
  <c r="W63" i="9"/>
  <c r="S48" i="8" s="1"/>
  <c r="W64" i="9"/>
  <c r="S49" i="8" s="1"/>
  <c r="W65" i="9"/>
  <c r="S50" i="8" s="1"/>
  <c r="W66" i="9"/>
  <c r="W67" i="9"/>
  <c r="S52" i="8" s="1"/>
  <c r="W68" i="9"/>
  <c r="S53" i="8" s="1"/>
  <c r="W69" i="9"/>
  <c r="S54" i="8" s="1"/>
  <c r="W70" i="9"/>
  <c r="S55" i="8" s="1"/>
  <c r="W71" i="9"/>
  <c r="S56" i="8" s="1"/>
  <c r="W72" i="9"/>
  <c r="S57" i="8" s="1"/>
  <c r="W73" i="9"/>
  <c r="S58" i="8" s="1"/>
  <c r="W74" i="9"/>
  <c r="W75" i="9"/>
  <c r="S60" i="8" s="1"/>
  <c r="W76" i="9"/>
  <c r="S61" i="8" s="1"/>
  <c r="W77" i="9"/>
  <c r="S62" i="8" s="1"/>
  <c r="W78" i="9"/>
  <c r="S63" i="8" s="1"/>
  <c r="Z50" i="9"/>
  <c r="V35" i="8" s="1"/>
  <c r="Z51" i="9"/>
  <c r="V36" i="8" s="1"/>
  <c r="Z52" i="9"/>
  <c r="V37" i="8" s="1"/>
  <c r="Z53" i="9"/>
  <c r="Z54" i="9"/>
  <c r="V39" i="8" s="1"/>
  <c r="Z55" i="9"/>
  <c r="V40" i="8" s="1"/>
  <c r="Z56" i="9"/>
  <c r="V41" i="8" s="1"/>
  <c r="Z57" i="9"/>
  <c r="Z58" i="9"/>
  <c r="V43" i="8" s="1"/>
  <c r="Z59" i="9"/>
  <c r="Z60" i="9"/>
  <c r="Z61" i="9"/>
  <c r="Z62" i="9"/>
  <c r="V47" i="8" s="1"/>
  <c r="Z63" i="9"/>
  <c r="V48" i="8" s="1"/>
  <c r="Z64" i="9"/>
  <c r="V49" i="8" s="1"/>
  <c r="Z65" i="9"/>
  <c r="V50" i="8" s="1"/>
  <c r="Z66" i="9"/>
  <c r="V51" i="8" s="1"/>
  <c r="Z67" i="9"/>
  <c r="V52" i="8" s="1"/>
  <c r="Z68" i="9"/>
  <c r="V53" i="8" s="1"/>
  <c r="Z69" i="9"/>
  <c r="Z70" i="9"/>
  <c r="V55" i="8" s="1"/>
  <c r="Z71" i="9"/>
  <c r="V56" i="8" s="1"/>
  <c r="Z72" i="9"/>
  <c r="V57" i="8" s="1"/>
  <c r="Z73" i="9"/>
  <c r="V58" i="8" s="1"/>
  <c r="Z74" i="9"/>
  <c r="V59" i="8" s="1"/>
  <c r="Z75" i="9"/>
  <c r="V60" i="8" s="1"/>
  <c r="Z76" i="9"/>
  <c r="V61" i="8" s="1"/>
  <c r="Z77" i="9"/>
  <c r="Z78" i="9"/>
  <c r="V63" i="8" s="1"/>
  <c r="V50" i="9"/>
  <c r="R35" i="8" s="1"/>
  <c r="V51" i="9"/>
  <c r="R36" i="8" s="1"/>
  <c r="V52" i="9"/>
  <c r="R37" i="8" s="1"/>
  <c r="V53" i="9"/>
  <c r="R38" i="8" s="1"/>
  <c r="V54" i="9"/>
  <c r="R39" i="8" s="1"/>
  <c r="V55" i="9"/>
  <c r="R40" i="8" s="1"/>
  <c r="V56" i="9"/>
  <c r="V57" i="9"/>
  <c r="V58" i="9"/>
  <c r="R43" i="8" s="1"/>
  <c r="V59" i="9"/>
  <c r="V60" i="9"/>
  <c r="V61" i="9"/>
  <c r="V62" i="9"/>
  <c r="R47" i="8" s="1"/>
  <c r="V63" i="9"/>
  <c r="R48" i="8" s="1"/>
  <c r="V64" i="9"/>
  <c r="V65" i="9"/>
  <c r="R50" i="8" s="1"/>
  <c r="V66" i="9"/>
  <c r="R51" i="8" s="1"/>
  <c r="V67" i="9"/>
  <c r="R52" i="8" s="1"/>
  <c r="V68" i="9"/>
  <c r="R53" i="8" s="1"/>
  <c r="V69" i="9"/>
  <c r="R54" i="8" s="1"/>
  <c r="V70" i="9"/>
  <c r="R55" i="8" s="1"/>
  <c r="V71" i="9"/>
  <c r="R56" i="8" s="1"/>
  <c r="V72" i="9"/>
  <c r="V73" i="9"/>
  <c r="R58" i="8" s="1"/>
  <c r="V74" i="9"/>
  <c r="R59" i="8" s="1"/>
  <c r="V75" i="9"/>
  <c r="R60" i="8" s="1"/>
  <c r="V76" i="9"/>
  <c r="R61" i="8" s="1"/>
  <c r="V77" i="9"/>
  <c r="R62" i="8" s="1"/>
  <c r="V78" i="9"/>
  <c r="R63" i="8" s="1"/>
  <c r="AC73" i="9"/>
  <c r="Y58" i="8" s="1"/>
  <c r="AC56" i="9"/>
  <c r="Y41" i="8" s="1"/>
  <c r="AC65" i="9"/>
  <c r="Y50" i="8" s="1"/>
  <c r="AH50" i="9"/>
  <c r="AD35" i="8" s="1"/>
  <c r="AH51" i="9"/>
  <c r="AD36" i="8" s="1"/>
  <c r="AH52" i="9"/>
  <c r="AD37" i="8" s="1"/>
  <c r="AH53" i="9"/>
  <c r="AD38" i="8" s="1"/>
  <c r="AH54" i="9"/>
  <c r="AD39" i="8" s="1"/>
  <c r="AH55" i="9"/>
  <c r="AD40" i="8" s="1"/>
  <c r="AH56" i="9"/>
  <c r="AD41" i="8" s="1"/>
  <c r="AH57" i="9"/>
  <c r="AH58" i="9"/>
  <c r="AD43" i="8" s="1"/>
  <c r="AH59" i="9"/>
  <c r="AH60" i="9"/>
  <c r="AH61" i="9"/>
  <c r="AH62" i="9"/>
  <c r="AD47" i="8" s="1"/>
  <c r="AH63" i="9"/>
  <c r="AD48" i="8" s="1"/>
  <c r="AH64" i="9"/>
  <c r="AD49" i="8" s="1"/>
  <c r="AH65" i="9"/>
  <c r="AD50" i="8" s="1"/>
  <c r="AH66" i="9"/>
  <c r="AD51" i="8" s="1"/>
  <c r="AH67" i="9"/>
  <c r="AD52" i="8" s="1"/>
  <c r="AH68" i="9"/>
  <c r="AD53" i="8" s="1"/>
  <c r="AH69" i="9"/>
  <c r="AD54" i="8" s="1"/>
  <c r="AH70" i="9"/>
  <c r="AD55" i="8" s="1"/>
  <c r="AH71" i="9"/>
  <c r="AD56" i="8" s="1"/>
  <c r="AH72" i="9"/>
  <c r="AD57" i="8" s="1"/>
  <c r="AH73" i="9"/>
  <c r="AD58" i="8" s="1"/>
  <c r="AH74" i="9"/>
  <c r="AD59" i="8" s="1"/>
  <c r="AH75" i="9"/>
  <c r="AD60" i="8" s="1"/>
  <c r="AH76" i="9"/>
  <c r="AD61" i="8" s="1"/>
  <c r="AH77" i="9"/>
  <c r="AD62" i="8" s="1"/>
  <c r="AH78" i="9"/>
  <c r="AD63" i="8" s="1"/>
  <c r="Y50" i="9"/>
  <c r="U35" i="8" s="1"/>
  <c r="Y51" i="9"/>
  <c r="U36" i="8" s="1"/>
  <c r="Y52" i="9"/>
  <c r="U37" i="8" s="1"/>
  <c r="Y53" i="9"/>
  <c r="U38" i="8" s="1"/>
  <c r="Y54" i="9"/>
  <c r="U39" i="8" s="1"/>
  <c r="Y55" i="9"/>
  <c r="U40" i="8" s="1"/>
  <c r="Y56" i="9"/>
  <c r="U41" i="8" s="1"/>
  <c r="Y57" i="9"/>
  <c r="Y58" i="9"/>
  <c r="U43" i="8" s="1"/>
  <c r="Y59" i="9"/>
  <c r="Y60" i="9"/>
  <c r="Y61" i="9"/>
  <c r="Y62" i="9"/>
  <c r="U47" i="8" s="1"/>
  <c r="Y63" i="9"/>
  <c r="U48" i="8" s="1"/>
  <c r="Y64" i="9"/>
  <c r="U49" i="8" s="1"/>
  <c r="Y65" i="9"/>
  <c r="U50" i="8" s="1"/>
  <c r="Y66" i="9"/>
  <c r="U51" i="8" s="1"/>
  <c r="Y67" i="9"/>
  <c r="U52" i="8" s="1"/>
  <c r="Y68" i="9"/>
  <c r="U53" i="8" s="1"/>
  <c r="Y69" i="9"/>
  <c r="U54" i="8" s="1"/>
  <c r="Y70" i="9"/>
  <c r="U55" i="8" s="1"/>
  <c r="Y71" i="9"/>
  <c r="U56" i="8" s="1"/>
  <c r="Y72" i="9"/>
  <c r="U57" i="8" s="1"/>
  <c r="Y73" i="9"/>
  <c r="U58" i="8" s="1"/>
  <c r="Y74" i="9"/>
  <c r="U59" i="8" s="1"/>
  <c r="Y75" i="9"/>
  <c r="U60" i="8" s="1"/>
  <c r="Y76" i="9"/>
  <c r="U61" i="8" s="1"/>
  <c r="Y77" i="9"/>
  <c r="U62" i="8" s="1"/>
  <c r="Y78" i="9"/>
  <c r="U63" i="8" s="1"/>
  <c r="AC63" i="9"/>
  <c r="Y48" i="8" s="1"/>
  <c r="H50" i="9"/>
  <c r="D35" i="8" s="1"/>
  <c r="H51" i="9"/>
  <c r="D36" i="8" s="1"/>
  <c r="H52" i="9"/>
  <c r="D37" i="8" s="1"/>
  <c r="H53" i="9"/>
  <c r="D38" i="8" s="1"/>
  <c r="H54" i="9"/>
  <c r="H55" i="9"/>
  <c r="D40" i="8" s="1"/>
  <c r="H56" i="9"/>
  <c r="D41" i="8" s="1"/>
  <c r="H57" i="9"/>
  <c r="H58" i="9"/>
  <c r="D43" i="8" s="1"/>
  <c r="H59" i="9"/>
  <c r="H60" i="9"/>
  <c r="H61" i="9"/>
  <c r="H62" i="9"/>
  <c r="D47" i="8" s="1"/>
  <c r="H63" i="9"/>
  <c r="D48" i="8" s="1"/>
  <c r="H64" i="9"/>
  <c r="D49" i="8" s="1"/>
  <c r="H65" i="9"/>
  <c r="D50" i="8" s="1"/>
  <c r="H66" i="9"/>
  <c r="D51" i="8" s="1"/>
  <c r="H67" i="9"/>
  <c r="D52" i="8" s="1"/>
  <c r="H68" i="9"/>
  <c r="D53" i="8" s="1"/>
  <c r="H69" i="9"/>
  <c r="D54" i="8" s="1"/>
  <c r="H70" i="9"/>
  <c r="H71" i="9"/>
  <c r="D56" i="8" s="1"/>
  <c r="H72" i="9"/>
  <c r="D57" i="8" s="1"/>
  <c r="H73" i="9"/>
  <c r="D58" i="8" s="1"/>
  <c r="H74" i="9"/>
  <c r="D59" i="8" s="1"/>
  <c r="H75" i="9"/>
  <c r="D60" i="8" s="1"/>
  <c r="H76" i="9"/>
  <c r="D61" i="8" s="1"/>
  <c r="H77" i="9"/>
  <c r="D62" i="8" s="1"/>
  <c r="H78" i="9"/>
  <c r="D63" i="8" s="1"/>
  <c r="K50" i="9"/>
  <c r="G35" i="8" s="1"/>
  <c r="K51" i="9"/>
  <c r="G36" i="8" s="1"/>
  <c r="K52" i="9"/>
  <c r="G37" i="8" s="1"/>
  <c r="K53" i="9"/>
  <c r="G38" i="8" s="1"/>
  <c r="K54" i="9"/>
  <c r="G39" i="8" s="1"/>
  <c r="K55" i="9"/>
  <c r="G40" i="8" s="1"/>
  <c r="K56" i="9"/>
  <c r="G41" i="8" s="1"/>
  <c r="K57" i="9"/>
  <c r="K58" i="9"/>
  <c r="G43" i="8" s="1"/>
  <c r="K59" i="9"/>
  <c r="K60" i="9"/>
  <c r="K61" i="9"/>
  <c r="K62" i="9"/>
  <c r="G47" i="8" s="1"/>
  <c r="K63" i="9"/>
  <c r="G48" i="8" s="1"/>
  <c r="K64" i="9"/>
  <c r="G49" i="8" s="1"/>
  <c r="K65" i="9"/>
  <c r="G50" i="8" s="1"/>
  <c r="K66" i="9"/>
  <c r="G51" i="8" s="1"/>
  <c r="K67" i="9"/>
  <c r="G52" i="8" s="1"/>
  <c r="K68" i="9"/>
  <c r="G53" i="8" s="1"/>
  <c r="K69" i="9"/>
  <c r="G54" i="8" s="1"/>
  <c r="K71" i="9"/>
  <c r="G56" i="8" s="1"/>
  <c r="K72" i="9"/>
  <c r="G57" i="8" s="1"/>
  <c r="K73" i="9"/>
  <c r="G58" i="8" s="1"/>
  <c r="K74" i="9"/>
  <c r="G59" i="8" s="1"/>
  <c r="K75" i="9"/>
  <c r="G60" i="8" s="1"/>
  <c r="K76" i="9"/>
  <c r="G61" i="8" s="1"/>
  <c r="K77" i="9"/>
  <c r="G62" i="8" s="1"/>
  <c r="K78" i="9"/>
  <c r="G63" i="8" s="1"/>
  <c r="K70" i="9"/>
  <c r="G55" i="8" s="1"/>
  <c r="AL50" i="9"/>
  <c r="AH35" i="8" s="1"/>
  <c r="AL51" i="9"/>
  <c r="AH36" i="8" s="1"/>
  <c r="AL52" i="9"/>
  <c r="AH37" i="8" s="1"/>
  <c r="AL53" i="9"/>
  <c r="AH38" i="8" s="1"/>
  <c r="AL54" i="9"/>
  <c r="AH39" i="8" s="1"/>
  <c r="AL55" i="9"/>
  <c r="AH40" i="8" s="1"/>
  <c r="AL56" i="9"/>
  <c r="AH41" i="8" s="1"/>
  <c r="AL57" i="9"/>
  <c r="AL58" i="9"/>
  <c r="AH43" i="8" s="1"/>
  <c r="AL59" i="9"/>
  <c r="AL60" i="9"/>
  <c r="AL61" i="9"/>
  <c r="AL62" i="9"/>
  <c r="AH47" i="8" s="1"/>
  <c r="AL63" i="9"/>
  <c r="AH48" i="8" s="1"/>
  <c r="AL64" i="9"/>
  <c r="AH49" i="8" s="1"/>
  <c r="AL65" i="9"/>
  <c r="AH50" i="8" s="1"/>
  <c r="AL66" i="9"/>
  <c r="AH51" i="8" s="1"/>
  <c r="AL67" i="9"/>
  <c r="AH52" i="8" s="1"/>
  <c r="AL68" i="9"/>
  <c r="AH53" i="8" s="1"/>
  <c r="AL69" i="9"/>
  <c r="AH54" i="8" s="1"/>
  <c r="AL70" i="9"/>
  <c r="AH55" i="8" s="1"/>
  <c r="AL71" i="9"/>
  <c r="AH56" i="8" s="1"/>
  <c r="AL72" i="9"/>
  <c r="AH57" i="8" s="1"/>
  <c r="AL73" i="9"/>
  <c r="AH58" i="8" s="1"/>
  <c r="AL74" i="9"/>
  <c r="AH59" i="8" s="1"/>
  <c r="AL75" i="9"/>
  <c r="AH60" i="8" s="1"/>
  <c r="AL76" i="9"/>
  <c r="AH61" i="8" s="1"/>
  <c r="AL77" i="9"/>
  <c r="AH62" i="8" s="1"/>
  <c r="AL78" i="9"/>
  <c r="AH63" i="8" s="1"/>
  <c r="I50" i="9"/>
  <c r="E35" i="8" s="1"/>
  <c r="I51" i="9"/>
  <c r="E36" i="8" s="1"/>
  <c r="I52" i="9"/>
  <c r="E37" i="8" s="1"/>
  <c r="I53" i="9"/>
  <c r="E38" i="8" s="1"/>
  <c r="I54" i="9"/>
  <c r="E39" i="8" s="1"/>
  <c r="I55" i="9"/>
  <c r="E40" i="8" s="1"/>
  <c r="I56" i="9"/>
  <c r="E41" i="8" s="1"/>
  <c r="I57" i="9"/>
  <c r="I58" i="9"/>
  <c r="E43" i="8" s="1"/>
  <c r="I59" i="9"/>
  <c r="I60" i="9"/>
  <c r="I61" i="9"/>
  <c r="I62" i="9"/>
  <c r="E47" i="8" s="1"/>
  <c r="I63" i="9"/>
  <c r="E48" i="8" s="1"/>
  <c r="I64" i="9"/>
  <c r="E49" i="8" s="1"/>
  <c r="I65" i="9"/>
  <c r="E50" i="8" s="1"/>
  <c r="I66" i="9"/>
  <c r="E51" i="8" s="1"/>
  <c r="I67" i="9"/>
  <c r="E52" i="8" s="1"/>
  <c r="I68" i="9"/>
  <c r="E53" i="8" s="1"/>
  <c r="I69" i="9"/>
  <c r="E54" i="8" s="1"/>
  <c r="I70" i="9"/>
  <c r="E55" i="8" s="1"/>
  <c r="I71" i="9"/>
  <c r="E56" i="8" s="1"/>
  <c r="I72" i="9"/>
  <c r="E57" i="8" s="1"/>
  <c r="I73" i="9"/>
  <c r="E58" i="8" s="1"/>
  <c r="I74" i="9"/>
  <c r="E59" i="8" s="1"/>
  <c r="I75" i="9"/>
  <c r="E60" i="8" s="1"/>
  <c r="I76" i="9"/>
  <c r="E61" i="8" s="1"/>
  <c r="I77" i="9"/>
  <c r="E62" i="8" s="1"/>
  <c r="I78" i="9"/>
  <c r="E63" i="8" s="1"/>
  <c r="AC71" i="9"/>
  <c r="Y56" i="8" s="1"/>
  <c r="AC68" i="9"/>
  <c r="Y53" i="8" s="1"/>
  <c r="AC61" i="9"/>
  <c r="T50" i="9"/>
  <c r="P35" i="8" s="1"/>
  <c r="T51" i="9"/>
  <c r="P36" i="8" s="1"/>
  <c r="T52" i="9"/>
  <c r="P37" i="8" s="1"/>
  <c r="T53" i="9"/>
  <c r="P38" i="8" s="1"/>
  <c r="T54" i="9"/>
  <c r="P39" i="8" s="1"/>
  <c r="T55" i="9"/>
  <c r="P40" i="8" s="1"/>
  <c r="T56" i="9"/>
  <c r="P41" i="8" s="1"/>
  <c r="T57" i="9"/>
  <c r="T58" i="9"/>
  <c r="P43" i="8" s="1"/>
  <c r="T59" i="9"/>
  <c r="T60" i="9"/>
  <c r="T61" i="9"/>
  <c r="T62" i="9"/>
  <c r="P47" i="8" s="1"/>
  <c r="T63" i="9"/>
  <c r="P48" i="8" s="1"/>
  <c r="T64" i="9"/>
  <c r="P49" i="8" s="1"/>
  <c r="T65" i="9"/>
  <c r="P50" i="8" s="1"/>
  <c r="T66" i="9"/>
  <c r="P51" i="8" s="1"/>
  <c r="T67" i="9"/>
  <c r="P52" i="8" s="1"/>
  <c r="T68" i="9"/>
  <c r="P53" i="8" s="1"/>
  <c r="T69" i="9"/>
  <c r="P54" i="8" s="1"/>
  <c r="T77" i="9"/>
  <c r="P62" i="8" s="1"/>
  <c r="T75" i="9"/>
  <c r="P60" i="8" s="1"/>
  <c r="T78" i="9"/>
  <c r="T70" i="9"/>
  <c r="P55" i="8" s="1"/>
  <c r="T74" i="9"/>
  <c r="P59" i="8" s="1"/>
  <c r="T73" i="9"/>
  <c r="P58" i="8" s="1"/>
  <c r="T71" i="9"/>
  <c r="P56" i="8" s="1"/>
  <c r="T72" i="9"/>
  <c r="P57" i="8" s="1"/>
  <c r="T76" i="9"/>
  <c r="P61" i="8" s="1"/>
  <c r="AC52" i="9"/>
  <c r="Y37" i="8" s="1"/>
  <c r="P50" i="9"/>
  <c r="L35" i="8" s="1"/>
  <c r="P51" i="9"/>
  <c r="L36" i="8" s="1"/>
  <c r="P52" i="9"/>
  <c r="L37" i="8" s="1"/>
  <c r="P53" i="9"/>
  <c r="L38" i="8" s="1"/>
  <c r="P54" i="9"/>
  <c r="L39" i="8" s="1"/>
  <c r="P55" i="9"/>
  <c r="L40" i="8" s="1"/>
  <c r="P56" i="9"/>
  <c r="L41" i="8" s="1"/>
  <c r="P57" i="9"/>
  <c r="P58" i="9"/>
  <c r="L43" i="8" s="1"/>
  <c r="P59" i="9"/>
  <c r="P60" i="9"/>
  <c r="P61" i="9"/>
  <c r="P62" i="9"/>
  <c r="L47" i="8" s="1"/>
  <c r="P63" i="9"/>
  <c r="L48" i="8" s="1"/>
  <c r="P64" i="9"/>
  <c r="L49" i="8" s="1"/>
  <c r="P65" i="9"/>
  <c r="L50" i="8" s="1"/>
  <c r="P66" i="9"/>
  <c r="L51" i="8" s="1"/>
  <c r="P67" i="9"/>
  <c r="L52" i="8" s="1"/>
  <c r="P68" i="9"/>
  <c r="L53" i="8" s="1"/>
  <c r="P69" i="9"/>
  <c r="L54" i="8" s="1"/>
  <c r="P70" i="9"/>
  <c r="L55" i="8" s="1"/>
  <c r="P71" i="9"/>
  <c r="L56" i="8" s="1"/>
  <c r="P72" i="9"/>
  <c r="L57" i="8" s="1"/>
  <c r="P73" i="9"/>
  <c r="L58" i="8" s="1"/>
  <c r="P74" i="9"/>
  <c r="L59" i="8" s="1"/>
  <c r="P75" i="9"/>
  <c r="L60" i="8" s="1"/>
  <c r="P76" i="9"/>
  <c r="L61" i="8" s="1"/>
  <c r="P77" i="9"/>
  <c r="L62" i="8" s="1"/>
  <c r="P78" i="9"/>
  <c r="L63" i="8" s="1"/>
  <c r="S50" i="9"/>
  <c r="O35" i="8" s="1"/>
  <c r="S51" i="9"/>
  <c r="O36" i="8" s="1"/>
  <c r="S52" i="9"/>
  <c r="O37" i="8" s="1"/>
  <c r="S53" i="9"/>
  <c r="O38" i="8" s="1"/>
  <c r="S54" i="9"/>
  <c r="O39" i="8" s="1"/>
  <c r="S55" i="9"/>
  <c r="O40" i="8" s="1"/>
  <c r="S56" i="9"/>
  <c r="O41" i="8" s="1"/>
  <c r="S57" i="9"/>
  <c r="S58" i="9"/>
  <c r="O43" i="8" s="1"/>
  <c r="S59" i="9"/>
  <c r="S60" i="9"/>
  <c r="S61" i="9"/>
  <c r="S62" i="9"/>
  <c r="O47" i="8" s="1"/>
  <c r="S63" i="9"/>
  <c r="O48" i="8" s="1"/>
  <c r="S64" i="9"/>
  <c r="O49" i="8" s="1"/>
  <c r="S65" i="9"/>
  <c r="O50" i="8" s="1"/>
  <c r="S66" i="9"/>
  <c r="O51" i="8" s="1"/>
  <c r="S67" i="9"/>
  <c r="S68" i="9"/>
  <c r="O53" i="8" s="1"/>
  <c r="S69" i="9"/>
  <c r="O54" i="8" s="1"/>
  <c r="S70" i="9"/>
  <c r="O55" i="8" s="1"/>
  <c r="S71" i="9"/>
  <c r="O56" i="8" s="1"/>
  <c r="S72" i="9"/>
  <c r="O57" i="8" s="1"/>
  <c r="S73" i="9"/>
  <c r="O58" i="8" s="1"/>
  <c r="S74" i="9"/>
  <c r="O59" i="8" s="1"/>
  <c r="S75" i="9"/>
  <c r="O60" i="8" s="1"/>
  <c r="S76" i="9"/>
  <c r="O61" i="8" s="1"/>
  <c r="S77" i="9"/>
  <c r="O62" i="8" s="1"/>
  <c r="S78" i="9"/>
  <c r="O63" i="8" s="1"/>
  <c r="AC78" i="9"/>
  <c r="Y63" i="8" s="1"/>
  <c r="AC70" i="9"/>
  <c r="Y55" i="8" s="1"/>
  <c r="AC62" i="9"/>
  <c r="Y47" i="8" s="1"/>
  <c r="AC59" i="9"/>
  <c r="AD50" i="9"/>
  <c r="Z35" i="8" s="1"/>
  <c r="AD51" i="9"/>
  <c r="Z36" i="8" s="1"/>
  <c r="AD52" i="9"/>
  <c r="Z37" i="8" s="1"/>
  <c r="AD53" i="9"/>
  <c r="Z38" i="8" s="1"/>
  <c r="AD54" i="9"/>
  <c r="Z39" i="8" s="1"/>
  <c r="AD55" i="9"/>
  <c r="Z40" i="8" s="1"/>
  <c r="AD56" i="9"/>
  <c r="Z41" i="8" s="1"/>
  <c r="AD57" i="9"/>
  <c r="AD58" i="9"/>
  <c r="Z43" i="8" s="1"/>
  <c r="AD59" i="9"/>
  <c r="AD60" i="9"/>
  <c r="AD61" i="9"/>
  <c r="AD62" i="9"/>
  <c r="Z47" i="8" s="1"/>
  <c r="AD63" i="9"/>
  <c r="Z48" i="8" s="1"/>
  <c r="AD64" i="9"/>
  <c r="Z49" i="8" s="1"/>
  <c r="AD65" i="9"/>
  <c r="Z50" i="8" s="1"/>
  <c r="AD66" i="9"/>
  <c r="Z51" i="8" s="1"/>
  <c r="AD67" i="9"/>
  <c r="Z52" i="8" s="1"/>
  <c r="AD68" i="9"/>
  <c r="Z53" i="8" s="1"/>
  <c r="AD69" i="9"/>
  <c r="Z54" i="8" s="1"/>
  <c r="AD70" i="9"/>
  <c r="Z55" i="8" s="1"/>
  <c r="AD71" i="9"/>
  <c r="Z56" i="8" s="1"/>
  <c r="AD72" i="9"/>
  <c r="Z57" i="8" s="1"/>
  <c r="AD73" i="9"/>
  <c r="Z58" i="8" s="1"/>
  <c r="AD74" i="9"/>
  <c r="Z59" i="8" s="1"/>
  <c r="AD75" i="9"/>
  <c r="Z60" i="8" s="1"/>
  <c r="AD76" i="9"/>
  <c r="Z61" i="8" s="1"/>
  <c r="AD77" i="9"/>
  <c r="Z62" i="8" s="1"/>
  <c r="AD78" i="9"/>
  <c r="Z63" i="8" s="1"/>
  <c r="X50" i="9"/>
  <c r="T35" i="8" s="1"/>
  <c r="X51" i="9"/>
  <c r="T36" i="8" s="1"/>
  <c r="X52" i="9"/>
  <c r="T37" i="8" s="1"/>
  <c r="X53" i="9"/>
  <c r="T38" i="8" s="1"/>
  <c r="X54" i="9"/>
  <c r="T39" i="8" s="1"/>
  <c r="X55" i="9"/>
  <c r="T40" i="8" s="1"/>
  <c r="X56" i="9"/>
  <c r="T41" i="8" s="1"/>
  <c r="X57" i="9"/>
  <c r="X58" i="9"/>
  <c r="T43" i="8" s="1"/>
  <c r="X59" i="9"/>
  <c r="X60" i="9"/>
  <c r="X61" i="9"/>
  <c r="X62" i="9"/>
  <c r="T47" i="8" s="1"/>
  <c r="X63" i="9"/>
  <c r="T48" i="8" s="1"/>
  <c r="X64" i="9"/>
  <c r="T49" i="8" s="1"/>
  <c r="X65" i="9"/>
  <c r="T50" i="8" s="1"/>
  <c r="X66" i="9"/>
  <c r="T51" i="8" s="1"/>
  <c r="X67" i="9"/>
  <c r="X68" i="9"/>
  <c r="T53" i="8" s="1"/>
  <c r="X69" i="9"/>
  <c r="T54" i="8" s="1"/>
  <c r="X70" i="9"/>
  <c r="T55" i="8" s="1"/>
  <c r="X71" i="9"/>
  <c r="T56" i="8" s="1"/>
  <c r="X72" i="9"/>
  <c r="T57" i="8" s="1"/>
  <c r="X73" i="9"/>
  <c r="T58" i="8" s="1"/>
  <c r="X74" i="9"/>
  <c r="T59" i="8" s="1"/>
  <c r="X75" i="9"/>
  <c r="T60" i="8" s="1"/>
  <c r="X76" i="9"/>
  <c r="T61" i="8" s="1"/>
  <c r="X77" i="9"/>
  <c r="T62" i="8" s="1"/>
  <c r="X78" i="9"/>
  <c r="T63" i="8" s="1"/>
  <c r="AA50" i="9"/>
  <c r="W35" i="8" s="1"/>
  <c r="AA51" i="9"/>
  <c r="W36" i="8" s="1"/>
  <c r="AA52" i="9"/>
  <c r="W37" i="8" s="1"/>
  <c r="AA53" i="9"/>
  <c r="W38" i="8" s="1"/>
  <c r="AA54" i="9"/>
  <c r="W39" i="8" s="1"/>
  <c r="AA55" i="9"/>
  <c r="AA56" i="9"/>
  <c r="W41" i="8" s="1"/>
  <c r="AA57" i="9"/>
  <c r="AA58" i="9"/>
  <c r="W43" i="8" s="1"/>
  <c r="AA59" i="9"/>
  <c r="AA60" i="9"/>
  <c r="AA61" i="9"/>
  <c r="AA62" i="9"/>
  <c r="W47" i="8" s="1"/>
  <c r="AA63" i="9"/>
  <c r="AA64" i="9"/>
  <c r="W49" i="8" s="1"/>
  <c r="AA65" i="9"/>
  <c r="W50" i="8" s="1"/>
  <c r="AA66" i="9"/>
  <c r="W51" i="8" s="1"/>
  <c r="AA67" i="9"/>
  <c r="W52" i="8" s="1"/>
  <c r="AA68" i="9"/>
  <c r="W53" i="8" s="1"/>
  <c r="AA69" i="9"/>
  <c r="W54" i="8" s="1"/>
  <c r="AA70" i="9"/>
  <c r="W55" i="8" s="1"/>
  <c r="AA71" i="9"/>
  <c r="W56" i="8" s="1"/>
  <c r="AA72" i="9"/>
  <c r="W57" i="8" s="1"/>
  <c r="AA73" i="9"/>
  <c r="W58" i="8" s="1"/>
  <c r="AA74" i="9"/>
  <c r="W59" i="8" s="1"/>
  <c r="AA75" i="9"/>
  <c r="W60" i="8" s="1"/>
  <c r="AA76" i="9"/>
  <c r="W61" i="8" s="1"/>
  <c r="AA77" i="9"/>
  <c r="W62" i="8" s="1"/>
  <c r="AA78" i="9"/>
  <c r="W63" i="8" s="1"/>
  <c r="AB50" i="9"/>
  <c r="X35" i="8" s="1"/>
  <c r="AB51" i="9"/>
  <c r="X36" i="8" s="1"/>
  <c r="AB52" i="9"/>
  <c r="X37" i="8" s="1"/>
  <c r="AB53" i="9"/>
  <c r="X38" i="8" s="1"/>
  <c r="AB54" i="9"/>
  <c r="X39" i="8" s="1"/>
  <c r="AB55" i="9"/>
  <c r="X40" i="8" s="1"/>
  <c r="AB56" i="9"/>
  <c r="X41" i="8" s="1"/>
  <c r="AB57" i="9"/>
  <c r="AB58" i="9"/>
  <c r="X43" i="8" s="1"/>
  <c r="AB59" i="9"/>
  <c r="AB60" i="9"/>
  <c r="AB61" i="9"/>
  <c r="AB62" i="9"/>
  <c r="X47" i="8" s="1"/>
  <c r="AB63" i="9"/>
  <c r="X48" i="8" s="1"/>
  <c r="AB64" i="9"/>
  <c r="X49" i="8" s="1"/>
  <c r="AB65" i="9"/>
  <c r="X50" i="8" s="1"/>
  <c r="AB66" i="9"/>
  <c r="X51" i="8" s="1"/>
  <c r="AB67" i="9"/>
  <c r="X52" i="8" s="1"/>
  <c r="AB68" i="9"/>
  <c r="X53" i="8" s="1"/>
  <c r="AB69" i="9"/>
  <c r="X54" i="8" s="1"/>
  <c r="AB74" i="9"/>
  <c r="X59" i="8" s="1"/>
  <c r="AB73" i="9"/>
  <c r="X58" i="8" s="1"/>
  <c r="AB75" i="9"/>
  <c r="X60" i="8" s="1"/>
  <c r="AB76" i="9"/>
  <c r="X61" i="8" s="1"/>
  <c r="AB71" i="9"/>
  <c r="X56" i="8" s="1"/>
  <c r="AB72" i="9"/>
  <c r="X57" i="8" s="1"/>
  <c r="AB78" i="9"/>
  <c r="X63" i="8" s="1"/>
  <c r="AB70" i="9"/>
  <c r="X55" i="8" s="1"/>
  <c r="AB77" i="9"/>
  <c r="X62" i="8" s="1"/>
  <c r="AC77" i="9"/>
  <c r="Y62" i="8" s="1"/>
  <c r="AC66" i="9"/>
  <c r="Y51" i="8" s="1"/>
  <c r="AC58" i="9"/>
  <c r="Y43" i="8" s="1"/>
  <c r="AC57" i="9"/>
  <c r="AE50" i="9"/>
  <c r="AA35" i="8" s="1"/>
  <c r="AE51" i="9"/>
  <c r="AA36" i="8" s="1"/>
  <c r="AE52" i="9"/>
  <c r="AA37" i="8" s="1"/>
  <c r="AE53" i="9"/>
  <c r="AA38" i="8" s="1"/>
  <c r="AE54" i="9"/>
  <c r="AA39" i="8" s="1"/>
  <c r="AE55" i="9"/>
  <c r="AA40" i="8" s="1"/>
  <c r="AE56" i="9"/>
  <c r="AA41" i="8" s="1"/>
  <c r="AE57" i="9"/>
  <c r="AE58" i="9"/>
  <c r="AA43" i="8" s="1"/>
  <c r="AE59" i="9"/>
  <c r="AE60" i="9"/>
  <c r="AE61" i="9"/>
  <c r="AE62" i="9"/>
  <c r="AA47" i="8" s="1"/>
  <c r="AE63" i="9"/>
  <c r="AA48" i="8" s="1"/>
  <c r="AE64" i="9"/>
  <c r="AA49" i="8" s="1"/>
  <c r="AE65" i="9"/>
  <c r="AA50" i="8" s="1"/>
  <c r="AE66" i="9"/>
  <c r="AA51" i="8" s="1"/>
  <c r="AE67" i="9"/>
  <c r="AA52" i="8" s="1"/>
  <c r="AE68" i="9"/>
  <c r="AA53" i="8" s="1"/>
  <c r="AE70" i="9"/>
  <c r="AA55" i="8" s="1"/>
  <c r="AE71" i="9"/>
  <c r="AA56" i="8" s="1"/>
  <c r="AE72" i="9"/>
  <c r="AA57" i="8" s="1"/>
  <c r="AE73" i="9"/>
  <c r="AA58" i="8" s="1"/>
  <c r="AE74" i="9"/>
  <c r="AA59" i="8" s="1"/>
  <c r="AE75" i="9"/>
  <c r="AA60" i="8" s="1"/>
  <c r="AE76" i="9"/>
  <c r="AA61" i="8" s="1"/>
  <c r="AE77" i="9"/>
  <c r="AA62" i="8" s="1"/>
  <c r="AE78" i="9"/>
  <c r="AA63" i="8" s="1"/>
  <c r="AE69" i="9"/>
  <c r="AA54" i="8" s="1"/>
  <c r="AF50" i="9"/>
  <c r="AB35" i="8" s="1"/>
  <c r="AF51" i="9"/>
  <c r="AB36" i="8" s="1"/>
  <c r="AF52" i="9"/>
  <c r="AB37" i="8" s="1"/>
  <c r="AF53" i="9"/>
  <c r="AB38" i="8" s="1"/>
  <c r="AF54" i="9"/>
  <c r="AB39" i="8" s="1"/>
  <c r="AF55" i="9"/>
  <c r="AB40" i="8" s="1"/>
  <c r="AF56" i="9"/>
  <c r="AB41" i="8" s="1"/>
  <c r="AF57" i="9"/>
  <c r="AF58" i="9"/>
  <c r="AB43" i="8" s="1"/>
  <c r="AF59" i="9"/>
  <c r="AF60" i="9"/>
  <c r="AF61" i="9"/>
  <c r="AF62" i="9"/>
  <c r="AB47" i="8" s="1"/>
  <c r="AF63" i="9"/>
  <c r="AB48" i="8" s="1"/>
  <c r="AF64" i="9"/>
  <c r="AB49" i="8" s="1"/>
  <c r="AF65" i="9"/>
  <c r="AB50" i="8" s="1"/>
  <c r="AF66" i="9"/>
  <c r="AB51" i="8" s="1"/>
  <c r="AF67" i="9"/>
  <c r="AB52" i="8" s="1"/>
  <c r="AF68" i="9"/>
  <c r="AB53" i="8" s="1"/>
  <c r="AF69" i="9"/>
  <c r="AB54" i="8" s="1"/>
  <c r="AF70" i="9"/>
  <c r="AB55" i="8" s="1"/>
  <c r="AF71" i="9"/>
  <c r="AB56" i="8" s="1"/>
  <c r="AF72" i="9"/>
  <c r="AB57" i="8" s="1"/>
  <c r="AF73" i="9"/>
  <c r="AB58" i="8" s="1"/>
  <c r="AF74" i="9"/>
  <c r="AB59" i="8" s="1"/>
  <c r="AF75" i="9"/>
  <c r="AB60" i="8" s="1"/>
  <c r="AF76" i="9"/>
  <c r="AB61" i="8" s="1"/>
  <c r="AF77" i="9"/>
  <c r="AB62" i="8" s="1"/>
  <c r="AF78" i="9"/>
  <c r="AB63" i="8" s="1"/>
  <c r="AI50" i="9"/>
  <c r="AE35" i="8" s="1"/>
  <c r="AI51" i="9"/>
  <c r="AE36" i="8" s="1"/>
  <c r="AI52" i="9"/>
  <c r="AE37" i="8" s="1"/>
  <c r="AI53" i="9"/>
  <c r="AE38" i="8" s="1"/>
  <c r="AI54" i="9"/>
  <c r="AE39" i="8" s="1"/>
  <c r="AI55" i="9"/>
  <c r="AE40" i="8" s="1"/>
  <c r="AI56" i="9"/>
  <c r="AE41" i="8" s="1"/>
  <c r="AI57" i="9"/>
  <c r="AI58" i="9"/>
  <c r="AE43" i="8" s="1"/>
  <c r="AI59" i="9"/>
  <c r="AI60" i="9"/>
  <c r="AI61" i="9"/>
  <c r="AI62" i="9"/>
  <c r="AE47" i="8" s="1"/>
  <c r="AI63" i="9"/>
  <c r="AE48" i="8" s="1"/>
  <c r="AI64" i="9"/>
  <c r="AE49" i="8" s="1"/>
  <c r="AI65" i="9"/>
  <c r="AE50" i="8" s="1"/>
  <c r="AI66" i="9"/>
  <c r="AE51" i="8" s="1"/>
  <c r="AI67" i="9"/>
  <c r="AE52" i="8" s="1"/>
  <c r="AI68" i="9"/>
  <c r="AE53" i="8" s="1"/>
  <c r="AI69" i="9"/>
  <c r="AE54" i="8" s="1"/>
  <c r="AI70" i="9"/>
  <c r="AE55" i="8" s="1"/>
  <c r="AI71" i="9"/>
  <c r="AE56" i="8" s="1"/>
  <c r="AI72" i="9"/>
  <c r="AE57" i="8" s="1"/>
  <c r="AI73" i="9"/>
  <c r="AE58" i="8" s="1"/>
  <c r="AI74" i="9"/>
  <c r="AE59" i="8" s="1"/>
  <c r="AI75" i="9"/>
  <c r="AE60" i="8" s="1"/>
  <c r="AI76" i="9"/>
  <c r="AE61" i="8" s="1"/>
  <c r="AI77" i="9"/>
  <c r="AE62" i="8" s="1"/>
  <c r="AI78" i="9"/>
  <c r="AE63" i="8" s="1"/>
  <c r="L50" i="9"/>
  <c r="H35" i="8" s="1"/>
  <c r="L51" i="9"/>
  <c r="H36" i="8" s="1"/>
  <c r="L52" i="9"/>
  <c r="H37" i="8" s="1"/>
  <c r="L53" i="9"/>
  <c r="H38" i="8" s="1"/>
  <c r="L54" i="9"/>
  <c r="H39" i="8" s="1"/>
  <c r="L55" i="9"/>
  <c r="H40" i="8" s="1"/>
  <c r="L56" i="9"/>
  <c r="H41" i="8" s="1"/>
  <c r="L57" i="9"/>
  <c r="L58" i="9"/>
  <c r="H43" i="8" s="1"/>
  <c r="L59" i="9"/>
  <c r="L60" i="9"/>
  <c r="L61" i="9"/>
  <c r="L62" i="9"/>
  <c r="H47" i="8" s="1"/>
  <c r="L63" i="9"/>
  <c r="H48" i="8" s="1"/>
  <c r="L64" i="9"/>
  <c r="H49" i="8" s="1"/>
  <c r="L65" i="9"/>
  <c r="H50" i="8" s="1"/>
  <c r="L66" i="9"/>
  <c r="H51" i="8" s="1"/>
  <c r="L67" i="9"/>
  <c r="H52" i="8" s="1"/>
  <c r="L68" i="9"/>
  <c r="H53" i="8" s="1"/>
  <c r="L69" i="9"/>
  <c r="H54" i="8" s="1"/>
  <c r="L70" i="9"/>
  <c r="H55" i="8" s="1"/>
  <c r="L71" i="9"/>
  <c r="H56" i="8" s="1"/>
  <c r="L72" i="9"/>
  <c r="H57" i="8" s="1"/>
  <c r="L78" i="9"/>
  <c r="H63" i="8" s="1"/>
  <c r="L74" i="9"/>
  <c r="H59" i="8" s="1"/>
  <c r="L75" i="9"/>
  <c r="H60" i="8" s="1"/>
  <c r="L76" i="9"/>
  <c r="H61" i="8" s="1"/>
  <c r="L77" i="9"/>
  <c r="H62" i="8" s="1"/>
  <c r="L73" i="9"/>
  <c r="H58" i="8" s="1"/>
  <c r="AC76" i="9"/>
  <c r="Y61" i="8" s="1"/>
  <c r="AC54" i="9"/>
  <c r="Y39" i="8" s="1"/>
  <c r="AC50" i="9"/>
  <c r="Y35" i="8" s="1"/>
  <c r="AC55" i="9"/>
  <c r="Y40" i="8" s="1"/>
  <c r="AG50" i="9"/>
  <c r="AC35" i="8" s="1"/>
  <c r="AG51" i="9"/>
  <c r="AC36" i="8" s="1"/>
  <c r="AG52" i="9"/>
  <c r="AC37" i="8" s="1"/>
  <c r="AG53" i="9"/>
  <c r="AC38" i="8" s="1"/>
  <c r="AG54" i="9"/>
  <c r="AC39" i="8" s="1"/>
  <c r="AG55" i="9"/>
  <c r="AC40" i="8" s="1"/>
  <c r="AG56" i="9"/>
  <c r="AC41" i="8" s="1"/>
  <c r="AG57" i="9"/>
  <c r="AG58" i="9"/>
  <c r="AC43" i="8" s="1"/>
  <c r="AG59" i="9"/>
  <c r="AG60" i="9"/>
  <c r="AG61" i="9"/>
  <c r="AG62" i="9"/>
  <c r="AC47" i="8" s="1"/>
  <c r="AG63" i="9"/>
  <c r="AC48" i="8" s="1"/>
  <c r="AG64" i="9"/>
  <c r="AC49" i="8" s="1"/>
  <c r="AG65" i="9"/>
  <c r="AC50" i="8" s="1"/>
  <c r="AG66" i="9"/>
  <c r="AC51" i="8" s="1"/>
  <c r="AG67" i="9"/>
  <c r="AC52" i="8" s="1"/>
  <c r="AG68" i="9"/>
  <c r="AC53" i="8" s="1"/>
  <c r="AG69" i="9"/>
  <c r="AC54" i="8" s="1"/>
  <c r="AG70" i="9"/>
  <c r="AC55" i="8" s="1"/>
  <c r="AG71" i="9"/>
  <c r="AC56" i="8" s="1"/>
  <c r="AG72" i="9"/>
  <c r="AC57" i="8" s="1"/>
  <c r="AG73" i="9"/>
  <c r="AC58" i="8" s="1"/>
  <c r="AG74" i="9"/>
  <c r="AC59" i="8" s="1"/>
  <c r="AG75" i="9"/>
  <c r="AC60" i="8" s="1"/>
  <c r="AG76" i="9"/>
  <c r="AC61" i="8" s="1"/>
  <c r="AG77" i="9"/>
  <c r="AC62" i="8" s="1"/>
  <c r="AG78" i="9"/>
  <c r="AC63" i="8" s="1"/>
  <c r="O50" i="9"/>
  <c r="K35" i="8" s="1"/>
  <c r="O51" i="9"/>
  <c r="K36" i="8" s="1"/>
  <c r="O52" i="9"/>
  <c r="K37" i="8" s="1"/>
  <c r="O53" i="9"/>
  <c r="K38" i="8" s="1"/>
  <c r="O54" i="9"/>
  <c r="K39" i="8" s="1"/>
  <c r="O55" i="9"/>
  <c r="K40" i="8" s="1"/>
  <c r="O56" i="9"/>
  <c r="K41" i="8" s="1"/>
  <c r="O57" i="9"/>
  <c r="O58" i="9"/>
  <c r="K43" i="8" s="1"/>
  <c r="O59" i="9"/>
  <c r="O60" i="9"/>
  <c r="O61" i="9"/>
  <c r="O62" i="9"/>
  <c r="K47" i="8" s="1"/>
  <c r="O63" i="9"/>
  <c r="K48" i="8" s="1"/>
  <c r="O64" i="9"/>
  <c r="K49" i="8" s="1"/>
  <c r="O65" i="9"/>
  <c r="K50" i="8" s="1"/>
  <c r="O66" i="9"/>
  <c r="K51" i="8" s="1"/>
  <c r="O67" i="9"/>
  <c r="K52" i="8" s="1"/>
  <c r="O68" i="9"/>
  <c r="K53" i="8" s="1"/>
  <c r="O69" i="9"/>
  <c r="K54" i="8" s="1"/>
  <c r="O70" i="9"/>
  <c r="K55" i="8" s="1"/>
  <c r="O71" i="9"/>
  <c r="K56" i="8" s="1"/>
  <c r="O72" i="9"/>
  <c r="K57" i="8" s="1"/>
  <c r="O73" i="9"/>
  <c r="K58" i="8" s="1"/>
  <c r="O74" i="9"/>
  <c r="K59" i="8" s="1"/>
  <c r="O75" i="9"/>
  <c r="K60" i="8" s="1"/>
  <c r="O76" i="9"/>
  <c r="K61" i="8" s="1"/>
  <c r="O77" i="9"/>
  <c r="K62" i="8" s="1"/>
  <c r="O78" i="9"/>
  <c r="K63" i="8" s="1"/>
  <c r="J50" i="9"/>
  <c r="F35" i="8" s="1"/>
  <c r="J51" i="9"/>
  <c r="F36" i="8" s="1"/>
  <c r="J52" i="9"/>
  <c r="F37" i="8" s="1"/>
  <c r="J53" i="9"/>
  <c r="F38" i="8" s="1"/>
  <c r="J54" i="9"/>
  <c r="F39" i="8" s="1"/>
  <c r="J55" i="9"/>
  <c r="F40" i="8" s="1"/>
  <c r="J56" i="9"/>
  <c r="F41" i="8" s="1"/>
  <c r="J57" i="9"/>
  <c r="J58" i="9"/>
  <c r="F43" i="8" s="1"/>
  <c r="J59" i="9"/>
  <c r="J60" i="9"/>
  <c r="J61" i="9"/>
  <c r="J62" i="9"/>
  <c r="F47" i="8" s="1"/>
  <c r="J63" i="9"/>
  <c r="F48" i="8" s="1"/>
  <c r="J64" i="9"/>
  <c r="F49" i="8" s="1"/>
  <c r="J65" i="9"/>
  <c r="F50" i="8" s="1"/>
  <c r="J66" i="9"/>
  <c r="F51" i="8" s="1"/>
  <c r="J67" i="9"/>
  <c r="F52" i="8" s="1"/>
  <c r="J68" i="9"/>
  <c r="F53" i="8" s="1"/>
  <c r="J69" i="9"/>
  <c r="F54" i="8" s="1"/>
  <c r="J70" i="9"/>
  <c r="F55" i="8" s="1"/>
  <c r="J71" i="9"/>
  <c r="F56" i="8" s="1"/>
  <c r="J72" i="9"/>
  <c r="F57" i="8" s="1"/>
  <c r="J73" i="9"/>
  <c r="F58" i="8" s="1"/>
  <c r="J74" i="9"/>
  <c r="F59" i="8" s="1"/>
  <c r="J75" i="9"/>
  <c r="F60" i="8" s="1"/>
  <c r="J76" i="9"/>
  <c r="F61" i="8" s="1"/>
  <c r="J77" i="9"/>
  <c r="F62" i="8" s="1"/>
  <c r="J78" i="9"/>
  <c r="F63" i="8" s="1"/>
  <c r="M51" i="9"/>
  <c r="I36" i="8" s="1"/>
  <c r="M53" i="9"/>
  <c r="I38" i="8" s="1"/>
  <c r="M55" i="9"/>
  <c r="I40" i="8" s="1"/>
  <c r="M57" i="9"/>
  <c r="M59" i="9"/>
  <c r="M61" i="9"/>
  <c r="M63" i="9"/>
  <c r="I48" i="8" s="1"/>
  <c r="M65" i="9"/>
  <c r="I50" i="8" s="1"/>
  <c r="M67" i="9"/>
  <c r="I52" i="8" s="1"/>
  <c r="M69" i="9"/>
  <c r="I54" i="8" s="1"/>
  <c r="M70" i="9"/>
  <c r="I55" i="8" s="1"/>
  <c r="M50" i="9"/>
  <c r="I35" i="8" s="1"/>
  <c r="M52" i="9"/>
  <c r="I37" i="8" s="1"/>
  <c r="M54" i="9"/>
  <c r="I39" i="8" s="1"/>
  <c r="M56" i="9"/>
  <c r="I41" i="8" s="1"/>
  <c r="M58" i="9"/>
  <c r="I43" i="8" s="1"/>
  <c r="M60" i="9"/>
  <c r="M62" i="9"/>
  <c r="I47" i="8" s="1"/>
  <c r="M64" i="9"/>
  <c r="I49" i="8" s="1"/>
  <c r="M66" i="9"/>
  <c r="I51" i="8" s="1"/>
  <c r="M68" i="9"/>
  <c r="I53" i="8" s="1"/>
  <c r="M71" i="9"/>
  <c r="I56" i="8" s="1"/>
  <c r="M72" i="9"/>
  <c r="I57" i="8" s="1"/>
  <c r="M73" i="9"/>
  <c r="I58" i="8" s="1"/>
  <c r="M74" i="9"/>
  <c r="I59" i="8" s="1"/>
  <c r="M75" i="9"/>
  <c r="I60" i="8" s="1"/>
  <c r="M76" i="9"/>
  <c r="I61" i="8" s="1"/>
  <c r="M77" i="9"/>
  <c r="I62" i="8" s="1"/>
  <c r="M78" i="9"/>
  <c r="I63" i="8" s="1"/>
  <c r="AK51" i="9"/>
  <c r="AG36" i="8" s="1"/>
  <c r="AK53" i="9"/>
  <c r="AG38" i="8" s="1"/>
  <c r="AK55" i="9"/>
  <c r="AG40" i="8" s="1"/>
  <c r="AK57" i="9"/>
  <c r="AK59" i="9"/>
  <c r="AK61" i="9"/>
  <c r="AK63" i="9"/>
  <c r="AG48" i="8" s="1"/>
  <c r="AK65" i="9"/>
  <c r="AG50" i="8" s="1"/>
  <c r="AK67" i="9"/>
  <c r="AG52" i="8" s="1"/>
  <c r="AK69" i="9"/>
  <c r="AG54" i="8" s="1"/>
  <c r="AK50" i="9"/>
  <c r="AG35" i="8" s="1"/>
  <c r="AK52" i="9"/>
  <c r="AG37" i="8" s="1"/>
  <c r="AK54" i="9"/>
  <c r="AG39" i="8" s="1"/>
  <c r="AK56" i="9"/>
  <c r="AG41" i="8" s="1"/>
  <c r="AK58" i="9"/>
  <c r="AG43" i="8" s="1"/>
  <c r="AK60" i="9"/>
  <c r="AK62" i="9"/>
  <c r="AG47" i="8" s="1"/>
  <c r="AK64" i="9"/>
  <c r="AG49" i="8" s="1"/>
  <c r="AK66" i="9"/>
  <c r="AG51" i="8" s="1"/>
  <c r="AK68" i="9"/>
  <c r="AG53" i="8" s="1"/>
  <c r="AK70" i="9"/>
  <c r="AG55" i="8" s="1"/>
  <c r="AK71" i="9"/>
  <c r="AG56" i="8" s="1"/>
  <c r="AK72" i="9"/>
  <c r="AG57" i="8" s="1"/>
  <c r="AK73" i="9"/>
  <c r="AG58" i="8" s="1"/>
  <c r="AK74" i="9"/>
  <c r="AG59" i="8" s="1"/>
  <c r="AK75" i="9"/>
  <c r="AG60" i="8" s="1"/>
  <c r="AK76" i="9"/>
  <c r="AG61" i="8" s="1"/>
  <c r="AK77" i="9"/>
  <c r="AG62" i="8" s="1"/>
  <c r="AK78" i="9"/>
  <c r="AG63" i="8" s="1"/>
  <c r="AC75" i="9"/>
  <c r="Y60" i="8" s="1"/>
  <c r="AC64" i="9"/>
  <c r="Y49" i="8" s="1"/>
  <c r="AC69" i="9"/>
  <c r="Y54" i="8" s="1"/>
  <c r="AC53" i="9"/>
  <c r="Y38" i="8" s="1"/>
  <c r="AJ50" i="9"/>
  <c r="AF35" i="8" s="1"/>
  <c r="AJ51" i="9"/>
  <c r="AF36" i="8" s="1"/>
  <c r="AJ52" i="9"/>
  <c r="AF37" i="8" s="1"/>
  <c r="AJ53" i="9"/>
  <c r="AF38" i="8" s="1"/>
  <c r="AJ54" i="9"/>
  <c r="AF39" i="8" s="1"/>
  <c r="AJ55" i="9"/>
  <c r="AF40" i="8" s="1"/>
  <c r="AJ56" i="9"/>
  <c r="AF41" i="8" s="1"/>
  <c r="AJ57" i="9"/>
  <c r="AJ58" i="9"/>
  <c r="AF43" i="8" s="1"/>
  <c r="AJ59" i="9"/>
  <c r="AJ60" i="9"/>
  <c r="AJ61" i="9"/>
  <c r="AJ62" i="9"/>
  <c r="AF47" i="8" s="1"/>
  <c r="AJ63" i="9"/>
  <c r="AF48" i="8" s="1"/>
  <c r="AJ64" i="9"/>
  <c r="AF49" i="8" s="1"/>
  <c r="AJ65" i="9"/>
  <c r="AF50" i="8" s="1"/>
  <c r="AJ66" i="9"/>
  <c r="AF51" i="8" s="1"/>
  <c r="AJ67" i="9"/>
  <c r="AF52" i="8" s="1"/>
  <c r="AJ68" i="9"/>
  <c r="AF53" i="8" s="1"/>
  <c r="AJ69" i="9"/>
  <c r="AF54" i="8" s="1"/>
  <c r="AJ71" i="9"/>
  <c r="AF56" i="8" s="1"/>
  <c r="AJ76" i="9"/>
  <c r="AF61" i="8" s="1"/>
  <c r="AJ72" i="9"/>
  <c r="AF57" i="8" s="1"/>
  <c r="AJ70" i="9"/>
  <c r="AF55" i="8" s="1"/>
  <c r="AJ77" i="9"/>
  <c r="AF62" i="8" s="1"/>
  <c r="AJ73" i="9"/>
  <c r="AF58" i="8" s="1"/>
  <c r="AJ74" i="9"/>
  <c r="AF59" i="8" s="1"/>
  <c r="AJ78" i="9"/>
  <c r="AF63" i="8" s="1"/>
  <c r="AJ75" i="9"/>
  <c r="AF60" i="8" s="1"/>
  <c r="Q50" i="9"/>
  <c r="M35" i="8" s="1"/>
  <c r="Q51" i="9"/>
  <c r="M36" i="8" s="1"/>
  <c r="Q52" i="9"/>
  <c r="M37" i="8" s="1"/>
  <c r="Q53" i="9"/>
  <c r="M38" i="8" s="1"/>
  <c r="Q54" i="9"/>
  <c r="M39" i="8" s="1"/>
  <c r="Q55" i="9"/>
  <c r="M40" i="8" s="1"/>
  <c r="Q56" i="9"/>
  <c r="M41" i="8" s="1"/>
  <c r="Q57" i="9"/>
  <c r="Q58" i="9"/>
  <c r="M43" i="8" s="1"/>
  <c r="Q59" i="9"/>
  <c r="Q60" i="9"/>
  <c r="Q61" i="9"/>
  <c r="Q62" i="9"/>
  <c r="M47" i="8" s="1"/>
  <c r="Q63" i="9"/>
  <c r="M48" i="8" s="1"/>
  <c r="Q64" i="9"/>
  <c r="M49" i="8" s="1"/>
  <c r="Q65" i="9"/>
  <c r="M50" i="8" s="1"/>
  <c r="Q66" i="9"/>
  <c r="M51" i="8" s="1"/>
  <c r="Q67" i="9"/>
  <c r="M52" i="8" s="1"/>
  <c r="Q68" i="9"/>
  <c r="M53" i="8" s="1"/>
  <c r="Q69" i="9"/>
  <c r="M54" i="8" s="1"/>
  <c r="Q70" i="9"/>
  <c r="M55" i="8" s="1"/>
  <c r="Q71" i="9"/>
  <c r="M56" i="8" s="1"/>
  <c r="Q72" i="9"/>
  <c r="M57" i="8" s="1"/>
  <c r="Q73" i="9"/>
  <c r="M58" i="8" s="1"/>
  <c r="Q74" i="9"/>
  <c r="M59" i="8" s="1"/>
  <c r="Q75" i="9"/>
  <c r="M60" i="8" s="1"/>
  <c r="Q76" i="9"/>
  <c r="M61" i="8" s="1"/>
  <c r="Q77" i="9"/>
  <c r="M62" i="8" s="1"/>
  <c r="Q78" i="9"/>
  <c r="M63" i="8" s="1"/>
  <c r="U51" i="9"/>
  <c r="Q36" i="8" s="1"/>
  <c r="U53" i="9"/>
  <c r="Q38" i="8" s="1"/>
  <c r="U55" i="9"/>
  <c r="Q40" i="8" s="1"/>
  <c r="U57" i="9"/>
  <c r="U59" i="9"/>
  <c r="U61" i="9"/>
  <c r="U63" i="9"/>
  <c r="Q48" i="8" s="1"/>
  <c r="U65" i="9"/>
  <c r="Q50" i="8" s="1"/>
  <c r="U67" i="9"/>
  <c r="Q52" i="8" s="1"/>
  <c r="U69" i="9"/>
  <c r="Q54" i="8" s="1"/>
  <c r="U50" i="9"/>
  <c r="Q35" i="8" s="1"/>
  <c r="U52" i="9"/>
  <c r="Q37" i="8" s="1"/>
  <c r="U54" i="9"/>
  <c r="Q39" i="8" s="1"/>
  <c r="U56" i="9"/>
  <c r="Q41" i="8" s="1"/>
  <c r="U58" i="9"/>
  <c r="Q43" i="8" s="1"/>
  <c r="U60" i="9"/>
  <c r="U62" i="9"/>
  <c r="Q47" i="8" s="1"/>
  <c r="U64" i="9"/>
  <c r="Q49" i="8" s="1"/>
  <c r="U66" i="9"/>
  <c r="Q51" i="8" s="1"/>
  <c r="U68" i="9"/>
  <c r="Q53" i="8" s="1"/>
  <c r="U70" i="9"/>
  <c r="Q55" i="8" s="1"/>
  <c r="U71" i="9"/>
  <c r="Q56" i="8" s="1"/>
  <c r="U72" i="9"/>
  <c r="Q57" i="8" s="1"/>
  <c r="U73" i="9"/>
  <c r="Q58" i="8" s="1"/>
  <c r="U74" i="9"/>
  <c r="Q59" i="8" s="1"/>
  <c r="U75" i="9"/>
  <c r="Q60" i="8" s="1"/>
  <c r="U76" i="9"/>
  <c r="Q61" i="8" s="1"/>
  <c r="U77" i="9"/>
  <c r="Q62" i="8" s="1"/>
  <c r="U78" i="9"/>
  <c r="Q63" i="8" s="1"/>
  <c r="R50" i="9"/>
  <c r="N35" i="8" s="1"/>
  <c r="R51" i="9"/>
  <c r="N36" i="8" s="1"/>
  <c r="R52" i="9"/>
  <c r="N37" i="8" s="1"/>
  <c r="R53" i="9"/>
  <c r="N38" i="8" s="1"/>
  <c r="R54" i="9"/>
  <c r="N39" i="8" s="1"/>
  <c r="R55" i="9"/>
  <c r="N40" i="8" s="1"/>
  <c r="R56" i="9"/>
  <c r="N41" i="8" s="1"/>
  <c r="R57" i="9"/>
  <c r="R58" i="9"/>
  <c r="N43" i="8" s="1"/>
  <c r="R59" i="9"/>
  <c r="R60" i="9"/>
  <c r="R61" i="9"/>
  <c r="R62" i="9"/>
  <c r="N47" i="8" s="1"/>
  <c r="R63" i="9"/>
  <c r="N48" i="8" s="1"/>
  <c r="R64" i="9"/>
  <c r="N49" i="8" s="1"/>
  <c r="R65" i="9"/>
  <c r="N50" i="8" s="1"/>
  <c r="R66" i="9"/>
  <c r="N51" i="8" s="1"/>
  <c r="R67" i="9"/>
  <c r="N52" i="8" s="1"/>
  <c r="R68" i="9"/>
  <c r="N53" i="8" s="1"/>
  <c r="R69" i="9"/>
  <c r="N54" i="8" s="1"/>
  <c r="R70" i="9"/>
  <c r="N55" i="8" s="1"/>
  <c r="R71" i="9"/>
  <c r="N56" i="8" s="1"/>
  <c r="R72" i="9"/>
  <c r="N57" i="8" s="1"/>
  <c r="R73" i="9"/>
  <c r="N58" i="8" s="1"/>
  <c r="R74" i="9"/>
  <c r="N59" i="8" s="1"/>
  <c r="R75" i="9"/>
  <c r="N60" i="8" s="1"/>
  <c r="R76" i="9"/>
  <c r="N61" i="8" s="1"/>
  <c r="R77" i="9"/>
  <c r="N62" i="8" s="1"/>
  <c r="R78" i="9"/>
  <c r="N63" i="8" s="1"/>
  <c r="N50" i="9"/>
  <c r="J35" i="8" s="1"/>
  <c r="N51" i="9"/>
  <c r="J36" i="8" s="1"/>
  <c r="N52" i="9"/>
  <c r="J37" i="8" s="1"/>
  <c r="N53" i="9"/>
  <c r="J38" i="8" s="1"/>
  <c r="N54" i="9"/>
  <c r="J39" i="8" s="1"/>
  <c r="N55" i="9"/>
  <c r="J40" i="8" s="1"/>
  <c r="N56" i="9"/>
  <c r="J41" i="8" s="1"/>
  <c r="N57" i="9"/>
  <c r="N58" i="9"/>
  <c r="J43" i="8" s="1"/>
  <c r="N59" i="9"/>
  <c r="N60" i="9"/>
  <c r="N61" i="9"/>
  <c r="N62" i="9"/>
  <c r="J47" i="8" s="1"/>
  <c r="N63" i="9"/>
  <c r="J48" i="8" s="1"/>
  <c r="N64" i="9"/>
  <c r="J49" i="8" s="1"/>
  <c r="N65" i="9"/>
  <c r="J50" i="8" s="1"/>
  <c r="N66" i="9"/>
  <c r="J51" i="8" s="1"/>
  <c r="N67" i="9"/>
  <c r="J52" i="8" s="1"/>
  <c r="N68" i="9"/>
  <c r="J53" i="8" s="1"/>
  <c r="N69" i="9"/>
  <c r="J54" i="8" s="1"/>
  <c r="N70" i="9"/>
  <c r="J55" i="8" s="1"/>
  <c r="N71" i="9"/>
  <c r="J56" i="8" s="1"/>
  <c r="N72" i="9"/>
  <c r="J57" i="8" s="1"/>
  <c r="N73" i="9"/>
  <c r="J58" i="8" s="1"/>
  <c r="N74" i="9"/>
  <c r="J59" i="8" s="1"/>
  <c r="N75" i="9"/>
  <c r="J60" i="8" s="1"/>
  <c r="N76" i="9"/>
  <c r="J61" i="8" s="1"/>
  <c r="N77" i="9"/>
  <c r="J62" i="8" s="1"/>
  <c r="N78" i="9"/>
  <c r="J63" i="8" s="1"/>
  <c r="G50" i="9"/>
  <c r="C35" i="8" s="1"/>
  <c r="G51" i="9"/>
  <c r="C36" i="8" s="1"/>
  <c r="G52" i="9"/>
  <c r="C37" i="8" s="1"/>
  <c r="G53" i="9"/>
  <c r="C38" i="8" s="1"/>
  <c r="G54" i="9"/>
  <c r="C39" i="8" s="1"/>
  <c r="G55" i="9"/>
  <c r="C40" i="8" s="1"/>
  <c r="G56" i="9"/>
  <c r="C41" i="8" s="1"/>
  <c r="G57" i="9"/>
  <c r="G58" i="9"/>
  <c r="C43" i="8" s="1"/>
  <c r="G59" i="9"/>
  <c r="G60" i="9"/>
  <c r="G61" i="9"/>
  <c r="G62" i="9"/>
  <c r="C47" i="8" s="1"/>
  <c r="G63" i="9"/>
  <c r="C48" i="8" s="1"/>
  <c r="G64" i="9"/>
  <c r="C49" i="8" s="1"/>
  <c r="G65" i="9"/>
  <c r="C50" i="8" s="1"/>
  <c r="G66" i="9"/>
  <c r="C51" i="8" s="1"/>
  <c r="G67" i="9"/>
  <c r="C52" i="8" s="1"/>
  <c r="G68" i="9"/>
  <c r="C53" i="8" s="1"/>
  <c r="G69" i="9"/>
  <c r="C54" i="8" s="1"/>
  <c r="G71" i="9"/>
  <c r="C56" i="8" s="1"/>
  <c r="G72" i="9"/>
  <c r="C57" i="8" s="1"/>
  <c r="G73" i="9"/>
  <c r="C58" i="8" s="1"/>
  <c r="G74" i="9"/>
  <c r="C59" i="8" s="1"/>
  <c r="G75" i="9"/>
  <c r="C60" i="8" s="1"/>
  <c r="G76" i="9"/>
  <c r="C61" i="8" s="1"/>
  <c r="G77" i="9"/>
  <c r="C62" i="8" s="1"/>
  <c r="G78" i="9"/>
  <c r="C63" i="8" s="1"/>
  <c r="G70" i="9"/>
  <c r="C55" i="8" s="1"/>
  <c r="AC74" i="9"/>
  <c r="Y59" i="8" s="1"/>
  <c r="AC60" i="9"/>
  <c r="AC67" i="9"/>
  <c r="Y52" i="8" s="1"/>
  <c r="Y36" i="8"/>
  <c r="S59" i="8"/>
  <c r="R57" i="8"/>
  <c r="P63" i="8"/>
  <c r="D39" i="8"/>
  <c r="D55" i="8"/>
  <c r="O52" i="8"/>
  <c r="T52" i="8"/>
  <c r="A41" i="9"/>
  <c r="C41" i="10"/>
  <c r="AD12" i="8"/>
  <c r="F6" i="8"/>
  <c r="N18" i="8"/>
  <c r="V29" i="8"/>
  <c r="Y6" i="8"/>
  <c r="AA6" i="8"/>
  <c r="AD28" i="8"/>
  <c r="L6" i="8"/>
  <c r="AC30" i="8"/>
  <c r="AH6" i="8"/>
  <c r="N22" i="8"/>
  <c r="Q26" i="8"/>
  <c r="AB22" i="8"/>
  <c r="AD10" i="8"/>
  <c r="F76" i="9"/>
  <c r="B61" i="8" s="1"/>
  <c r="N26" i="8"/>
  <c r="N30" i="8"/>
  <c r="T6" i="8"/>
  <c r="AA10" i="8"/>
  <c r="M26" i="8"/>
  <c r="F53" i="10"/>
  <c r="B6" i="8" s="1"/>
  <c r="Q22" i="8"/>
  <c r="I23" i="8"/>
  <c r="AF3" i="8"/>
  <c r="U29" i="8"/>
  <c r="AA30" i="8"/>
  <c r="X6" i="8"/>
  <c r="K12" i="8"/>
  <c r="AH22" i="8"/>
  <c r="N28" i="8"/>
  <c r="AD22" i="8"/>
  <c r="Z28" i="8"/>
  <c r="AF28" i="8"/>
  <c r="Q30" i="8"/>
  <c r="Q10" i="8"/>
  <c r="S26" i="8"/>
  <c r="R18" i="8"/>
  <c r="I10" i="8"/>
  <c r="AF26" i="8"/>
  <c r="P26" i="8"/>
  <c r="C5" i="8"/>
  <c r="W26" i="8"/>
  <c r="W22" i="8"/>
  <c r="Z20" i="8"/>
  <c r="R6" i="8"/>
  <c r="AE25" i="8"/>
  <c r="F65" i="10"/>
  <c r="B18" i="8" s="1"/>
  <c r="J31" i="8"/>
  <c r="AD30" i="8"/>
  <c r="X28" i="8"/>
  <c r="R26" i="8"/>
  <c r="AC22" i="8"/>
  <c r="X10" i="8"/>
  <c r="AD16" i="8"/>
  <c r="O28" i="8"/>
  <c r="I30" i="8"/>
  <c r="AF30" i="8"/>
  <c r="I28" i="8"/>
  <c r="X20" i="8"/>
  <c r="F51" i="10"/>
  <c r="M5" i="8"/>
  <c r="AB3" i="8"/>
  <c r="X12" i="8"/>
  <c r="G28" i="8"/>
  <c r="R28" i="8"/>
  <c r="V26" i="8"/>
  <c r="Y24" i="8"/>
  <c r="AG12" i="8"/>
  <c r="M18" i="8"/>
  <c r="P29" i="8"/>
  <c r="W30" i="8"/>
  <c r="E18" i="8"/>
  <c r="T27" i="8"/>
  <c r="AH3" i="8"/>
  <c r="V28" i="8"/>
  <c r="Y3" i="8"/>
  <c r="H20" i="8"/>
  <c r="AD18" i="8"/>
  <c r="AD5" i="8"/>
  <c r="R10" i="8"/>
  <c r="AB6" i="8"/>
  <c r="L31" i="8"/>
  <c r="H22" i="8"/>
  <c r="AB30" i="8"/>
  <c r="O31" i="8"/>
  <c r="AG6" i="8"/>
  <c r="D18" i="8"/>
  <c r="C29" i="8"/>
  <c r="F28" i="8"/>
  <c r="AF22" i="8"/>
  <c r="AB12" i="8"/>
  <c r="G3" i="8"/>
  <c r="N3" i="8"/>
  <c r="F75" i="9"/>
  <c r="B60" i="8" s="1"/>
  <c r="O10" i="8"/>
  <c r="M10" i="8"/>
  <c r="AA17" i="8"/>
  <c r="AA21" i="8"/>
  <c r="AA29" i="8"/>
  <c r="AA12" i="8"/>
  <c r="AA19" i="8"/>
  <c r="AA11" i="8"/>
  <c r="AA7" i="8"/>
  <c r="AA25" i="8"/>
  <c r="AA5" i="8"/>
  <c r="AA24" i="8"/>
  <c r="AA9" i="8"/>
  <c r="AA23" i="8"/>
  <c r="AA31" i="8"/>
  <c r="AA3" i="8"/>
  <c r="AA8" i="8"/>
  <c r="AA15" i="8"/>
  <c r="Q6" i="8"/>
  <c r="Z18" i="8"/>
  <c r="Z7" i="8"/>
  <c r="Z9" i="8"/>
  <c r="Z17" i="8"/>
  <c r="Z25" i="8"/>
  <c r="Z11" i="8"/>
  <c r="Z19" i="8"/>
  <c r="Z8" i="8"/>
  <c r="Z24" i="8"/>
  <c r="Z21" i="8"/>
  <c r="Z15" i="8"/>
  <c r="Z23" i="8"/>
  <c r="Z27" i="8"/>
  <c r="Z31" i="8"/>
  <c r="Y30" i="8"/>
  <c r="L30" i="8"/>
  <c r="P30" i="8"/>
  <c r="E28" i="8"/>
  <c r="W28" i="8"/>
  <c r="Y28" i="8"/>
  <c r="AA28" i="8"/>
  <c r="AG26" i="8"/>
  <c r="I26" i="8"/>
  <c r="D26" i="8"/>
  <c r="F26" i="8"/>
  <c r="E22" i="8"/>
  <c r="AG22" i="8"/>
  <c r="C22" i="8"/>
  <c r="H6" i="8"/>
  <c r="Q9" i="8"/>
  <c r="Q20" i="8"/>
  <c r="Q8" i="8"/>
  <c r="Q19" i="8"/>
  <c r="Q15" i="8"/>
  <c r="Q23" i="8"/>
  <c r="Q21" i="8"/>
  <c r="Q11" i="8"/>
  <c r="Q7" i="8"/>
  <c r="Q17" i="8"/>
  <c r="Q25" i="8"/>
  <c r="Q16" i="8"/>
  <c r="G6" i="8"/>
  <c r="AD6" i="8"/>
  <c r="L10" i="8"/>
  <c r="AD20" i="8"/>
  <c r="Y20" i="8"/>
  <c r="AA20" i="8"/>
  <c r="Q18" i="8"/>
  <c r="F18" i="8"/>
  <c r="Y12" i="8"/>
  <c r="L24" i="8"/>
  <c r="G24" i="8"/>
  <c r="AH24" i="8"/>
  <c r="N16" i="8"/>
  <c r="D16" i="8"/>
  <c r="AB5" i="8"/>
  <c r="AF5" i="8"/>
  <c r="D3" i="8"/>
  <c r="N31" i="8"/>
  <c r="AG29" i="8"/>
  <c r="AG27" i="8"/>
  <c r="G27" i="8"/>
  <c r="X25" i="8"/>
  <c r="AG10" i="8"/>
  <c r="C10" i="8"/>
  <c r="F57" i="10"/>
  <c r="S8" i="8"/>
  <c r="S15" i="8"/>
  <c r="S17" i="8"/>
  <c r="S31" i="8"/>
  <c r="S12" i="8"/>
  <c r="S21" i="8"/>
  <c r="S11" i="8"/>
  <c r="S19" i="8"/>
  <c r="S27" i="8"/>
  <c r="S24" i="8"/>
  <c r="S18" i="8"/>
  <c r="S10" i="8"/>
  <c r="S7" i="8"/>
  <c r="S23" i="8"/>
  <c r="S25" i="8"/>
  <c r="S16" i="8"/>
  <c r="S9" i="8"/>
  <c r="S3" i="8"/>
  <c r="I6" i="8"/>
  <c r="R15" i="8"/>
  <c r="R31" i="8"/>
  <c r="R7" i="8"/>
  <c r="R9" i="8"/>
  <c r="R17" i="8"/>
  <c r="R11" i="8"/>
  <c r="R19" i="8"/>
  <c r="R3" i="8"/>
  <c r="R5" i="8"/>
  <c r="R8" i="8"/>
  <c r="R21" i="8"/>
  <c r="R29" i="8"/>
  <c r="R16" i="8"/>
  <c r="R23" i="8"/>
  <c r="R27" i="8"/>
  <c r="Z30" i="8"/>
  <c r="T30" i="8"/>
  <c r="V30" i="8"/>
  <c r="X30" i="8"/>
  <c r="AE28" i="8"/>
  <c r="AG28" i="8"/>
  <c r="L28" i="8"/>
  <c r="F73" i="10"/>
  <c r="B26" i="8" s="1"/>
  <c r="Y26" i="8"/>
  <c r="L26" i="8"/>
  <c r="P22" i="8"/>
  <c r="I22" i="8"/>
  <c r="K22" i="8"/>
  <c r="V22" i="8"/>
  <c r="AD17" i="8"/>
  <c r="AD3" i="8"/>
  <c r="AD8" i="8"/>
  <c r="AD9" i="8"/>
  <c r="AD11" i="8"/>
  <c r="AD21" i="8"/>
  <c r="AD29" i="8"/>
  <c r="AD25" i="8"/>
  <c r="AD7" i="8"/>
  <c r="AD23" i="8"/>
  <c r="AD24" i="8"/>
  <c r="AD15" i="8"/>
  <c r="AD19" i="8"/>
  <c r="AD31" i="8"/>
  <c r="I7" i="8"/>
  <c r="V6" i="8"/>
  <c r="AE19" i="8"/>
  <c r="T10" i="8"/>
  <c r="E6" i="8"/>
  <c r="G20" i="8"/>
  <c r="AG20" i="8"/>
  <c r="L20" i="8"/>
  <c r="I18" i="8"/>
  <c r="AH18" i="8"/>
  <c r="H12" i="8"/>
  <c r="AB24" i="8"/>
  <c r="O24" i="8"/>
  <c r="V16" i="8"/>
  <c r="L16" i="8"/>
  <c r="I5" i="8"/>
  <c r="I3" i="8"/>
  <c r="T3" i="8"/>
  <c r="AB31" i="8"/>
  <c r="Z29" i="8"/>
  <c r="C27" i="8"/>
  <c r="H27" i="8"/>
  <c r="U6" i="8"/>
  <c r="U8" i="8"/>
  <c r="U24" i="8"/>
  <c r="U20" i="8"/>
  <c r="U9" i="8"/>
  <c r="U11" i="8"/>
  <c r="U21" i="8"/>
  <c r="U7" i="8"/>
  <c r="U23" i="8"/>
  <c r="U19" i="8"/>
  <c r="U31" i="8"/>
  <c r="U10" i="8"/>
  <c r="U15" i="8"/>
  <c r="U3" i="8"/>
  <c r="U12" i="8"/>
  <c r="U17" i="8"/>
  <c r="U25" i="8"/>
  <c r="U27" i="8"/>
  <c r="K15" i="8"/>
  <c r="K3" i="8"/>
  <c r="K8" i="8"/>
  <c r="K9" i="8"/>
  <c r="K21" i="8"/>
  <c r="K11" i="8"/>
  <c r="K17" i="8"/>
  <c r="K19" i="8"/>
  <c r="K7" i="8"/>
  <c r="K23" i="8"/>
  <c r="K25" i="8"/>
  <c r="K27" i="8"/>
  <c r="K5" i="8"/>
  <c r="AE21" i="8"/>
  <c r="AE23" i="8"/>
  <c r="J23" i="8"/>
  <c r="J27" i="8"/>
  <c r="J15" i="8"/>
  <c r="J7" i="8"/>
  <c r="J9" i="8"/>
  <c r="J17" i="8"/>
  <c r="J25" i="8"/>
  <c r="J12" i="8"/>
  <c r="J20" i="8"/>
  <c r="J11" i="8"/>
  <c r="J19" i="8"/>
  <c r="J8" i="8"/>
  <c r="J24" i="8"/>
  <c r="J21" i="8"/>
  <c r="J29" i="8"/>
  <c r="J16" i="8"/>
  <c r="AG30" i="8"/>
  <c r="H28" i="8"/>
  <c r="F75" i="10"/>
  <c r="B28" i="8" s="1"/>
  <c r="T28" i="8"/>
  <c r="J26" i="8"/>
  <c r="T26" i="8"/>
  <c r="AE22" i="8"/>
  <c r="T22" i="8"/>
  <c r="S22" i="8"/>
  <c r="V15" i="8"/>
  <c r="V19" i="8"/>
  <c r="V31" i="8"/>
  <c r="V17" i="8"/>
  <c r="V8" i="8"/>
  <c r="V9" i="8"/>
  <c r="V11" i="8"/>
  <c r="V18" i="8"/>
  <c r="V21" i="8"/>
  <c r="V5" i="8"/>
  <c r="V24" i="8"/>
  <c r="V7" i="8"/>
  <c r="V23" i="8"/>
  <c r="AC9" i="8"/>
  <c r="AC21" i="8"/>
  <c r="AC29" i="8"/>
  <c r="AC24" i="8"/>
  <c r="AC11" i="8"/>
  <c r="AC7" i="8"/>
  <c r="AC23" i="8"/>
  <c r="AC15" i="8"/>
  <c r="AC19" i="8"/>
  <c r="AC18" i="8"/>
  <c r="AC6" i="8"/>
  <c r="AC17" i="8"/>
  <c r="AC27" i="8"/>
  <c r="AC12" i="8"/>
  <c r="AC8" i="8"/>
  <c r="AC25" i="8"/>
  <c r="AF6" i="8"/>
  <c r="AF8" i="8"/>
  <c r="AF7" i="8"/>
  <c r="AF17" i="8"/>
  <c r="AF25" i="8"/>
  <c r="AF9" i="8"/>
  <c r="AF15" i="8"/>
  <c r="AF19" i="8"/>
  <c r="AF24" i="8"/>
  <c r="AF21" i="8"/>
  <c r="AF23" i="8"/>
  <c r="AF29" i="8"/>
  <c r="AF12" i="8"/>
  <c r="AF11" i="8"/>
  <c r="AF31" i="8"/>
  <c r="AF18" i="8"/>
  <c r="W18" i="8"/>
  <c r="W10" i="8"/>
  <c r="W19" i="8"/>
  <c r="W21" i="8"/>
  <c r="W15" i="8"/>
  <c r="W23" i="8"/>
  <c r="W31" i="8"/>
  <c r="W3" i="8"/>
  <c r="W12" i="8"/>
  <c r="W17" i="8"/>
  <c r="W7" i="8"/>
  <c r="W16" i="8"/>
  <c r="W8" i="8"/>
  <c r="W9" i="8"/>
  <c r="W11" i="8"/>
  <c r="W27" i="8"/>
  <c r="AB10" i="8"/>
  <c r="AH30" i="8"/>
  <c r="W20" i="8"/>
  <c r="F67" i="10"/>
  <c r="B20" i="8" s="1"/>
  <c r="T20" i="8"/>
  <c r="U18" i="8"/>
  <c r="C18" i="8"/>
  <c r="O12" i="8"/>
  <c r="F59" i="10"/>
  <c r="B12" i="8" s="1"/>
  <c r="M24" i="8"/>
  <c r="W24" i="8"/>
  <c r="AE26" i="8"/>
  <c r="T16" i="8"/>
  <c r="U5" i="8"/>
  <c r="Q5" i="8"/>
  <c r="Q3" i="8"/>
  <c r="D31" i="8"/>
  <c r="AE31" i="8"/>
  <c r="O29" i="8"/>
  <c r="D27" i="8"/>
  <c r="X27" i="8"/>
  <c r="P25" i="8"/>
  <c r="V62" i="8"/>
  <c r="D10" i="8"/>
  <c r="M25" i="8"/>
  <c r="M27" i="8"/>
  <c r="M16" i="8"/>
  <c r="M8" i="8"/>
  <c r="M9" i="8"/>
  <c r="M11" i="8"/>
  <c r="M17" i="8"/>
  <c r="M21" i="8"/>
  <c r="M7" i="8"/>
  <c r="M23" i="8"/>
  <c r="M19" i="8"/>
  <c r="M15" i="8"/>
  <c r="M3" i="8"/>
  <c r="M12" i="8"/>
  <c r="S6" i="8"/>
  <c r="AB25" i="8"/>
  <c r="AB16" i="8"/>
  <c r="AB8" i="8"/>
  <c r="AB23" i="8"/>
  <c r="AB9" i="8"/>
  <c r="AB15" i="8"/>
  <c r="AB17" i="8"/>
  <c r="AB21" i="8"/>
  <c r="AB29" i="8"/>
  <c r="AB7" i="8"/>
  <c r="AB11" i="8"/>
  <c r="AB19" i="8"/>
  <c r="Z6" i="8"/>
  <c r="C9" i="8"/>
  <c r="C16" i="8"/>
  <c r="C20" i="8"/>
  <c r="C15" i="8"/>
  <c r="C8" i="8"/>
  <c r="C21" i="8"/>
  <c r="C11" i="8"/>
  <c r="C31" i="8"/>
  <c r="C17" i="8"/>
  <c r="C23" i="8"/>
  <c r="C7" i="8"/>
  <c r="C19" i="8"/>
  <c r="C25" i="8"/>
  <c r="F60" i="10"/>
  <c r="F68" i="10"/>
  <c r="B21" i="8" s="1"/>
  <c r="F70" i="10"/>
  <c r="B23" i="8" s="1"/>
  <c r="F74" i="10"/>
  <c r="B27" i="8" s="1"/>
  <c r="F76" i="10"/>
  <c r="B29" i="8" s="1"/>
  <c r="F63" i="10"/>
  <c r="B16" i="8" s="1"/>
  <c r="F62" i="10"/>
  <c r="B15" i="8" s="1"/>
  <c r="F61" i="10"/>
  <c r="F54" i="10"/>
  <c r="B7" i="8" s="1"/>
  <c r="F56" i="10"/>
  <c r="B9" i="8" s="1"/>
  <c r="F64" i="10"/>
  <c r="B17" i="8" s="1"/>
  <c r="F72" i="10"/>
  <c r="B25" i="8" s="1"/>
  <c r="F58" i="10"/>
  <c r="B11" i="8" s="1"/>
  <c r="F66" i="10"/>
  <c r="B19" i="8" s="1"/>
  <c r="F50" i="10"/>
  <c r="B3" i="8" s="1"/>
  <c r="F52" i="10"/>
  <c r="B5" i="8" s="1"/>
  <c r="F55" i="10"/>
  <c r="B8" i="8" s="1"/>
  <c r="F71" i="10"/>
  <c r="B24" i="8" s="1"/>
  <c r="C30" i="8"/>
  <c r="E30" i="8"/>
  <c r="G30" i="8"/>
  <c r="K28" i="8"/>
  <c r="P28" i="8"/>
  <c r="J28" i="8"/>
  <c r="AB28" i="8"/>
  <c r="AH26" i="8"/>
  <c r="Z26" i="8"/>
  <c r="AB26" i="8"/>
  <c r="AD26" i="8"/>
  <c r="G22" i="8"/>
  <c r="AA22" i="8"/>
  <c r="N7" i="8"/>
  <c r="N23" i="8"/>
  <c r="N6" i="8"/>
  <c r="N15" i="8"/>
  <c r="N19" i="8"/>
  <c r="N17" i="8"/>
  <c r="N8" i="8"/>
  <c r="N27" i="8"/>
  <c r="N12" i="8"/>
  <c r="N20" i="8"/>
  <c r="N10" i="8"/>
  <c r="N9" i="8"/>
  <c r="N11" i="8"/>
  <c r="N21" i="8"/>
  <c r="N25" i="8"/>
  <c r="N29" i="8"/>
  <c r="N5" i="8"/>
  <c r="N24" i="8"/>
  <c r="F77" i="10"/>
  <c r="B30" i="8" s="1"/>
  <c r="X11" i="8"/>
  <c r="B41" i="10"/>
  <c r="A41" i="10"/>
  <c r="O26" i="8"/>
  <c r="O8" i="8"/>
  <c r="O9" i="8"/>
  <c r="O11" i="8"/>
  <c r="O27" i="8"/>
  <c r="O20" i="8"/>
  <c r="O17" i="8"/>
  <c r="O19" i="8"/>
  <c r="O21" i="8"/>
  <c r="O15" i="8"/>
  <c r="O23" i="8"/>
  <c r="O25" i="8"/>
  <c r="O3" i="8"/>
  <c r="O18" i="8"/>
  <c r="O6" i="8"/>
  <c r="O7" i="8"/>
  <c r="O16" i="8"/>
  <c r="V10" i="8"/>
  <c r="AC20" i="8"/>
  <c r="AE20" i="8"/>
  <c r="R20" i="8"/>
  <c r="AB20" i="8"/>
  <c r="K18" i="8"/>
  <c r="H18" i="8"/>
  <c r="Q12" i="8"/>
  <c r="R12" i="8"/>
  <c r="C24" i="8"/>
  <c r="X24" i="8"/>
  <c r="AA16" i="8"/>
  <c r="AE16" i="8"/>
  <c r="AC5" i="8"/>
  <c r="Y5" i="8"/>
  <c r="K31" i="8"/>
  <c r="H31" i="8"/>
  <c r="K29" i="8"/>
  <c r="I27" i="8"/>
  <c r="AF27" i="8"/>
  <c r="R25" i="8"/>
  <c r="E10" i="8"/>
  <c r="E25" i="8"/>
  <c r="E3" i="8"/>
  <c r="E8" i="8"/>
  <c r="E11" i="8"/>
  <c r="E9" i="8"/>
  <c r="E21" i="8"/>
  <c r="E5" i="8"/>
  <c r="E7" i="8"/>
  <c r="E15" i="8"/>
  <c r="E17" i="8"/>
  <c r="E23" i="8"/>
  <c r="E19" i="8"/>
  <c r="E31" i="8"/>
  <c r="E16" i="8"/>
  <c r="E12" i="8"/>
  <c r="K6" i="8"/>
  <c r="T7" i="8"/>
  <c r="T11" i="8"/>
  <c r="T19" i="8"/>
  <c r="T18" i="8"/>
  <c r="T25" i="8"/>
  <c r="T23" i="8"/>
  <c r="T8" i="8"/>
  <c r="T9" i="8"/>
  <c r="T15" i="8"/>
  <c r="T17" i="8"/>
  <c r="T21" i="8"/>
  <c r="T5" i="8"/>
  <c r="T12" i="8"/>
  <c r="T31" i="8"/>
  <c r="K30" i="8"/>
  <c r="M30" i="8"/>
  <c r="O30" i="8"/>
  <c r="C28" i="8"/>
  <c r="M28" i="8"/>
  <c r="G26" i="8"/>
  <c r="C26" i="8"/>
  <c r="E26" i="8"/>
  <c r="J22" i="8"/>
  <c r="Y10" i="8"/>
  <c r="F5" i="8"/>
  <c r="F7" i="8"/>
  <c r="F23" i="8"/>
  <c r="F15" i="8"/>
  <c r="F19" i="8"/>
  <c r="F17" i="8"/>
  <c r="F16" i="8"/>
  <c r="F8" i="8"/>
  <c r="F9" i="8"/>
  <c r="F11" i="8"/>
  <c r="F25" i="8"/>
  <c r="F21" i="8"/>
  <c r="F29" i="8"/>
  <c r="F24" i="8"/>
  <c r="M22" i="8"/>
  <c r="P23" i="8"/>
  <c r="P12" i="8"/>
  <c r="P10" i="8"/>
  <c r="P11" i="8"/>
  <c r="P8" i="8"/>
  <c r="P7" i="8"/>
  <c r="P17" i="8"/>
  <c r="P9" i="8"/>
  <c r="P27" i="8"/>
  <c r="P20" i="8"/>
  <c r="P15" i="8"/>
  <c r="P19" i="8"/>
  <c r="P24" i="8"/>
  <c r="P21" i="8"/>
  <c r="P3" i="8"/>
  <c r="P5" i="8"/>
  <c r="G11" i="8"/>
  <c r="G16" i="8"/>
  <c r="G8" i="8"/>
  <c r="G9" i="8"/>
  <c r="G7" i="8"/>
  <c r="G15" i="8"/>
  <c r="G21" i="8"/>
  <c r="G25" i="8"/>
  <c r="G5" i="8"/>
  <c r="G23" i="8"/>
  <c r="G19" i="8"/>
  <c r="G31" i="8"/>
  <c r="G17" i="8"/>
  <c r="E20" i="8"/>
  <c r="Y18" i="8"/>
  <c r="AA18" i="8"/>
  <c r="P18" i="8"/>
  <c r="Z12" i="8"/>
  <c r="D24" i="8"/>
  <c r="I24" i="8"/>
  <c r="AC16" i="8"/>
  <c r="P16" i="8"/>
  <c r="J5" i="8"/>
  <c r="J3" i="8"/>
  <c r="AC3" i="8"/>
  <c r="P31" i="8"/>
  <c r="W29" i="8"/>
  <c r="S29" i="8"/>
  <c r="Y27" i="8"/>
  <c r="E27" i="8"/>
  <c r="M6" i="8"/>
  <c r="C6" i="8"/>
  <c r="L7" i="8"/>
  <c r="L11" i="8"/>
  <c r="L19" i="8"/>
  <c r="L25" i="8"/>
  <c r="L23" i="8"/>
  <c r="L27" i="8"/>
  <c r="L3" i="8"/>
  <c r="L8" i="8"/>
  <c r="L9" i="8"/>
  <c r="L15" i="8"/>
  <c r="L17" i="8"/>
  <c r="L21" i="8"/>
  <c r="L29" i="8"/>
  <c r="L5" i="8"/>
  <c r="L12" i="8"/>
  <c r="J6" i="8"/>
  <c r="K10" i="8"/>
  <c r="J30" i="8"/>
  <c r="S30" i="8"/>
  <c r="U30" i="8"/>
  <c r="K26" i="8"/>
  <c r="D22" i="8"/>
  <c r="U22" i="8"/>
  <c r="G10" i="8"/>
  <c r="H21" i="8"/>
  <c r="H3" i="8"/>
  <c r="H5" i="8"/>
  <c r="H23" i="8"/>
  <c r="H11" i="8"/>
  <c r="H8" i="8"/>
  <c r="H7" i="8"/>
  <c r="H17" i="8"/>
  <c r="H29" i="8"/>
  <c r="H16" i="8"/>
  <c r="H9" i="8"/>
  <c r="H15" i="8"/>
  <c r="H19" i="8"/>
  <c r="H24" i="8"/>
  <c r="J10" i="8"/>
  <c r="H10" i="8"/>
  <c r="M20" i="8"/>
  <c r="AH20" i="8"/>
  <c r="AE18" i="8"/>
  <c r="G18" i="8"/>
  <c r="C12" i="8"/>
  <c r="AH12" i="8"/>
  <c r="T24" i="8"/>
  <c r="Q24" i="8"/>
  <c r="K16" i="8"/>
  <c r="X16" i="8"/>
  <c r="O5" i="8"/>
  <c r="Z5" i="8"/>
  <c r="Z3" i="8"/>
  <c r="F3" i="8"/>
  <c r="M31" i="8"/>
  <c r="Q31" i="8"/>
  <c r="G29" i="8"/>
  <c r="T29" i="8"/>
  <c r="AA27" i="8"/>
  <c r="F27" i="8"/>
  <c r="V25" i="8"/>
  <c r="U28" i="8"/>
  <c r="D5" i="8"/>
  <c r="D12" i="8"/>
  <c r="D7" i="8"/>
  <c r="D11" i="8"/>
  <c r="D19" i="8"/>
  <c r="D25" i="8"/>
  <c r="D23" i="8"/>
  <c r="D20" i="8"/>
  <c r="D8" i="8"/>
  <c r="D9" i="8"/>
  <c r="D15" i="8"/>
  <c r="D17" i="8"/>
  <c r="D21" i="8"/>
  <c r="D29" i="8"/>
  <c r="AE30" i="8"/>
  <c r="D28" i="8"/>
  <c r="AH28" i="8"/>
  <c r="H26" i="8"/>
  <c r="U26" i="8"/>
  <c r="O22" i="8"/>
  <c r="L22" i="8"/>
  <c r="AG8" i="8"/>
  <c r="AG3" i="8"/>
  <c r="AG5" i="8"/>
  <c r="AG24" i="8"/>
  <c r="AG21" i="8"/>
  <c r="AG23" i="8"/>
  <c r="AG15" i="8"/>
  <c r="AG7" i="8"/>
  <c r="AG11" i="8"/>
  <c r="AG17" i="8"/>
  <c r="AG25" i="8"/>
  <c r="AG9" i="8"/>
  <c r="AG19" i="8"/>
  <c r="AE6" i="8"/>
  <c r="F69" i="10"/>
  <c r="B22" i="8" s="1"/>
  <c r="F20" i="8"/>
  <c r="AF20" i="8"/>
  <c r="K20" i="8"/>
  <c r="L18" i="8"/>
  <c r="G12" i="8"/>
  <c r="F12" i="8"/>
  <c r="E24" i="8"/>
  <c r="AG16" i="8"/>
  <c r="AF16" i="8"/>
  <c r="W5" i="8"/>
  <c r="AH5" i="8"/>
  <c r="AC31" i="8"/>
  <c r="AG31" i="8"/>
  <c r="Q29" i="8"/>
  <c r="E29" i="8"/>
  <c r="AB27" i="8"/>
  <c r="V27" i="8"/>
  <c r="W25" i="8"/>
  <c r="D6" i="8"/>
  <c r="AE10" i="8"/>
  <c r="AC10" i="8"/>
  <c r="AH7" i="8"/>
  <c r="AH9" i="8"/>
  <c r="AH17" i="8"/>
  <c r="AH25" i="8"/>
  <c r="AH10" i="8"/>
  <c r="AH11" i="8"/>
  <c r="AH19" i="8"/>
  <c r="AH8" i="8"/>
  <c r="AH21" i="8"/>
  <c r="AH29" i="8"/>
  <c r="AH16" i="8"/>
  <c r="AH15" i="8"/>
  <c r="AH23" i="8"/>
  <c r="AH27" i="8"/>
  <c r="AH31" i="8"/>
  <c r="R30" i="8"/>
  <c r="D30" i="8"/>
  <c r="F30" i="8"/>
  <c r="H30" i="8"/>
  <c r="AC28" i="8"/>
  <c r="Q28" i="8"/>
  <c r="S28" i="8"/>
  <c r="X26" i="8"/>
  <c r="AA26" i="8"/>
  <c r="AC26" i="8"/>
  <c r="Z22" i="8"/>
  <c r="R22" i="8"/>
  <c r="X22" i="8"/>
  <c r="F22" i="8"/>
  <c r="P6" i="8"/>
  <c r="Y19" i="8"/>
  <c r="Y15" i="8"/>
  <c r="Y23" i="8"/>
  <c r="Y21" i="8"/>
  <c r="Y22" i="8"/>
  <c r="Y31" i="8"/>
  <c r="Y11" i="8"/>
  <c r="Y8" i="8"/>
  <c r="Y7" i="8"/>
  <c r="Y17" i="8"/>
  <c r="Y25" i="8"/>
  <c r="Y9" i="8"/>
  <c r="Y16" i="8"/>
  <c r="W6" i="8"/>
  <c r="F10" i="8"/>
  <c r="Z10" i="8"/>
  <c r="AF10" i="8"/>
  <c r="V20" i="8"/>
  <c r="I20" i="8"/>
  <c r="S20" i="8"/>
  <c r="AG18" i="8"/>
  <c r="J18" i="8"/>
  <c r="AB18" i="8"/>
  <c r="I12" i="8"/>
  <c r="V12" i="8"/>
  <c r="K24" i="8"/>
  <c r="R24" i="8"/>
  <c r="U16" i="8"/>
  <c r="Z16" i="8"/>
  <c r="S5" i="8"/>
  <c r="AE5" i="8"/>
  <c r="C3" i="8"/>
  <c r="V3" i="8"/>
  <c r="F31" i="8"/>
  <c r="F78" i="10"/>
  <c r="B31" i="8" s="1"/>
  <c r="Y29" i="8"/>
  <c r="M29" i="8"/>
  <c r="Q27" i="8"/>
  <c r="AD27" i="8"/>
  <c r="H25" i="8"/>
  <c r="AE3" i="8"/>
  <c r="AE29" i="8"/>
  <c r="X23" i="8"/>
  <c r="AE11" i="8"/>
  <c r="X5" i="8"/>
  <c r="X3" i="8"/>
  <c r="I31" i="8"/>
  <c r="AE27" i="8"/>
  <c r="X21" i="8"/>
  <c r="I11" i="8"/>
  <c r="AE9" i="8"/>
  <c r="AE8" i="8"/>
  <c r="AE15" i="8"/>
  <c r="AE7" i="8"/>
  <c r="I8" i="8"/>
  <c r="AE12" i="8"/>
  <c r="I16" i="8"/>
  <c r="I29" i="8"/>
  <c r="I21" i="8"/>
  <c r="X19" i="8"/>
  <c r="X15" i="8"/>
  <c r="AE17" i="8"/>
  <c r="X9" i="8"/>
  <c r="I19" i="8"/>
  <c r="X17" i="8"/>
  <c r="I15" i="8"/>
  <c r="X7" i="8"/>
  <c r="X8" i="8"/>
  <c r="I9" i="8"/>
  <c r="X18" i="8"/>
  <c r="AE24" i="8"/>
  <c r="X31" i="8"/>
  <c r="X29" i="8"/>
  <c r="I25" i="8"/>
  <c r="I17" i="8"/>
  <c r="F78" i="9"/>
  <c r="B63" i="8" s="1"/>
  <c r="F74" i="9"/>
  <c r="B59" i="8" s="1"/>
  <c r="S43" i="8"/>
  <c r="S51" i="8"/>
  <c r="F72" i="9"/>
  <c r="B57" i="8" s="1"/>
  <c r="F64" i="9"/>
  <c r="B49" i="8" s="1"/>
  <c r="V54" i="8"/>
  <c r="V38" i="8"/>
  <c r="R49" i="8"/>
  <c r="R41" i="8"/>
  <c r="F77" i="9"/>
  <c r="B62" i="8" s="1"/>
  <c r="B41" i="9"/>
  <c r="AH41" i="9" s="1"/>
  <c r="C41" i="9"/>
  <c r="P41" i="9" s="1"/>
  <c r="D41" i="9"/>
  <c r="F58" i="9"/>
  <c r="B43" i="8" s="1"/>
  <c r="F60" i="9"/>
  <c r="F52" i="9"/>
  <c r="B37" i="8" s="1"/>
  <c r="F66" i="9"/>
  <c r="B51" i="8" s="1"/>
  <c r="F57" i="9"/>
  <c r="F56" i="9"/>
  <c r="B41" i="8" s="1"/>
  <c r="F51" i="9"/>
  <c r="B36" i="8" s="1"/>
  <c r="F70" i="9"/>
  <c r="B55" i="8" s="1"/>
  <c r="F62" i="9"/>
  <c r="B47" i="8" s="1"/>
  <c r="F55" i="9"/>
  <c r="B40" i="8" s="1"/>
  <c r="S35" i="8"/>
  <c r="F71" i="9"/>
  <c r="B56" i="8" s="1"/>
  <c r="F59" i="9"/>
  <c r="W40" i="8"/>
  <c r="F68" i="9"/>
  <c r="B53" i="8" s="1"/>
  <c r="F69" i="9"/>
  <c r="B54" i="8" s="1"/>
  <c r="W48" i="8"/>
  <c r="F67" i="9"/>
  <c r="B52" i="8" s="1"/>
  <c r="F65" i="9"/>
  <c r="B50" i="8" s="1"/>
  <c r="F53" i="9"/>
  <c r="B38" i="8" s="1"/>
  <c r="F50" i="9"/>
  <c r="B35" i="8" s="1"/>
  <c r="F73" i="9"/>
  <c r="B58" i="8" s="1"/>
  <c r="F63" i="9"/>
  <c r="B48" i="8" s="1"/>
  <c r="F54" i="9"/>
  <c r="B39" i="8" s="1"/>
  <c r="F61" i="9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B96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I66" i="8"/>
  <c r="H41" i="9" l="1"/>
  <c r="AE41" i="9"/>
  <c r="N41" i="9"/>
  <c r="AL41" i="9"/>
  <c r="K41" i="9"/>
  <c r="J41" i="9"/>
  <c r="M41" i="9"/>
  <c r="AF41" i="9"/>
  <c r="Y41" i="9"/>
  <c r="AC41" i="9"/>
  <c r="AA41" i="9"/>
  <c r="Q41" i="9"/>
  <c r="X41" i="9"/>
  <c r="AB41" i="9"/>
  <c r="R41" i="9"/>
  <c r="Z41" i="9"/>
  <c r="AG41" i="9"/>
  <c r="AJ41" i="9"/>
  <c r="U41" i="9"/>
  <c r="AD41" i="9"/>
  <c r="O41" i="9"/>
  <c r="L41" i="9"/>
  <c r="I41" i="9"/>
  <c r="V41" i="9"/>
  <c r="W41" i="9"/>
  <c r="T41" i="9"/>
  <c r="S41" i="9"/>
  <c r="AI41" i="9"/>
  <c r="AK41" i="9"/>
  <c r="G41" i="9"/>
  <c r="AB44" i="8"/>
  <c r="G44" i="8"/>
  <c r="X44" i="8"/>
  <c r="S44" i="8"/>
  <c r="L44" i="8"/>
  <c r="Y44" i="8"/>
  <c r="Z44" i="8"/>
  <c r="P44" i="8"/>
  <c r="E44" i="8"/>
  <c r="N44" i="8"/>
  <c r="AF44" i="8"/>
  <c r="K44" i="8"/>
  <c r="C44" i="8"/>
  <c r="H44" i="8"/>
  <c r="D44" i="8"/>
  <c r="Q44" i="8"/>
  <c r="M44" i="8"/>
  <c r="T44" i="8"/>
  <c r="AG44" i="8"/>
  <c r="J44" i="8"/>
  <c r="I44" i="8"/>
  <c r="F44" i="8"/>
  <c r="AE44" i="8"/>
  <c r="O44" i="8"/>
  <c r="AD44" i="8"/>
  <c r="V44" i="8"/>
  <c r="R44" i="8"/>
  <c r="AH44" i="8"/>
  <c r="U44" i="8"/>
  <c r="AC44" i="8"/>
  <c r="AA44" i="8"/>
  <c r="W44" i="8"/>
  <c r="B44" i="8"/>
  <c r="F41" i="9"/>
  <c r="H41" i="10"/>
  <c r="AL41" i="10"/>
  <c r="AC41" i="10"/>
  <c r="S41" i="10"/>
  <c r="W41" i="10"/>
  <c r="J41" i="10"/>
  <c r="L41" i="10"/>
  <c r="M41" i="10"/>
  <c r="V41" i="10"/>
  <c r="Z41" i="10"/>
  <c r="R41" i="10"/>
  <c r="AK41" i="10"/>
  <c r="I41" i="10"/>
  <c r="AI41" i="10"/>
  <c r="AJ41" i="10"/>
  <c r="T41" i="10"/>
  <c r="AG41" i="10"/>
  <c r="G41" i="10"/>
  <c r="P41" i="10"/>
  <c r="AH41" i="10"/>
  <c r="X41" i="10"/>
  <c r="AE41" i="10"/>
  <c r="U41" i="10"/>
  <c r="AA41" i="10"/>
  <c r="O41" i="10"/>
  <c r="Y41" i="10"/>
  <c r="AF41" i="10"/>
  <c r="AB41" i="10"/>
  <c r="N41" i="10"/>
  <c r="Q41" i="10"/>
  <c r="K41" i="10"/>
  <c r="AD41" i="10"/>
  <c r="R4" i="8"/>
  <c r="AB4" i="8"/>
  <c r="AE14" i="8"/>
  <c r="N4" i="8"/>
  <c r="AG14" i="8"/>
  <c r="G14" i="8"/>
  <c r="C14" i="8"/>
  <c r="W14" i="8"/>
  <c r="AF4" i="8"/>
  <c r="K4" i="8"/>
  <c r="Z14" i="8"/>
  <c r="P4" i="8"/>
  <c r="AH4" i="8"/>
  <c r="AH14" i="8"/>
  <c r="D4" i="8"/>
  <c r="AC14" i="8"/>
  <c r="V14" i="8"/>
  <c r="K14" i="8"/>
  <c r="U14" i="8"/>
  <c r="Q14" i="8"/>
  <c r="AD4" i="8"/>
  <c r="X14" i="8"/>
  <c r="AB14" i="8"/>
  <c r="M4" i="8"/>
  <c r="J14" i="8"/>
  <c r="W4" i="8"/>
  <c r="AF14" i="8"/>
  <c r="Q4" i="8"/>
  <c r="I14" i="8"/>
  <c r="T14" i="8"/>
  <c r="E14" i="8"/>
  <c r="O4" i="8"/>
  <c r="M14" i="8"/>
  <c r="AE4" i="8"/>
  <c r="AD14" i="8"/>
  <c r="S4" i="8"/>
  <c r="G4" i="8"/>
  <c r="AC4" i="8"/>
  <c r="L4" i="8"/>
  <c r="X4" i="8"/>
  <c r="Y4" i="8"/>
  <c r="Y14" i="8"/>
  <c r="L14" i="8"/>
  <c r="P14" i="8"/>
  <c r="T4" i="8"/>
  <c r="R14" i="8"/>
  <c r="AA4" i="8"/>
  <c r="H14" i="8"/>
  <c r="F4" i="8"/>
  <c r="U4" i="8"/>
  <c r="N14" i="8"/>
  <c r="V4" i="8"/>
  <c r="J4" i="8"/>
  <c r="S14" i="8"/>
  <c r="AA14" i="8"/>
  <c r="Z4" i="8"/>
  <c r="AG4" i="8"/>
  <c r="D14" i="8"/>
  <c r="I4" i="8"/>
  <c r="F14" i="8"/>
  <c r="E4" i="8"/>
  <c r="H4" i="8"/>
  <c r="O14" i="8"/>
  <c r="C4" i="8"/>
  <c r="B4" i="8"/>
  <c r="B14" i="8"/>
  <c r="K45" i="8"/>
  <c r="AF45" i="8"/>
  <c r="H45" i="8"/>
  <c r="AC45" i="8"/>
  <c r="G45" i="8"/>
  <c r="Y45" i="8"/>
  <c r="F45" i="8"/>
  <c r="AB45" i="8"/>
  <c r="AH45" i="8"/>
  <c r="U45" i="8"/>
  <c r="N45" i="8"/>
  <c r="D45" i="8"/>
  <c r="E45" i="8"/>
  <c r="L45" i="8"/>
  <c r="P45" i="8"/>
  <c r="J45" i="8"/>
  <c r="M45" i="8"/>
  <c r="V45" i="8"/>
  <c r="O45" i="8"/>
  <c r="AG45" i="8"/>
  <c r="C45" i="8"/>
  <c r="AA45" i="8"/>
  <c r="AE45" i="8"/>
  <c r="W45" i="8"/>
  <c r="AD45" i="8"/>
  <c r="Q45" i="8"/>
  <c r="R45" i="8"/>
  <c r="I45" i="8"/>
  <c r="S45" i="8"/>
  <c r="Z45" i="8"/>
  <c r="T45" i="8"/>
  <c r="X45" i="8"/>
  <c r="B45" i="8"/>
  <c r="B10" i="8"/>
  <c r="S13" i="8"/>
  <c r="E13" i="8"/>
  <c r="AB13" i="8"/>
  <c r="J13" i="8"/>
  <c r="Z13" i="8"/>
  <c r="M13" i="8"/>
  <c r="AC13" i="8"/>
  <c r="AH13" i="8"/>
  <c r="P13" i="8"/>
  <c r="C13" i="8"/>
  <c r="AG13" i="8"/>
  <c r="L13" i="8"/>
  <c r="N13" i="8"/>
  <c r="W13" i="8"/>
  <c r="AD13" i="8"/>
  <c r="Q13" i="8"/>
  <c r="I13" i="8"/>
  <c r="G13" i="8"/>
  <c r="AF13" i="8"/>
  <c r="K13" i="8"/>
  <c r="U13" i="8"/>
  <c r="R13" i="8"/>
  <c r="T13" i="8"/>
  <c r="O13" i="8"/>
  <c r="AA13" i="8"/>
  <c r="X13" i="8"/>
  <c r="D13" i="8"/>
  <c r="H13" i="8"/>
  <c r="V13" i="8"/>
  <c r="AE13" i="8"/>
  <c r="Y13" i="8"/>
  <c r="F13" i="8"/>
  <c r="B13" i="8"/>
  <c r="AG42" i="8"/>
  <c r="AE42" i="8"/>
  <c r="O42" i="8"/>
  <c r="AC42" i="8"/>
  <c r="X42" i="8"/>
  <c r="Y42" i="8"/>
  <c r="AD42" i="8"/>
  <c r="F42" i="8"/>
  <c r="AA42" i="8"/>
  <c r="K42" i="8"/>
  <c r="AB42" i="8"/>
  <c r="V42" i="8"/>
  <c r="I42" i="8"/>
  <c r="W42" i="8"/>
  <c r="R42" i="8"/>
  <c r="E42" i="8"/>
  <c r="U42" i="8"/>
  <c r="AH42" i="8"/>
  <c r="G42" i="8"/>
  <c r="P42" i="8"/>
  <c r="Q42" i="8"/>
  <c r="S42" i="8"/>
  <c r="J42" i="8"/>
  <c r="T42" i="8"/>
  <c r="N42" i="8"/>
  <c r="Z42" i="8"/>
  <c r="H42" i="8"/>
  <c r="C42" i="8"/>
  <c r="D42" i="8"/>
  <c r="M42" i="8"/>
  <c r="L42" i="8"/>
  <c r="AF42" i="8"/>
  <c r="B42" i="8"/>
  <c r="M46" i="8"/>
  <c r="AE46" i="8"/>
  <c r="K46" i="8"/>
  <c r="D46" i="8"/>
  <c r="R46" i="8"/>
  <c r="AH46" i="8"/>
  <c r="X46" i="8"/>
  <c r="Z46" i="8"/>
  <c r="W46" i="8"/>
  <c r="V46" i="8"/>
  <c r="H46" i="8"/>
  <c r="C46" i="8"/>
  <c r="Y46" i="8"/>
  <c r="AF46" i="8"/>
  <c r="N46" i="8"/>
  <c r="P46" i="8"/>
  <c r="U46" i="8"/>
  <c r="AG46" i="8"/>
  <c r="S46" i="8"/>
  <c r="AB46" i="8"/>
  <c r="O46" i="8"/>
  <c r="AA46" i="8"/>
  <c r="Q46" i="8"/>
  <c r="J46" i="8"/>
  <c r="F46" i="8"/>
  <c r="AC46" i="8"/>
  <c r="G46" i="8"/>
  <c r="T46" i="8"/>
  <c r="L46" i="8"/>
  <c r="I46" i="8"/>
  <c r="E46" i="8"/>
  <c r="AD46" i="8"/>
  <c r="B46" i="8"/>
  <c r="E41" i="9"/>
  <c r="C82" i="9" s="1"/>
  <c r="E41" i="10"/>
  <c r="C82" i="10" s="1"/>
  <c r="F41" i="10"/>
  <c r="A45" i="4" a="1"/>
  <c r="A45" i="4" s="1"/>
  <c r="A2" i="4"/>
  <c r="A35" i="4" s="1"/>
  <c r="F146" i="4"/>
  <c r="F147" i="4" s="1"/>
  <c r="E146" i="4"/>
  <c r="E147" i="4" s="1"/>
  <c r="D146" i="4"/>
  <c r="D147" i="4" s="1"/>
  <c r="C146" i="4"/>
  <c r="C147" i="4" s="1"/>
  <c r="C118" i="4"/>
  <c r="F117" i="4"/>
  <c r="F83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F49" i="4"/>
  <c r="B66" i="8" s="1"/>
  <c r="E49" i="4"/>
  <c r="F40" i="4"/>
  <c r="D33" i="4"/>
  <c r="D79" i="4" s="1"/>
  <c r="D113" i="4" s="1"/>
  <c r="C33" i="4"/>
  <c r="C79" i="4" s="1"/>
  <c r="C113" i="4" s="1"/>
  <c r="B33" i="4"/>
  <c r="B79" i="4" s="1"/>
  <c r="B113" i="4" s="1"/>
  <c r="A33" i="4"/>
  <c r="A79" i="4" s="1"/>
  <c r="A113" i="4" s="1"/>
  <c r="D78" i="4"/>
  <c r="D112" i="4" s="1"/>
  <c r="C78" i="4"/>
  <c r="C112" i="4" s="1"/>
  <c r="B78" i="4"/>
  <c r="B112" i="4" s="1"/>
  <c r="A78" i="4"/>
  <c r="D77" i="4"/>
  <c r="D111" i="4" s="1"/>
  <c r="C77" i="4"/>
  <c r="C111" i="4" s="1"/>
  <c r="B77" i="4"/>
  <c r="B111" i="4" s="1"/>
  <c r="A77" i="4"/>
  <c r="D76" i="4"/>
  <c r="D110" i="4" s="1"/>
  <c r="C76" i="4"/>
  <c r="C110" i="4" s="1"/>
  <c r="B76" i="4"/>
  <c r="B110" i="4" s="1"/>
  <c r="A76" i="4"/>
  <c r="D75" i="4"/>
  <c r="D109" i="4" s="1"/>
  <c r="C75" i="4"/>
  <c r="C109" i="4" s="1"/>
  <c r="B75" i="4"/>
  <c r="B109" i="4" s="1"/>
  <c r="A75" i="4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16" i="4"/>
  <c r="D62" i="4" s="1"/>
  <c r="D96" i="4" s="1"/>
  <c r="C16" i="4"/>
  <c r="C62" i="4" s="1"/>
  <c r="C96" i="4" s="1"/>
  <c r="B16" i="4"/>
  <c r="B62" i="4" s="1"/>
  <c r="B96" i="4" s="1"/>
  <c r="A16" i="4"/>
  <c r="A62" i="4" s="1"/>
  <c r="D15" i="4"/>
  <c r="D61" i="4" s="1"/>
  <c r="D95" i="4" s="1"/>
  <c r="C15" i="4"/>
  <c r="C61" i="4" s="1"/>
  <c r="C95" i="4" s="1"/>
  <c r="B15" i="4"/>
  <c r="B61" i="4" s="1"/>
  <c r="B95" i="4" s="1"/>
  <c r="A15" i="4"/>
  <c r="A61" i="4" s="1"/>
  <c r="D14" i="4"/>
  <c r="D60" i="4" s="1"/>
  <c r="D94" i="4" s="1"/>
  <c r="C14" i="4"/>
  <c r="C60" i="4" s="1"/>
  <c r="C94" i="4" s="1"/>
  <c r="B14" i="4"/>
  <c r="B60" i="4" s="1"/>
  <c r="B94" i="4" s="1"/>
  <c r="A14" i="4"/>
  <c r="A60" i="4" s="1"/>
  <c r="D13" i="4"/>
  <c r="D59" i="4" s="1"/>
  <c r="D93" i="4" s="1"/>
  <c r="C13" i="4"/>
  <c r="C59" i="4" s="1"/>
  <c r="C93" i="4" s="1"/>
  <c r="B13" i="4"/>
  <c r="B59" i="4" s="1"/>
  <c r="B93" i="4" s="1"/>
  <c r="A13" i="4"/>
  <c r="A59" i="4" s="1"/>
  <c r="D12" i="4"/>
  <c r="D58" i="4" s="1"/>
  <c r="D92" i="4" s="1"/>
  <c r="C12" i="4"/>
  <c r="C58" i="4" s="1"/>
  <c r="C92" i="4" s="1"/>
  <c r="B12" i="4"/>
  <c r="B58" i="4" s="1"/>
  <c r="B92" i="4" s="1"/>
  <c r="A12" i="4"/>
  <c r="A58" i="4" s="1"/>
  <c r="D11" i="4"/>
  <c r="D57" i="4" s="1"/>
  <c r="D91" i="4" s="1"/>
  <c r="C11" i="4"/>
  <c r="C57" i="4" s="1"/>
  <c r="C91" i="4" s="1"/>
  <c r="B11" i="4"/>
  <c r="B57" i="4" s="1"/>
  <c r="B91" i="4" s="1"/>
  <c r="A11" i="4"/>
  <c r="A57" i="4" s="1"/>
  <c r="D10" i="4"/>
  <c r="D56" i="4" s="1"/>
  <c r="D90" i="4" s="1"/>
  <c r="C10" i="4"/>
  <c r="C56" i="4" s="1"/>
  <c r="C90" i="4" s="1"/>
  <c r="B10" i="4"/>
  <c r="B56" i="4" s="1"/>
  <c r="B90" i="4" s="1"/>
  <c r="A10" i="4"/>
  <c r="A56" i="4" s="1"/>
  <c r="D9" i="4"/>
  <c r="D55" i="4" s="1"/>
  <c r="D89" i="4" s="1"/>
  <c r="C9" i="4"/>
  <c r="C55" i="4" s="1"/>
  <c r="C89" i="4" s="1"/>
  <c r="B9" i="4"/>
  <c r="B55" i="4" s="1"/>
  <c r="B89" i="4" s="1"/>
  <c r="A9" i="4"/>
  <c r="A55" i="4" s="1"/>
  <c r="D8" i="4"/>
  <c r="D54" i="4" s="1"/>
  <c r="D88" i="4" s="1"/>
  <c r="C8" i="4"/>
  <c r="C54" i="4" s="1"/>
  <c r="C88" i="4" s="1"/>
  <c r="B8" i="4"/>
  <c r="B54" i="4" s="1"/>
  <c r="B88" i="4" s="1"/>
  <c r="A8" i="4"/>
  <c r="A54" i="4" s="1"/>
  <c r="D7" i="4"/>
  <c r="D53" i="4" s="1"/>
  <c r="D87" i="4" s="1"/>
  <c r="C7" i="4"/>
  <c r="C53" i="4" s="1"/>
  <c r="C87" i="4" s="1"/>
  <c r="B7" i="4"/>
  <c r="B53" i="4" s="1"/>
  <c r="B87" i="4" s="1"/>
  <c r="A7" i="4"/>
  <c r="A53" i="4" s="1"/>
  <c r="D6" i="4"/>
  <c r="D52" i="4" s="1"/>
  <c r="D86" i="4" s="1"/>
  <c r="C6" i="4"/>
  <c r="C52" i="4" s="1"/>
  <c r="C86" i="4" s="1"/>
  <c r="B6" i="4"/>
  <c r="B52" i="4" s="1"/>
  <c r="B86" i="4" s="1"/>
  <c r="A6" i="4"/>
  <c r="A52" i="4" s="1"/>
  <c r="D5" i="4"/>
  <c r="D51" i="4" s="1"/>
  <c r="D85" i="4" s="1"/>
  <c r="C5" i="4"/>
  <c r="C51" i="4" s="1"/>
  <c r="C85" i="4" s="1"/>
  <c r="B5" i="4"/>
  <c r="B51" i="4" s="1"/>
  <c r="B85" i="4" s="1"/>
  <c r="A5" i="4"/>
  <c r="A51" i="4" s="1"/>
  <c r="D4" i="4"/>
  <c r="D50" i="4" s="1"/>
  <c r="D84" i="4" s="1"/>
  <c r="C4" i="4"/>
  <c r="C50" i="4" s="1"/>
  <c r="C84" i="4" s="1"/>
  <c r="B4" i="4"/>
  <c r="B50" i="4" s="1"/>
  <c r="B84" i="4" s="1"/>
  <c r="A4" i="4"/>
  <c r="A50" i="4" s="1"/>
  <c r="F92" i="9" l="1"/>
  <c r="G84" i="9"/>
  <c r="O84" i="9"/>
  <c r="W84" i="9"/>
  <c r="AE84" i="9"/>
  <c r="G85" i="9"/>
  <c r="O85" i="9"/>
  <c r="W85" i="9"/>
  <c r="AE85" i="9"/>
  <c r="G86" i="9"/>
  <c r="O86" i="9"/>
  <c r="W86" i="9"/>
  <c r="AE86" i="9"/>
  <c r="G87" i="9"/>
  <c r="O87" i="9"/>
  <c r="W87" i="9"/>
  <c r="AE87" i="9"/>
  <c r="G88" i="9"/>
  <c r="O88" i="9"/>
  <c r="W88" i="9"/>
  <c r="AE88" i="9"/>
  <c r="G89" i="9"/>
  <c r="O89" i="9"/>
  <c r="W89" i="9"/>
  <c r="AE89" i="9"/>
  <c r="G90" i="9"/>
  <c r="O90" i="9"/>
  <c r="W90" i="9"/>
  <c r="AE90" i="9"/>
  <c r="G91" i="9"/>
  <c r="G119" i="9" s="1"/>
  <c r="O91" i="9"/>
  <c r="O119" i="9" s="1"/>
  <c r="W91" i="9"/>
  <c r="W119" i="9" s="1"/>
  <c r="AE91" i="9"/>
  <c r="AE119" i="9" s="1"/>
  <c r="G92" i="9"/>
  <c r="O92" i="9"/>
  <c r="W92" i="9"/>
  <c r="AE92" i="9"/>
  <c r="G93" i="9"/>
  <c r="G118" i="9" s="1"/>
  <c r="O93" i="9"/>
  <c r="O118" i="9" s="1"/>
  <c r="W93" i="9"/>
  <c r="W118" i="9" s="1"/>
  <c r="AE93" i="9"/>
  <c r="AE118" i="9" s="1"/>
  <c r="AE120" i="9" s="1"/>
  <c r="G94" i="9"/>
  <c r="O94" i="9"/>
  <c r="W94" i="9"/>
  <c r="AE94" i="9"/>
  <c r="G95" i="9"/>
  <c r="O95" i="9"/>
  <c r="W95" i="9"/>
  <c r="AE95" i="9"/>
  <c r="G96" i="9"/>
  <c r="O96" i="9"/>
  <c r="W96" i="9"/>
  <c r="AE96" i="9"/>
  <c r="G97" i="9"/>
  <c r="O97" i="9"/>
  <c r="W97" i="9"/>
  <c r="AE97" i="9"/>
  <c r="G98" i="9"/>
  <c r="O98" i="9"/>
  <c r="W98" i="9"/>
  <c r="AE98" i="9"/>
  <c r="G99" i="9"/>
  <c r="O99" i="9"/>
  <c r="W99" i="9"/>
  <c r="AE99" i="9"/>
  <c r="G100" i="9"/>
  <c r="O100" i="9"/>
  <c r="W100" i="9"/>
  <c r="AE100" i="9"/>
  <c r="G101" i="9"/>
  <c r="O101" i="9"/>
  <c r="W101" i="9"/>
  <c r="AE101" i="9"/>
  <c r="G102" i="9"/>
  <c r="O102" i="9"/>
  <c r="W102" i="9"/>
  <c r="AE102" i="9"/>
  <c r="G103" i="9"/>
  <c r="O103" i="9"/>
  <c r="W103" i="9"/>
  <c r="AE103" i="9"/>
  <c r="G104" i="9"/>
  <c r="O104" i="9"/>
  <c r="W104" i="9"/>
  <c r="AE104" i="9"/>
  <c r="G105" i="9"/>
  <c r="H84" i="9"/>
  <c r="P84" i="9"/>
  <c r="X84" i="9"/>
  <c r="AF84" i="9"/>
  <c r="H85" i="9"/>
  <c r="P85" i="9"/>
  <c r="X85" i="9"/>
  <c r="AF85" i="9"/>
  <c r="H86" i="9"/>
  <c r="P86" i="9"/>
  <c r="X86" i="9"/>
  <c r="AF86" i="9"/>
  <c r="H87" i="9"/>
  <c r="P87" i="9"/>
  <c r="X87" i="9"/>
  <c r="AF87" i="9"/>
  <c r="H88" i="9"/>
  <c r="P88" i="9"/>
  <c r="X88" i="9"/>
  <c r="AF88" i="9"/>
  <c r="H89" i="9"/>
  <c r="P89" i="9"/>
  <c r="X89" i="9"/>
  <c r="AF89" i="9"/>
  <c r="H90" i="9"/>
  <c r="P90" i="9"/>
  <c r="X90" i="9"/>
  <c r="AF90" i="9"/>
  <c r="H91" i="9"/>
  <c r="H119" i="9" s="1"/>
  <c r="P91" i="9"/>
  <c r="P119" i="9" s="1"/>
  <c r="X91" i="9"/>
  <c r="X119" i="9" s="1"/>
  <c r="AF91" i="9"/>
  <c r="AF119" i="9" s="1"/>
  <c r="H92" i="9"/>
  <c r="P92" i="9"/>
  <c r="X92" i="9"/>
  <c r="AF92" i="9"/>
  <c r="H93" i="9"/>
  <c r="H118" i="9" s="1"/>
  <c r="H120" i="9" s="1"/>
  <c r="P93" i="9"/>
  <c r="P118" i="9" s="1"/>
  <c r="X93" i="9"/>
  <c r="X118" i="9" s="1"/>
  <c r="X120" i="9" s="1"/>
  <c r="AF93" i="9"/>
  <c r="AF118" i="9" s="1"/>
  <c r="H94" i="9"/>
  <c r="P94" i="9"/>
  <c r="X94" i="9"/>
  <c r="AF94" i="9"/>
  <c r="H95" i="9"/>
  <c r="P95" i="9"/>
  <c r="X95" i="9"/>
  <c r="AF95" i="9"/>
  <c r="H96" i="9"/>
  <c r="P96" i="9"/>
  <c r="X96" i="9"/>
  <c r="AF96" i="9"/>
  <c r="H97" i="9"/>
  <c r="P97" i="9"/>
  <c r="X97" i="9"/>
  <c r="AF97" i="9"/>
  <c r="H98" i="9"/>
  <c r="P98" i="9"/>
  <c r="X98" i="9"/>
  <c r="AF98" i="9"/>
  <c r="H99" i="9"/>
  <c r="P99" i="9"/>
  <c r="X99" i="9"/>
  <c r="AF99" i="9"/>
  <c r="H100" i="9"/>
  <c r="P100" i="9"/>
  <c r="X100" i="9"/>
  <c r="AF100" i="9"/>
  <c r="H101" i="9"/>
  <c r="P101" i="9"/>
  <c r="X101" i="9"/>
  <c r="AF101" i="9"/>
  <c r="H102" i="9"/>
  <c r="P102" i="9"/>
  <c r="X102" i="9"/>
  <c r="AF102" i="9"/>
  <c r="H103" i="9"/>
  <c r="P103" i="9"/>
  <c r="X103" i="9"/>
  <c r="AF103" i="9"/>
  <c r="H104" i="9"/>
  <c r="P104" i="9"/>
  <c r="X104" i="9"/>
  <c r="AF104" i="9"/>
  <c r="H105" i="9"/>
  <c r="I84" i="9"/>
  <c r="Q84" i="9"/>
  <c r="Y84" i="9"/>
  <c r="AG84" i="9"/>
  <c r="I85" i="9"/>
  <c r="Q85" i="9"/>
  <c r="Y85" i="9"/>
  <c r="AG85" i="9"/>
  <c r="I86" i="9"/>
  <c r="Q86" i="9"/>
  <c r="Y86" i="9"/>
  <c r="AG86" i="9"/>
  <c r="I87" i="9"/>
  <c r="Q87" i="9"/>
  <c r="Y87" i="9"/>
  <c r="AG87" i="9"/>
  <c r="I88" i="9"/>
  <c r="Q88" i="9"/>
  <c r="Y88" i="9"/>
  <c r="AG88" i="9"/>
  <c r="I89" i="9"/>
  <c r="Q89" i="9"/>
  <c r="Y89" i="9"/>
  <c r="AG89" i="9"/>
  <c r="I90" i="9"/>
  <c r="Q90" i="9"/>
  <c r="Y90" i="9"/>
  <c r="AG90" i="9"/>
  <c r="I91" i="9"/>
  <c r="I119" i="9" s="1"/>
  <c r="Q91" i="9"/>
  <c r="Q119" i="9" s="1"/>
  <c r="Y91" i="9"/>
  <c r="Y119" i="9" s="1"/>
  <c r="AG91" i="9"/>
  <c r="AG119" i="9" s="1"/>
  <c r="I92" i="9"/>
  <c r="Q92" i="9"/>
  <c r="Y92" i="9"/>
  <c r="AG92" i="9"/>
  <c r="I93" i="9"/>
  <c r="I118" i="9" s="1"/>
  <c r="I120" i="9" s="1"/>
  <c r="Q93" i="9"/>
  <c r="Q118" i="9" s="1"/>
  <c r="Q120" i="9" s="1"/>
  <c r="Y93" i="9"/>
  <c r="Y118" i="9" s="1"/>
  <c r="Y120" i="9" s="1"/>
  <c r="AG93" i="9"/>
  <c r="AG118" i="9" s="1"/>
  <c r="AG120" i="9" s="1"/>
  <c r="I94" i="9"/>
  <c r="Q94" i="9"/>
  <c r="Y94" i="9"/>
  <c r="AG94" i="9"/>
  <c r="I95" i="9"/>
  <c r="Q95" i="9"/>
  <c r="Y95" i="9"/>
  <c r="AG95" i="9"/>
  <c r="I96" i="9"/>
  <c r="Q96" i="9"/>
  <c r="Y96" i="9"/>
  <c r="AG96" i="9"/>
  <c r="I97" i="9"/>
  <c r="Q97" i="9"/>
  <c r="Y97" i="9"/>
  <c r="AG97" i="9"/>
  <c r="I98" i="9"/>
  <c r="Q98" i="9"/>
  <c r="Y98" i="9"/>
  <c r="AG98" i="9"/>
  <c r="I99" i="9"/>
  <c r="Q99" i="9"/>
  <c r="Y99" i="9"/>
  <c r="AG99" i="9"/>
  <c r="I100" i="9"/>
  <c r="Q100" i="9"/>
  <c r="Y100" i="9"/>
  <c r="AG100" i="9"/>
  <c r="I101" i="9"/>
  <c r="Q101" i="9"/>
  <c r="Y101" i="9"/>
  <c r="AG101" i="9"/>
  <c r="I102" i="9"/>
  <c r="Q102" i="9"/>
  <c r="Y102" i="9"/>
  <c r="AG102" i="9"/>
  <c r="I103" i="9"/>
  <c r="Q103" i="9"/>
  <c r="Y103" i="9"/>
  <c r="AG103" i="9"/>
  <c r="I104" i="9"/>
  <c r="Q104" i="9"/>
  <c r="Y104" i="9"/>
  <c r="AG104" i="9"/>
  <c r="I105" i="9"/>
  <c r="J84" i="9"/>
  <c r="R84" i="9"/>
  <c r="Z84" i="9"/>
  <c r="AH84" i="9"/>
  <c r="J85" i="9"/>
  <c r="R85" i="9"/>
  <c r="Z85" i="9"/>
  <c r="AH85" i="9"/>
  <c r="J86" i="9"/>
  <c r="R86" i="9"/>
  <c r="Z86" i="9"/>
  <c r="AH86" i="9"/>
  <c r="J87" i="9"/>
  <c r="R87" i="9"/>
  <c r="Z87" i="9"/>
  <c r="AH87" i="9"/>
  <c r="J88" i="9"/>
  <c r="R88" i="9"/>
  <c r="Z88" i="9"/>
  <c r="AH88" i="9"/>
  <c r="J89" i="9"/>
  <c r="R89" i="9"/>
  <c r="Z89" i="9"/>
  <c r="AH89" i="9"/>
  <c r="J90" i="9"/>
  <c r="R90" i="9"/>
  <c r="Z90" i="9"/>
  <c r="AH90" i="9"/>
  <c r="J91" i="9"/>
  <c r="J119" i="9" s="1"/>
  <c r="R91" i="9"/>
  <c r="R119" i="9" s="1"/>
  <c r="Z91" i="9"/>
  <c r="Z119" i="9" s="1"/>
  <c r="AH91" i="9"/>
  <c r="AH119" i="9" s="1"/>
  <c r="J92" i="9"/>
  <c r="R92" i="9"/>
  <c r="Z92" i="9"/>
  <c r="AH92" i="9"/>
  <c r="J93" i="9"/>
  <c r="J118" i="9" s="1"/>
  <c r="J120" i="9" s="1"/>
  <c r="R93" i="9"/>
  <c r="R118" i="9" s="1"/>
  <c r="R120" i="9" s="1"/>
  <c r="Z93" i="9"/>
  <c r="Z118" i="9" s="1"/>
  <c r="AH93" i="9"/>
  <c r="AH118" i="9" s="1"/>
  <c r="J94" i="9"/>
  <c r="R94" i="9"/>
  <c r="Z94" i="9"/>
  <c r="AH94" i="9"/>
  <c r="J95" i="9"/>
  <c r="R95" i="9"/>
  <c r="Z95" i="9"/>
  <c r="AH95" i="9"/>
  <c r="J96" i="9"/>
  <c r="R96" i="9"/>
  <c r="Z96" i="9"/>
  <c r="AH96" i="9"/>
  <c r="J97" i="9"/>
  <c r="R97" i="9"/>
  <c r="Z97" i="9"/>
  <c r="AH97" i="9"/>
  <c r="J98" i="9"/>
  <c r="R98" i="9"/>
  <c r="Z98" i="9"/>
  <c r="AH98" i="9"/>
  <c r="J99" i="9"/>
  <c r="R99" i="9"/>
  <c r="Z99" i="9"/>
  <c r="AH99" i="9"/>
  <c r="J100" i="9"/>
  <c r="R100" i="9"/>
  <c r="Z100" i="9"/>
  <c r="AH100" i="9"/>
  <c r="J101" i="9"/>
  <c r="R101" i="9"/>
  <c r="Z101" i="9"/>
  <c r="AH101" i="9"/>
  <c r="J102" i="9"/>
  <c r="R102" i="9"/>
  <c r="Z102" i="9"/>
  <c r="AH102" i="9"/>
  <c r="J103" i="9"/>
  <c r="R103" i="9"/>
  <c r="Z103" i="9"/>
  <c r="AH103" i="9"/>
  <c r="J104" i="9"/>
  <c r="R104" i="9"/>
  <c r="Z104" i="9"/>
  <c r="AH104" i="9"/>
  <c r="J105" i="9"/>
  <c r="K84" i="9"/>
  <c r="S84" i="9"/>
  <c r="AA84" i="9"/>
  <c r="AI84" i="9"/>
  <c r="K85" i="9"/>
  <c r="S85" i="9"/>
  <c r="AA85" i="9"/>
  <c r="AI85" i="9"/>
  <c r="K86" i="9"/>
  <c r="S86" i="9"/>
  <c r="AA86" i="9"/>
  <c r="AI86" i="9"/>
  <c r="K87" i="9"/>
  <c r="S87" i="9"/>
  <c r="AA87" i="9"/>
  <c r="AI87" i="9"/>
  <c r="K88" i="9"/>
  <c r="S88" i="9"/>
  <c r="AA88" i="9"/>
  <c r="AI88" i="9"/>
  <c r="K89" i="9"/>
  <c r="S89" i="9"/>
  <c r="AA89" i="9"/>
  <c r="AI89" i="9"/>
  <c r="K90" i="9"/>
  <c r="S90" i="9"/>
  <c r="AA90" i="9"/>
  <c r="AI90" i="9"/>
  <c r="K91" i="9"/>
  <c r="K119" i="9" s="1"/>
  <c r="S91" i="9"/>
  <c r="S119" i="9" s="1"/>
  <c r="AA91" i="9"/>
  <c r="AA119" i="9" s="1"/>
  <c r="AI91" i="9"/>
  <c r="AI119" i="9" s="1"/>
  <c r="K92" i="9"/>
  <c r="S92" i="9"/>
  <c r="AA92" i="9"/>
  <c r="AI92" i="9"/>
  <c r="K93" i="9"/>
  <c r="K118" i="9" s="1"/>
  <c r="S93" i="9"/>
  <c r="S118" i="9" s="1"/>
  <c r="S120" i="9" s="1"/>
  <c r="AA93" i="9"/>
  <c r="AA118" i="9" s="1"/>
  <c r="AA120" i="9" s="1"/>
  <c r="AI93" i="9"/>
  <c r="AI118" i="9" s="1"/>
  <c r="AI120" i="9" s="1"/>
  <c r="K94" i="9"/>
  <c r="S94" i="9"/>
  <c r="AA94" i="9"/>
  <c r="AI94" i="9"/>
  <c r="K95" i="9"/>
  <c r="S95" i="9"/>
  <c r="AA95" i="9"/>
  <c r="AI95" i="9"/>
  <c r="K96" i="9"/>
  <c r="S96" i="9"/>
  <c r="AA96" i="9"/>
  <c r="AI96" i="9"/>
  <c r="K97" i="9"/>
  <c r="S97" i="9"/>
  <c r="AA97" i="9"/>
  <c r="AI97" i="9"/>
  <c r="K98" i="9"/>
  <c r="S98" i="9"/>
  <c r="AA98" i="9"/>
  <c r="AI98" i="9"/>
  <c r="K99" i="9"/>
  <c r="S99" i="9"/>
  <c r="AA99" i="9"/>
  <c r="AI99" i="9"/>
  <c r="K100" i="9"/>
  <c r="S100" i="9"/>
  <c r="AA100" i="9"/>
  <c r="AI100" i="9"/>
  <c r="K101" i="9"/>
  <c r="S101" i="9"/>
  <c r="AA101" i="9"/>
  <c r="AI101" i="9"/>
  <c r="K102" i="9"/>
  <c r="S102" i="9"/>
  <c r="AA102" i="9"/>
  <c r="AI102" i="9"/>
  <c r="K103" i="9"/>
  <c r="S103" i="9"/>
  <c r="AA103" i="9"/>
  <c r="AI103" i="9"/>
  <c r="K104" i="9"/>
  <c r="S104" i="9"/>
  <c r="AA104" i="9"/>
  <c r="AI104" i="9"/>
  <c r="K105" i="9"/>
  <c r="L84" i="9"/>
  <c r="T84" i="9"/>
  <c r="AB84" i="9"/>
  <c r="AJ84" i="9"/>
  <c r="L85" i="9"/>
  <c r="T85" i="9"/>
  <c r="AB85" i="9"/>
  <c r="AJ85" i="9"/>
  <c r="L86" i="9"/>
  <c r="T86" i="9"/>
  <c r="AB86" i="9"/>
  <c r="AJ86" i="9"/>
  <c r="L87" i="9"/>
  <c r="T87" i="9"/>
  <c r="AB87" i="9"/>
  <c r="AJ87" i="9"/>
  <c r="L88" i="9"/>
  <c r="T88" i="9"/>
  <c r="AB88" i="9"/>
  <c r="AJ88" i="9"/>
  <c r="L89" i="9"/>
  <c r="T89" i="9"/>
  <c r="AB89" i="9"/>
  <c r="AJ89" i="9"/>
  <c r="L90" i="9"/>
  <c r="T90" i="9"/>
  <c r="AB90" i="9"/>
  <c r="AJ90" i="9"/>
  <c r="L91" i="9"/>
  <c r="L119" i="9" s="1"/>
  <c r="T91" i="9"/>
  <c r="T119" i="9" s="1"/>
  <c r="AB91" i="9"/>
  <c r="AB119" i="9" s="1"/>
  <c r="AJ91" i="9"/>
  <c r="AJ119" i="9" s="1"/>
  <c r="L92" i="9"/>
  <c r="T92" i="9"/>
  <c r="AB92" i="9"/>
  <c r="AJ92" i="9"/>
  <c r="L93" i="9"/>
  <c r="L118" i="9" s="1"/>
  <c r="T93" i="9"/>
  <c r="T118" i="9" s="1"/>
  <c r="T120" i="9" s="1"/>
  <c r="AB93" i="9"/>
  <c r="AB118" i="9" s="1"/>
  <c r="AJ93" i="9"/>
  <c r="AJ118" i="9" s="1"/>
  <c r="AJ120" i="9" s="1"/>
  <c r="L94" i="9"/>
  <c r="T94" i="9"/>
  <c r="AB94" i="9"/>
  <c r="AJ94" i="9"/>
  <c r="L95" i="9"/>
  <c r="T95" i="9"/>
  <c r="AB95" i="9"/>
  <c r="AJ95" i="9"/>
  <c r="L96" i="9"/>
  <c r="T96" i="9"/>
  <c r="AB96" i="9"/>
  <c r="AJ96" i="9"/>
  <c r="L97" i="9"/>
  <c r="T97" i="9"/>
  <c r="AB97" i="9"/>
  <c r="AJ97" i="9"/>
  <c r="L98" i="9"/>
  <c r="T98" i="9"/>
  <c r="AB98" i="9"/>
  <c r="AJ98" i="9"/>
  <c r="L99" i="9"/>
  <c r="T99" i="9"/>
  <c r="AB99" i="9"/>
  <c r="AJ99" i="9"/>
  <c r="L100" i="9"/>
  <c r="T100" i="9"/>
  <c r="AB100" i="9"/>
  <c r="AJ100" i="9"/>
  <c r="L101" i="9"/>
  <c r="T101" i="9"/>
  <c r="AB101" i="9"/>
  <c r="AJ101" i="9"/>
  <c r="L102" i="9"/>
  <c r="T102" i="9"/>
  <c r="AB102" i="9"/>
  <c r="AJ102" i="9"/>
  <c r="L103" i="9"/>
  <c r="T103" i="9"/>
  <c r="AB103" i="9"/>
  <c r="AJ103" i="9"/>
  <c r="L104" i="9"/>
  <c r="T104" i="9"/>
  <c r="AB104" i="9"/>
  <c r="AJ104" i="9"/>
  <c r="N84" i="9"/>
  <c r="M84" i="9"/>
  <c r="N85" i="9"/>
  <c r="N86" i="9"/>
  <c r="N87" i="9"/>
  <c r="N88" i="9"/>
  <c r="N89" i="9"/>
  <c r="N90" i="9"/>
  <c r="N91" i="9"/>
  <c r="N119" i="9" s="1"/>
  <c r="N92" i="9"/>
  <c r="N93" i="9"/>
  <c r="N118" i="9" s="1"/>
  <c r="N94" i="9"/>
  <c r="N95" i="9"/>
  <c r="N96" i="9"/>
  <c r="N97" i="9"/>
  <c r="N98" i="9"/>
  <c r="N99" i="9"/>
  <c r="N100" i="9"/>
  <c r="N101" i="9"/>
  <c r="N102" i="9"/>
  <c r="N103" i="9"/>
  <c r="N104" i="9"/>
  <c r="M105" i="9"/>
  <c r="U105" i="9"/>
  <c r="AC105" i="9"/>
  <c r="AK105" i="9"/>
  <c r="M106" i="9"/>
  <c r="U106" i="9"/>
  <c r="AC106" i="9"/>
  <c r="AK106" i="9"/>
  <c r="M107" i="9"/>
  <c r="U107" i="9"/>
  <c r="AC107" i="9"/>
  <c r="AK107" i="9"/>
  <c r="M108" i="9"/>
  <c r="U108" i="9"/>
  <c r="AC108" i="9"/>
  <c r="AK108" i="9"/>
  <c r="M109" i="9"/>
  <c r="U109" i="9"/>
  <c r="AC109" i="9"/>
  <c r="AK109" i="9"/>
  <c r="M110" i="9"/>
  <c r="U110" i="9"/>
  <c r="AC110" i="9"/>
  <c r="AK110" i="9"/>
  <c r="M111" i="9"/>
  <c r="U111" i="9"/>
  <c r="AC111" i="9"/>
  <c r="AK111" i="9"/>
  <c r="M112" i="9"/>
  <c r="U112" i="9"/>
  <c r="AC112" i="9"/>
  <c r="AK112" i="9"/>
  <c r="AD87" i="9"/>
  <c r="Y108" i="9"/>
  <c r="I111" i="9"/>
  <c r="Q112" i="9"/>
  <c r="AB112" i="9"/>
  <c r="U84" i="9"/>
  <c r="U85" i="9"/>
  <c r="U86" i="9"/>
  <c r="U87" i="9"/>
  <c r="U88" i="9"/>
  <c r="U89" i="9"/>
  <c r="U90" i="9"/>
  <c r="U91" i="9"/>
  <c r="U119" i="9" s="1"/>
  <c r="U92" i="9"/>
  <c r="U93" i="9"/>
  <c r="U118" i="9" s="1"/>
  <c r="U94" i="9"/>
  <c r="U95" i="9"/>
  <c r="U96" i="9"/>
  <c r="U97" i="9"/>
  <c r="U98" i="9"/>
  <c r="U99" i="9"/>
  <c r="U100" i="9"/>
  <c r="U101" i="9"/>
  <c r="U102" i="9"/>
  <c r="U103" i="9"/>
  <c r="U104" i="9"/>
  <c r="N105" i="9"/>
  <c r="V105" i="9"/>
  <c r="AD105" i="9"/>
  <c r="AL105" i="9"/>
  <c r="N106" i="9"/>
  <c r="V106" i="9"/>
  <c r="AD106" i="9"/>
  <c r="AL106" i="9"/>
  <c r="N107" i="9"/>
  <c r="V107" i="9"/>
  <c r="AD107" i="9"/>
  <c r="AL107" i="9"/>
  <c r="N108" i="9"/>
  <c r="V108" i="9"/>
  <c r="AD108" i="9"/>
  <c r="AL108" i="9"/>
  <c r="N109" i="9"/>
  <c r="V109" i="9"/>
  <c r="AD109" i="9"/>
  <c r="AL109" i="9"/>
  <c r="N110" i="9"/>
  <c r="V110" i="9"/>
  <c r="AD110" i="9"/>
  <c r="AL110" i="9"/>
  <c r="N111" i="9"/>
  <c r="V111" i="9"/>
  <c r="AD111" i="9"/>
  <c r="AL111" i="9"/>
  <c r="N112" i="9"/>
  <c r="V112" i="9"/>
  <c r="AD112" i="9"/>
  <c r="AL112" i="9"/>
  <c r="AD84" i="9"/>
  <c r="AD86" i="9"/>
  <c r="AD89" i="9"/>
  <c r="AD91" i="9"/>
  <c r="AD119" i="9" s="1"/>
  <c r="AD95" i="9"/>
  <c r="AD97" i="9"/>
  <c r="AD99" i="9"/>
  <c r="AD102" i="9"/>
  <c r="AD104" i="9"/>
  <c r="Y105" i="9"/>
  <c r="I106" i="9"/>
  <c r="AG106" i="9"/>
  <c r="Q107" i="9"/>
  <c r="I108" i="9"/>
  <c r="AG108" i="9"/>
  <c r="Y109" i="9"/>
  <c r="Q110" i="9"/>
  <c r="Q111" i="9"/>
  <c r="I112" i="9"/>
  <c r="L112" i="9"/>
  <c r="V84" i="9"/>
  <c r="V85" i="9"/>
  <c r="V86" i="9"/>
  <c r="V87" i="9"/>
  <c r="V88" i="9"/>
  <c r="V89" i="9"/>
  <c r="V90" i="9"/>
  <c r="V91" i="9"/>
  <c r="V119" i="9" s="1"/>
  <c r="V92" i="9"/>
  <c r="V93" i="9"/>
  <c r="V118" i="9" s="1"/>
  <c r="V94" i="9"/>
  <c r="V95" i="9"/>
  <c r="V96" i="9"/>
  <c r="V97" i="9"/>
  <c r="V98" i="9"/>
  <c r="V99" i="9"/>
  <c r="V100" i="9"/>
  <c r="V101" i="9"/>
  <c r="V102" i="9"/>
  <c r="V103" i="9"/>
  <c r="V104" i="9"/>
  <c r="O105" i="9"/>
  <c r="W105" i="9"/>
  <c r="AE105" i="9"/>
  <c r="G106" i="9"/>
  <c r="O106" i="9"/>
  <c r="W106" i="9"/>
  <c r="AE106" i="9"/>
  <c r="G107" i="9"/>
  <c r="O107" i="9"/>
  <c r="W107" i="9"/>
  <c r="AE107" i="9"/>
  <c r="G108" i="9"/>
  <c r="O108" i="9"/>
  <c r="W108" i="9"/>
  <c r="AE108" i="9"/>
  <c r="G109" i="9"/>
  <c r="O109" i="9"/>
  <c r="W109" i="9"/>
  <c r="AE109" i="9"/>
  <c r="G110" i="9"/>
  <c r="O110" i="9"/>
  <c r="W110" i="9"/>
  <c r="AE110" i="9"/>
  <c r="G111" i="9"/>
  <c r="O111" i="9"/>
  <c r="W111" i="9"/>
  <c r="AE111" i="9"/>
  <c r="G112" i="9"/>
  <c r="O112" i="9"/>
  <c r="W112" i="9"/>
  <c r="AE112" i="9"/>
  <c r="AD93" i="9"/>
  <c r="AD118" i="9" s="1"/>
  <c r="Q106" i="9"/>
  <c r="AG107" i="9"/>
  <c r="I109" i="9"/>
  <c r="AG109" i="9"/>
  <c r="Y110" i="9"/>
  <c r="Y111" i="9"/>
  <c r="Y112" i="9"/>
  <c r="AJ111" i="9"/>
  <c r="AC84" i="9"/>
  <c r="AC85" i="9"/>
  <c r="AC86" i="9"/>
  <c r="AC87" i="9"/>
  <c r="AC88" i="9"/>
  <c r="AC89" i="9"/>
  <c r="AC90" i="9"/>
  <c r="AC91" i="9"/>
  <c r="AC119" i="9" s="1"/>
  <c r="AC92" i="9"/>
  <c r="AC93" i="9"/>
  <c r="AC118" i="9" s="1"/>
  <c r="AC94" i="9"/>
  <c r="AC95" i="9"/>
  <c r="AC96" i="9"/>
  <c r="AC97" i="9"/>
  <c r="AC98" i="9"/>
  <c r="AC99" i="9"/>
  <c r="AC100" i="9"/>
  <c r="AC101" i="9"/>
  <c r="AC102" i="9"/>
  <c r="AC103" i="9"/>
  <c r="AC104" i="9"/>
  <c r="P105" i="9"/>
  <c r="X105" i="9"/>
  <c r="AF105" i="9"/>
  <c r="H106" i="9"/>
  <c r="P106" i="9"/>
  <c r="X106" i="9"/>
  <c r="AF106" i="9"/>
  <c r="H107" i="9"/>
  <c r="P107" i="9"/>
  <c r="X107" i="9"/>
  <c r="AF107" i="9"/>
  <c r="H108" i="9"/>
  <c r="P108" i="9"/>
  <c r="X108" i="9"/>
  <c r="AF108" i="9"/>
  <c r="H109" i="9"/>
  <c r="P109" i="9"/>
  <c r="X109" i="9"/>
  <c r="AF109" i="9"/>
  <c r="H110" i="9"/>
  <c r="P110" i="9"/>
  <c r="X110" i="9"/>
  <c r="AF110" i="9"/>
  <c r="H111" i="9"/>
  <c r="P111" i="9"/>
  <c r="X111" i="9"/>
  <c r="AF111" i="9"/>
  <c r="H112" i="9"/>
  <c r="P112" i="9"/>
  <c r="X112" i="9"/>
  <c r="AF112" i="9"/>
  <c r="AD85" i="9"/>
  <c r="AD88" i="9"/>
  <c r="AD90" i="9"/>
  <c r="AD92" i="9"/>
  <c r="AD94" i="9"/>
  <c r="AD96" i="9"/>
  <c r="AD98" i="9"/>
  <c r="AD100" i="9"/>
  <c r="AD101" i="9"/>
  <c r="AD103" i="9"/>
  <c r="Q105" i="9"/>
  <c r="AG105" i="9"/>
  <c r="Y106" i="9"/>
  <c r="I107" i="9"/>
  <c r="Y107" i="9"/>
  <c r="Q108" i="9"/>
  <c r="Q109" i="9"/>
  <c r="I110" i="9"/>
  <c r="AG110" i="9"/>
  <c r="AG111" i="9"/>
  <c r="AG112" i="9"/>
  <c r="AJ112" i="9"/>
  <c r="AK84" i="9"/>
  <c r="AK85" i="9"/>
  <c r="AK86" i="9"/>
  <c r="AK87" i="9"/>
  <c r="AK88" i="9"/>
  <c r="AK89" i="9"/>
  <c r="AK90" i="9"/>
  <c r="AK91" i="9"/>
  <c r="AK119" i="9" s="1"/>
  <c r="AK92" i="9"/>
  <c r="AK93" i="9"/>
  <c r="AK118" i="9" s="1"/>
  <c r="AK94" i="9"/>
  <c r="AK95" i="9"/>
  <c r="AK96" i="9"/>
  <c r="AK97" i="9"/>
  <c r="AK98" i="9"/>
  <c r="AK99" i="9"/>
  <c r="AK100" i="9"/>
  <c r="AK101" i="9"/>
  <c r="AK102" i="9"/>
  <c r="AK103" i="9"/>
  <c r="AK104" i="9"/>
  <c r="R105" i="9"/>
  <c r="Z105" i="9"/>
  <c r="AH105" i="9"/>
  <c r="J106" i="9"/>
  <c r="R106" i="9"/>
  <c r="Z106" i="9"/>
  <c r="AH106" i="9"/>
  <c r="J107" i="9"/>
  <c r="R107" i="9"/>
  <c r="Z107" i="9"/>
  <c r="AH107" i="9"/>
  <c r="J108" i="9"/>
  <c r="R108" i="9"/>
  <c r="Z108" i="9"/>
  <c r="AH108" i="9"/>
  <c r="J109" i="9"/>
  <c r="R109" i="9"/>
  <c r="Z109" i="9"/>
  <c r="AH109" i="9"/>
  <c r="J110" i="9"/>
  <c r="R110" i="9"/>
  <c r="Z110" i="9"/>
  <c r="AH110" i="9"/>
  <c r="J111" i="9"/>
  <c r="R111" i="9"/>
  <c r="Z111" i="9"/>
  <c r="AH111" i="9"/>
  <c r="J112" i="9"/>
  <c r="R112" i="9"/>
  <c r="Z112" i="9"/>
  <c r="AH112" i="9"/>
  <c r="M85" i="9"/>
  <c r="M86" i="9"/>
  <c r="M88" i="9"/>
  <c r="M89" i="9"/>
  <c r="M90" i="9"/>
  <c r="M91" i="9"/>
  <c r="M119" i="9" s="1"/>
  <c r="M92" i="9"/>
  <c r="M93" i="9"/>
  <c r="M118" i="9" s="1"/>
  <c r="M94" i="9"/>
  <c r="M95" i="9"/>
  <c r="M96" i="9"/>
  <c r="M97" i="9"/>
  <c r="M98" i="9"/>
  <c r="M99" i="9"/>
  <c r="M101" i="9"/>
  <c r="M102" i="9"/>
  <c r="M104" i="9"/>
  <c r="L105" i="9"/>
  <c r="AB105" i="9"/>
  <c r="L106" i="9"/>
  <c r="AB106" i="9"/>
  <c r="L107" i="9"/>
  <c r="AB107" i="9"/>
  <c r="AJ107" i="9"/>
  <c r="T108" i="9"/>
  <c r="AJ108" i="9"/>
  <c r="T109" i="9"/>
  <c r="AJ109" i="9"/>
  <c r="T110" i="9"/>
  <c r="AJ110" i="9"/>
  <c r="T111" i="9"/>
  <c r="T112" i="9"/>
  <c r="AL84" i="9"/>
  <c r="AL85" i="9"/>
  <c r="AL86" i="9"/>
  <c r="AL87" i="9"/>
  <c r="AL88" i="9"/>
  <c r="AL89" i="9"/>
  <c r="AL90" i="9"/>
  <c r="AL91" i="9"/>
  <c r="AL119" i="9" s="1"/>
  <c r="AL92" i="9"/>
  <c r="AL93" i="9"/>
  <c r="AL118" i="9" s="1"/>
  <c r="AL94" i="9"/>
  <c r="AL95" i="9"/>
  <c r="AL96" i="9"/>
  <c r="AL97" i="9"/>
  <c r="AL98" i="9"/>
  <c r="AL99" i="9"/>
  <c r="AL100" i="9"/>
  <c r="AL101" i="9"/>
  <c r="AL102" i="9"/>
  <c r="AL103" i="9"/>
  <c r="AL104" i="9"/>
  <c r="S105" i="9"/>
  <c r="AA105" i="9"/>
  <c r="AI105" i="9"/>
  <c r="K106" i="9"/>
  <c r="S106" i="9"/>
  <c r="AA106" i="9"/>
  <c r="AI106" i="9"/>
  <c r="K107" i="9"/>
  <c r="S107" i="9"/>
  <c r="AA107" i="9"/>
  <c r="AI107" i="9"/>
  <c r="K108" i="9"/>
  <c r="S108" i="9"/>
  <c r="AA108" i="9"/>
  <c r="AI108" i="9"/>
  <c r="K109" i="9"/>
  <c r="S109" i="9"/>
  <c r="AA109" i="9"/>
  <c r="AI109" i="9"/>
  <c r="K110" i="9"/>
  <c r="S110" i="9"/>
  <c r="AA110" i="9"/>
  <c r="AI110" i="9"/>
  <c r="K111" i="9"/>
  <c r="S111" i="9"/>
  <c r="AA111" i="9"/>
  <c r="AI111" i="9"/>
  <c r="K112" i="9"/>
  <c r="S112" i="9"/>
  <c r="AA112" i="9"/>
  <c r="AI112" i="9"/>
  <c r="M87" i="9"/>
  <c r="M100" i="9"/>
  <c r="M103" i="9"/>
  <c r="T105" i="9"/>
  <c r="AJ105" i="9"/>
  <c r="T106" i="9"/>
  <c r="AJ106" i="9"/>
  <c r="T107" i="9"/>
  <c r="L108" i="9"/>
  <c r="AB108" i="9"/>
  <c r="L109" i="9"/>
  <c r="AB109" i="9"/>
  <c r="L110" i="9"/>
  <c r="AB110" i="9"/>
  <c r="L111" i="9"/>
  <c r="AB111" i="9"/>
  <c r="F96" i="9"/>
  <c r="F85" i="9"/>
  <c r="F94" i="9"/>
  <c r="F112" i="9"/>
  <c r="F87" i="9"/>
  <c r="F95" i="9"/>
  <c r="F101" i="9"/>
  <c r="F106" i="9"/>
  <c r="F99" i="9"/>
  <c r="F98" i="9"/>
  <c r="F105" i="9"/>
  <c r="F91" i="9"/>
  <c r="F119" i="9" s="1"/>
  <c r="F104" i="9"/>
  <c r="F100" i="9"/>
  <c r="F109" i="9"/>
  <c r="F86" i="9"/>
  <c r="F89" i="9"/>
  <c r="F107" i="9"/>
  <c r="F84" i="9"/>
  <c r="F102" i="9"/>
  <c r="F93" i="9"/>
  <c r="F118" i="9" s="1"/>
  <c r="F111" i="9"/>
  <c r="F88" i="9"/>
  <c r="F90" i="9"/>
  <c r="F108" i="9"/>
  <c r="H84" i="10"/>
  <c r="P84" i="10"/>
  <c r="X84" i="10"/>
  <c r="AF84" i="10"/>
  <c r="H85" i="10"/>
  <c r="P85" i="10"/>
  <c r="X85" i="10"/>
  <c r="AF85" i="10"/>
  <c r="H86" i="10"/>
  <c r="P86" i="10"/>
  <c r="I84" i="10"/>
  <c r="J84" i="10"/>
  <c r="R84" i="10"/>
  <c r="Z84" i="10"/>
  <c r="AH84" i="10"/>
  <c r="J85" i="10"/>
  <c r="R85" i="10"/>
  <c r="Z85" i="10"/>
  <c r="AH85" i="10"/>
  <c r="J86" i="10"/>
  <c r="R86" i="10"/>
  <c r="Z86" i="10"/>
  <c r="AH86" i="10"/>
  <c r="J87" i="10"/>
  <c r="R87" i="10"/>
  <c r="Z87" i="10"/>
  <c r="AH87" i="10"/>
  <c r="J88" i="10"/>
  <c r="R88" i="10"/>
  <c r="Z88" i="10"/>
  <c r="AH88" i="10"/>
  <c r="J89" i="10"/>
  <c r="R89" i="10"/>
  <c r="Z89" i="10"/>
  <c r="AH89" i="10"/>
  <c r="J90" i="10"/>
  <c r="R90" i="10"/>
  <c r="Z90" i="10"/>
  <c r="AH90" i="10"/>
  <c r="J91" i="10"/>
  <c r="R91" i="10"/>
  <c r="Z91" i="10"/>
  <c r="AH91" i="10"/>
  <c r="J92" i="10"/>
  <c r="K84" i="10"/>
  <c r="L84" i="10"/>
  <c r="T84" i="10"/>
  <c r="AB84" i="10"/>
  <c r="AJ84" i="10"/>
  <c r="L85" i="10"/>
  <c r="T85" i="10"/>
  <c r="AB85" i="10"/>
  <c r="AJ85" i="10"/>
  <c r="L86" i="10"/>
  <c r="T86" i="10"/>
  <c r="AB86" i="10"/>
  <c r="AJ86" i="10"/>
  <c r="L87" i="10"/>
  <c r="T87" i="10"/>
  <c r="AB87" i="10"/>
  <c r="AJ87" i="10"/>
  <c r="L88" i="10"/>
  <c r="T88" i="10"/>
  <c r="AB88" i="10"/>
  <c r="AJ88" i="10"/>
  <c r="L89" i="10"/>
  <c r="M84" i="10"/>
  <c r="U84" i="10"/>
  <c r="AC84" i="10"/>
  <c r="AK84" i="10"/>
  <c r="M85" i="10"/>
  <c r="U85" i="10"/>
  <c r="AC85" i="10"/>
  <c r="AK85" i="10"/>
  <c r="M86" i="10"/>
  <c r="U86" i="10"/>
  <c r="N84" i="10"/>
  <c r="V84" i="10"/>
  <c r="AD84" i="10"/>
  <c r="AL84" i="10"/>
  <c r="N85" i="10"/>
  <c r="V85" i="10"/>
  <c r="AD85" i="10"/>
  <c r="AL85" i="10"/>
  <c r="N86" i="10"/>
  <c r="V86" i="10"/>
  <c r="AD86" i="10"/>
  <c r="AL86" i="10"/>
  <c r="N87" i="10"/>
  <c r="V87" i="10"/>
  <c r="AD87" i="10"/>
  <c r="AL87" i="10"/>
  <c r="N88" i="10"/>
  <c r="V88" i="10"/>
  <c r="AD88" i="10"/>
  <c r="AL88" i="10"/>
  <c r="N89" i="10"/>
  <c r="V89" i="10"/>
  <c r="AD89" i="10"/>
  <c r="AL89" i="10"/>
  <c r="N90" i="10"/>
  <c r="V90" i="10"/>
  <c r="AD90" i="10"/>
  <c r="AL90" i="10"/>
  <c r="N91" i="10"/>
  <c r="V91" i="10"/>
  <c r="AD91" i="10"/>
  <c r="AL91" i="10"/>
  <c r="N92" i="10"/>
  <c r="W84" i="10"/>
  <c r="K85" i="10"/>
  <c r="AG85" i="10"/>
  <c r="W86" i="10"/>
  <c r="AI86" i="10"/>
  <c r="P87" i="10"/>
  <c r="AC87" i="10"/>
  <c r="I88" i="10"/>
  <c r="W88" i="10"/>
  <c r="AI88" i="10"/>
  <c r="P89" i="10"/>
  <c r="AA89" i="10"/>
  <c r="AK89" i="10"/>
  <c r="P90" i="10"/>
  <c r="AA90" i="10"/>
  <c r="AK90" i="10"/>
  <c r="P91" i="10"/>
  <c r="AA91" i="10"/>
  <c r="AK91" i="10"/>
  <c r="P92" i="10"/>
  <c r="X92" i="10"/>
  <c r="AF92" i="10"/>
  <c r="H93" i="10"/>
  <c r="P93" i="10"/>
  <c r="X93" i="10"/>
  <c r="AF93" i="10"/>
  <c r="H94" i="10"/>
  <c r="P94" i="10"/>
  <c r="X94" i="10"/>
  <c r="AF94" i="10"/>
  <c r="H95" i="10"/>
  <c r="P95" i="10"/>
  <c r="X95" i="10"/>
  <c r="AF95" i="10"/>
  <c r="H96" i="10"/>
  <c r="P96" i="10"/>
  <c r="X96" i="10"/>
  <c r="AF96" i="10"/>
  <c r="H97" i="10"/>
  <c r="P97" i="10"/>
  <c r="X97" i="10"/>
  <c r="AF97" i="10"/>
  <c r="H98" i="10"/>
  <c r="P98" i="10"/>
  <c r="X98" i="10"/>
  <c r="AF98" i="10"/>
  <c r="H99" i="10"/>
  <c r="P99" i="10"/>
  <c r="X99" i="10"/>
  <c r="AF99" i="10"/>
  <c r="H100" i="10"/>
  <c r="P100" i="10"/>
  <c r="X100" i="10"/>
  <c r="AF100" i="10"/>
  <c r="Y84" i="10"/>
  <c r="O85" i="10"/>
  <c r="AI85" i="10"/>
  <c r="X86" i="10"/>
  <c r="AK86" i="10"/>
  <c r="Q87" i="10"/>
  <c r="AE87" i="10"/>
  <c r="K88" i="10"/>
  <c r="X88" i="10"/>
  <c r="AK88" i="10"/>
  <c r="Q89" i="10"/>
  <c r="AB89" i="10"/>
  <c r="G90" i="10"/>
  <c r="Q90" i="10"/>
  <c r="AB90" i="10"/>
  <c r="G91" i="10"/>
  <c r="Q91" i="10"/>
  <c r="AB91" i="10"/>
  <c r="G92" i="10"/>
  <c r="Q92" i="10"/>
  <c r="Y92" i="10"/>
  <c r="AG92" i="10"/>
  <c r="I93" i="10"/>
  <c r="Q93" i="10"/>
  <c r="Y93" i="10"/>
  <c r="AG93" i="10"/>
  <c r="I94" i="10"/>
  <c r="Q94" i="10"/>
  <c r="Y94" i="10"/>
  <c r="AG94" i="10"/>
  <c r="I95" i="10"/>
  <c r="Q95" i="10"/>
  <c r="Y95" i="10"/>
  <c r="AG95" i="10"/>
  <c r="I96" i="10"/>
  <c r="Q96" i="10"/>
  <c r="Y96" i="10"/>
  <c r="AG96" i="10"/>
  <c r="I97" i="10"/>
  <c r="Q97" i="10"/>
  <c r="Y97" i="10"/>
  <c r="AG97" i="10"/>
  <c r="I98" i="10"/>
  <c r="Q98" i="10"/>
  <c r="Y98" i="10"/>
  <c r="AA84" i="10"/>
  <c r="Q85" i="10"/>
  <c r="G86" i="10"/>
  <c r="Y86" i="10"/>
  <c r="G87" i="10"/>
  <c r="S87" i="10"/>
  <c r="AF87" i="10"/>
  <c r="M88" i="10"/>
  <c r="Y88" i="10"/>
  <c r="G89" i="10"/>
  <c r="S89" i="10"/>
  <c r="AC89" i="10"/>
  <c r="H90" i="10"/>
  <c r="S90" i="10"/>
  <c r="AC90" i="10"/>
  <c r="H91" i="10"/>
  <c r="S91" i="10"/>
  <c r="AC91" i="10"/>
  <c r="H92" i="10"/>
  <c r="R92" i="10"/>
  <c r="Z92" i="10"/>
  <c r="AH92" i="10"/>
  <c r="J93" i="10"/>
  <c r="R93" i="10"/>
  <c r="Z93" i="10"/>
  <c r="AH93" i="10"/>
  <c r="J94" i="10"/>
  <c r="R94" i="10"/>
  <c r="Z94" i="10"/>
  <c r="AH94" i="10"/>
  <c r="J95" i="10"/>
  <c r="R95" i="10"/>
  <c r="Z95" i="10"/>
  <c r="AH95" i="10"/>
  <c r="J96" i="10"/>
  <c r="R96" i="10"/>
  <c r="Z96" i="10"/>
  <c r="AH96" i="10"/>
  <c r="AH118" i="10" s="1"/>
  <c r="J97" i="10"/>
  <c r="R97" i="10"/>
  <c r="Z97" i="10"/>
  <c r="AH97" i="10"/>
  <c r="J98" i="10"/>
  <c r="R98" i="10"/>
  <c r="Z98" i="10"/>
  <c r="AH98" i="10"/>
  <c r="J99" i="10"/>
  <c r="R99" i="10"/>
  <c r="Z99" i="10"/>
  <c r="AH99" i="10"/>
  <c r="J100" i="10"/>
  <c r="R100" i="10"/>
  <c r="Z100" i="10"/>
  <c r="AH100" i="10"/>
  <c r="AE84" i="10"/>
  <c r="S85" i="10"/>
  <c r="I86" i="10"/>
  <c r="AA86" i="10"/>
  <c r="H87" i="10"/>
  <c r="U87" i="10"/>
  <c r="AG87" i="10"/>
  <c r="O88" i="10"/>
  <c r="AA88" i="10"/>
  <c r="H89" i="10"/>
  <c r="T89" i="10"/>
  <c r="AE89" i="10"/>
  <c r="I90" i="10"/>
  <c r="T90" i="10"/>
  <c r="AE90" i="10"/>
  <c r="I91" i="10"/>
  <c r="T91" i="10"/>
  <c r="AE91" i="10"/>
  <c r="I92" i="10"/>
  <c r="S92" i="10"/>
  <c r="AA92" i="10"/>
  <c r="AI92" i="10"/>
  <c r="K93" i="10"/>
  <c r="S93" i="10"/>
  <c r="AA93" i="10"/>
  <c r="AI93" i="10"/>
  <c r="K94" i="10"/>
  <c r="S94" i="10"/>
  <c r="AA94" i="10"/>
  <c r="AI94" i="10"/>
  <c r="K95" i="10"/>
  <c r="S95" i="10"/>
  <c r="AA95" i="10"/>
  <c r="AI95" i="10"/>
  <c r="K96" i="10"/>
  <c r="S96" i="10"/>
  <c r="AA96" i="10"/>
  <c r="AI96" i="10"/>
  <c r="K97" i="10"/>
  <c r="S97" i="10"/>
  <c r="AA97" i="10"/>
  <c r="AI97" i="10"/>
  <c r="K98" i="10"/>
  <c r="S98" i="10"/>
  <c r="AA98" i="10"/>
  <c r="G84" i="10"/>
  <c r="AG84" i="10"/>
  <c r="W85" i="10"/>
  <c r="K86" i="10"/>
  <c r="AC86" i="10"/>
  <c r="I87" i="10"/>
  <c r="W87" i="10"/>
  <c r="AI87" i="10"/>
  <c r="P88" i="10"/>
  <c r="AC88" i="10"/>
  <c r="I89" i="10"/>
  <c r="U89" i="10"/>
  <c r="AF89" i="10"/>
  <c r="K90" i="10"/>
  <c r="U90" i="10"/>
  <c r="AF90" i="10"/>
  <c r="K91" i="10"/>
  <c r="U91" i="10"/>
  <c r="AF91" i="10"/>
  <c r="K92" i="10"/>
  <c r="T92" i="10"/>
  <c r="AB92" i="10"/>
  <c r="AJ92" i="10"/>
  <c r="L93" i="10"/>
  <c r="T93" i="10"/>
  <c r="AB93" i="10"/>
  <c r="AJ93" i="10"/>
  <c r="L94" i="10"/>
  <c r="T94" i="10"/>
  <c r="AB94" i="10"/>
  <c r="AJ94" i="10"/>
  <c r="L95" i="10"/>
  <c r="T95" i="10"/>
  <c r="AB95" i="10"/>
  <c r="AJ95" i="10"/>
  <c r="L96" i="10"/>
  <c r="T96" i="10"/>
  <c r="AB96" i="10"/>
  <c r="AJ96" i="10"/>
  <c r="L97" i="10"/>
  <c r="T97" i="10"/>
  <c r="AB97" i="10"/>
  <c r="AJ97" i="10"/>
  <c r="L98" i="10"/>
  <c r="T98" i="10"/>
  <c r="AB98" i="10"/>
  <c r="AJ98" i="10"/>
  <c r="L99" i="10"/>
  <c r="T99" i="10"/>
  <c r="AB99" i="10"/>
  <c r="AJ99" i="10"/>
  <c r="L100" i="10"/>
  <c r="T100" i="10"/>
  <c r="AB100" i="10"/>
  <c r="AJ100" i="10"/>
  <c r="L101" i="10"/>
  <c r="T101" i="10"/>
  <c r="AB101" i="10"/>
  <c r="AJ101" i="10"/>
  <c r="L102" i="10"/>
  <c r="T102" i="10"/>
  <c r="AB102" i="10"/>
  <c r="AJ102" i="10"/>
  <c r="L103" i="10"/>
  <c r="T103" i="10"/>
  <c r="AB103" i="10"/>
  <c r="AJ103" i="10"/>
  <c r="L104" i="10"/>
  <c r="T104" i="10"/>
  <c r="AB104" i="10"/>
  <c r="AJ104" i="10"/>
  <c r="L105" i="10"/>
  <c r="T105" i="10"/>
  <c r="AB105" i="10"/>
  <c r="AJ105" i="10"/>
  <c r="O84" i="10"/>
  <c r="AI84" i="10"/>
  <c r="Y85" i="10"/>
  <c r="O86" i="10"/>
  <c r="AE86" i="10"/>
  <c r="K87" i="10"/>
  <c r="X87" i="10"/>
  <c r="AK87" i="10"/>
  <c r="Q88" i="10"/>
  <c r="AE88" i="10"/>
  <c r="K89" i="10"/>
  <c r="W89" i="10"/>
  <c r="AG89" i="10"/>
  <c r="L90" i="10"/>
  <c r="W90" i="10"/>
  <c r="AG90" i="10"/>
  <c r="L91" i="10"/>
  <c r="W91" i="10"/>
  <c r="AG91" i="10"/>
  <c r="L92" i="10"/>
  <c r="U92" i="10"/>
  <c r="AC92" i="10"/>
  <c r="AK92" i="10"/>
  <c r="M93" i="10"/>
  <c r="U93" i="10"/>
  <c r="AC93" i="10"/>
  <c r="AK93" i="10"/>
  <c r="M94" i="10"/>
  <c r="U94" i="10"/>
  <c r="AC94" i="10"/>
  <c r="AK94" i="10"/>
  <c r="M95" i="10"/>
  <c r="U95" i="10"/>
  <c r="AC95" i="10"/>
  <c r="AK95" i="10"/>
  <c r="M96" i="10"/>
  <c r="U96" i="10"/>
  <c r="AC96" i="10"/>
  <c r="AK96" i="10"/>
  <c r="M97" i="10"/>
  <c r="U97" i="10"/>
  <c r="AC97" i="10"/>
  <c r="AK97" i="10"/>
  <c r="M98" i="10"/>
  <c r="U98" i="10"/>
  <c r="AC98" i="10"/>
  <c r="AK98" i="10"/>
  <c r="M99" i="10"/>
  <c r="U99" i="10"/>
  <c r="AC99" i="10"/>
  <c r="AK99" i="10"/>
  <c r="M100" i="10"/>
  <c r="U100" i="10"/>
  <c r="AC100" i="10"/>
  <c r="AK100" i="10"/>
  <c r="M101" i="10"/>
  <c r="U101" i="10"/>
  <c r="AC101" i="10"/>
  <c r="AK101" i="10"/>
  <c r="M102" i="10"/>
  <c r="U102" i="10"/>
  <c r="AC102" i="10"/>
  <c r="AK102" i="10"/>
  <c r="M103" i="10"/>
  <c r="U103" i="10"/>
  <c r="AC103" i="10"/>
  <c r="AK103" i="10"/>
  <c r="M104" i="10"/>
  <c r="U104" i="10"/>
  <c r="AC104" i="10"/>
  <c r="AK104" i="10"/>
  <c r="M105" i="10"/>
  <c r="U105" i="10"/>
  <c r="AC105" i="10"/>
  <c r="AK105" i="10"/>
  <c r="M106" i="10"/>
  <c r="U106" i="10"/>
  <c r="AC106" i="10"/>
  <c r="AK106" i="10"/>
  <c r="Q84" i="10"/>
  <c r="G85" i="10"/>
  <c r="AA85" i="10"/>
  <c r="Q86" i="10"/>
  <c r="AF86" i="10"/>
  <c r="M87" i="10"/>
  <c r="Y87" i="10"/>
  <c r="G88" i="10"/>
  <c r="S88" i="10"/>
  <c r="AF88" i="10"/>
  <c r="M89" i="10"/>
  <c r="X89" i="10"/>
  <c r="AI89" i="10"/>
  <c r="M90" i="10"/>
  <c r="X90" i="10"/>
  <c r="AI90" i="10"/>
  <c r="M91" i="10"/>
  <c r="X91" i="10"/>
  <c r="AI91" i="10"/>
  <c r="M92" i="10"/>
  <c r="V92" i="10"/>
  <c r="AD92" i="10"/>
  <c r="AL92" i="10"/>
  <c r="N93" i="10"/>
  <c r="V93" i="10"/>
  <c r="AD93" i="10"/>
  <c r="AL93" i="10"/>
  <c r="N94" i="10"/>
  <c r="V94" i="10"/>
  <c r="AD94" i="10"/>
  <c r="AL94" i="10"/>
  <c r="N95" i="10"/>
  <c r="V95" i="10"/>
  <c r="AD95" i="10"/>
  <c r="AL95" i="10"/>
  <c r="N96" i="10"/>
  <c r="V96" i="10"/>
  <c r="AD96" i="10"/>
  <c r="AL96" i="10"/>
  <c r="N97" i="10"/>
  <c r="V97" i="10"/>
  <c r="AD97" i="10"/>
  <c r="AL97" i="10"/>
  <c r="N98" i="10"/>
  <c r="V98" i="10"/>
  <c r="AD98" i="10"/>
  <c r="AL98" i="10"/>
  <c r="N99" i="10"/>
  <c r="V99" i="10"/>
  <c r="AD99" i="10"/>
  <c r="AL99" i="10"/>
  <c r="N100" i="10"/>
  <c r="V100" i="10"/>
  <c r="AD100" i="10"/>
  <c r="AL100" i="10"/>
  <c r="N101" i="10"/>
  <c r="V101" i="10"/>
  <c r="AD101" i="10"/>
  <c r="AL101" i="10"/>
  <c r="N102" i="10"/>
  <c r="V102" i="10"/>
  <c r="AD102" i="10"/>
  <c r="AL102" i="10"/>
  <c r="N103" i="10"/>
  <c r="V103" i="10"/>
  <c r="AD103" i="10"/>
  <c r="AL103" i="10"/>
  <c r="N104" i="10"/>
  <c r="V104" i="10"/>
  <c r="AD104" i="10"/>
  <c r="AL104" i="10"/>
  <c r="N105" i="10"/>
  <c r="V105" i="10"/>
  <c r="AD105" i="10"/>
  <c r="AL105" i="10"/>
  <c r="N106" i="10"/>
  <c r="V106" i="10"/>
  <c r="AD106" i="10"/>
  <c r="AL106" i="10"/>
  <c r="N107" i="10"/>
  <c r="I85" i="10"/>
  <c r="AG88" i="10"/>
  <c r="Y91" i="10"/>
  <c r="AE93" i="10"/>
  <c r="AE95" i="10"/>
  <c r="AE97" i="10"/>
  <c r="I99" i="10"/>
  <c r="AE99" i="10"/>
  <c r="S100" i="10"/>
  <c r="H101" i="10"/>
  <c r="S101" i="10"/>
  <c r="AG101" i="10"/>
  <c r="O102" i="10"/>
  <c r="Z102" i="10"/>
  <c r="H103" i="10"/>
  <c r="S103" i="10"/>
  <c r="AG103" i="10"/>
  <c r="O104" i="10"/>
  <c r="Z104" i="10"/>
  <c r="H105" i="10"/>
  <c r="S105" i="10"/>
  <c r="AG105" i="10"/>
  <c r="L106" i="10"/>
  <c r="X106" i="10"/>
  <c r="AH106" i="10"/>
  <c r="L107" i="10"/>
  <c r="U107" i="10"/>
  <c r="AC107" i="10"/>
  <c r="AK107" i="10"/>
  <c r="M108" i="10"/>
  <c r="U108" i="10"/>
  <c r="AC108" i="10"/>
  <c r="AK108" i="10"/>
  <c r="M109" i="10"/>
  <c r="U109" i="10"/>
  <c r="AC109" i="10"/>
  <c r="AK109" i="10"/>
  <c r="M110" i="10"/>
  <c r="U110" i="10"/>
  <c r="AC110" i="10"/>
  <c r="AK110" i="10"/>
  <c r="M111" i="10"/>
  <c r="U111" i="10"/>
  <c r="AC111" i="10"/>
  <c r="AK111" i="10"/>
  <c r="M112" i="10"/>
  <c r="U112" i="10"/>
  <c r="AC112" i="10"/>
  <c r="AK112" i="10"/>
  <c r="V111" i="10"/>
  <c r="V112" i="10"/>
  <c r="AL112" i="10"/>
  <c r="K104" i="10"/>
  <c r="AJ108" i="10"/>
  <c r="L111" i="10"/>
  <c r="AE85" i="10"/>
  <c r="O89" i="10"/>
  <c r="AJ91" i="10"/>
  <c r="G94" i="10"/>
  <c r="G96" i="10"/>
  <c r="G98" i="10"/>
  <c r="K99" i="10"/>
  <c r="AG99" i="10"/>
  <c r="W100" i="10"/>
  <c r="I101" i="10"/>
  <c r="W101" i="10"/>
  <c r="AH101" i="10"/>
  <c r="P102" i="10"/>
  <c r="AA102" i="10"/>
  <c r="I103" i="10"/>
  <c r="W103" i="10"/>
  <c r="AH103" i="10"/>
  <c r="P104" i="10"/>
  <c r="AA104" i="10"/>
  <c r="I105" i="10"/>
  <c r="W105" i="10"/>
  <c r="AH105" i="10"/>
  <c r="O106" i="10"/>
  <c r="Y106" i="10"/>
  <c r="AI106" i="10"/>
  <c r="M107" i="10"/>
  <c r="V107" i="10"/>
  <c r="AD107" i="10"/>
  <c r="AL107" i="10"/>
  <c r="N108" i="10"/>
  <c r="V108" i="10"/>
  <c r="AD108" i="10"/>
  <c r="AL108" i="10"/>
  <c r="N109" i="10"/>
  <c r="V109" i="10"/>
  <c r="AD109" i="10"/>
  <c r="AL109" i="10"/>
  <c r="N110" i="10"/>
  <c r="V110" i="10"/>
  <c r="AD110" i="10"/>
  <c r="AL110" i="10"/>
  <c r="N111" i="10"/>
  <c r="AD111" i="10"/>
  <c r="AL111" i="10"/>
  <c r="N112" i="10"/>
  <c r="AD112" i="10"/>
  <c r="AF103" i="10"/>
  <c r="W106" i="10"/>
  <c r="T108" i="10"/>
  <c r="T109" i="10"/>
  <c r="AB110" i="10"/>
  <c r="AJ111" i="10"/>
  <c r="AJ112" i="10"/>
  <c r="S86" i="10"/>
  <c r="Y89" i="10"/>
  <c r="O92" i="10"/>
  <c r="O94" i="10"/>
  <c r="O96" i="10"/>
  <c r="O98" i="10"/>
  <c r="O99" i="10"/>
  <c r="AI99" i="10"/>
  <c r="Y100" i="10"/>
  <c r="J101" i="10"/>
  <c r="X101" i="10"/>
  <c r="AI101" i="10"/>
  <c r="Q102" i="10"/>
  <c r="AE102" i="10"/>
  <c r="J103" i="10"/>
  <c r="X103" i="10"/>
  <c r="AI103" i="10"/>
  <c r="Q104" i="10"/>
  <c r="AE104" i="10"/>
  <c r="J105" i="10"/>
  <c r="X105" i="10"/>
  <c r="AI105" i="10"/>
  <c r="P106" i="10"/>
  <c r="Z106" i="10"/>
  <c r="AJ106" i="10"/>
  <c r="O107" i="10"/>
  <c r="W107" i="10"/>
  <c r="AE107" i="10"/>
  <c r="G108" i="10"/>
  <c r="O108" i="10"/>
  <c r="W108" i="10"/>
  <c r="AE108" i="10"/>
  <c r="G109" i="10"/>
  <c r="O109" i="10"/>
  <c r="W109" i="10"/>
  <c r="AE109" i="10"/>
  <c r="G110" i="10"/>
  <c r="O110" i="10"/>
  <c r="W110" i="10"/>
  <c r="AE110" i="10"/>
  <c r="G111" i="10"/>
  <c r="O111" i="10"/>
  <c r="W111" i="10"/>
  <c r="AE111" i="10"/>
  <c r="G112" i="10"/>
  <c r="O112" i="10"/>
  <c r="W112" i="10"/>
  <c r="AE112" i="10"/>
  <c r="X107" i="10"/>
  <c r="X109" i="10"/>
  <c r="P110" i="10"/>
  <c r="AF110" i="10"/>
  <c r="P111" i="10"/>
  <c r="H112" i="10"/>
  <c r="X112" i="10"/>
  <c r="R103" i="10"/>
  <c r="AJ107" i="10"/>
  <c r="L110" i="10"/>
  <c r="T112" i="10"/>
  <c r="AG86" i="10"/>
  <c r="AJ89" i="10"/>
  <c r="W92" i="10"/>
  <c r="W94" i="10"/>
  <c r="W96" i="10"/>
  <c r="W98" i="10"/>
  <c r="Q99" i="10"/>
  <c r="G100" i="10"/>
  <c r="AA100" i="10"/>
  <c r="K101" i="10"/>
  <c r="Y101" i="10"/>
  <c r="G102" i="10"/>
  <c r="R102" i="10"/>
  <c r="AF102" i="10"/>
  <c r="K103" i="10"/>
  <c r="Y103" i="10"/>
  <c r="G104" i="10"/>
  <c r="R104" i="10"/>
  <c r="AF104" i="10"/>
  <c r="K105" i="10"/>
  <c r="Y105" i="10"/>
  <c r="G106" i="10"/>
  <c r="Q106" i="10"/>
  <c r="AA106" i="10"/>
  <c r="G107" i="10"/>
  <c r="P107" i="10"/>
  <c r="AF107" i="10"/>
  <c r="H108" i="10"/>
  <c r="P108" i="10"/>
  <c r="X108" i="10"/>
  <c r="AF108" i="10"/>
  <c r="H109" i="10"/>
  <c r="P109" i="10"/>
  <c r="AF109" i="10"/>
  <c r="H110" i="10"/>
  <c r="X110" i="10"/>
  <c r="H111" i="10"/>
  <c r="X111" i="10"/>
  <c r="AF111" i="10"/>
  <c r="P112" i="10"/>
  <c r="AF112" i="10"/>
  <c r="Y102" i="10"/>
  <c r="T107" i="10"/>
  <c r="L109" i="10"/>
  <c r="AJ110" i="10"/>
  <c r="L112" i="10"/>
  <c r="O87" i="10"/>
  <c r="O90" i="10"/>
  <c r="AE92" i="10"/>
  <c r="AE94" i="10"/>
  <c r="AE96" i="10"/>
  <c r="AE98" i="10"/>
  <c r="S99" i="10"/>
  <c r="I100" i="10"/>
  <c r="AE100" i="10"/>
  <c r="O101" i="10"/>
  <c r="Z101" i="10"/>
  <c r="H102" i="10"/>
  <c r="S102" i="10"/>
  <c r="AG102" i="10"/>
  <c r="O103" i="10"/>
  <c r="Z103" i="10"/>
  <c r="H104" i="10"/>
  <c r="S104" i="10"/>
  <c r="AG104" i="10"/>
  <c r="O105" i="10"/>
  <c r="Z105" i="10"/>
  <c r="H106" i="10"/>
  <c r="R106" i="10"/>
  <c r="AB106" i="10"/>
  <c r="H107" i="10"/>
  <c r="Q107" i="10"/>
  <c r="Y107" i="10"/>
  <c r="AG107" i="10"/>
  <c r="I108" i="10"/>
  <c r="Q108" i="10"/>
  <c r="Y108" i="10"/>
  <c r="AG108" i="10"/>
  <c r="I109" i="10"/>
  <c r="Q109" i="10"/>
  <c r="Y109" i="10"/>
  <c r="AG109" i="10"/>
  <c r="I110" i="10"/>
  <c r="Q110" i="10"/>
  <c r="Y110" i="10"/>
  <c r="AG110" i="10"/>
  <c r="I111" i="10"/>
  <c r="Q111" i="10"/>
  <c r="Y111" i="10"/>
  <c r="AG111" i="10"/>
  <c r="I112" i="10"/>
  <c r="Q112" i="10"/>
  <c r="Y112" i="10"/>
  <c r="AG112" i="10"/>
  <c r="K107" i="10"/>
  <c r="AA87" i="10"/>
  <c r="Y90" i="10"/>
  <c r="G93" i="10"/>
  <c r="G95" i="10"/>
  <c r="G97" i="10"/>
  <c r="AG98" i="10"/>
  <c r="W99" i="10"/>
  <c r="K100" i="10"/>
  <c r="AG100" i="10"/>
  <c r="P101" i="10"/>
  <c r="AA101" i="10"/>
  <c r="I102" i="10"/>
  <c r="W102" i="10"/>
  <c r="AH102" i="10"/>
  <c r="P103" i="10"/>
  <c r="AA103" i="10"/>
  <c r="I104" i="10"/>
  <c r="W104" i="10"/>
  <c r="AH104" i="10"/>
  <c r="P105" i="10"/>
  <c r="AA105" i="10"/>
  <c r="I106" i="10"/>
  <c r="S106" i="10"/>
  <c r="AE106" i="10"/>
  <c r="I107" i="10"/>
  <c r="R107" i="10"/>
  <c r="Z107" i="10"/>
  <c r="AH107" i="10"/>
  <c r="J108" i="10"/>
  <c r="R108" i="10"/>
  <c r="Z108" i="10"/>
  <c r="AH108" i="10"/>
  <c r="J109" i="10"/>
  <c r="R109" i="10"/>
  <c r="Z109" i="10"/>
  <c r="AH109" i="10"/>
  <c r="J110" i="10"/>
  <c r="R110" i="10"/>
  <c r="Z110" i="10"/>
  <c r="AH110" i="10"/>
  <c r="J111" i="10"/>
  <c r="R111" i="10"/>
  <c r="Z111" i="10"/>
  <c r="AH111" i="10"/>
  <c r="J112" i="10"/>
  <c r="R112" i="10"/>
  <c r="Z112" i="10"/>
  <c r="AH112" i="10"/>
  <c r="G105" i="10"/>
  <c r="L108" i="10"/>
  <c r="AJ109" i="10"/>
  <c r="AB111" i="10"/>
  <c r="H88" i="10"/>
  <c r="AJ90" i="10"/>
  <c r="O93" i="10"/>
  <c r="O95" i="10"/>
  <c r="O97" i="10"/>
  <c r="AI98" i="10"/>
  <c r="Y99" i="10"/>
  <c r="O100" i="10"/>
  <c r="AI100" i="10"/>
  <c r="Q101" i="10"/>
  <c r="AE101" i="10"/>
  <c r="J102" i="10"/>
  <c r="X102" i="10"/>
  <c r="AI102" i="10"/>
  <c r="Q103" i="10"/>
  <c r="AE103" i="10"/>
  <c r="J104" i="10"/>
  <c r="X104" i="10"/>
  <c r="AI104" i="10"/>
  <c r="Q105" i="10"/>
  <c r="AE105" i="10"/>
  <c r="J106" i="10"/>
  <c r="T106" i="10"/>
  <c r="AF106" i="10"/>
  <c r="J107" i="10"/>
  <c r="S107" i="10"/>
  <c r="AA107" i="10"/>
  <c r="AI107" i="10"/>
  <c r="K108" i="10"/>
  <c r="S108" i="10"/>
  <c r="AA108" i="10"/>
  <c r="AI108" i="10"/>
  <c r="K109" i="10"/>
  <c r="S109" i="10"/>
  <c r="AA109" i="10"/>
  <c r="AI109" i="10"/>
  <c r="K110" i="10"/>
  <c r="S110" i="10"/>
  <c r="AA110" i="10"/>
  <c r="AI110" i="10"/>
  <c r="K111" i="10"/>
  <c r="S111" i="10"/>
  <c r="AA111" i="10"/>
  <c r="AI111" i="10"/>
  <c r="K112" i="10"/>
  <c r="S112" i="10"/>
  <c r="AA112" i="10"/>
  <c r="AI112" i="10"/>
  <c r="S84" i="10"/>
  <c r="U88" i="10"/>
  <c r="O91" i="10"/>
  <c r="W93" i="10"/>
  <c r="W95" i="10"/>
  <c r="W97" i="10"/>
  <c r="G99" i="10"/>
  <c r="AA99" i="10"/>
  <c r="Q100" i="10"/>
  <c r="G101" i="10"/>
  <c r="R101" i="10"/>
  <c r="AF101" i="10"/>
  <c r="K102" i="10"/>
  <c r="G103" i="10"/>
  <c r="Y104" i="10"/>
  <c r="R105" i="10"/>
  <c r="AF105" i="10"/>
  <c r="K106" i="10"/>
  <c r="AG106" i="10"/>
  <c r="AB107" i="10"/>
  <c r="AB108" i="10"/>
  <c r="AB109" i="10"/>
  <c r="T110" i="10"/>
  <c r="T111" i="10"/>
  <c r="AB112" i="10"/>
  <c r="F97" i="9"/>
  <c r="F103" i="9"/>
  <c r="AC51" i="4"/>
  <c r="Y68" i="8" s="1"/>
  <c r="AD51" i="4"/>
  <c r="Z68" i="8" s="1"/>
  <c r="AB51" i="4"/>
  <c r="X68" i="8" s="1"/>
  <c r="P51" i="4"/>
  <c r="L68" i="8" s="1"/>
  <c r="L51" i="4"/>
  <c r="H68" i="8" s="1"/>
  <c r="AL51" i="4"/>
  <c r="AH68" i="8" s="1"/>
  <c r="U51" i="4"/>
  <c r="Q68" i="8" s="1"/>
  <c r="AK51" i="4"/>
  <c r="AG68" i="8" s="1"/>
  <c r="AH51" i="4"/>
  <c r="AD68" i="8" s="1"/>
  <c r="I51" i="4"/>
  <c r="E68" i="8" s="1"/>
  <c r="S51" i="4"/>
  <c r="O68" i="8" s="1"/>
  <c r="AF51" i="4"/>
  <c r="AB68" i="8" s="1"/>
  <c r="G51" i="4"/>
  <c r="C68" i="8" s="1"/>
  <c r="K51" i="4"/>
  <c r="G68" i="8" s="1"/>
  <c r="M51" i="4"/>
  <c r="I68" i="8" s="1"/>
  <c r="Q51" i="4"/>
  <c r="M68" i="8" s="1"/>
  <c r="X51" i="4"/>
  <c r="T68" i="8" s="1"/>
  <c r="N51" i="4"/>
  <c r="J68" i="8" s="1"/>
  <c r="AG51" i="4"/>
  <c r="AC68" i="8" s="1"/>
  <c r="AJ51" i="4"/>
  <c r="AF68" i="8" s="1"/>
  <c r="AA51" i="4"/>
  <c r="W68" i="8" s="1"/>
  <c r="AE51" i="4"/>
  <c r="AA68" i="8" s="1"/>
  <c r="R51" i="4"/>
  <c r="N68" i="8" s="1"/>
  <c r="V51" i="4"/>
  <c r="R68" i="8" s="1"/>
  <c r="O51" i="4"/>
  <c r="K68" i="8" s="1"/>
  <c r="AI51" i="4"/>
  <c r="AE68" i="8" s="1"/>
  <c r="T51" i="4"/>
  <c r="P68" i="8" s="1"/>
  <c r="Z51" i="4"/>
  <c r="V68" i="8" s="1"/>
  <c r="Y51" i="4"/>
  <c r="U68" i="8" s="1"/>
  <c r="H51" i="4"/>
  <c r="D68" i="8" s="1"/>
  <c r="W51" i="4"/>
  <c r="S68" i="8" s="1"/>
  <c r="J51" i="4"/>
  <c r="F68" i="8" s="1"/>
  <c r="AA53" i="4"/>
  <c r="Y53" i="4"/>
  <c r="Z53" i="4"/>
  <c r="N53" i="4"/>
  <c r="R53" i="4"/>
  <c r="V53" i="4"/>
  <c r="Q53" i="4"/>
  <c r="AC53" i="4"/>
  <c r="AD53" i="4"/>
  <c r="AF53" i="4"/>
  <c r="AB53" i="4"/>
  <c r="K53" i="4"/>
  <c r="X53" i="4"/>
  <c r="L53" i="4"/>
  <c r="AL53" i="4"/>
  <c r="U53" i="4"/>
  <c r="AK53" i="4"/>
  <c r="AH53" i="4"/>
  <c r="G53" i="4"/>
  <c r="I53" i="4"/>
  <c r="S53" i="4"/>
  <c r="P53" i="4"/>
  <c r="M53" i="4"/>
  <c r="W53" i="4"/>
  <c r="H53" i="4"/>
  <c r="J53" i="4"/>
  <c r="AG53" i="4"/>
  <c r="AJ53" i="4"/>
  <c r="AE53" i="4"/>
  <c r="O53" i="4"/>
  <c r="AI53" i="4"/>
  <c r="T53" i="4"/>
  <c r="P55" i="4"/>
  <c r="M55" i="4"/>
  <c r="AA55" i="4"/>
  <c r="Y55" i="4"/>
  <c r="Z55" i="4"/>
  <c r="N55" i="4"/>
  <c r="R55" i="4"/>
  <c r="V55" i="4"/>
  <c r="Q55" i="4"/>
  <c r="AC55" i="4"/>
  <c r="G55" i="4"/>
  <c r="AD55" i="4"/>
  <c r="K55" i="4"/>
  <c r="AF55" i="4"/>
  <c r="AB55" i="4"/>
  <c r="U55" i="4"/>
  <c r="AK55" i="4"/>
  <c r="AH55" i="4"/>
  <c r="I55" i="4"/>
  <c r="S55" i="4"/>
  <c r="AL55" i="4"/>
  <c r="W55" i="4"/>
  <c r="H55" i="4"/>
  <c r="J55" i="4"/>
  <c r="L55" i="4"/>
  <c r="AG55" i="4"/>
  <c r="AJ55" i="4"/>
  <c r="X55" i="4"/>
  <c r="AE55" i="4"/>
  <c r="O55" i="4"/>
  <c r="AI55" i="4"/>
  <c r="T55" i="4"/>
  <c r="Z57" i="4"/>
  <c r="V74" i="8" s="1"/>
  <c r="X57" i="4"/>
  <c r="T74" i="8" s="1"/>
  <c r="L57" i="4"/>
  <c r="H74" i="8" s="1"/>
  <c r="AL57" i="4"/>
  <c r="AH74" i="8" s="1"/>
  <c r="U57" i="4"/>
  <c r="Q74" i="8" s="1"/>
  <c r="AK57" i="4"/>
  <c r="AG74" i="8" s="1"/>
  <c r="AH57" i="4"/>
  <c r="AD74" i="8" s="1"/>
  <c r="I57" i="4"/>
  <c r="E74" i="8" s="1"/>
  <c r="P57" i="4"/>
  <c r="L74" i="8" s="1"/>
  <c r="S57" i="4"/>
  <c r="O74" i="8" s="1"/>
  <c r="M57" i="4"/>
  <c r="I74" i="8" s="1"/>
  <c r="AA57" i="4"/>
  <c r="W74" i="8" s="1"/>
  <c r="Y57" i="4"/>
  <c r="U74" i="8" s="1"/>
  <c r="N57" i="4"/>
  <c r="J74" i="8" s="1"/>
  <c r="V57" i="4"/>
  <c r="R74" i="8" s="1"/>
  <c r="Q57" i="4"/>
  <c r="M74" i="8" s="1"/>
  <c r="AF57" i="4"/>
  <c r="AB74" i="8" s="1"/>
  <c r="AB57" i="4"/>
  <c r="X74" i="8" s="1"/>
  <c r="AE57" i="4"/>
  <c r="AA74" i="8" s="1"/>
  <c r="O57" i="4"/>
  <c r="K74" i="8" s="1"/>
  <c r="T57" i="4"/>
  <c r="P74" i="8" s="1"/>
  <c r="AC57" i="4"/>
  <c r="Y74" i="8" s="1"/>
  <c r="G57" i="4"/>
  <c r="C74" i="8" s="1"/>
  <c r="AD57" i="4"/>
  <c r="Z74" i="8" s="1"/>
  <c r="AI57" i="4"/>
  <c r="AE74" i="8" s="1"/>
  <c r="R57" i="4"/>
  <c r="N74" i="8" s="1"/>
  <c r="H57" i="4"/>
  <c r="D74" i="8" s="1"/>
  <c r="W57" i="4"/>
  <c r="S74" i="8" s="1"/>
  <c r="J57" i="4"/>
  <c r="F74" i="8" s="1"/>
  <c r="K57" i="4"/>
  <c r="AG57" i="4"/>
  <c r="AC74" i="8" s="1"/>
  <c r="AJ57" i="4"/>
  <c r="AF74" i="8" s="1"/>
  <c r="AC59" i="4"/>
  <c r="Y76" i="8" s="1"/>
  <c r="R59" i="4"/>
  <c r="N76" i="8" s="1"/>
  <c r="AD59" i="4"/>
  <c r="Z76" i="8" s="1"/>
  <c r="AF59" i="4"/>
  <c r="AB76" i="8" s="1"/>
  <c r="AB59" i="4"/>
  <c r="X76" i="8" s="1"/>
  <c r="Z59" i="4"/>
  <c r="V76" i="8" s="1"/>
  <c r="L59" i="4"/>
  <c r="H76" i="8" s="1"/>
  <c r="AL59" i="4"/>
  <c r="AH76" i="8" s="1"/>
  <c r="U59" i="4"/>
  <c r="Q76" i="8" s="1"/>
  <c r="AK59" i="4"/>
  <c r="AG76" i="8" s="1"/>
  <c r="AH59" i="4"/>
  <c r="AD76" i="8" s="1"/>
  <c r="I59" i="4"/>
  <c r="E76" i="8" s="1"/>
  <c r="K59" i="4"/>
  <c r="G76" i="8" s="1"/>
  <c r="X59" i="4"/>
  <c r="T76" i="8" s="1"/>
  <c r="G59" i="4"/>
  <c r="C76" i="8" s="1"/>
  <c r="P59" i="4"/>
  <c r="L76" i="8" s="1"/>
  <c r="S59" i="4"/>
  <c r="O76" i="8" s="1"/>
  <c r="M59" i="4"/>
  <c r="I76" i="8" s="1"/>
  <c r="Q59" i="4"/>
  <c r="M76" i="8" s="1"/>
  <c r="AG59" i="4"/>
  <c r="AC76" i="8" s="1"/>
  <c r="N59" i="4"/>
  <c r="J76" i="8" s="1"/>
  <c r="AJ59" i="4"/>
  <c r="AF76" i="8" s="1"/>
  <c r="AE59" i="4"/>
  <c r="AA76" i="8" s="1"/>
  <c r="O59" i="4"/>
  <c r="K76" i="8" s="1"/>
  <c r="H59" i="4"/>
  <c r="D76" i="8" s="1"/>
  <c r="AA59" i="4"/>
  <c r="W76" i="8" s="1"/>
  <c r="T59" i="4"/>
  <c r="P76" i="8" s="1"/>
  <c r="V59" i="4"/>
  <c r="R76" i="8" s="1"/>
  <c r="J59" i="4"/>
  <c r="F76" i="8" s="1"/>
  <c r="AI59" i="4"/>
  <c r="AE76" i="8" s="1"/>
  <c r="Y59" i="4"/>
  <c r="U76" i="8" s="1"/>
  <c r="W59" i="4"/>
  <c r="S76" i="8" s="1"/>
  <c r="AA61" i="4"/>
  <c r="W78" i="8" s="1"/>
  <c r="Y61" i="4"/>
  <c r="U78" i="8" s="1"/>
  <c r="N61" i="4"/>
  <c r="J78" i="8" s="1"/>
  <c r="V61" i="4"/>
  <c r="R78" i="8" s="1"/>
  <c r="Q61" i="4"/>
  <c r="M78" i="8" s="1"/>
  <c r="X61" i="4"/>
  <c r="T78" i="8" s="1"/>
  <c r="AC61" i="4"/>
  <c r="Y78" i="8" s="1"/>
  <c r="R61" i="4"/>
  <c r="N78" i="8" s="1"/>
  <c r="AD61" i="4"/>
  <c r="Z78" i="8" s="1"/>
  <c r="AF61" i="4"/>
  <c r="AB78" i="8" s="1"/>
  <c r="AB61" i="4"/>
  <c r="X78" i="8" s="1"/>
  <c r="K61" i="4"/>
  <c r="G78" i="8" s="1"/>
  <c r="Z61" i="4"/>
  <c r="V78" i="8" s="1"/>
  <c r="L61" i="4"/>
  <c r="H78" i="8" s="1"/>
  <c r="AL61" i="4"/>
  <c r="AH78" i="8" s="1"/>
  <c r="U61" i="4"/>
  <c r="Q78" i="8" s="1"/>
  <c r="AK61" i="4"/>
  <c r="AG78" i="8" s="1"/>
  <c r="AH61" i="4"/>
  <c r="AD78" i="8" s="1"/>
  <c r="I61" i="4"/>
  <c r="E78" i="8" s="1"/>
  <c r="P61" i="4"/>
  <c r="L78" i="8" s="1"/>
  <c r="S61" i="4"/>
  <c r="O78" i="8" s="1"/>
  <c r="M61" i="4"/>
  <c r="I78" i="8" s="1"/>
  <c r="W61" i="4"/>
  <c r="S78" i="8" s="1"/>
  <c r="G61" i="4"/>
  <c r="C78" i="8" s="1"/>
  <c r="AG61" i="4"/>
  <c r="AC78" i="8" s="1"/>
  <c r="AJ61" i="4"/>
  <c r="AF78" i="8" s="1"/>
  <c r="AE61" i="4"/>
  <c r="AA78" i="8" s="1"/>
  <c r="O61" i="4"/>
  <c r="K78" i="8" s="1"/>
  <c r="T61" i="4"/>
  <c r="P78" i="8" s="1"/>
  <c r="J61" i="4"/>
  <c r="F78" i="8" s="1"/>
  <c r="H61" i="4"/>
  <c r="D78" i="8" s="1"/>
  <c r="AI61" i="4"/>
  <c r="AE78" i="8" s="1"/>
  <c r="G63" i="4"/>
  <c r="C80" i="8" s="1"/>
  <c r="P63" i="4"/>
  <c r="L80" i="8" s="1"/>
  <c r="S63" i="4"/>
  <c r="O80" i="8" s="1"/>
  <c r="M63" i="4"/>
  <c r="I80" i="8" s="1"/>
  <c r="AA63" i="4"/>
  <c r="W80" i="8" s="1"/>
  <c r="Y63" i="4"/>
  <c r="U80" i="8" s="1"/>
  <c r="N63" i="4"/>
  <c r="J80" i="8" s="1"/>
  <c r="V63" i="4"/>
  <c r="R80" i="8" s="1"/>
  <c r="Q63" i="4"/>
  <c r="M80" i="8" s="1"/>
  <c r="AC63" i="4"/>
  <c r="Y80" i="8" s="1"/>
  <c r="R63" i="4"/>
  <c r="N80" i="8" s="1"/>
  <c r="AD63" i="4"/>
  <c r="Z80" i="8" s="1"/>
  <c r="AF63" i="4"/>
  <c r="AB80" i="8" s="1"/>
  <c r="X63" i="4"/>
  <c r="T80" i="8" s="1"/>
  <c r="AB63" i="4"/>
  <c r="X80" i="8" s="1"/>
  <c r="U63" i="4"/>
  <c r="Q80" i="8" s="1"/>
  <c r="AK63" i="4"/>
  <c r="AG80" i="8" s="1"/>
  <c r="AH63" i="4"/>
  <c r="AD80" i="8" s="1"/>
  <c r="I63" i="4"/>
  <c r="E80" i="8" s="1"/>
  <c r="J63" i="4"/>
  <c r="F80" i="8" s="1"/>
  <c r="AI63" i="4"/>
  <c r="AE80" i="8" s="1"/>
  <c r="AL63" i="4"/>
  <c r="AH80" i="8" s="1"/>
  <c r="W63" i="4"/>
  <c r="S80" i="8" s="1"/>
  <c r="H63" i="4"/>
  <c r="D80" i="8" s="1"/>
  <c r="AG63" i="4"/>
  <c r="AC80" i="8" s="1"/>
  <c r="L63" i="4"/>
  <c r="H80" i="8" s="1"/>
  <c r="AJ63" i="4"/>
  <c r="AF80" i="8" s="1"/>
  <c r="K63" i="4"/>
  <c r="G80" i="8" s="1"/>
  <c r="AE63" i="4"/>
  <c r="AA80" i="8" s="1"/>
  <c r="O63" i="4"/>
  <c r="K80" i="8" s="1"/>
  <c r="Z63" i="4"/>
  <c r="V80" i="8" s="1"/>
  <c r="T63" i="4"/>
  <c r="P80" i="8" s="1"/>
  <c r="Z65" i="4"/>
  <c r="V82" i="8" s="1"/>
  <c r="L65" i="4"/>
  <c r="H82" i="8" s="1"/>
  <c r="AL65" i="4"/>
  <c r="AH82" i="8" s="1"/>
  <c r="U65" i="4"/>
  <c r="Q82" i="8" s="1"/>
  <c r="AK65" i="4"/>
  <c r="AG82" i="8" s="1"/>
  <c r="AH65" i="4"/>
  <c r="AD82" i="8" s="1"/>
  <c r="I65" i="4"/>
  <c r="E82" i="8" s="1"/>
  <c r="X65" i="4"/>
  <c r="T82" i="8" s="1"/>
  <c r="G65" i="4"/>
  <c r="C82" i="8" s="1"/>
  <c r="P65" i="4"/>
  <c r="L82" i="8" s="1"/>
  <c r="S65" i="4"/>
  <c r="O82" i="8" s="1"/>
  <c r="M65" i="4"/>
  <c r="I82" i="8" s="1"/>
  <c r="AA65" i="4"/>
  <c r="W82" i="8" s="1"/>
  <c r="Y65" i="4"/>
  <c r="U82" i="8" s="1"/>
  <c r="N65" i="4"/>
  <c r="J82" i="8" s="1"/>
  <c r="V65" i="4"/>
  <c r="R82" i="8" s="1"/>
  <c r="Q65" i="4"/>
  <c r="M82" i="8" s="1"/>
  <c r="AF65" i="4"/>
  <c r="AB82" i="8" s="1"/>
  <c r="AB65" i="4"/>
  <c r="X82" i="8" s="1"/>
  <c r="AE65" i="4"/>
  <c r="AA82" i="8" s="1"/>
  <c r="O65" i="4"/>
  <c r="K82" i="8" s="1"/>
  <c r="T65" i="4"/>
  <c r="P82" i="8" s="1"/>
  <c r="J65" i="4"/>
  <c r="F82" i="8" s="1"/>
  <c r="AJ65" i="4"/>
  <c r="AF82" i="8" s="1"/>
  <c r="AC65" i="4"/>
  <c r="Y82" i="8" s="1"/>
  <c r="AI65" i="4"/>
  <c r="AE82" i="8" s="1"/>
  <c r="AD65" i="4"/>
  <c r="Z82" i="8" s="1"/>
  <c r="K65" i="4"/>
  <c r="G82" i="8" s="1"/>
  <c r="R65" i="4"/>
  <c r="N82" i="8" s="1"/>
  <c r="W65" i="4"/>
  <c r="S82" i="8" s="1"/>
  <c r="AG65" i="4"/>
  <c r="AC82" i="8" s="1"/>
  <c r="H65" i="4"/>
  <c r="D82" i="8" s="1"/>
  <c r="AC67" i="4"/>
  <c r="Y84" i="8" s="1"/>
  <c r="AF67" i="4"/>
  <c r="AB84" i="8" s="1"/>
  <c r="K67" i="4"/>
  <c r="G84" i="8" s="1"/>
  <c r="X67" i="4"/>
  <c r="T84" i="8" s="1"/>
  <c r="AB67" i="4"/>
  <c r="X84" i="8" s="1"/>
  <c r="AD67" i="4"/>
  <c r="Z84" i="8" s="1"/>
  <c r="AA67" i="4"/>
  <c r="W84" i="8" s="1"/>
  <c r="Z67" i="4"/>
  <c r="V84" i="8" s="1"/>
  <c r="S67" i="4"/>
  <c r="O84" i="8" s="1"/>
  <c r="AH67" i="4"/>
  <c r="AD84" i="8" s="1"/>
  <c r="AL67" i="4"/>
  <c r="AH84" i="8" s="1"/>
  <c r="U67" i="4"/>
  <c r="Q84" i="8" s="1"/>
  <c r="AK67" i="4"/>
  <c r="AG84" i="8" s="1"/>
  <c r="L67" i="4"/>
  <c r="H84" i="8" s="1"/>
  <c r="I67" i="4"/>
  <c r="E84" i="8" s="1"/>
  <c r="P67" i="4"/>
  <c r="L84" i="8" s="1"/>
  <c r="R67" i="4"/>
  <c r="N84" i="8" s="1"/>
  <c r="M67" i="4"/>
  <c r="I84" i="8" s="1"/>
  <c r="Q67" i="4"/>
  <c r="M84" i="8" s="1"/>
  <c r="J67" i="4"/>
  <c r="F84" i="8" s="1"/>
  <c r="AG67" i="4"/>
  <c r="AC84" i="8" s="1"/>
  <c r="G67" i="4"/>
  <c r="C84" i="8" s="1"/>
  <c r="AE67" i="4"/>
  <c r="AA84" i="8" s="1"/>
  <c r="N67" i="4"/>
  <c r="J84" i="8" s="1"/>
  <c r="T67" i="4"/>
  <c r="P84" i="8" s="1"/>
  <c r="AJ67" i="4"/>
  <c r="AF84" i="8" s="1"/>
  <c r="W67" i="4"/>
  <c r="S84" i="8" s="1"/>
  <c r="AI67" i="4"/>
  <c r="AE84" i="8" s="1"/>
  <c r="V67" i="4"/>
  <c r="R84" i="8" s="1"/>
  <c r="O67" i="4"/>
  <c r="K84" i="8" s="1"/>
  <c r="H67" i="4"/>
  <c r="D84" i="8" s="1"/>
  <c r="Y67" i="4"/>
  <c r="U84" i="8" s="1"/>
  <c r="Y69" i="4"/>
  <c r="N69" i="4"/>
  <c r="V69" i="4"/>
  <c r="Q69" i="4"/>
  <c r="AF69" i="4"/>
  <c r="X69" i="4"/>
  <c r="AB69" i="4"/>
  <c r="AC69" i="4"/>
  <c r="S69" i="4"/>
  <c r="AD69" i="4"/>
  <c r="Z69" i="4"/>
  <c r="AL69" i="4"/>
  <c r="AA69" i="4"/>
  <c r="U69" i="4"/>
  <c r="AK69" i="4"/>
  <c r="P69" i="4"/>
  <c r="L69" i="4"/>
  <c r="R69" i="4"/>
  <c r="I69" i="4"/>
  <c r="G69" i="4"/>
  <c r="M69" i="4"/>
  <c r="O69" i="4"/>
  <c r="J69" i="4"/>
  <c r="AG69" i="4"/>
  <c r="AH69" i="4"/>
  <c r="AE69" i="4"/>
  <c r="T69" i="4"/>
  <c r="K69" i="4"/>
  <c r="H69" i="4"/>
  <c r="AI69" i="4"/>
  <c r="W69" i="4"/>
  <c r="AJ69" i="4"/>
  <c r="Z71" i="4"/>
  <c r="V88" i="8" s="1"/>
  <c r="R71" i="4"/>
  <c r="N88" i="8" s="1"/>
  <c r="AA71" i="4"/>
  <c r="W88" i="8" s="1"/>
  <c r="K71" i="4"/>
  <c r="G88" i="8" s="1"/>
  <c r="Y71" i="4"/>
  <c r="U88" i="8" s="1"/>
  <c r="N71" i="4"/>
  <c r="J88" i="8" s="1"/>
  <c r="V71" i="4"/>
  <c r="R88" i="8" s="1"/>
  <c r="U71" i="4"/>
  <c r="Q88" i="8" s="1"/>
  <c r="AC71" i="4"/>
  <c r="Y88" i="8" s="1"/>
  <c r="Q71" i="4"/>
  <c r="M88" i="8" s="1"/>
  <c r="L71" i="4"/>
  <c r="H88" i="8" s="1"/>
  <c r="AH71" i="4"/>
  <c r="AD88" i="8" s="1"/>
  <c r="X71" i="4"/>
  <c r="T88" i="8" s="1"/>
  <c r="AD71" i="4"/>
  <c r="Z88" i="8" s="1"/>
  <c r="AB71" i="4"/>
  <c r="X88" i="8" s="1"/>
  <c r="S71" i="4"/>
  <c r="O88" i="8" s="1"/>
  <c r="M71" i="4"/>
  <c r="I88" i="8" s="1"/>
  <c r="P71" i="4"/>
  <c r="L88" i="8" s="1"/>
  <c r="AF71" i="4"/>
  <c r="AB88" i="8" s="1"/>
  <c r="I71" i="4"/>
  <c r="E88" i="8" s="1"/>
  <c r="G71" i="4"/>
  <c r="C88" i="8" s="1"/>
  <c r="AE71" i="4"/>
  <c r="AA88" i="8" s="1"/>
  <c r="J71" i="4"/>
  <c r="F88" i="8" s="1"/>
  <c r="AK71" i="4"/>
  <c r="AG88" i="8" s="1"/>
  <c r="O71" i="4"/>
  <c r="K88" i="8" s="1"/>
  <c r="AL71" i="4"/>
  <c r="AH88" i="8" s="1"/>
  <c r="AG71" i="4"/>
  <c r="AC88" i="8" s="1"/>
  <c r="AJ71" i="4"/>
  <c r="AF88" i="8" s="1"/>
  <c r="H71" i="4"/>
  <c r="D88" i="8" s="1"/>
  <c r="T71" i="4"/>
  <c r="P88" i="8" s="1"/>
  <c r="AI71" i="4"/>
  <c r="AE88" i="8" s="1"/>
  <c r="W71" i="4"/>
  <c r="S88" i="8" s="1"/>
  <c r="K73" i="4"/>
  <c r="G90" i="8" s="1"/>
  <c r="G73" i="4"/>
  <c r="C90" i="8" s="1"/>
  <c r="P73" i="4"/>
  <c r="L90" i="8" s="1"/>
  <c r="AF73" i="4"/>
  <c r="AB90" i="8" s="1"/>
  <c r="I73" i="4"/>
  <c r="E90" i="8" s="1"/>
  <c r="Z73" i="4"/>
  <c r="V90" i="8" s="1"/>
  <c r="R73" i="4"/>
  <c r="N90" i="8" s="1"/>
  <c r="AA73" i="4"/>
  <c r="W90" i="8" s="1"/>
  <c r="U73" i="4"/>
  <c r="Q90" i="8" s="1"/>
  <c r="AC73" i="4"/>
  <c r="Y90" i="8" s="1"/>
  <c r="Y73" i="4"/>
  <c r="U90" i="8" s="1"/>
  <c r="N73" i="4"/>
  <c r="J90" i="8" s="1"/>
  <c r="V73" i="4"/>
  <c r="R90" i="8" s="1"/>
  <c r="Q73" i="4"/>
  <c r="M90" i="8" s="1"/>
  <c r="L73" i="4"/>
  <c r="H90" i="8" s="1"/>
  <c r="AK73" i="4"/>
  <c r="AG90" i="8" s="1"/>
  <c r="AB73" i="4"/>
  <c r="X90" i="8" s="1"/>
  <c r="S73" i="4"/>
  <c r="O90" i="8" s="1"/>
  <c r="AI73" i="4"/>
  <c r="AE90" i="8" s="1"/>
  <c r="M73" i="4"/>
  <c r="I90" i="8" s="1"/>
  <c r="W73" i="4"/>
  <c r="S90" i="8" s="1"/>
  <c r="AH73" i="4"/>
  <c r="AD90" i="8" s="1"/>
  <c r="AE73" i="4"/>
  <c r="AA90" i="8" s="1"/>
  <c r="J73" i="4"/>
  <c r="F90" i="8" s="1"/>
  <c r="X73" i="4"/>
  <c r="T90" i="8" s="1"/>
  <c r="AD73" i="4"/>
  <c r="Z90" i="8" s="1"/>
  <c r="O73" i="4"/>
  <c r="K90" i="8" s="1"/>
  <c r="AL73" i="4"/>
  <c r="AH90" i="8" s="1"/>
  <c r="AG73" i="4"/>
  <c r="AC90" i="8" s="1"/>
  <c r="AJ73" i="4"/>
  <c r="AF90" i="8" s="1"/>
  <c r="H73" i="4"/>
  <c r="D90" i="8" s="1"/>
  <c r="T73" i="4"/>
  <c r="P90" i="8" s="1"/>
  <c r="AK75" i="4"/>
  <c r="AG92" i="8" s="1"/>
  <c r="AH75" i="4"/>
  <c r="AD92" i="8" s="1"/>
  <c r="X75" i="4"/>
  <c r="T92" i="8" s="1"/>
  <c r="AD75" i="4"/>
  <c r="Z92" i="8" s="1"/>
  <c r="AB75" i="4"/>
  <c r="X92" i="8" s="1"/>
  <c r="S75" i="4"/>
  <c r="O92" i="8" s="1"/>
  <c r="G75" i="4"/>
  <c r="C92" i="8" s="1"/>
  <c r="P75" i="4"/>
  <c r="L92" i="8" s="1"/>
  <c r="AF75" i="4"/>
  <c r="AB92" i="8" s="1"/>
  <c r="I75" i="4"/>
  <c r="E92" i="8" s="1"/>
  <c r="Z75" i="4"/>
  <c r="V92" i="8" s="1"/>
  <c r="R75" i="4"/>
  <c r="N92" i="8" s="1"/>
  <c r="AA75" i="4"/>
  <c r="W92" i="8" s="1"/>
  <c r="U75" i="4"/>
  <c r="Q92" i="8" s="1"/>
  <c r="AC75" i="4"/>
  <c r="Y92" i="8" s="1"/>
  <c r="Q75" i="4"/>
  <c r="M92" i="8" s="1"/>
  <c r="L75" i="4"/>
  <c r="H92" i="8" s="1"/>
  <c r="M75" i="4"/>
  <c r="I92" i="8" s="1"/>
  <c r="Y75" i="4"/>
  <c r="U92" i="8" s="1"/>
  <c r="AL75" i="4"/>
  <c r="AH92" i="8" s="1"/>
  <c r="AG75" i="4"/>
  <c r="AC92" i="8" s="1"/>
  <c r="AJ75" i="4"/>
  <c r="AF92" i="8" s="1"/>
  <c r="H75" i="4"/>
  <c r="D92" i="8" s="1"/>
  <c r="T75" i="4"/>
  <c r="P92" i="8" s="1"/>
  <c r="AI75" i="4"/>
  <c r="AE92" i="8" s="1"/>
  <c r="N75" i="4"/>
  <c r="J92" i="8" s="1"/>
  <c r="W75" i="4"/>
  <c r="S92" i="8" s="1"/>
  <c r="AE75" i="4"/>
  <c r="AA92" i="8" s="1"/>
  <c r="J75" i="4"/>
  <c r="F92" i="8" s="1"/>
  <c r="V75" i="4"/>
  <c r="R92" i="8" s="1"/>
  <c r="O75" i="4"/>
  <c r="K92" i="8" s="1"/>
  <c r="K75" i="4"/>
  <c r="G92" i="8" s="1"/>
  <c r="Y77" i="4"/>
  <c r="U94" i="8" s="1"/>
  <c r="N77" i="4"/>
  <c r="J94" i="8" s="1"/>
  <c r="V77" i="4"/>
  <c r="R94" i="8" s="1"/>
  <c r="M77" i="4"/>
  <c r="I94" i="8" s="1"/>
  <c r="AK77" i="4"/>
  <c r="AG94" i="8" s="1"/>
  <c r="Q77" i="4"/>
  <c r="M94" i="8" s="1"/>
  <c r="L77" i="4"/>
  <c r="H94" i="8" s="1"/>
  <c r="AH77" i="4"/>
  <c r="AD94" i="8" s="1"/>
  <c r="X77" i="4"/>
  <c r="T94" i="8" s="1"/>
  <c r="AD77" i="4"/>
  <c r="Z94" i="8" s="1"/>
  <c r="AB77" i="4"/>
  <c r="X94" i="8" s="1"/>
  <c r="S77" i="4"/>
  <c r="O94" i="8" s="1"/>
  <c r="G77" i="4"/>
  <c r="C94" i="8" s="1"/>
  <c r="P77" i="4"/>
  <c r="L94" i="8" s="1"/>
  <c r="AF77" i="4"/>
  <c r="AB94" i="8" s="1"/>
  <c r="I77" i="4"/>
  <c r="E94" i="8" s="1"/>
  <c r="AA77" i="4"/>
  <c r="W94" i="8" s="1"/>
  <c r="K77" i="4"/>
  <c r="G94" i="8" s="1"/>
  <c r="U77" i="4"/>
  <c r="Q94" i="8" s="1"/>
  <c r="O77" i="4"/>
  <c r="K94" i="8" s="1"/>
  <c r="AL77" i="4"/>
  <c r="AH94" i="8" s="1"/>
  <c r="AG77" i="4"/>
  <c r="AC94" i="8" s="1"/>
  <c r="AJ77" i="4"/>
  <c r="AF94" i="8" s="1"/>
  <c r="H77" i="4"/>
  <c r="D94" i="8" s="1"/>
  <c r="T77" i="4"/>
  <c r="P94" i="8" s="1"/>
  <c r="AC77" i="4"/>
  <c r="Y94" i="8" s="1"/>
  <c r="AI77" i="4"/>
  <c r="AE94" i="8" s="1"/>
  <c r="W77" i="4"/>
  <c r="S94" i="8" s="1"/>
  <c r="Z77" i="4"/>
  <c r="V94" i="8" s="1"/>
  <c r="R77" i="4"/>
  <c r="N94" i="8" s="1"/>
  <c r="AE77" i="4"/>
  <c r="AA94" i="8" s="1"/>
  <c r="J77" i="4"/>
  <c r="F94" i="8" s="1"/>
  <c r="AB50" i="4"/>
  <c r="P50" i="4"/>
  <c r="G50" i="4"/>
  <c r="L50" i="4"/>
  <c r="AL50" i="4"/>
  <c r="U50" i="4"/>
  <c r="AK50" i="4"/>
  <c r="AH50" i="4"/>
  <c r="I50" i="4"/>
  <c r="K50" i="4"/>
  <c r="S50" i="4"/>
  <c r="AF50" i="4"/>
  <c r="M50" i="4"/>
  <c r="AA50" i="4"/>
  <c r="Y50" i="4"/>
  <c r="Z50" i="4"/>
  <c r="N50" i="4"/>
  <c r="R50" i="4"/>
  <c r="V50" i="4"/>
  <c r="AC50" i="4"/>
  <c r="AD50" i="4"/>
  <c r="Q50" i="4"/>
  <c r="AJ50" i="4"/>
  <c r="AE50" i="4"/>
  <c r="AI50" i="4"/>
  <c r="T50" i="4"/>
  <c r="O50" i="4"/>
  <c r="X50" i="4"/>
  <c r="H50" i="4"/>
  <c r="W50" i="4"/>
  <c r="J50" i="4"/>
  <c r="AG50" i="4"/>
  <c r="Q52" i="4"/>
  <c r="X52" i="4"/>
  <c r="AC52" i="4"/>
  <c r="AD52" i="4"/>
  <c r="G52" i="4"/>
  <c r="AB52" i="4"/>
  <c r="P52" i="4"/>
  <c r="K52" i="4"/>
  <c r="L52" i="4"/>
  <c r="AL52" i="4"/>
  <c r="U52" i="4"/>
  <c r="AK52" i="4"/>
  <c r="AH52" i="4"/>
  <c r="I52" i="4"/>
  <c r="S52" i="4"/>
  <c r="AF52" i="4"/>
  <c r="AA52" i="4"/>
  <c r="Y52" i="4"/>
  <c r="Z52" i="4"/>
  <c r="N52" i="4"/>
  <c r="R52" i="4"/>
  <c r="V52" i="4"/>
  <c r="W52" i="4"/>
  <c r="J52" i="4"/>
  <c r="AG52" i="4"/>
  <c r="AJ52" i="4"/>
  <c r="AE52" i="4"/>
  <c r="O52" i="4"/>
  <c r="AI52" i="4"/>
  <c r="T52" i="4"/>
  <c r="M52" i="4"/>
  <c r="H52" i="4"/>
  <c r="P54" i="4"/>
  <c r="M54" i="4"/>
  <c r="AA54" i="4"/>
  <c r="Y54" i="4"/>
  <c r="Z54" i="4"/>
  <c r="N54" i="4"/>
  <c r="R54" i="4"/>
  <c r="V54" i="4"/>
  <c r="Q54" i="4"/>
  <c r="K54" i="4"/>
  <c r="AC54" i="4"/>
  <c r="G54" i="4"/>
  <c r="AD54" i="4"/>
  <c r="AF54" i="4"/>
  <c r="AB54" i="4"/>
  <c r="X54" i="4"/>
  <c r="L54" i="4"/>
  <c r="AL54" i="4"/>
  <c r="AH54" i="4"/>
  <c r="AK54" i="4"/>
  <c r="W54" i="4"/>
  <c r="H54" i="4"/>
  <c r="J54" i="4"/>
  <c r="AG54" i="4"/>
  <c r="AJ54" i="4"/>
  <c r="AE54" i="4"/>
  <c r="O54" i="4"/>
  <c r="U54" i="4"/>
  <c r="AI54" i="4"/>
  <c r="T54" i="4"/>
  <c r="I54" i="4"/>
  <c r="S54" i="4"/>
  <c r="U56" i="4"/>
  <c r="Q73" i="8" s="1"/>
  <c r="AK56" i="4"/>
  <c r="AG73" i="8" s="1"/>
  <c r="AH56" i="4"/>
  <c r="AD73" i="8" s="1"/>
  <c r="I56" i="4"/>
  <c r="E73" i="8" s="1"/>
  <c r="S56" i="4"/>
  <c r="O73" i="8" s="1"/>
  <c r="P56" i="4"/>
  <c r="L73" i="8" s="1"/>
  <c r="M56" i="4"/>
  <c r="I73" i="8" s="1"/>
  <c r="AA56" i="4"/>
  <c r="W73" i="8" s="1"/>
  <c r="Y56" i="4"/>
  <c r="U73" i="8" s="1"/>
  <c r="Z56" i="4"/>
  <c r="V73" i="8" s="1"/>
  <c r="N56" i="4"/>
  <c r="J73" i="8" s="1"/>
  <c r="R56" i="4"/>
  <c r="N73" i="8" s="1"/>
  <c r="V56" i="4"/>
  <c r="R73" i="8" s="1"/>
  <c r="Q56" i="4"/>
  <c r="M73" i="8" s="1"/>
  <c r="AC56" i="4"/>
  <c r="Y73" i="8" s="1"/>
  <c r="G56" i="4"/>
  <c r="C73" i="8" s="1"/>
  <c r="AD56" i="4"/>
  <c r="Z73" i="8" s="1"/>
  <c r="X56" i="4"/>
  <c r="T73" i="8" s="1"/>
  <c r="L56" i="4"/>
  <c r="H73" i="8" s="1"/>
  <c r="AL56" i="4"/>
  <c r="AH73" i="8" s="1"/>
  <c r="AB56" i="4"/>
  <c r="X73" i="8" s="1"/>
  <c r="AI56" i="4"/>
  <c r="AE73" i="8" s="1"/>
  <c r="T56" i="4"/>
  <c r="P73" i="8" s="1"/>
  <c r="K56" i="4"/>
  <c r="G73" i="8" s="1"/>
  <c r="W56" i="4"/>
  <c r="S73" i="8" s="1"/>
  <c r="H56" i="4"/>
  <c r="D73" i="8" s="1"/>
  <c r="J56" i="4"/>
  <c r="F73" i="8" s="1"/>
  <c r="AG56" i="4"/>
  <c r="AC73" i="8" s="1"/>
  <c r="AJ56" i="4"/>
  <c r="AF73" i="8" s="1"/>
  <c r="AF56" i="4"/>
  <c r="AB73" i="8" s="1"/>
  <c r="AE56" i="4"/>
  <c r="AA73" i="8" s="1"/>
  <c r="O56" i="4"/>
  <c r="K73" i="8" s="1"/>
  <c r="AF58" i="4"/>
  <c r="AB58" i="4"/>
  <c r="Z58" i="4"/>
  <c r="L58" i="4"/>
  <c r="K58" i="4"/>
  <c r="AL58" i="4"/>
  <c r="U58" i="4"/>
  <c r="AK58" i="4"/>
  <c r="AH58" i="4"/>
  <c r="X58" i="4"/>
  <c r="I58" i="4"/>
  <c r="G58" i="4"/>
  <c r="P58" i="4"/>
  <c r="S58" i="4"/>
  <c r="M58" i="4"/>
  <c r="AA58" i="4"/>
  <c r="Y58" i="4"/>
  <c r="N58" i="4"/>
  <c r="V58" i="4"/>
  <c r="AC58" i="4"/>
  <c r="R58" i="4"/>
  <c r="AD58" i="4"/>
  <c r="AJ58" i="4"/>
  <c r="H58" i="4"/>
  <c r="Q58" i="4"/>
  <c r="AE58" i="4"/>
  <c r="O58" i="4"/>
  <c r="T58" i="4"/>
  <c r="J58" i="4"/>
  <c r="AI58" i="4"/>
  <c r="W58" i="4"/>
  <c r="AG58" i="4"/>
  <c r="Q60" i="4"/>
  <c r="M77" i="8" s="1"/>
  <c r="AC60" i="4"/>
  <c r="Y77" i="8" s="1"/>
  <c r="R60" i="4"/>
  <c r="N77" i="8" s="1"/>
  <c r="AD60" i="4"/>
  <c r="Z77" i="8" s="1"/>
  <c r="AF60" i="4"/>
  <c r="AB77" i="8" s="1"/>
  <c r="K60" i="4"/>
  <c r="G77" i="8" s="1"/>
  <c r="AB60" i="4"/>
  <c r="X77" i="8" s="1"/>
  <c r="Z60" i="4"/>
  <c r="V77" i="8" s="1"/>
  <c r="L60" i="4"/>
  <c r="H77" i="8" s="1"/>
  <c r="AL60" i="4"/>
  <c r="AH77" i="8" s="1"/>
  <c r="U60" i="4"/>
  <c r="Q77" i="8" s="1"/>
  <c r="AK60" i="4"/>
  <c r="AG77" i="8" s="1"/>
  <c r="AH60" i="4"/>
  <c r="AD77" i="8" s="1"/>
  <c r="I60" i="4"/>
  <c r="E77" i="8" s="1"/>
  <c r="G60" i="4"/>
  <c r="C77" i="8" s="1"/>
  <c r="AA60" i="4"/>
  <c r="W77" i="8" s="1"/>
  <c r="Y60" i="4"/>
  <c r="U77" i="8" s="1"/>
  <c r="N60" i="4"/>
  <c r="J77" i="8" s="1"/>
  <c r="V60" i="4"/>
  <c r="R77" i="8" s="1"/>
  <c r="S60" i="4"/>
  <c r="O77" i="8" s="1"/>
  <c r="W60" i="4"/>
  <c r="S77" i="8" s="1"/>
  <c r="AG60" i="4"/>
  <c r="AC77" i="8" s="1"/>
  <c r="AJ60" i="4"/>
  <c r="AF77" i="8" s="1"/>
  <c r="AE60" i="4"/>
  <c r="AA77" i="8" s="1"/>
  <c r="O60" i="4"/>
  <c r="K77" i="8" s="1"/>
  <c r="H60" i="4"/>
  <c r="D77" i="8" s="1"/>
  <c r="T60" i="4"/>
  <c r="P77" i="8" s="1"/>
  <c r="J60" i="4"/>
  <c r="F77" i="8" s="1"/>
  <c r="AI60" i="4"/>
  <c r="AE77" i="8" s="1"/>
  <c r="P60" i="4"/>
  <c r="L77" i="8" s="1"/>
  <c r="X60" i="4"/>
  <c r="T77" i="8" s="1"/>
  <c r="M60" i="4"/>
  <c r="I77" i="8" s="1"/>
  <c r="P62" i="4"/>
  <c r="L79" i="8" s="1"/>
  <c r="S62" i="4"/>
  <c r="O79" i="8" s="1"/>
  <c r="M62" i="4"/>
  <c r="I79" i="8" s="1"/>
  <c r="AA62" i="4"/>
  <c r="W79" i="8" s="1"/>
  <c r="Y62" i="4"/>
  <c r="U79" i="8" s="1"/>
  <c r="K62" i="4"/>
  <c r="G79" i="8" s="1"/>
  <c r="N62" i="4"/>
  <c r="J79" i="8" s="1"/>
  <c r="V62" i="4"/>
  <c r="R79" i="8" s="1"/>
  <c r="Q62" i="4"/>
  <c r="M79" i="8" s="1"/>
  <c r="AC62" i="4"/>
  <c r="Y79" i="8" s="1"/>
  <c r="X62" i="4"/>
  <c r="T79" i="8" s="1"/>
  <c r="R62" i="4"/>
  <c r="N79" i="8" s="1"/>
  <c r="AD62" i="4"/>
  <c r="Z79" i="8" s="1"/>
  <c r="AF62" i="4"/>
  <c r="AB79" i="8" s="1"/>
  <c r="AB62" i="4"/>
  <c r="X79" i="8" s="1"/>
  <c r="Z62" i="4"/>
  <c r="V79" i="8" s="1"/>
  <c r="L62" i="4"/>
  <c r="H79" i="8" s="1"/>
  <c r="AL62" i="4"/>
  <c r="AH79" i="8" s="1"/>
  <c r="G62" i="4"/>
  <c r="C79" i="8" s="1"/>
  <c r="I62" i="4"/>
  <c r="E79" i="8" s="1"/>
  <c r="AI62" i="4"/>
  <c r="AE79" i="8" s="1"/>
  <c r="AH62" i="4"/>
  <c r="AD79" i="8" s="1"/>
  <c r="H62" i="4"/>
  <c r="D79" i="8" s="1"/>
  <c r="AK62" i="4"/>
  <c r="AG79" i="8" s="1"/>
  <c r="W62" i="4"/>
  <c r="S79" i="8" s="1"/>
  <c r="AG62" i="4"/>
  <c r="AC79" i="8" s="1"/>
  <c r="AJ62" i="4"/>
  <c r="AF79" i="8" s="1"/>
  <c r="AE62" i="4"/>
  <c r="AA79" i="8" s="1"/>
  <c r="O62" i="4"/>
  <c r="K79" i="8" s="1"/>
  <c r="T62" i="4"/>
  <c r="P79" i="8" s="1"/>
  <c r="U62" i="4"/>
  <c r="Q79" i="8" s="1"/>
  <c r="J62" i="4"/>
  <c r="F79" i="8" s="1"/>
  <c r="U64" i="4"/>
  <c r="Q81" i="8" s="1"/>
  <c r="AK64" i="4"/>
  <c r="AG81" i="8" s="1"/>
  <c r="AH64" i="4"/>
  <c r="AD81" i="8" s="1"/>
  <c r="I64" i="4"/>
  <c r="E81" i="8" s="1"/>
  <c r="G64" i="4"/>
  <c r="C81" i="8" s="1"/>
  <c r="P64" i="4"/>
  <c r="L81" i="8" s="1"/>
  <c r="S64" i="4"/>
  <c r="O81" i="8" s="1"/>
  <c r="M64" i="4"/>
  <c r="I81" i="8" s="1"/>
  <c r="AA64" i="4"/>
  <c r="W81" i="8" s="1"/>
  <c r="Y64" i="4"/>
  <c r="U81" i="8" s="1"/>
  <c r="N64" i="4"/>
  <c r="J81" i="8" s="1"/>
  <c r="V64" i="4"/>
  <c r="R81" i="8" s="1"/>
  <c r="Q64" i="4"/>
  <c r="M81" i="8" s="1"/>
  <c r="AC64" i="4"/>
  <c r="Y81" i="8" s="1"/>
  <c r="R64" i="4"/>
  <c r="N81" i="8" s="1"/>
  <c r="AD64" i="4"/>
  <c r="Z81" i="8" s="1"/>
  <c r="Z64" i="4"/>
  <c r="V81" i="8" s="1"/>
  <c r="X64" i="4"/>
  <c r="T81" i="8" s="1"/>
  <c r="L64" i="4"/>
  <c r="H81" i="8" s="1"/>
  <c r="AL64" i="4"/>
  <c r="AH81" i="8" s="1"/>
  <c r="K64" i="4"/>
  <c r="G81" i="8" s="1"/>
  <c r="T64" i="4"/>
  <c r="P81" i="8" s="1"/>
  <c r="AB64" i="4"/>
  <c r="X81" i="8" s="1"/>
  <c r="J64" i="4"/>
  <c r="F81" i="8" s="1"/>
  <c r="AI64" i="4"/>
  <c r="AE81" i="8" s="1"/>
  <c r="W64" i="4"/>
  <c r="S81" i="8" s="1"/>
  <c r="H64" i="4"/>
  <c r="D81" i="8" s="1"/>
  <c r="AG64" i="4"/>
  <c r="AC81" i="8" s="1"/>
  <c r="AF64" i="4"/>
  <c r="AB81" i="8" s="1"/>
  <c r="AJ64" i="4"/>
  <c r="AF81" i="8" s="1"/>
  <c r="AE64" i="4"/>
  <c r="AA81" i="8" s="1"/>
  <c r="O64" i="4"/>
  <c r="K81" i="8" s="1"/>
  <c r="G66" i="4"/>
  <c r="C83" i="8" s="1"/>
  <c r="R66" i="4"/>
  <c r="N83" i="8" s="1"/>
  <c r="K66" i="4"/>
  <c r="G83" i="8" s="1"/>
  <c r="X66" i="4"/>
  <c r="T83" i="8" s="1"/>
  <c r="L66" i="4"/>
  <c r="H83" i="8" s="1"/>
  <c r="AL66" i="4"/>
  <c r="AH83" i="8" s="1"/>
  <c r="U66" i="4"/>
  <c r="Q83" i="8" s="1"/>
  <c r="AK66" i="4"/>
  <c r="AG83" i="8" s="1"/>
  <c r="AF66" i="4"/>
  <c r="AB83" i="8" s="1"/>
  <c r="AB66" i="4"/>
  <c r="X83" i="8" s="1"/>
  <c r="I66" i="4"/>
  <c r="E83" i="8" s="1"/>
  <c r="P66" i="4"/>
  <c r="L83" i="8" s="1"/>
  <c r="AH66" i="4"/>
  <c r="AD83" i="8" s="1"/>
  <c r="M66" i="4"/>
  <c r="I83" i="8" s="1"/>
  <c r="Y66" i="4"/>
  <c r="U83" i="8" s="1"/>
  <c r="Z66" i="4"/>
  <c r="V83" i="8" s="1"/>
  <c r="N66" i="4"/>
  <c r="J83" i="8" s="1"/>
  <c r="V66" i="4"/>
  <c r="R83" i="8" s="1"/>
  <c r="S66" i="4"/>
  <c r="O83" i="8" s="1"/>
  <c r="AC66" i="4"/>
  <c r="Y83" i="8" s="1"/>
  <c r="AD66" i="4"/>
  <c r="Z83" i="8" s="1"/>
  <c r="AE66" i="4"/>
  <c r="AA83" i="8" s="1"/>
  <c r="AJ66" i="4"/>
  <c r="AF83" i="8" s="1"/>
  <c r="H66" i="4"/>
  <c r="D83" i="8" s="1"/>
  <c r="O66" i="4"/>
  <c r="K83" i="8" s="1"/>
  <c r="AI66" i="4"/>
  <c r="AE83" i="8" s="1"/>
  <c r="Q66" i="4"/>
  <c r="M83" i="8" s="1"/>
  <c r="AA66" i="4"/>
  <c r="W83" i="8" s="1"/>
  <c r="W66" i="4"/>
  <c r="S83" i="8" s="1"/>
  <c r="T66" i="4"/>
  <c r="P83" i="8" s="1"/>
  <c r="J66" i="4"/>
  <c r="F83" i="8" s="1"/>
  <c r="AG66" i="4"/>
  <c r="AC83" i="8" s="1"/>
  <c r="Q68" i="4"/>
  <c r="M85" i="8" s="1"/>
  <c r="AC68" i="4"/>
  <c r="Y85" i="8" s="1"/>
  <c r="R68" i="4"/>
  <c r="N85" i="8" s="1"/>
  <c r="AD68" i="4"/>
  <c r="Z85" i="8" s="1"/>
  <c r="X68" i="4"/>
  <c r="T85" i="8" s="1"/>
  <c r="L68" i="4"/>
  <c r="H85" i="8" s="1"/>
  <c r="K68" i="4"/>
  <c r="G85" i="8" s="1"/>
  <c r="AB68" i="4"/>
  <c r="X85" i="8" s="1"/>
  <c r="AL68" i="4"/>
  <c r="AH85" i="8" s="1"/>
  <c r="U68" i="4"/>
  <c r="Q85" i="8" s="1"/>
  <c r="AK68" i="4"/>
  <c r="AG85" i="8" s="1"/>
  <c r="I68" i="4"/>
  <c r="E85" i="8" s="1"/>
  <c r="P68" i="4"/>
  <c r="L85" i="8" s="1"/>
  <c r="AH68" i="4"/>
  <c r="AD85" i="8" s="1"/>
  <c r="AA68" i="4"/>
  <c r="W85" i="8" s="1"/>
  <c r="Y68" i="4"/>
  <c r="U85" i="8" s="1"/>
  <c r="AF68" i="4"/>
  <c r="AB85" i="8" s="1"/>
  <c r="N68" i="4"/>
  <c r="J85" i="8" s="1"/>
  <c r="G68" i="4"/>
  <c r="C85" i="8" s="1"/>
  <c r="V68" i="4"/>
  <c r="R85" i="8" s="1"/>
  <c r="M68" i="4"/>
  <c r="I85" i="8" s="1"/>
  <c r="AE68" i="4"/>
  <c r="AA85" i="8" s="1"/>
  <c r="AJ68" i="4"/>
  <c r="AF85" i="8" s="1"/>
  <c r="H68" i="4"/>
  <c r="D85" i="8" s="1"/>
  <c r="AG68" i="4"/>
  <c r="AC85" i="8" s="1"/>
  <c r="S68" i="4"/>
  <c r="O85" i="8" s="1"/>
  <c r="O68" i="4"/>
  <c r="K85" i="8" s="1"/>
  <c r="AI68" i="4"/>
  <c r="AE85" i="8" s="1"/>
  <c r="Z68" i="4"/>
  <c r="V85" i="8" s="1"/>
  <c r="W68" i="4"/>
  <c r="S85" i="8" s="1"/>
  <c r="T68" i="4"/>
  <c r="P85" i="8" s="1"/>
  <c r="J68" i="4"/>
  <c r="F85" i="8" s="1"/>
  <c r="AA70" i="4"/>
  <c r="W87" i="8" s="1"/>
  <c r="G70" i="4"/>
  <c r="C87" i="8" s="1"/>
  <c r="M70" i="4"/>
  <c r="I87" i="8" s="1"/>
  <c r="Y70" i="4"/>
  <c r="U87" i="8" s="1"/>
  <c r="N70" i="4"/>
  <c r="J87" i="8" s="1"/>
  <c r="V70" i="4"/>
  <c r="R87" i="8" s="1"/>
  <c r="AK70" i="4"/>
  <c r="AG87" i="8" s="1"/>
  <c r="Q70" i="4"/>
  <c r="M87" i="8" s="1"/>
  <c r="AH70" i="4"/>
  <c r="AD87" i="8" s="1"/>
  <c r="X70" i="4"/>
  <c r="T87" i="8" s="1"/>
  <c r="AD70" i="4"/>
  <c r="Z87" i="8" s="1"/>
  <c r="L70" i="4"/>
  <c r="H87" i="8" s="1"/>
  <c r="AB70" i="4"/>
  <c r="X87" i="8" s="1"/>
  <c r="S70" i="4"/>
  <c r="O87" i="8" s="1"/>
  <c r="AL70" i="4"/>
  <c r="AH87" i="8" s="1"/>
  <c r="AC70" i="4"/>
  <c r="Y87" i="8" s="1"/>
  <c r="Z70" i="4"/>
  <c r="V87" i="8" s="1"/>
  <c r="K70" i="4"/>
  <c r="G87" i="8" s="1"/>
  <c r="R70" i="4"/>
  <c r="N87" i="8" s="1"/>
  <c r="U70" i="4"/>
  <c r="Q87" i="8" s="1"/>
  <c r="I70" i="4"/>
  <c r="E87" i="8" s="1"/>
  <c r="O70" i="4"/>
  <c r="K87" i="8" s="1"/>
  <c r="J70" i="4"/>
  <c r="F87" i="8" s="1"/>
  <c r="AG70" i="4"/>
  <c r="AC87" i="8" s="1"/>
  <c r="AF70" i="4"/>
  <c r="AB87" i="8" s="1"/>
  <c r="AJ70" i="4"/>
  <c r="AF87" i="8" s="1"/>
  <c r="T70" i="4"/>
  <c r="P87" i="8" s="1"/>
  <c r="P70" i="4"/>
  <c r="L87" i="8" s="1"/>
  <c r="AI70" i="4"/>
  <c r="AE87" i="8" s="1"/>
  <c r="W70" i="4"/>
  <c r="S87" i="8" s="1"/>
  <c r="AE70" i="4"/>
  <c r="AA87" i="8" s="1"/>
  <c r="H70" i="4"/>
  <c r="D87" i="8" s="1"/>
  <c r="AC72" i="4"/>
  <c r="Y89" i="8" s="1"/>
  <c r="P72" i="4"/>
  <c r="L89" i="8" s="1"/>
  <c r="AF72" i="4"/>
  <c r="AB89" i="8" s="1"/>
  <c r="I72" i="4"/>
  <c r="E89" i="8" s="1"/>
  <c r="Z72" i="4"/>
  <c r="V89" i="8" s="1"/>
  <c r="R72" i="4"/>
  <c r="N89" i="8" s="1"/>
  <c r="M72" i="4"/>
  <c r="I89" i="8" s="1"/>
  <c r="AA72" i="4"/>
  <c r="W89" i="8" s="1"/>
  <c r="Y72" i="4"/>
  <c r="U89" i="8" s="1"/>
  <c r="AK72" i="4"/>
  <c r="AG89" i="8" s="1"/>
  <c r="N72" i="4"/>
  <c r="J89" i="8" s="1"/>
  <c r="K72" i="4"/>
  <c r="G89" i="8" s="1"/>
  <c r="V72" i="4"/>
  <c r="R89" i="8" s="1"/>
  <c r="Q72" i="4"/>
  <c r="M89" i="8" s="1"/>
  <c r="L72" i="4"/>
  <c r="H89" i="8" s="1"/>
  <c r="AH72" i="4"/>
  <c r="AD89" i="8" s="1"/>
  <c r="X72" i="4"/>
  <c r="T89" i="8" s="1"/>
  <c r="AD72" i="4"/>
  <c r="Z89" i="8" s="1"/>
  <c r="U72" i="4"/>
  <c r="Q89" i="8" s="1"/>
  <c r="G72" i="4"/>
  <c r="C89" i="8" s="1"/>
  <c r="W72" i="4"/>
  <c r="S89" i="8" s="1"/>
  <c r="S72" i="4"/>
  <c r="O89" i="8" s="1"/>
  <c r="AE72" i="4"/>
  <c r="AA89" i="8" s="1"/>
  <c r="J72" i="4"/>
  <c r="F89" i="8" s="1"/>
  <c r="AB72" i="4"/>
  <c r="X89" i="8" s="1"/>
  <c r="O72" i="4"/>
  <c r="K89" i="8" s="1"/>
  <c r="AL72" i="4"/>
  <c r="AH89" i="8" s="1"/>
  <c r="AG72" i="4"/>
  <c r="AC89" i="8" s="1"/>
  <c r="AJ72" i="4"/>
  <c r="AF89" i="8" s="1"/>
  <c r="H72" i="4"/>
  <c r="D89" i="8" s="1"/>
  <c r="T72" i="4"/>
  <c r="P89" i="8" s="1"/>
  <c r="AI72" i="4"/>
  <c r="AE89" i="8" s="1"/>
  <c r="U74" i="4"/>
  <c r="Q91" i="8" s="1"/>
  <c r="AB74" i="4"/>
  <c r="X91" i="8" s="1"/>
  <c r="S74" i="4"/>
  <c r="O91" i="8" s="1"/>
  <c r="AC74" i="4"/>
  <c r="Y91" i="8" s="1"/>
  <c r="G74" i="4"/>
  <c r="C91" i="8" s="1"/>
  <c r="P74" i="4"/>
  <c r="L91" i="8" s="1"/>
  <c r="AF74" i="4"/>
  <c r="AB91" i="8" s="1"/>
  <c r="I74" i="4"/>
  <c r="E91" i="8" s="1"/>
  <c r="M74" i="4"/>
  <c r="I91" i="8" s="1"/>
  <c r="Z74" i="4"/>
  <c r="V91" i="8" s="1"/>
  <c r="R74" i="4"/>
  <c r="N91" i="8" s="1"/>
  <c r="AA74" i="4"/>
  <c r="W91" i="8" s="1"/>
  <c r="AK74" i="4"/>
  <c r="AG91" i="8" s="1"/>
  <c r="Y74" i="4"/>
  <c r="U91" i="8" s="1"/>
  <c r="N74" i="4"/>
  <c r="J91" i="8" s="1"/>
  <c r="V74" i="4"/>
  <c r="R91" i="8" s="1"/>
  <c r="AH74" i="4"/>
  <c r="AD91" i="8" s="1"/>
  <c r="X74" i="4"/>
  <c r="T91" i="8" s="1"/>
  <c r="AD74" i="4"/>
  <c r="Z91" i="8" s="1"/>
  <c r="AJ74" i="4"/>
  <c r="AF91" i="8" s="1"/>
  <c r="H74" i="4"/>
  <c r="D91" i="8" s="1"/>
  <c r="T74" i="4"/>
  <c r="P91" i="8" s="1"/>
  <c r="AI74" i="4"/>
  <c r="AE91" i="8" s="1"/>
  <c r="W74" i="4"/>
  <c r="S91" i="8" s="1"/>
  <c r="Q74" i="4"/>
  <c r="M91" i="8" s="1"/>
  <c r="AE74" i="4"/>
  <c r="AA91" i="8" s="1"/>
  <c r="J74" i="4"/>
  <c r="F91" i="8" s="1"/>
  <c r="K74" i="4"/>
  <c r="G91" i="8" s="1"/>
  <c r="L74" i="4"/>
  <c r="H91" i="8" s="1"/>
  <c r="O74" i="4"/>
  <c r="K91" i="8" s="1"/>
  <c r="AL74" i="4"/>
  <c r="AH91" i="8" s="1"/>
  <c r="AG74" i="4"/>
  <c r="AC91" i="8" s="1"/>
  <c r="Q76" i="4"/>
  <c r="M93" i="8" s="1"/>
  <c r="L76" i="4"/>
  <c r="H93" i="8" s="1"/>
  <c r="U76" i="4"/>
  <c r="Q93" i="8" s="1"/>
  <c r="AH76" i="4"/>
  <c r="AD93" i="8" s="1"/>
  <c r="X76" i="4"/>
  <c r="T93" i="8" s="1"/>
  <c r="AD76" i="4"/>
  <c r="Z93" i="8" s="1"/>
  <c r="AC76" i="4"/>
  <c r="Y93" i="8" s="1"/>
  <c r="AB76" i="4"/>
  <c r="X93" i="8" s="1"/>
  <c r="S76" i="4"/>
  <c r="O93" i="8" s="1"/>
  <c r="G76" i="4"/>
  <c r="C93" i="8" s="1"/>
  <c r="M76" i="4"/>
  <c r="I93" i="8" s="1"/>
  <c r="P76" i="4"/>
  <c r="L93" i="8" s="1"/>
  <c r="AF76" i="4"/>
  <c r="AB93" i="8" s="1"/>
  <c r="I76" i="4"/>
  <c r="E93" i="8" s="1"/>
  <c r="AK76" i="4"/>
  <c r="AG93" i="8" s="1"/>
  <c r="Z76" i="4"/>
  <c r="V93" i="8" s="1"/>
  <c r="R76" i="4"/>
  <c r="N93" i="8" s="1"/>
  <c r="Y76" i="4"/>
  <c r="U93" i="8" s="1"/>
  <c r="N76" i="4"/>
  <c r="J93" i="8" s="1"/>
  <c r="V76" i="4"/>
  <c r="R93" i="8" s="1"/>
  <c r="O76" i="4"/>
  <c r="K93" i="8" s="1"/>
  <c r="AL76" i="4"/>
  <c r="AH93" i="8" s="1"/>
  <c r="AG76" i="4"/>
  <c r="AC93" i="8" s="1"/>
  <c r="AJ76" i="4"/>
  <c r="AF93" i="8" s="1"/>
  <c r="H76" i="4"/>
  <c r="D93" i="8" s="1"/>
  <c r="T76" i="4"/>
  <c r="P93" i="8" s="1"/>
  <c r="K76" i="4"/>
  <c r="G93" i="8" s="1"/>
  <c r="AI76" i="4"/>
  <c r="AE93" i="8" s="1"/>
  <c r="W76" i="4"/>
  <c r="S93" i="8" s="1"/>
  <c r="AA76" i="4"/>
  <c r="W93" i="8" s="1"/>
  <c r="AE76" i="4"/>
  <c r="AA93" i="8" s="1"/>
  <c r="J76" i="4"/>
  <c r="F93" i="8" s="1"/>
  <c r="AA78" i="4"/>
  <c r="W95" i="8" s="1"/>
  <c r="Y78" i="4"/>
  <c r="U95" i="8" s="1"/>
  <c r="N78" i="4"/>
  <c r="J95" i="8" s="1"/>
  <c r="V78" i="4"/>
  <c r="R95" i="8" s="1"/>
  <c r="U78" i="4"/>
  <c r="Q95" i="8" s="1"/>
  <c r="Q78" i="4"/>
  <c r="M95" i="8" s="1"/>
  <c r="K78" i="4"/>
  <c r="G95" i="8" s="1"/>
  <c r="L78" i="4"/>
  <c r="H95" i="8" s="1"/>
  <c r="AC78" i="4"/>
  <c r="Y95" i="8" s="1"/>
  <c r="AH78" i="4"/>
  <c r="AD95" i="8" s="1"/>
  <c r="X78" i="4"/>
  <c r="T95" i="8" s="1"/>
  <c r="AD78" i="4"/>
  <c r="Z95" i="8" s="1"/>
  <c r="AB78" i="4"/>
  <c r="X95" i="8" s="1"/>
  <c r="S78" i="4"/>
  <c r="O95" i="8" s="1"/>
  <c r="M78" i="4"/>
  <c r="I95" i="8" s="1"/>
  <c r="G78" i="4"/>
  <c r="C95" i="8" s="1"/>
  <c r="Z78" i="4"/>
  <c r="V95" i="8" s="1"/>
  <c r="R78" i="4"/>
  <c r="N95" i="8" s="1"/>
  <c r="I78" i="4"/>
  <c r="E95" i="8" s="1"/>
  <c r="O78" i="4"/>
  <c r="K95" i="8" s="1"/>
  <c r="AL78" i="4"/>
  <c r="AH95" i="8" s="1"/>
  <c r="AG78" i="4"/>
  <c r="AC95" i="8" s="1"/>
  <c r="AK78" i="4"/>
  <c r="AG95" i="8" s="1"/>
  <c r="AJ78" i="4"/>
  <c r="AF95" i="8" s="1"/>
  <c r="H78" i="4"/>
  <c r="D95" i="8" s="1"/>
  <c r="T78" i="4"/>
  <c r="P95" i="8" s="1"/>
  <c r="AF78" i="4"/>
  <c r="AB95" i="8" s="1"/>
  <c r="AI78" i="4"/>
  <c r="AE95" i="8" s="1"/>
  <c r="P78" i="4"/>
  <c r="L95" i="8" s="1"/>
  <c r="W78" i="4"/>
  <c r="S95" i="8" s="1"/>
  <c r="AE78" i="4"/>
  <c r="AA95" i="8" s="1"/>
  <c r="J78" i="4"/>
  <c r="F95" i="8" s="1"/>
  <c r="A34" i="4"/>
  <c r="F110" i="9"/>
  <c r="F112" i="10"/>
  <c r="F108" i="10"/>
  <c r="F109" i="10"/>
  <c r="F110" i="10"/>
  <c r="F106" i="10"/>
  <c r="F102" i="10"/>
  <c r="F99" i="10"/>
  <c r="F95" i="10"/>
  <c r="F91" i="10"/>
  <c r="AC118" i="10"/>
  <c r="F101" i="10"/>
  <c r="F100" i="10"/>
  <c r="F96" i="10"/>
  <c r="AB118" i="10"/>
  <c r="F92" i="10"/>
  <c r="F105" i="10"/>
  <c r="AA118" i="10"/>
  <c r="F111" i="10"/>
  <c r="F97" i="10"/>
  <c r="F93" i="10"/>
  <c r="F89" i="10"/>
  <c r="F104" i="10"/>
  <c r="AG118" i="10"/>
  <c r="F98" i="10"/>
  <c r="F94" i="10"/>
  <c r="F90" i="10"/>
  <c r="F87" i="10"/>
  <c r="AE118" i="10"/>
  <c r="F103" i="10"/>
  <c r="F88" i="10"/>
  <c r="H119" i="10"/>
  <c r="F84" i="10"/>
  <c r="F107" i="10"/>
  <c r="AD119" i="10"/>
  <c r="F85" i="10"/>
  <c r="AB119" i="10"/>
  <c r="AA119" i="10"/>
  <c r="F86" i="10"/>
  <c r="E112" i="4"/>
  <c r="A95" i="8"/>
  <c r="E89" i="4"/>
  <c r="A72" i="8"/>
  <c r="E97" i="4"/>
  <c r="A80" i="8"/>
  <c r="E105" i="4"/>
  <c r="A88" i="8"/>
  <c r="E113" i="4"/>
  <c r="A96" i="8"/>
  <c r="E96" i="4"/>
  <c r="A79" i="8"/>
  <c r="E83" i="4"/>
  <c r="E90" i="4"/>
  <c r="A73" i="8"/>
  <c r="E98" i="4"/>
  <c r="A81" i="8"/>
  <c r="E106" i="4"/>
  <c r="A89" i="8"/>
  <c r="E91" i="4"/>
  <c r="A74" i="8"/>
  <c r="E99" i="4"/>
  <c r="A82" i="8"/>
  <c r="E107" i="4"/>
  <c r="A90" i="8"/>
  <c r="E84" i="4"/>
  <c r="A67" i="8"/>
  <c r="E92" i="4"/>
  <c r="A75" i="8"/>
  <c r="E100" i="4"/>
  <c r="A83" i="8"/>
  <c r="E108" i="4"/>
  <c r="A91" i="8"/>
  <c r="E88" i="4"/>
  <c r="A71" i="8"/>
  <c r="E85" i="4"/>
  <c r="A68" i="8"/>
  <c r="E93" i="4"/>
  <c r="A76" i="8"/>
  <c r="E101" i="4"/>
  <c r="A84" i="8"/>
  <c r="E109" i="4"/>
  <c r="A92" i="8"/>
  <c r="E104" i="4"/>
  <c r="A87" i="8"/>
  <c r="E86" i="4"/>
  <c r="A69" i="8"/>
  <c r="E94" i="4"/>
  <c r="A77" i="8"/>
  <c r="E102" i="4"/>
  <c r="A85" i="8"/>
  <c r="E110" i="4"/>
  <c r="A93" i="8"/>
  <c r="E87" i="4"/>
  <c r="A70" i="8"/>
  <c r="E95" i="4"/>
  <c r="A78" i="8"/>
  <c r="E103" i="4"/>
  <c r="A86" i="8"/>
  <c r="E111" i="4"/>
  <c r="A94" i="8"/>
  <c r="D45" i="4"/>
  <c r="C45" i="4"/>
  <c r="B45" i="4"/>
  <c r="B41" i="4" s="1"/>
  <c r="A118" i="4"/>
  <c r="A119" i="4" s="1"/>
  <c r="A87" i="4"/>
  <c r="F53" i="4"/>
  <c r="A91" i="4"/>
  <c r="F57" i="4"/>
  <c r="B74" i="8" s="1"/>
  <c r="G74" i="8"/>
  <c r="A84" i="4"/>
  <c r="F50" i="4"/>
  <c r="A88" i="4"/>
  <c r="F54" i="4"/>
  <c r="A92" i="4"/>
  <c r="F58" i="4"/>
  <c r="A94" i="4"/>
  <c r="F60" i="4"/>
  <c r="A98" i="4"/>
  <c r="F64" i="4"/>
  <c r="B81" i="8" s="1"/>
  <c r="A86" i="4"/>
  <c r="F52" i="4"/>
  <c r="A90" i="4"/>
  <c r="F56" i="4"/>
  <c r="B73" i="8" s="1"/>
  <c r="A96" i="4"/>
  <c r="F62" i="4"/>
  <c r="B79" i="8" s="1"/>
  <c r="A95" i="4"/>
  <c r="F61" i="4"/>
  <c r="B78" i="8" s="1"/>
  <c r="A41" i="4"/>
  <c r="F51" i="4"/>
  <c r="B68" i="8" s="1"/>
  <c r="A100" i="4"/>
  <c r="F66" i="4"/>
  <c r="B83" i="8" s="1"/>
  <c r="A102" i="4"/>
  <c r="F68" i="4"/>
  <c r="B85" i="8" s="1"/>
  <c r="A104" i="4"/>
  <c r="F70" i="4"/>
  <c r="B87" i="8" s="1"/>
  <c r="A106" i="4"/>
  <c r="F72" i="4"/>
  <c r="B89" i="8" s="1"/>
  <c r="A108" i="4"/>
  <c r="F74" i="4"/>
  <c r="B91" i="8" s="1"/>
  <c r="A110" i="4"/>
  <c r="F76" i="4"/>
  <c r="B93" i="8" s="1"/>
  <c r="A112" i="4"/>
  <c r="F78" i="4"/>
  <c r="B95" i="8" s="1"/>
  <c r="F63" i="4"/>
  <c r="B80" i="8" s="1"/>
  <c r="F55" i="4"/>
  <c r="A85" i="4"/>
  <c r="A89" i="4"/>
  <c r="A93" i="4"/>
  <c r="A97" i="4"/>
  <c r="A99" i="4"/>
  <c r="F65" i="4"/>
  <c r="B82" i="8" s="1"/>
  <c r="A101" i="4"/>
  <c r="F67" i="4"/>
  <c r="B84" i="8" s="1"/>
  <c r="A103" i="4"/>
  <c r="F69" i="4"/>
  <c r="A105" i="4"/>
  <c r="F71" i="4"/>
  <c r="B88" i="8" s="1"/>
  <c r="A107" i="4"/>
  <c r="F73" i="4"/>
  <c r="B90" i="8" s="1"/>
  <c r="A109" i="4"/>
  <c r="F75" i="4"/>
  <c r="B92" i="8" s="1"/>
  <c r="A111" i="4"/>
  <c r="F77" i="4"/>
  <c r="B94" i="8" s="1"/>
  <c r="F59" i="4"/>
  <c r="B76" i="8" s="1"/>
  <c r="C119" i="4"/>
  <c r="Z120" i="9" l="1"/>
  <c r="G120" i="9"/>
  <c r="L120" i="9"/>
  <c r="O120" i="9"/>
  <c r="AL120" i="9"/>
  <c r="AC120" i="9"/>
  <c r="AD120" i="9"/>
  <c r="W120" i="9"/>
  <c r="V120" i="9"/>
  <c r="AK120" i="9"/>
  <c r="U120" i="9"/>
  <c r="AH120" i="9"/>
  <c r="AF120" i="9"/>
  <c r="M120" i="9"/>
  <c r="P120" i="9"/>
  <c r="K120" i="9"/>
  <c r="N120" i="9"/>
  <c r="AB120" i="9"/>
  <c r="F120" i="9"/>
  <c r="O118" i="10"/>
  <c r="S119" i="10"/>
  <c r="G119" i="10"/>
  <c r="Q119" i="10"/>
  <c r="X118" i="10"/>
  <c r="V119" i="10"/>
  <c r="F119" i="10"/>
  <c r="J70" i="8"/>
  <c r="AA70" i="8"/>
  <c r="O70" i="8"/>
  <c r="T70" i="8"/>
  <c r="N70" i="8"/>
  <c r="AF70" i="8"/>
  <c r="AC70" i="8"/>
  <c r="C70" i="8"/>
  <c r="X70" i="8"/>
  <c r="V70" i="8"/>
  <c r="F70" i="8"/>
  <c r="AD70" i="8"/>
  <c r="AB70" i="8"/>
  <c r="U70" i="8"/>
  <c r="E70" i="8"/>
  <c r="D70" i="8"/>
  <c r="AG70" i="8"/>
  <c r="Z70" i="8"/>
  <c r="W70" i="8"/>
  <c r="G70" i="8"/>
  <c r="P70" i="8"/>
  <c r="S70" i="8"/>
  <c r="Q70" i="8"/>
  <c r="Y70" i="8"/>
  <c r="AE70" i="8"/>
  <c r="I70" i="8"/>
  <c r="AH70" i="8"/>
  <c r="M70" i="8"/>
  <c r="K70" i="8"/>
  <c r="L70" i="8"/>
  <c r="H70" i="8"/>
  <c r="R70" i="8"/>
  <c r="B70" i="8"/>
  <c r="AA120" i="10"/>
  <c r="AB120" i="10"/>
  <c r="AD118" i="10"/>
  <c r="T119" i="10"/>
  <c r="AK119" i="10"/>
  <c r="O119" i="10"/>
  <c r="P119" i="10"/>
  <c r="I119" i="10"/>
  <c r="J119" i="10"/>
  <c r="AI118" i="10"/>
  <c r="AJ118" i="10"/>
  <c r="AK118" i="10"/>
  <c r="AL118" i="10"/>
  <c r="AL119" i="10"/>
  <c r="AJ119" i="10"/>
  <c r="W119" i="10"/>
  <c r="AI119" i="10"/>
  <c r="K119" i="10"/>
  <c r="AE119" i="10"/>
  <c r="AF119" i="10"/>
  <c r="Y119" i="10"/>
  <c r="Z119" i="10"/>
  <c r="AG119" i="10"/>
  <c r="AH119" i="10"/>
  <c r="H118" i="10"/>
  <c r="R119" i="10"/>
  <c r="P118" i="10"/>
  <c r="I118" i="10"/>
  <c r="J118" i="10"/>
  <c r="F118" i="10"/>
  <c r="AC119" i="10"/>
  <c r="M119" i="10"/>
  <c r="G118" i="10"/>
  <c r="Q118" i="10"/>
  <c r="R118" i="10"/>
  <c r="K118" i="10"/>
  <c r="L118" i="10"/>
  <c r="M118" i="10"/>
  <c r="N118" i="10"/>
  <c r="L119" i="10"/>
  <c r="X119" i="10"/>
  <c r="U119" i="10"/>
  <c r="N119" i="10"/>
  <c r="W118" i="10"/>
  <c r="AF118" i="10"/>
  <c r="Y118" i="10"/>
  <c r="Z118" i="10"/>
  <c r="S118" i="10"/>
  <c r="T118" i="10"/>
  <c r="U118" i="10"/>
  <c r="V118" i="10"/>
  <c r="H86" i="8"/>
  <c r="AF86" i="8"/>
  <c r="C86" i="8"/>
  <c r="V86" i="8"/>
  <c r="I75" i="8"/>
  <c r="AG75" i="8"/>
  <c r="P75" i="8"/>
  <c r="AA75" i="8"/>
  <c r="F71" i="8"/>
  <c r="AD71" i="8"/>
  <c r="W71" i="8"/>
  <c r="K71" i="8"/>
  <c r="R86" i="8"/>
  <c r="K86" i="8"/>
  <c r="M86" i="8"/>
  <c r="AD86" i="8"/>
  <c r="U75" i="8"/>
  <c r="D75" i="8"/>
  <c r="AB75" i="8"/>
  <c r="J75" i="8"/>
  <c r="P71" i="8"/>
  <c r="I71" i="8"/>
  <c r="AG71" i="8"/>
  <c r="S71" i="8"/>
  <c r="AB86" i="8"/>
  <c r="U86" i="8"/>
  <c r="Y86" i="8"/>
  <c r="G86" i="8"/>
  <c r="AE75" i="8"/>
  <c r="N75" i="8"/>
  <c r="G75" i="8"/>
  <c r="R75" i="8"/>
  <c r="D71" i="8"/>
  <c r="AB71" i="8"/>
  <c r="U71" i="8"/>
  <c r="AA71" i="8"/>
  <c r="I86" i="8"/>
  <c r="AG86" i="8"/>
  <c r="D86" i="8"/>
  <c r="O86" i="8"/>
  <c r="L75" i="8"/>
  <c r="X75" i="8"/>
  <c r="Q75" i="8"/>
  <c r="Z75" i="8"/>
  <c r="N71" i="8"/>
  <c r="G71" i="8"/>
  <c r="AE71" i="8"/>
  <c r="J71" i="8"/>
  <c r="S86" i="8"/>
  <c r="P86" i="8"/>
  <c r="W86" i="8"/>
  <c r="V75" i="8"/>
  <c r="E75" i="8"/>
  <c r="AC75" i="8"/>
  <c r="AH75" i="8"/>
  <c r="X71" i="8"/>
  <c r="Q71" i="8"/>
  <c r="L71" i="8"/>
  <c r="R71" i="8"/>
  <c r="E86" i="8"/>
  <c r="AC86" i="8"/>
  <c r="L86" i="8"/>
  <c r="Z86" i="8"/>
  <c r="AE86" i="8"/>
  <c r="AF75" i="8"/>
  <c r="O75" i="8"/>
  <c r="H75" i="8"/>
  <c r="C75" i="8"/>
  <c r="E71" i="8"/>
  <c r="AC71" i="8"/>
  <c r="V71" i="8"/>
  <c r="Z71" i="8"/>
  <c r="Q86" i="8"/>
  <c r="J86" i="8"/>
  <c r="X86" i="8"/>
  <c r="F86" i="8"/>
  <c r="M75" i="8"/>
  <c r="Y75" i="8"/>
  <c r="T75" i="8"/>
  <c r="K75" i="8"/>
  <c r="O71" i="8"/>
  <c r="H71" i="8"/>
  <c r="AF71" i="8"/>
  <c r="AH71" i="8"/>
  <c r="AA86" i="8"/>
  <c r="T86" i="8"/>
  <c r="AH86" i="8"/>
  <c r="N86" i="8"/>
  <c r="W75" i="8"/>
  <c r="F75" i="8"/>
  <c r="AD75" i="8"/>
  <c r="S75" i="8"/>
  <c r="Y71" i="8"/>
  <c r="T71" i="8"/>
  <c r="M71" i="8"/>
  <c r="C71" i="8"/>
  <c r="B71" i="8"/>
  <c r="B86" i="8"/>
  <c r="B75" i="8"/>
  <c r="Q69" i="8"/>
  <c r="J69" i="8"/>
  <c r="X69" i="8"/>
  <c r="F69" i="8"/>
  <c r="U67" i="8"/>
  <c r="D67" i="8"/>
  <c r="AB67" i="8"/>
  <c r="S67" i="8"/>
  <c r="AA69" i="8"/>
  <c r="T69" i="8"/>
  <c r="AH69" i="8"/>
  <c r="N69" i="8"/>
  <c r="G67" i="8"/>
  <c r="AE67" i="8"/>
  <c r="N67" i="8"/>
  <c r="AA67" i="8"/>
  <c r="H69" i="8"/>
  <c r="AF69" i="8"/>
  <c r="C69" i="8"/>
  <c r="V69" i="8"/>
  <c r="Q67" i="8"/>
  <c r="L67" i="8"/>
  <c r="X67" i="8"/>
  <c r="J67" i="8"/>
  <c r="R69" i="8"/>
  <c r="K69" i="8"/>
  <c r="M69" i="8"/>
  <c r="AD69" i="8"/>
  <c r="AC67" i="8"/>
  <c r="V67" i="8"/>
  <c r="E67" i="8"/>
  <c r="R67" i="8"/>
  <c r="AB69" i="8"/>
  <c r="U69" i="8"/>
  <c r="Y69" i="8"/>
  <c r="G69" i="8"/>
  <c r="H67" i="8"/>
  <c r="AF67" i="8"/>
  <c r="O67" i="8"/>
  <c r="Z67" i="8"/>
  <c r="I69" i="8"/>
  <c r="AG69" i="8"/>
  <c r="D69" i="8"/>
  <c r="O69" i="8"/>
  <c r="T67" i="8"/>
  <c r="M67" i="8"/>
  <c r="Y67" i="8"/>
  <c r="AH67" i="8"/>
  <c r="S69" i="8"/>
  <c r="P69" i="8"/>
  <c r="W69" i="8"/>
  <c r="AD67" i="8"/>
  <c r="W67" i="8"/>
  <c r="F67" i="8"/>
  <c r="C67" i="8"/>
  <c r="E69" i="8"/>
  <c r="AC69" i="8"/>
  <c r="L69" i="8"/>
  <c r="Z69" i="8"/>
  <c r="AE69" i="8"/>
  <c r="I67" i="8"/>
  <c r="AG67" i="8"/>
  <c r="P67" i="8"/>
  <c r="K67" i="8"/>
  <c r="B69" i="8"/>
  <c r="AA72" i="8"/>
  <c r="T72" i="8"/>
  <c r="I72" i="8"/>
  <c r="Q72" i="8"/>
  <c r="AB72" i="8"/>
  <c r="AG72" i="8"/>
  <c r="G72" i="8"/>
  <c r="W72" i="8"/>
  <c r="E72" i="8"/>
  <c r="O72" i="8"/>
  <c r="K72" i="8"/>
  <c r="AD72" i="8"/>
  <c r="Y72" i="8"/>
  <c r="Z72" i="8"/>
  <c r="M72" i="8"/>
  <c r="C72" i="8"/>
  <c r="R72" i="8"/>
  <c r="P72" i="8"/>
  <c r="U72" i="8"/>
  <c r="AH72" i="8"/>
  <c r="AF72" i="8"/>
  <c r="H72" i="8"/>
  <c r="F72" i="8"/>
  <c r="D72" i="8"/>
  <c r="AC72" i="8"/>
  <c r="X72" i="8"/>
  <c r="V72" i="8"/>
  <c r="AE72" i="8"/>
  <c r="L72" i="8"/>
  <c r="N72" i="8"/>
  <c r="J72" i="8"/>
  <c r="S72" i="8"/>
  <c r="B72" i="8"/>
  <c r="B67" i="8"/>
  <c r="B77" i="8"/>
  <c r="C41" i="4"/>
  <c r="D41" i="4"/>
  <c r="Z41" i="4" l="1"/>
  <c r="AC120" i="10"/>
  <c r="AG120" i="10"/>
  <c r="AJ120" i="10"/>
  <c r="AL120" i="10"/>
  <c r="O120" i="10"/>
  <c r="AK120" i="10"/>
  <c r="AH120" i="10"/>
  <c r="N120" i="10"/>
  <c r="AE120" i="10"/>
  <c r="X120" i="10"/>
  <c r="AI120" i="10"/>
  <c r="AF120" i="10"/>
  <c r="T120" i="10"/>
  <c r="U120" i="10"/>
  <c r="R120" i="10"/>
  <c r="K120" i="10"/>
  <c r="H120" i="10"/>
  <c r="J120" i="10"/>
  <c r="G120" i="10"/>
  <c r="L120" i="10"/>
  <c r="M120" i="10"/>
  <c r="W120" i="10"/>
  <c r="I120" i="10"/>
  <c r="V120" i="10"/>
  <c r="P120" i="10"/>
  <c r="S120" i="10"/>
  <c r="Z120" i="10"/>
  <c r="Q120" i="10"/>
  <c r="Y120" i="10"/>
  <c r="AD120" i="10"/>
  <c r="S41" i="4"/>
  <c r="N41" i="4"/>
  <c r="AB41" i="4"/>
  <c r="V41" i="4"/>
  <c r="AD41" i="4"/>
  <c r="AC41" i="4"/>
  <c r="W41" i="4"/>
  <c r="AF41" i="4"/>
  <c r="X41" i="4"/>
  <c r="AH41" i="4"/>
  <c r="R41" i="4"/>
  <c r="T41" i="4"/>
  <c r="AI41" i="4"/>
  <c r="AE41" i="4"/>
  <c r="G41" i="4"/>
  <c r="L41" i="4"/>
  <c r="Q41" i="4"/>
  <c r="J41" i="4"/>
  <c r="AG41" i="4"/>
  <c r="H41" i="4"/>
  <c r="P41" i="4"/>
  <c r="I41" i="4"/>
  <c r="AJ41" i="4"/>
  <c r="U41" i="4"/>
  <c r="M41" i="4"/>
  <c r="O41" i="4"/>
  <c r="AK41" i="4"/>
  <c r="AL41" i="4"/>
  <c r="AA41" i="4"/>
  <c r="Y41" i="4"/>
  <c r="K41" i="4"/>
  <c r="F120" i="10"/>
  <c r="F41" i="4"/>
  <c r="E41" i="4"/>
  <c r="C82" i="4" s="1"/>
  <c r="E126" i="9" l="1" a="1"/>
  <c r="AD139" i="9" s="1"/>
  <c r="B119" i="9"/>
  <c r="B118" i="9"/>
  <c r="G84" i="4"/>
  <c r="O84" i="4"/>
  <c r="W84" i="4"/>
  <c r="AE84" i="4"/>
  <c r="G85" i="4"/>
  <c r="O85" i="4"/>
  <c r="W85" i="4"/>
  <c r="AE85" i="4"/>
  <c r="G86" i="4"/>
  <c r="O86" i="4"/>
  <c r="W86" i="4"/>
  <c r="AE86" i="4"/>
  <c r="G87" i="4"/>
  <c r="G119" i="4" s="1"/>
  <c r="O87" i="4"/>
  <c r="O119" i="4" s="1"/>
  <c r="W87" i="4"/>
  <c r="W119" i="4" s="1"/>
  <c r="AE87" i="4"/>
  <c r="AE119" i="4" s="1"/>
  <c r="G88" i="4"/>
  <c r="O88" i="4"/>
  <c r="W88" i="4"/>
  <c r="AE88" i="4"/>
  <c r="G89" i="4"/>
  <c r="O89" i="4"/>
  <c r="W89" i="4"/>
  <c r="AE89" i="4"/>
  <c r="G90" i="4"/>
  <c r="O90" i="4"/>
  <c r="W90" i="4"/>
  <c r="AE90" i="4"/>
  <c r="G91" i="4"/>
  <c r="O91" i="4"/>
  <c r="W91" i="4"/>
  <c r="AE91" i="4"/>
  <c r="G92" i="4"/>
  <c r="O92" i="4"/>
  <c r="W92" i="4"/>
  <c r="AE92" i="4"/>
  <c r="G93" i="4"/>
  <c r="O93" i="4"/>
  <c r="W93" i="4"/>
  <c r="AE93" i="4"/>
  <c r="G94" i="4"/>
  <c r="O94" i="4"/>
  <c r="W94" i="4"/>
  <c r="AE94" i="4"/>
  <c r="G95" i="4"/>
  <c r="O95" i="4"/>
  <c r="W95" i="4"/>
  <c r="AE95" i="4"/>
  <c r="G96" i="4"/>
  <c r="O96" i="4"/>
  <c r="W96" i="4"/>
  <c r="AE96" i="4"/>
  <c r="G97" i="4"/>
  <c r="O97" i="4"/>
  <c r="W97" i="4"/>
  <c r="AE97" i="4"/>
  <c r="G98" i="4"/>
  <c r="O98" i="4"/>
  <c r="W98" i="4"/>
  <c r="AE98" i="4"/>
  <c r="G99" i="4"/>
  <c r="O99" i="4"/>
  <c r="W99" i="4"/>
  <c r="AE99" i="4"/>
  <c r="G100" i="4"/>
  <c r="O100" i="4"/>
  <c r="W100" i="4"/>
  <c r="AE100" i="4"/>
  <c r="G101" i="4"/>
  <c r="O101" i="4"/>
  <c r="W101" i="4"/>
  <c r="AE101" i="4"/>
  <c r="G102" i="4"/>
  <c r="O102" i="4"/>
  <c r="W102" i="4"/>
  <c r="AE102" i="4"/>
  <c r="G103" i="4"/>
  <c r="O103" i="4"/>
  <c r="W103" i="4"/>
  <c r="AE103" i="4"/>
  <c r="G104" i="4"/>
  <c r="O104" i="4"/>
  <c r="W104" i="4"/>
  <c r="AE104" i="4"/>
  <c r="G105" i="4"/>
  <c r="H84" i="4"/>
  <c r="P84" i="4"/>
  <c r="X84" i="4"/>
  <c r="AF84" i="4"/>
  <c r="H85" i="4"/>
  <c r="P85" i="4"/>
  <c r="X85" i="4"/>
  <c r="AF85" i="4"/>
  <c r="H86" i="4"/>
  <c r="P86" i="4"/>
  <c r="X86" i="4"/>
  <c r="AF86" i="4"/>
  <c r="H87" i="4"/>
  <c r="H119" i="4" s="1"/>
  <c r="P87" i="4"/>
  <c r="P119" i="4" s="1"/>
  <c r="X87" i="4"/>
  <c r="X119" i="4" s="1"/>
  <c r="AF87" i="4"/>
  <c r="AF119" i="4" s="1"/>
  <c r="H88" i="4"/>
  <c r="P88" i="4"/>
  <c r="X88" i="4"/>
  <c r="AF88" i="4"/>
  <c r="H89" i="4"/>
  <c r="P89" i="4"/>
  <c r="X89" i="4"/>
  <c r="AF89" i="4"/>
  <c r="H90" i="4"/>
  <c r="P90" i="4"/>
  <c r="X90" i="4"/>
  <c r="AF90" i="4"/>
  <c r="H91" i="4"/>
  <c r="P91" i="4"/>
  <c r="X91" i="4"/>
  <c r="AF91" i="4"/>
  <c r="H92" i="4"/>
  <c r="P92" i="4"/>
  <c r="X92" i="4"/>
  <c r="AF92" i="4"/>
  <c r="H93" i="4"/>
  <c r="P93" i="4"/>
  <c r="X93" i="4"/>
  <c r="AF93" i="4"/>
  <c r="H94" i="4"/>
  <c r="P94" i="4"/>
  <c r="X94" i="4"/>
  <c r="AF94" i="4"/>
  <c r="H95" i="4"/>
  <c r="P95" i="4"/>
  <c r="X95" i="4"/>
  <c r="AF95" i="4"/>
  <c r="H96" i="4"/>
  <c r="P96" i="4"/>
  <c r="X96" i="4"/>
  <c r="AF96" i="4"/>
  <c r="H97" i="4"/>
  <c r="P97" i="4"/>
  <c r="X97" i="4"/>
  <c r="AF97" i="4"/>
  <c r="H98" i="4"/>
  <c r="P98" i="4"/>
  <c r="X98" i="4"/>
  <c r="AF98" i="4"/>
  <c r="H99" i="4"/>
  <c r="P99" i="4"/>
  <c r="X99" i="4"/>
  <c r="AF99" i="4"/>
  <c r="H100" i="4"/>
  <c r="P100" i="4"/>
  <c r="X100" i="4"/>
  <c r="AF100" i="4"/>
  <c r="H101" i="4"/>
  <c r="P101" i="4"/>
  <c r="X101" i="4"/>
  <c r="AF101" i="4"/>
  <c r="H102" i="4"/>
  <c r="P102" i="4"/>
  <c r="X102" i="4"/>
  <c r="AF102" i="4"/>
  <c r="H103" i="4"/>
  <c r="P103" i="4"/>
  <c r="X103" i="4"/>
  <c r="AF103" i="4"/>
  <c r="H104" i="4"/>
  <c r="P104" i="4"/>
  <c r="X104" i="4"/>
  <c r="AF104" i="4"/>
  <c r="I84" i="4"/>
  <c r="Q84" i="4"/>
  <c r="Y84" i="4"/>
  <c r="AG84" i="4"/>
  <c r="I85" i="4"/>
  <c r="Q85" i="4"/>
  <c r="Y85" i="4"/>
  <c r="AG85" i="4"/>
  <c r="I86" i="4"/>
  <c r="Q86" i="4"/>
  <c r="Y86" i="4"/>
  <c r="AG86" i="4"/>
  <c r="I87" i="4"/>
  <c r="I119" i="4" s="1"/>
  <c r="Q87" i="4"/>
  <c r="Q119" i="4" s="1"/>
  <c r="Y87" i="4"/>
  <c r="Y119" i="4" s="1"/>
  <c r="AG87" i="4"/>
  <c r="AG119" i="4" s="1"/>
  <c r="I88" i="4"/>
  <c r="Q88" i="4"/>
  <c r="Y88" i="4"/>
  <c r="AG88" i="4"/>
  <c r="I89" i="4"/>
  <c r="Q89" i="4"/>
  <c r="Y89" i="4"/>
  <c r="AG89" i="4"/>
  <c r="I90" i="4"/>
  <c r="Q90" i="4"/>
  <c r="Y90" i="4"/>
  <c r="AG90" i="4"/>
  <c r="I91" i="4"/>
  <c r="Q91" i="4"/>
  <c r="Y91" i="4"/>
  <c r="AG91" i="4"/>
  <c r="I92" i="4"/>
  <c r="Q92" i="4"/>
  <c r="Y92" i="4"/>
  <c r="AG92" i="4"/>
  <c r="I93" i="4"/>
  <c r="Q93" i="4"/>
  <c r="Y93" i="4"/>
  <c r="AG93" i="4"/>
  <c r="I94" i="4"/>
  <c r="Q94" i="4"/>
  <c r="Y94" i="4"/>
  <c r="AG94" i="4"/>
  <c r="I95" i="4"/>
  <c r="Q95" i="4"/>
  <c r="Y95" i="4"/>
  <c r="AG95" i="4"/>
  <c r="I96" i="4"/>
  <c r="Q96" i="4"/>
  <c r="Y96" i="4"/>
  <c r="AG96" i="4"/>
  <c r="I97" i="4"/>
  <c r="Q97" i="4"/>
  <c r="Y97" i="4"/>
  <c r="AG97" i="4"/>
  <c r="I98" i="4"/>
  <c r="Q98" i="4"/>
  <c r="Y98" i="4"/>
  <c r="AG98" i="4"/>
  <c r="I99" i="4"/>
  <c r="Q99" i="4"/>
  <c r="Y99" i="4"/>
  <c r="AG99" i="4"/>
  <c r="I100" i="4"/>
  <c r="Q100" i="4"/>
  <c r="Y100" i="4"/>
  <c r="AG100" i="4"/>
  <c r="I101" i="4"/>
  <c r="Q101" i="4"/>
  <c r="Y101" i="4"/>
  <c r="AG101" i="4"/>
  <c r="I102" i="4"/>
  <c r="Q102" i="4"/>
  <c r="Y102" i="4"/>
  <c r="AG102" i="4"/>
  <c r="I103" i="4"/>
  <c r="Q103" i="4"/>
  <c r="Y103" i="4"/>
  <c r="AG103" i="4"/>
  <c r="I104" i="4"/>
  <c r="Q104" i="4"/>
  <c r="Y104" i="4"/>
  <c r="AG104" i="4"/>
  <c r="I105" i="4"/>
  <c r="J84" i="4"/>
  <c r="R84" i="4"/>
  <c r="Z84" i="4"/>
  <c r="AH84" i="4"/>
  <c r="J85" i="4"/>
  <c r="R85" i="4"/>
  <c r="Z85" i="4"/>
  <c r="AH85" i="4"/>
  <c r="J86" i="4"/>
  <c r="R86" i="4"/>
  <c r="Z86" i="4"/>
  <c r="AH86" i="4"/>
  <c r="J87" i="4"/>
  <c r="J119" i="4" s="1"/>
  <c r="R87" i="4"/>
  <c r="R119" i="4" s="1"/>
  <c r="Z87" i="4"/>
  <c r="Z119" i="4" s="1"/>
  <c r="AH87" i="4"/>
  <c r="AH119" i="4" s="1"/>
  <c r="J88" i="4"/>
  <c r="R88" i="4"/>
  <c r="Z88" i="4"/>
  <c r="AH88" i="4"/>
  <c r="J89" i="4"/>
  <c r="R89" i="4"/>
  <c r="Z89" i="4"/>
  <c r="AH89" i="4"/>
  <c r="J90" i="4"/>
  <c r="R90" i="4"/>
  <c r="Z90" i="4"/>
  <c r="AH90" i="4"/>
  <c r="J91" i="4"/>
  <c r="R91" i="4"/>
  <c r="Z91" i="4"/>
  <c r="AH91" i="4"/>
  <c r="J92" i="4"/>
  <c r="R92" i="4"/>
  <c r="Z92" i="4"/>
  <c r="AH92" i="4"/>
  <c r="J93" i="4"/>
  <c r="R93" i="4"/>
  <c r="Z93" i="4"/>
  <c r="AH93" i="4"/>
  <c r="J94" i="4"/>
  <c r="R94" i="4"/>
  <c r="Z94" i="4"/>
  <c r="AH94" i="4"/>
  <c r="J95" i="4"/>
  <c r="R95" i="4"/>
  <c r="Z95" i="4"/>
  <c r="AH95" i="4"/>
  <c r="J96" i="4"/>
  <c r="R96" i="4"/>
  <c r="Z96" i="4"/>
  <c r="AH96" i="4"/>
  <c r="J97" i="4"/>
  <c r="R97" i="4"/>
  <c r="Z97" i="4"/>
  <c r="AH97" i="4"/>
  <c r="J98" i="4"/>
  <c r="R98" i="4"/>
  <c r="Z98" i="4"/>
  <c r="AH98" i="4"/>
  <c r="J99" i="4"/>
  <c r="R99" i="4"/>
  <c r="Z99" i="4"/>
  <c r="AH99" i="4"/>
  <c r="J100" i="4"/>
  <c r="R100" i="4"/>
  <c r="Z100" i="4"/>
  <c r="AH100" i="4"/>
  <c r="J101" i="4"/>
  <c r="R101" i="4"/>
  <c r="Z101" i="4"/>
  <c r="AH101" i="4"/>
  <c r="J102" i="4"/>
  <c r="R102" i="4"/>
  <c r="Z102" i="4"/>
  <c r="AH102" i="4"/>
  <c r="J103" i="4"/>
  <c r="R103" i="4"/>
  <c r="Z103" i="4"/>
  <c r="AH103" i="4"/>
  <c r="J104" i="4"/>
  <c r="R104" i="4"/>
  <c r="Z104" i="4"/>
  <c r="AH104" i="4"/>
  <c r="J105" i="4"/>
  <c r="L84" i="4"/>
  <c r="T84" i="4"/>
  <c r="AB84" i="4"/>
  <c r="AJ84" i="4"/>
  <c r="L85" i="4"/>
  <c r="T85" i="4"/>
  <c r="AB85" i="4"/>
  <c r="AJ85" i="4"/>
  <c r="L86" i="4"/>
  <c r="T86" i="4"/>
  <c r="AB86" i="4"/>
  <c r="AJ86" i="4"/>
  <c r="L87" i="4"/>
  <c r="L119" i="4" s="1"/>
  <c r="T87" i="4"/>
  <c r="T119" i="4" s="1"/>
  <c r="AB87" i="4"/>
  <c r="AB119" i="4" s="1"/>
  <c r="AJ87" i="4"/>
  <c r="AJ119" i="4" s="1"/>
  <c r="L88" i="4"/>
  <c r="T88" i="4"/>
  <c r="AB88" i="4"/>
  <c r="AJ88" i="4"/>
  <c r="L89" i="4"/>
  <c r="T89" i="4"/>
  <c r="AB89" i="4"/>
  <c r="AJ89" i="4"/>
  <c r="L90" i="4"/>
  <c r="T90" i="4"/>
  <c r="AB90" i="4"/>
  <c r="AJ90" i="4"/>
  <c r="L91" i="4"/>
  <c r="T91" i="4"/>
  <c r="AB91" i="4"/>
  <c r="AJ91" i="4"/>
  <c r="L92" i="4"/>
  <c r="T92" i="4"/>
  <c r="AB92" i="4"/>
  <c r="AJ92" i="4"/>
  <c r="L93" i="4"/>
  <c r="T93" i="4"/>
  <c r="AB93" i="4"/>
  <c r="AJ93" i="4"/>
  <c r="L94" i="4"/>
  <c r="T94" i="4"/>
  <c r="AB94" i="4"/>
  <c r="AJ94" i="4"/>
  <c r="L95" i="4"/>
  <c r="T95" i="4"/>
  <c r="AB95" i="4"/>
  <c r="AJ95" i="4"/>
  <c r="L96" i="4"/>
  <c r="T96" i="4"/>
  <c r="AB96" i="4"/>
  <c r="AJ96" i="4"/>
  <c r="L97" i="4"/>
  <c r="T97" i="4"/>
  <c r="AB97" i="4"/>
  <c r="AJ97" i="4"/>
  <c r="L98" i="4"/>
  <c r="T98" i="4"/>
  <c r="AB98" i="4"/>
  <c r="AJ98" i="4"/>
  <c r="L99" i="4"/>
  <c r="T99" i="4"/>
  <c r="AB99" i="4"/>
  <c r="AJ99" i="4"/>
  <c r="L100" i="4"/>
  <c r="T100" i="4"/>
  <c r="AB100" i="4"/>
  <c r="AJ100" i="4"/>
  <c r="L101" i="4"/>
  <c r="T101" i="4"/>
  <c r="AB101" i="4"/>
  <c r="AJ101" i="4"/>
  <c r="L102" i="4"/>
  <c r="T102" i="4"/>
  <c r="AB102" i="4"/>
  <c r="AJ102" i="4"/>
  <c r="L103" i="4"/>
  <c r="T103" i="4"/>
  <c r="AB103" i="4"/>
  <c r="AJ103" i="4"/>
  <c r="L104" i="4"/>
  <c r="T104" i="4"/>
  <c r="AB104" i="4"/>
  <c r="AJ104" i="4"/>
  <c r="L105" i="4"/>
  <c r="M84" i="4"/>
  <c r="U84" i="4"/>
  <c r="AC84" i="4"/>
  <c r="AK84" i="4"/>
  <c r="M85" i="4"/>
  <c r="U85" i="4"/>
  <c r="AC85" i="4"/>
  <c r="AK85" i="4"/>
  <c r="M86" i="4"/>
  <c r="U86" i="4"/>
  <c r="AC86" i="4"/>
  <c r="AK86" i="4"/>
  <c r="M87" i="4"/>
  <c r="M119" i="4" s="1"/>
  <c r="U87" i="4"/>
  <c r="U119" i="4" s="1"/>
  <c r="AC87" i="4"/>
  <c r="AC119" i="4" s="1"/>
  <c r="AK87" i="4"/>
  <c r="AK119" i="4" s="1"/>
  <c r="M88" i="4"/>
  <c r="U88" i="4"/>
  <c r="AC88" i="4"/>
  <c r="AK88" i="4"/>
  <c r="M89" i="4"/>
  <c r="M118" i="4" s="1"/>
  <c r="U89" i="4"/>
  <c r="AC89" i="4"/>
  <c r="AK89" i="4"/>
  <c r="M90" i="4"/>
  <c r="U90" i="4"/>
  <c r="AC90" i="4"/>
  <c r="AK90" i="4"/>
  <c r="M91" i="4"/>
  <c r="U91" i="4"/>
  <c r="AC91" i="4"/>
  <c r="AK91" i="4"/>
  <c r="M92" i="4"/>
  <c r="U92" i="4"/>
  <c r="AC92" i="4"/>
  <c r="AK92" i="4"/>
  <c r="M93" i="4"/>
  <c r="U93" i="4"/>
  <c r="AC93" i="4"/>
  <c r="AK93" i="4"/>
  <c r="M94" i="4"/>
  <c r="U94" i="4"/>
  <c r="AC94" i="4"/>
  <c r="AK94" i="4"/>
  <c r="M95" i="4"/>
  <c r="U95" i="4"/>
  <c r="AC95" i="4"/>
  <c r="AK95" i="4"/>
  <c r="K84" i="4"/>
  <c r="K85" i="4"/>
  <c r="K86" i="4"/>
  <c r="K87" i="4"/>
  <c r="K119" i="4" s="1"/>
  <c r="K88" i="4"/>
  <c r="K89" i="4"/>
  <c r="K118" i="4" s="1"/>
  <c r="K90" i="4"/>
  <c r="K91" i="4"/>
  <c r="K92" i="4"/>
  <c r="K93" i="4"/>
  <c r="K94" i="4"/>
  <c r="K95" i="4"/>
  <c r="K96" i="4"/>
  <c r="AD96" i="4"/>
  <c r="U97" i="4"/>
  <c r="K98" i="4"/>
  <c r="AD98" i="4"/>
  <c r="U99" i="4"/>
  <c r="K100" i="4"/>
  <c r="AD100" i="4"/>
  <c r="U101" i="4"/>
  <c r="K102" i="4"/>
  <c r="AD102" i="4"/>
  <c r="U103" i="4"/>
  <c r="K104" i="4"/>
  <c r="AD104" i="4"/>
  <c r="O105" i="4"/>
  <c r="W105" i="4"/>
  <c r="AE105" i="4"/>
  <c r="G106" i="4"/>
  <c r="O106" i="4"/>
  <c r="W106" i="4"/>
  <c r="AE106" i="4"/>
  <c r="G107" i="4"/>
  <c r="O107" i="4"/>
  <c r="W107" i="4"/>
  <c r="AE107" i="4"/>
  <c r="G108" i="4"/>
  <c r="O108" i="4"/>
  <c r="W108" i="4"/>
  <c r="AE108" i="4"/>
  <c r="G109" i="4"/>
  <c r="O109" i="4"/>
  <c r="W109" i="4"/>
  <c r="AE109" i="4"/>
  <c r="G110" i="4"/>
  <c r="O110" i="4"/>
  <c r="W110" i="4"/>
  <c r="AE110" i="4"/>
  <c r="G111" i="4"/>
  <c r="O111" i="4"/>
  <c r="W111" i="4"/>
  <c r="AE111" i="4"/>
  <c r="G112" i="4"/>
  <c r="O112" i="4"/>
  <c r="W112" i="4"/>
  <c r="AE112" i="4"/>
  <c r="AA100" i="4"/>
  <c r="M107" i="4"/>
  <c r="M109" i="4"/>
  <c r="M111" i="4"/>
  <c r="AL86" i="4"/>
  <c r="AL93" i="4"/>
  <c r="AC98" i="4"/>
  <c r="AC102" i="4"/>
  <c r="AD105" i="4"/>
  <c r="V106" i="4"/>
  <c r="N84" i="4"/>
  <c r="N85" i="4"/>
  <c r="N86" i="4"/>
  <c r="N87" i="4"/>
  <c r="N119" i="4" s="1"/>
  <c r="N88" i="4"/>
  <c r="N89" i="4"/>
  <c r="N90" i="4"/>
  <c r="N91" i="4"/>
  <c r="N92" i="4"/>
  <c r="N93" i="4"/>
  <c r="N94" i="4"/>
  <c r="N95" i="4"/>
  <c r="M96" i="4"/>
  <c r="AI96" i="4"/>
  <c r="V97" i="4"/>
  <c r="M98" i="4"/>
  <c r="AI98" i="4"/>
  <c r="V99" i="4"/>
  <c r="M100" i="4"/>
  <c r="AI100" i="4"/>
  <c r="V101" i="4"/>
  <c r="M102" i="4"/>
  <c r="AI102" i="4"/>
  <c r="V103" i="4"/>
  <c r="M104" i="4"/>
  <c r="AI104" i="4"/>
  <c r="P105" i="4"/>
  <c r="X105" i="4"/>
  <c r="AF105" i="4"/>
  <c r="H106" i="4"/>
  <c r="P106" i="4"/>
  <c r="X106" i="4"/>
  <c r="AF106" i="4"/>
  <c r="H107" i="4"/>
  <c r="P107" i="4"/>
  <c r="X107" i="4"/>
  <c r="AF107" i="4"/>
  <c r="H108" i="4"/>
  <c r="P108" i="4"/>
  <c r="X108" i="4"/>
  <c r="AF108" i="4"/>
  <c r="H109" i="4"/>
  <c r="P109" i="4"/>
  <c r="X109" i="4"/>
  <c r="AF109" i="4"/>
  <c r="H110" i="4"/>
  <c r="P110" i="4"/>
  <c r="X110" i="4"/>
  <c r="AF110" i="4"/>
  <c r="H111" i="4"/>
  <c r="P111" i="4"/>
  <c r="X111" i="4"/>
  <c r="AF111" i="4"/>
  <c r="H112" i="4"/>
  <c r="P112" i="4"/>
  <c r="X112" i="4"/>
  <c r="AF112" i="4"/>
  <c r="AK99" i="4"/>
  <c r="AK107" i="4"/>
  <c r="AK109" i="4"/>
  <c r="AC111" i="4"/>
  <c r="AL88" i="4"/>
  <c r="AL95" i="4"/>
  <c r="S99" i="4"/>
  <c r="AL101" i="4"/>
  <c r="V105" i="4"/>
  <c r="AD106" i="4"/>
  <c r="S84" i="4"/>
  <c r="S85" i="4"/>
  <c r="S86" i="4"/>
  <c r="S87" i="4"/>
  <c r="S119" i="4" s="1"/>
  <c r="S88" i="4"/>
  <c r="S89" i="4"/>
  <c r="S90" i="4"/>
  <c r="S91" i="4"/>
  <c r="S92" i="4"/>
  <c r="S93" i="4"/>
  <c r="S94" i="4"/>
  <c r="S95" i="4"/>
  <c r="N96" i="4"/>
  <c r="AK96" i="4"/>
  <c r="AA97" i="4"/>
  <c r="N98" i="4"/>
  <c r="AK98" i="4"/>
  <c r="AA99" i="4"/>
  <c r="N100" i="4"/>
  <c r="AK100" i="4"/>
  <c r="AA101" i="4"/>
  <c r="N102" i="4"/>
  <c r="AK102" i="4"/>
  <c r="AA103" i="4"/>
  <c r="N104" i="4"/>
  <c r="AK104" i="4"/>
  <c r="Q105" i="4"/>
  <c r="Y105" i="4"/>
  <c r="AG105" i="4"/>
  <c r="I106" i="4"/>
  <c r="Q106" i="4"/>
  <c r="Y106" i="4"/>
  <c r="AG106" i="4"/>
  <c r="I107" i="4"/>
  <c r="Q107" i="4"/>
  <c r="Y107" i="4"/>
  <c r="AG107" i="4"/>
  <c r="I108" i="4"/>
  <c r="Q108" i="4"/>
  <c r="Y108" i="4"/>
  <c r="AG108" i="4"/>
  <c r="I109" i="4"/>
  <c r="Q109" i="4"/>
  <c r="Y109" i="4"/>
  <c r="AG109" i="4"/>
  <c r="I110" i="4"/>
  <c r="Q110" i="4"/>
  <c r="Y110" i="4"/>
  <c r="AG110" i="4"/>
  <c r="I111" i="4"/>
  <c r="Q111" i="4"/>
  <c r="Y111" i="4"/>
  <c r="AG111" i="4"/>
  <c r="I112" i="4"/>
  <c r="Q112" i="4"/>
  <c r="Y112" i="4"/>
  <c r="AG112" i="4"/>
  <c r="AI86" i="4"/>
  <c r="AK97" i="4"/>
  <c r="N101" i="4"/>
  <c r="N103" i="4"/>
  <c r="M105" i="4"/>
  <c r="AC105" i="4"/>
  <c r="U106" i="4"/>
  <c r="U107" i="4"/>
  <c r="AK108" i="4"/>
  <c r="M110" i="4"/>
  <c r="AK110" i="4"/>
  <c r="M112" i="4"/>
  <c r="AC112" i="4"/>
  <c r="AL84" i="4"/>
  <c r="AL87" i="4"/>
  <c r="AL119" i="4" s="1"/>
  <c r="AL90" i="4"/>
  <c r="AC96" i="4"/>
  <c r="AL97" i="4"/>
  <c r="S101" i="4"/>
  <c r="AL103" i="4"/>
  <c r="AL105" i="4"/>
  <c r="AL106" i="4"/>
  <c r="V84" i="4"/>
  <c r="V85" i="4"/>
  <c r="V86" i="4"/>
  <c r="V87" i="4"/>
  <c r="V119" i="4" s="1"/>
  <c r="V88" i="4"/>
  <c r="V89" i="4"/>
  <c r="V90" i="4"/>
  <c r="V91" i="4"/>
  <c r="V92" i="4"/>
  <c r="V93" i="4"/>
  <c r="V94" i="4"/>
  <c r="V95" i="4"/>
  <c r="S96" i="4"/>
  <c r="AL96" i="4"/>
  <c r="AC97" i="4"/>
  <c r="S98" i="4"/>
  <c r="AL98" i="4"/>
  <c r="AL118" i="4" s="1"/>
  <c r="AL120" i="4" s="1"/>
  <c r="AC99" i="4"/>
  <c r="S100" i="4"/>
  <c r="AL100" i="4"/>
  <c r="AC101" i="4"/>
  <c r="S102" i="4"/>
  <c r="AL102" i="4"/>
  <c r="AC103" i="4"/>
  <c r="S104" i="4"/>
  <c r="AL104" i="4"/>
  <c r="R105" i="4"/>
  <c r="Z105" i="4"/>
  <c r="AH105" i="4"/>
  <c r="J106" i="4"/>
  <c r="R106" i="4"/>
  <c r="Z106" i="4"/>
  <c r="AH106" i="4"/>
  <c r="J107" i="4"/>
  <c r="R107" i="4"/>
  <c r="Z107" i="4"/>
  <c r="AH107" i="4"/>
  <c r="J108" i="4"/>
  <c r="R108" i="4"/>
  <c r="Z108" i="4"/>
  <c r="AH108" i="4"/>
  <c r="J109" i="4"/>
  <c r="R109" i="4"/>
  <c r="Z109" i="4"/>
  <c r="AH109" i="4"/>
  <c r="J110" i="4"/>
  <c r="R110" i="4"/>
  <c r="Z110" i="4"/>
  <c r="AH110" i="4"/>
  <c r="J111" i="4"/>
  <c r="R111" i="4"/>
  <c r="Z111" i="4"/>
  <c r="AH111" i="4"/>
  <c r="J112" i="4"/>
  <c r="R112" i="4"/>
  <c r="Z112" i="4"/>
  <c r="AH112" i="4"/>
  <c r="AI88" i="4"/>
  <c r="U105" i="4"/>
  <c r="M108" i="4"/>
  <c r="AC109" i="4"/>
  <c r="U111" i="4"/>
  <c r="AL91" i="4"/>
  <c r="AL99" i="4"/>
  <c r="N105" i="4"/>
  <c r="AA84" i="4"/>
  <c r="AA85" i="4"/>
  <c r="AA86" i="4"/>
  <c r="AA87" i="4"/>
  <c r="AA119" i="4" s="1"/>
  <c r="AA88" i="4"/>
  <c r="AA89" i="4"/>
  <c r="AA90" i="4"/>
  <c r="AA91" i="4"/>
  <c r="AA92" i="4"/>
  <c r="AA93" i="4"/>
  <c r="AA94" i="4"/>
  <c r="AA95" i="4"/>
  <c r="U96" i="4"/>
  <c r="K97" i="4"/>
  <c r="AD97" i="4"/>
  <c r="U98" i="4"/>
  <c r="K99" i="4"/>
  <c r="AD99" i="4"/>
  <c r="U100" i="4"/>
  <c r="K101" i="4"/>
  <c r="AD101" i="4"/>
  <c r="U102" i="4"/>
  <c r="K103" i="4"/>
  <c r="AD103" i="4"/>
  <c r="U104" i="4"/>
  <c r="H105" i="4"/>
  <c r="S105" i="4"/>
  <c r="AA105" i="4"/>
  <c r="AI105" i="4"/>
  <c r="K106" i="4"/>
  <c r="S106" i="4"/>
  <c r="AA106" i="4"/>
  <c r="AI106" i="4"/>
  <c r="K107" i="4"/>
  <c r="S107" i="4"/>
  <c r="AA107" i="4"/>
  <c r="AI107" i="4"/>
  <c r="K108" i="4"/>
  <c r="S108" i="4"/>
  <c r="AA108" i="4"/>
  <c r="AI108" i="4"/>
  <c r="K109" i="4"/>
  <c r="S109" i="4"/>
  <c r="AA109" i="4"/>
  <c r="AI109" i="4"/>
  <c r="K110" i="4"/>
  <c r="S110" i="4"/>
  <c r="AA110" i="4"/>
  <c r="AI110" i="4"/>
  <c r="K111" i="4"/>
  <c r="S111" i="4"/>
  <c r="AA111" i="4"/>
  <c r="AI111" i="4"/>
  <c r="K112" i="4"/>
  <c r="S112" i="4"/>
  <c r="AA112" i="4"/>
  <c r="AI112" i="4"/>
  <c r="AI92" i="4"/>
  <c r="AA96" i="4"/>
  <c r="AA98" i="4"/>
  <c r="AK101" i="4"/>
  <c r="AK103" i="4"/>
  <c r="AK105" i="4"/>
  <c r="AK106" i="4"/>
  <c r="U108" i="4"/>
  <c r="U110" i="4"/>
  <c r="U112" i="4"/>
  <c r="AL94" i="4"/>
  <c r="S103" i="4"/>
  <c r="AD84" i="4"/>
  <c r="AD85" i="4"/>
  <c r="AD86" i="4"/>
  <c r="AD87" i="4"/>
  <c r="AD119" i="4" s="1"/>
  <c r="AD88" i="4"/>
  <c r="AD89" i="4"/>
  <c r="AD90" i="4"/>
  <c r="AD91" i="4"/>
  <c r="AD92" i="4"/>
  <c r="AD93" i="4"/>
  <c r="AD94" i="4"/>
  <c r="AD95" i="4"/>
  <c r="V96" i="4"/>
  <c r="M97" i="4"/>
  <c r="AI97" i="4"/>
  <c r="V98" i="4"/>
  <c r="M99" i="4"/>
  <c r="AI99" i="4"/>
  <c r="V100" i="4"/>
  <c r="M101" i="4"/>
  <c r="AI101" i="4"/>
  <c r="V102" i="4"/>
  <c r="M103" i="4"/>
  <c r="AI103" i="4"/>
  <c r="V104" i="4"/>
  <c r="K105" i="4"/>
  <c r="T105" i="4"/>
  <c r="AB105" i="4"/>
  <c r="AJ105" i="4"/>
  <c r="L106" i="4"/>
  <c r="T106" i="4"/>
  <c r="AB106" i="4"/>
  <c r="AJ106" i="4"/>
  <c r="L107" i="4"/>
  <c r="T107" i="4"/>
  <c r="AB107" i="4"/>
  <c r="AJ107" i="4"/>
  <c r="L108" i="4"/>
  <c r="T108" i="4"/>
  <c r="AB108" i="4"/>
  <c r="AJ108" i="4"/>
  <c r="L109" i="4"/>
  <c r="T109" i="4"/>
  <c r="AB109" i="4"/>
  <c r="AJ109" i="4"/>
  <c r="L110" i="4"/>
  <c r="T110" i="4"/>
  <c r="AB110" i="4"/>
  <c r="AJ110" i="4"/>
  <c r="L111" i="4"/>
  <c r="T111" i="4"/>
  <c r="AB111" i="4"/>
  <c r="AJ111" i="4"/>
  <c r="L112" i="4"/>
  <c r="T112" i="4"/>
  <c r="AB112" i="4"/>
  <c r="AJ112" i="4"/>
  <c r="AI84" i="4"/>
  <c r="AI85" i="4"/>
  <c r="AI87" i="4"/>
  <c r="AI119" i="4" s="1"/>
  <c r="AI89" i="4"/>
  <c r="AI90" i="4"/>
  <c r="AI91" i="4"/>
  <c r="AI93" i="4"/>
  <c r="AI94" i="4"/>
  <c r="AI95" i="4"/>
  <c r="N97" i="4"/>
  <c r="N99" i="4"/>
  <c r="AA102" i="4"/>
  <c r="AA104" i="4"/>
  <c r="M106" i="4"/>
  <c r="AC106" i="4"/>
  <c r="AC107" i="4"/>
  <c r="AC108" i="4"/>
  <c r="U109" i="4"/>
  <c r="AC110" i="4"/>
  <c r="AK111" i="4"/>
  <c r="AK112" i="4"/>
  <c r="AL85" i="4"/>
  <c r="AL89" i="4"/>
  <c r="AL92" i="4"/>
  <c r="S97" i="4"/>
  <c r="AC100" i="4"/>
  <c r="AC104" i="4"/>
  <c r="N106" i="4"/>
  <c r="V107" i="4"/>
  <c r="V109" i="4"/>
  <c r="V111" i="4"/>
  <c r="AD107" i="4"/>
  <c r="AD109" i="4"/>
  <c r="AD111" i="4"/>
  <c r="AD112" i="4"/>
  <c r="AL110" i="4"/>
  <c r="N107" i="4"/>
  <c r="AL107" i="4"/>
  <c r="AL109" i="4"/>
  <c r="AL111" i="4"/>
  <c r="N110" i="4"/>
  <c r="N112" i="4"/>
  <c r="AD108" i="4"/>
  <c r="N108" i="4"/>
  <c r="AL112" i="4"/>
  <c r="N111" i="4"/>
  <c r="V108" i="4"/>
  <c r="V110" i="4"/>
  <c r="V112" i="4"/>
  <c r="AD110" i="4"/>
  <c r="AL108" i="4"/>
  <c r="N109" i="4"/>
  <c r="B119" i="10"/>
  <c r="B118" i="10"/>
  <c r="E126" i="10" a="1"/>
  <c r="F139" i="10" s="1"/>
  <c r="F110" i="4"/>
  <c r="F96" i="4"/>
  <c r="F106" i="4"/>
  <c r="F112" i="4"/>
  <c r="F92" i="4"/>
  <c r="F102" i="4"/>
  <c r="F108" i="4"/>
  <c r="F95" i="4"/>
  <c r="F88" i="4"/>
  <c r="F97" i="4"/>
  <c r="F111" i="4"/>
  <c r="F104" i="4"/>
  <c r="F84" i="4"/>
  <c r="F93" i="4"/>
  <c r="F107" i="4"/>
  <c r="F100" i="4"/>
  <c r="F99" i="4"/>
  <c r="F103" i="4"/>
  <c r="F105" i="4"/>
  <c r="F89" i="4"/>
  <c r="F98" i="4"/>
  <c r="F94" i="4"/>
  <c r="F101" i="4"/>
  <c r="F91" i="4"/>
  <c r="F87" i="4"/>
  <c r="F119" i="4" s="1"/>
  <c r="F90" i="4"/>
  <c r="F86" i="4"/>
  <c r="F109" i="4"/>
  <c r="F85" i="4"/>
  <c r="Z118" i="4" l="1"/>
  <c r="Z120" i="4" s="1"/>
  <c r="AA118" i="4"/>
  <c r="AA120" i="4" s="1"/>
  <c r="S118" i="4"/>
  <c r="S120" i="4" s="1"/>
  <c r="K120" i="4"/>
  <c r="R118" i="4"/>
  <c r="R120" i="4" s="1"/>
  <c r="X118" i="4"/>
  <c r="X120" i="4" s="1"/>
  <c r="V118" i="4"/>
  <c r="V120" i="4" s="1"/>
  <c r="AJ118" i="4"/>
  <c r="AJ120" i="4" s="1"/>
  <c r="J118" i="4"/>
  <c r="J120" i="4" s="1"/>
  <c r="P118" i="4"/>
  <c r="P120" i="4" s="1"/>
  <c r="AB118" i="4"/>
  <c r="AB120" i="4" s="1"/>
  <c r="H118" i="4"/>
  <c r="H120" i="4" s="1"/>
  <c r="M120" i="4"/>
  <c r="AD118" i="4"/>
  <c r="AD120" i="4" s="1"/>
  <c r="N118" i="4"/>
  <c r="N120" i="4" s="1"/>
  <c r="T118" i="4"/>
  <c r="T120" i="4" s="1"/>
  <c r="AG118" i="4"/>
  <c r="AG120" i="4" s="1"/>
  <c r="AF118" i="4"/>
  <c r="AF120" i="4" s="1"/>
  <c r="AI118" i="4"/>
  <c r="AI120" i="4" s="1"/>
  <c r="AK118" i="4"/>
  <c r="AK120" i="4" s="1"/>
  <c r="L118" i="4"/>
  <c r="L120" i="4" s="1"/>
  <c r="Y118" i="4"/>
  <c r="Y120" i="4" s="1"/>
  <c r="AE118" i="4"/>
  <c r="AE120" i="4" s="1"/>
  <c r="G118" i="4"/>
  <c r="G120" i="4" s="1"/>
  <c r="F118" i="4"/>
  <c r="AC118" i="4"/>
  <c r="AC120" i="4" s="1"/>
  <c r="Q118" i="4"/>
  <c r="Q120" i="4" s="1"/>
  <c r="W118" i="4"/>
  <c r="W120" i="4" s="1"/>
  <c r="U118" i="4"/>
  <c r="U120" i="4" s="1"/>
  <c r="AH118" i="4"/>
  <c r="AH120" i="4" s="1"/>
  <c r="I118" i="4"/>
  <c r="I120" i="4" s="1"/>
  <c r="O118" i="4"/>
  <c r="O120" i="4" s="1"/>
  <c r="AJ135" i="9"/>
  <c r="X131" i="9"/>
  <c r="J128" i="9"/>
  <c r="G135" i="9"/>
  <c r="U134" i="9"/>
  <c r="Y126" i="9"/>
  <c r="AC126" i="9"/>
  <c r="F135" i="9"/>
  <c r="J131" i="9"/>
  <c r="AF132" i="9"/>
  <c r="AA138" i="9"/>
  <c r="S135" i="9"/>
  <c r="J132" i="9"/>
  <c r="AF127" i="9"/>
  <c r="U138" i="9"/>
  <c r="AG130" i="9"/>
  <c r="AC130" i="9"/>
  <c r="W135" i="9"/>
  <c r="F137" i="9"/>
  <c r="N131" i="9"/>
  <c r="R127" i="9"/>
  <c r="Y131" i="9"/>
  <c r="T137" i="9"/>
  <c r="T136" i="9"/>
  <c r="AK134" i="9"/>
  <c r="V133" i="9"/>
  <c r="K126" i="9"/>
  <c r="O139" i="9"/>
  <c r="AK139" i="9"/>
  <c r="O130" i="9"/>
  <c r="AH137" i="9"/>
  <c r="AL133" i="9"/>
  <c r="H130" i="9"/>
  <c r="L126" i="9"/>
  <c r="S136" i="9"/>
  <c r="O132" i="9"/>
  <c r="AA128" i="9"/>
  <c r="R138" i="9"/>
  <c r="H133" i="9"/>
  <c r="AB136" i="9"/>
  <c r="AB128" i="9"/>
  <c r="AC131" i="9"/>
  <c r="K131" i="9"/>
  <c r="AD129" i="9"/>
  <c r="AE135" i="9"/>
  <c r="H134" i="9"/>
  <c r="L130" i="9"/>
  <c r="P126" i="9"/>
  <c r="O136" i="9"/>
  <c r="AA132" i="9"/>
  <c r="W128" i="9"/>
  <c r="AL138" i="9"/>
  <c r="Z134" i="9"/>
  <c r="P129" i="9"/>
  <c r="AC135" i="9"/>
  <c r="AC127" i="9"/>
  <c r="AH128" i="9"/>
  <c r="Q130" i="9"/>
  <c r="R137" i="9"/>
  <c r="Z129" i="9"/>
  <c r="G134" i="9"/>
  <c r="R130" i="9"/>
  <c r="O137" i="9"/>
  <c r="V137" i="9"/>
  <c r="AG135" i="9"/>
  <c r="Z132" i="9"/>
  <c r="AI136" i="9"/>
  <c r="AE132" i="9"/>
  <c r="I129" i="9"/>
  <c r="AH138" i="9"/>
  <c r="T135" i="9"/>
  <c r="H131" i="9"/>
  <c r="AB127" i="9"/>
  <c r="O131" i="9"/>
  <c r="I132" i="9"/>
  <c r="AD134" i="9"/>
  <c r="AD126" i="9"/>
  <c r="E126" i="9"/>
  <c r="K127" i="9"/>
  <c r="Y139" i="9"/>
  <c r="AC136" i="9"/>
  <c r="Z133" i="9"/>
  <c r="W131" i="9"/>
  <c r="I133" i="9"/>
  <c r="E129" i="9"/>
  <c r="T139" i="9"/>
  <c r="H135" i="9"/>
  <c r="AB131" i="9"/>
  <c r="P127" i="9"/>
  <c r="E138" i="9"/>
  <c r="G127" i="9"/>
  <c r="Q128" i="9"/>
  <c r="AE133" i="9"/>
  <c r="AH139" i="9"/>
  <c r="L138" i="9"/>
  <c r="AK129" i="9"/>
  <c r="AD128" i="9"/>
  <c r="AE131" i="9"/>
  <c r="U139" i="9"/>
  <c r="V138" i="9"/>
  <c r="W137" i="9"/>
  <c r="X136" i="9"/>
  <c r="Q135" i="9"/>
  <c r="J134" i="9"/>
  <c r="M136" i="9"/>
  <c r="T132" i="9"/>
  <c r="U131" i="9"/>
  <c r="V130" i="9"/>
  <c r="W129" i="9"/>
  <c r="X128" i="9"/>
  <c r="Q127" i="9"/>
  <c r="J126" i="9"/>
  <c r="X134" i="9"/>
  <c r="P136" i="9"/>
  <c r="AF130" i="9"/>
  <c r="AK127" i="9"/>
  <c r="G126" i="9"/>
  <c r="Q137" i="9"/>
  <c r="AJ133" i="9"/>
  <c r="J130" i="9"/>
  <c r="AL135" i="9"/>
  <c r="E135" i="9"/>
  <c r="F134" i="9"/>
  <c r="G133" i="9"/>
  <c r="H132" i="9"/>
  <c r="AI130" i="9"/>
  <c r="AB129" i="9"/>
  <c r="I130" i="9"/>
  <c r="L128" i="9"/>
  <c r="M127" i="9"/>
  <c r="N126" i="9"/>
  <c r="R139" i="9"/>
  <c r="K138" i="9"/>
  <c r="AL136" i="9"/>
  <c r="AK132" i="9"/>
  <c r="V135" i="9"/>
  <c r="W134" i="9"/>
  <c r="X133" i="9"/>
  <c r="Y132" i="9"/>
  <c r="Z131" i="9"/>
  <c r="S130" i="9"/>
  <c r="L129" i="9"/>
  <c r="Q126" i="9"/>
  <c r="AD127" i="9"/>
  <c r="AE126" i="9"/>
  <c r="AI139" i="9"/>
  <c r="AJ138" i="9"/>
  <c r="AC137" i="9"/>
  <c r="V136" i="9"/>
  <c r="K129" i="9"/>
  <c r="J133" i="9"/>
  <c r="K132" i="9"/>
  <c r="L131" i="9"/>
  <c r="M130" i="9"/>
  <c r="N129" i="9"/>
  <c r="G128" i="9"/>
  <c r="AH126" i="9"/>
  <c r="X138" i="9"/>
  <c r="Y137" i="9"/>
  <c r="Z136" i="9"/>
  <c r="AA135" i="9"/>
  <c r="AB134" i="9"/>
  <c r="U133" i="9"/>
  <c r="N132" i="9"/>
  <c r="E136" i="9"/>
  <c r="X130" i="9"/>
  <c r="Y129" i="9"/>
  <c r="Z128" i="9"/>
  <c r="AA127" i="9"/>
  <c r="AB126" i="9"/>
  <c r="P139" i="9"/>
  <c r="AG138" i="9"/>
  <c r="Y133" i="9"/>
  <c r="AB132" i="9"/>
  <c r="AG129" i="9"/>
  <c r="AL126" i="9"/>
  <c r="K139" i="9"/>
  <c r="R136" i="9"/>
  <c r="Q134" i="9"/>
  <c r="AI133" i="9"/>
  <c r="O129" i="9"/>
  <c r="G139" i="9"/>
  <c r="Y136" i="9"/>
  <c r="L133" i="9"/>
  <c r="AF129" i="9"/>
  <c r="O135" i="9"/>
  <c r="I136" i="9"/>
  <c r="AD132" i="9"/>
  <c r="T127" i="9"/>
  <c r="J138" i="9"/>
  <c r="AH132" i="9"/>
  <c r="V128" i="9"/>
  <c r="AJ139" i="9"/>
  <c r="Y134" i="9"/>
  <c r="AD130" i="9"/>
  <c r="E137" i="9"/>
  <c r="P130" i="9"/>
  <c r="Q129" i="9"/>
  <c r="R128" i="9"/>
  <c r="S127" i="9"/>
  <c r="T126" i="9"/>
  <c r="H139" i="9"/>
  <c r="AK136" i="9"/>
  <c r="Z137" i="9"/>
  <c r="AA136" i="9"/>
  <c r="AB135" i="9"/>
  <c r="AC134" i="9"/>
  <c r="AD133" i="9"/>
  <c r="W132" i="9"/>
  <c r="P131" i="9"/>
  <c r="U128" i="9"/>
  <c r="AH129" i="9"/>
  <c r="AI128" i="9"/>
  <c r="AJ127" i="9"/>
  <c r="AK126" i="9"/>
  <c r="AG139" i="9"/>
  <c r="Z138" i="9"/>
  <c r="K133" i="9"/>
  <c r="J137" i="9"/>
  <c r="K136" i="9"/>
  <c r="L135" i="9"/>
  <c r="M134" i="9"/>
  <c r="N133" i="9"/>
  <c r="G132" i="9"/>
  <c r="AH130" i="9"/>
  <c r="W139" i="9"/>
  <c r="V127" i="9"/>
  <c r="W126" i="9"/>
  <c r="AA139" i="9"/>
  <c r="AB138" i="9"/>
  <c r="U137" i="9"/>
  <c r="N136" i="9"/>
  <c r="O127" i="9"/>
  <c r="AJ132" i="9"/>
  <c r="AK131" i="9"/>
  <c r="AL130" i="9"/>
  <c r="E130" i="9"/>
  <c r="F129" i="9"/>
  <c r="AG127" i="9"/>
  <c r="Z126" i="9"/>
  <c r="AL139" i="9"/>
  <c r="E139" i="9"/>
  <c r="F138" i="9"/>
  <c r="G137" i="9"/>
  <c r="H136" i="9"/>
  <c r="AI134" i="9"/>
  <c r="AB133" i="9"/>
  <c r="U132" i="9"/>
  <c r="AB130" i="9"/>
  <c r="AE129" i="9"/>
  <c r="AJ126" i="9"/>
  <c r="AB137" i="9"/>
  <c r="AF135" i="9"/>
  <c r="M133" i="9"/>
  <c r="V134" i="9"/>
  <c r="N130" i="9"/>
  <c r="V139" i="9"/>
  <c r="Z135" i="9"/>
  <c r="AD131" i="9"/>
  <c r="AH127" i="9"/>
  <c r="H137" i="9"/>
  <c r="AE139" i="9"/>
  <c r="U126" i="9"/>
  <c r="S129" i="9"/>
  <c r="AI131" i="9"/>
  <c r="AI129" i="9"/>
  <c r="AK138" i="9"/>
  <c r="X135" i="9"/>
  <c r="AI127" i="9"/>
  <c r="U135" i="9"/>
  <c r="T128" i="9"/>
  <c r="U127" i="9"/>
  <c r="V126" i="9"/>
  <c r="Z139" i="9"/>
  <c r="S138" i="9"/>
  <c r="L137" i="9"/>
  <c r="AG134" i="9"/>
  <c r="AD135" i="9"/>
  <c r="AE134" i="9"/>
  <c r="AF133" i="9"/>
  <c r="AG132" i="9"/>
  <c r="AH131" i="9"/>
  <c r="AA130" i="9"/>
  <c r="T129" i="9"/>
  <c r="M128" i="9"/>
  <c r="AL127" i="9"/>
  <c r="E127" i="9"/>
  <c r="F126" i="9"/>
  <c r="J139" i="9"/>
  <c r="AK137" i="9"/>
  <c r="AD136" i="9"/>
  <c r="G131" i="9"/>
  <c r="N135" i="9"/>
  <c r="O134" i="9"/>
  <c r="P133" i="9"/>
  <c r="Q132" i="9"/>
  <c r="R131" i="9"/>
  <c r="K130" i="9"/>
  <c r="AL128" i="9"/>
  <c r="AA133" i="9"/>
  <c r="AC139" i="9"/>
  <c r="AD138" i="9"/>
  <c r="AE137" i="9"/>
  <c r="AF136" i="9"/>
  <c r="Y135" i="9"/>
  <c r="R134" i="9"/>
  <c r="I138" i="9"/>
  <c r="F131" i="9"/>
  <c r="G130" i="9"/>
  <c r="H129" i="9"/>
  <c r="I128" i="9"/>
  <c r="J127" i="9"/>
  <c r="AF139" i="9"/>
  <c r="AA129" i="9"/>
  <c r="H138" i="9"/>
  <c r="I137" i="9"/>
  <c r="J136" i="9"/>
  <c r="K135" i="9"/>
  <c r="L134" i="9"/>
  <c r="E133" i="9"/>
  <c r="AF131" i="9"/>
  <c r="M132" i="9"/>
  <c r="U129" i="9"/>
  <c r="AF128" i="9"/>
  <c r="X139" i="9"/>
  <c r="Y138" i="9"/>
  <c r="U136" i="9"/>
  <c r="F132" i="9"/>
  <c r="W133" i="9"/>
  <c r="L132" i="9"/>
  <c r="P128" i="9"/>
  <c r="W138" i="9"/>
  <c r="AC128" i="9"/>
  <c r="AG128" i="9"/>
  <c r="F139" i="9"/>
  <c r="J135" i="9"/>
  <c r="R129" i="9"/>
  <c r="Q139" i="9"/>
  <c r="AF134" i="9"/>
  <c r="AC129" i="9"/>
  <c r="AE136" i="9"/>
  <c r="AI138" i="9"/>
  <c r="X126" i="9"/>
  <c r="AB139" i="9"/>
  <c r="AC138" i="9"/>
  <c r="AD137" i="9"/>
  <c r="W136" i="9"/>
  <c r="P135" i="9"/>
  <c r="AC132" i="9"/>
  <c r="AH133" i="9"/>
  <c r="AI132" i="9"/>
  <c r="AJ131" i="9"/>
  <c r="AK130" i="9"/>
  <c r="AL129" i="9"/>
  <c r="AE128" i="9"/>
  <c r="X127" i="9"/>
  <c r="S137" i="9"/>
  <c r="H126" i="9"/>
  <c r="L139" i="9"/>
  <c r="M138" i="9"/>
  <c r="N137" i="9"/>
  <c r="G136" i="9"/>
  <c r="AH134" i="9"/>
  <c r="AK128" i="9"/>
  <c r="R133" i="9"/>
  <c r="S132" i="9"/>
  <c r="T131" i="9"/>
  <c r="U130" i="9"/>
  <c r="V129" i="9"/>
  <c r="O128" i="9"/>
  <c r="H127" i="9"/>
  <c r="AF138" i="9"/>
  <c r="AG137" i="9"/>
  <c r="AH136" i="9"/>
  <c r="AI135" i="9"/>
  <c r="AJ134" i="9"/>
  <c r="AC133" i="9"/>
  <c r="V132" i="9"/>
  <c r="AI137" i="9"/>
  <c r="J129" i="9"/>
  <c r="K128" i="9"/>
  <c r="L127" i="9"/>
  <c r="M126" i="9"/>
  <c r="I139" i="9"/>
  <c r="AJ137" i="9"/>
  <c r="W127" i="9"/>
  <c r="L136" i="9"/>
  <c r="M135" i="9"/>
  <c r="N134" i="9"/>
  <c r="O133" i="9"/>
  <c r="P132" i="9"/>
  <c r="I131" i="9"/>
  <c r="AJ129" i="9"/>
  <c r="E132" i="9"/>
  <c r="N128" i="9"/>
  <c r="Y127" i="9"/>
  <c r="AE127" i="9"/>
  <c r="N138" i="9"/>
  <c r="M139" i="9"/>
  <c r="I134" i="9"/>
  <c r="X132" i="9"/>
  <c r="M131" i="9"/>
  <c r="I127" i="9"/>
  <c r="X137" i="9"/>
  <c r="S134" i="9"/>
  <c r="AE130" i="9"/>
  <c r="AA126" i="9"/>
  <c r="G138" i="9"/>
  <c r="AK133" i="9"/>
  <c r="S128" i="9"/>
  <c r="AG133" i="9"/>
  <c r="AJ130" i="9"/>
  <c r="AF126" i="9"/>
  <c r="AL137" i="9"/>
  <c r="AA131" i="9"/>
  <c r="T134" i="9"/>
  <c r="AE138" i="9"/>
  <c r="AF137" i="9"/>
  <c r="AG136" i="9"/>
  <c r="AH135" i="9"/>
  <c r="AA134" i="9"/>
  <c r="T133" i="9"/>
  <c r="Y130" i="9"/>
  <c r="AL131" i="9"/>
  <c r="E131" i="9"/>
  <c r="F130" i="9"/>
  <c r="G129" i="9"/>
  <c r="H128" i="9"/>
  <c r="AI126" i="9"/>
  <c r="K137" i="9"/>
  <c r="N139" i="9"/>
  <c r="O138" i="9"/>
  <c r="P137" i="9"/>
  <c r="Q136" i="9"/>
  <c r="R135" i="9"/>
  <c r="K134" i="9"/>
  <c r="AL132" i="9"/>
  <c r="AG126" i="9"/>
  <c r="V131" i="9"/>
  <c r="W130" i="9"/>
  <c r="X129" i="9"/>
  <c r="Y128" i="9"/>
  <c r="Z127" i="9"/>
  <c r="S126" i="9"/>
  <c r="S133" i="9"/>
  <c r="AJ136" i="9"/>
  <c r="AK135" i="9"/>
  <c r="AL134" i="9"/>
  <c r="E134" i="9"/>
  <c r="F133" i="9"/>
  <c r="AG131" i="9"/>
  <c r="Z130" i="9"/>
  <c r="AA137" i="9"/>
  <c r="N127" i="9"/>
  <c r="O126" i="9"/>
  <c r="S139" i="9"/>
  <c r="T138" i="9"/>
  <c r="M137" i="9"/>
  <c r="F136" i="9"/>
  <c r="Q138" i="9"/>
  <c r="P134" i="9"/>
  <c r="Q133" i="9"/>
  <c r="R132" i="9"/>
  <c r="S131" i="9"/>
  <c r="T130" i="9"/>
  <c r="M129" i="9"/>
  <c r="F128" i="9"/>
  <c r="I126" i="9"/>
  <c r="E128" i="9"/>
  <c r="R126" i="9"/>
  <c r="AJ128" i="9"/>
  <c r="F127" i="9"/>
  <c r="P138" i="9"/>
  <c r="I135" i="9"/>
  <c r="Q131" i="9"/>
  <c r="AC136" i="10"/>
  <c r="AH134" i="10"/>
  <c r="AG138" i="10"/>
  <c r="W131" i="10"/>
  <c r="I126" i="10"/>
  <c r="AJ129" i="10"/>
  <c r="AE128" i="10"/>
  <c r="K134" i="10"/>
  <c r="AA138" i="10"/>
  <c r="AL129" i="10"/>
  <c r="R135" i="10"/>
  <c r="AH139" i="10"/>
  <c r="AK130" i="10"/>
  <c r="Q136" i="10"/>
  <c r="AD126" i="10"/>
  <c r="AJ131" i="10"/>
  <c r="P137" i="10"/>
  <c r="AC127" i="10"/>
  <c r="AI132" i="10"/>
  <c r="O138" i="10"/>
  <c r="AB128" i="10"/>
  <c r="AH133" i="10"/>
  <c r="N139" i="10"/>
  <c r="AA137" i="10"/>
  <c r="AF135" i="10"/>
  <c r="T129" i="10"/>
  <c r="S133" i="10"/>
  <c r="G127" i="10"/>
  <c r="Z134" i="10"/>
  <c r="M129" i="10"/>
  <c r="S134" i="10"/>
  <c r="AG139" i="10"/>
  <c r="T130" i="10"/>
  <c r="Z135" i="10"/>
  <c r="AK126" i="10"/>
  <c r="S131" i="10"/>
  <c r="Y136" i="10"/>
  <c r="AJ127" i="10"/>
  <c r="R132" i="10"/>
  <c r="X137" i="10"/>
  <c r="AI128" i="10"/>
  <c r="Q133" i="10"/>
  <c r="W138" i="10"/>
  <c r="AH129" i="10"/>
  <c r="P134" i="10"/>
  <c r="V139" i="10"/>
  <c r="AK132" i="10"/>
  <c r="AB137" i="10"/>
  <c r="R130" i="10"/>
  <c r="I138" i="10"/>
  <c r="AK128" i="10"/>
  <c r="X135" i="10"/>
  <c r="S130" i="10"/>
  <c r="AI134" i="10"/>
  <c r="L126" i="10"/>
  <c r="Z131" i="10"/>
  <c r="H136" i="10"/>
  <c r="K127" i="10"/>
  <c r="Y132" i="10"/>
  <c r="G137" i="10"/>
  <c r="J128" i="10"/>
  <c r="X133" i="10"/>
  <c r="F138" i="10"/>
  <c r="I129" i="10"/>
  <c r="W134" i="10"/>
  <c r="E139" i="10"/>
  <c r="H130" i="10"/>
  <c r="V135" i="10"/>
  <c r="AL139" i="10"/>
  <c r="K129" i="10"/>
  <c r="J130" i="10"/>
  <c r="AK136" i="10"/>
  <c r="Y130" i="10"/>
  <c r="P135" i="10"/>
  <c r="F128" i="10"/>
  <c r="W128" i="10"/>
  <c r="E133" i="10"/>
  <c r="K138" i="10"/>
  <c r="AD129" i="10"/>
  <c r="L134" i="10"/>
  <c r="R139" i="10"/>
  <c r="AC130" i="10"/>
  <c r="K135" i="10"/>
  <c r="N126" i="10"/>
  <c r="AB131" i="10"/>
  <c r="J136" i="10"/>
  <c r="M127" i="10"/>
  <c r="AA132" i="10"/>
  <c r="I137" i="10"/>
  <c r="L128" i="10"/>
  <c r="Z133" i="10"/>
  <c r="H138" i="10"/>
  <c r="Q126" i="10"/>
  <c r="U128" i="10"/>
  <c r="N132" i="10"/>
  <c r="G139" i="10"/>
  <c r="AA133" i="10"/>
  <c r="T137" i="10"/>
  <c r="AA130" i="10"/>
  <c r="G136" i="10"/>
  <c r="AB126" i="10"/>
  <c r="AH131" i="10"/>
  <c r="N137" i="10"/>
  <c r="AA127" i="10"/>
  <c r="AG132" i="10"/>
  <c r="M138" i="10"/>
  <c r="Z128" i="10"/>
  <c r="AF133" i="10"/>
  <c r="L139" i="10"/>
  <c r="Y129" i="10"/>
  <c r="AE134" i="10"/>
  <c r="H126" i="10"/>
  <c r="X130" i="10"/>
  <c r="AD135" i="10"/>
  <c r="O127" i="10"/>
  <c r="S129" i="10"/>
  <c r="AL136" i="10"/>
  <c r="AF127" i="10"/>
  <c r="Y134" i="10"/>
  <c r="AA126" i="10"/>
  <c r="I131" i="10"/>
  <c r="O136" i="10"/>
  <c r="AH127" i="10"/>
  <c r="P132" i="10"/>
  <c r="V137" i="10"/>
  <c r="AG128" i="10"/>
  <c r="O133" i="10"/>
  <c r="U138" i="10"/>
  <c r="AF129" i="10"/>
  <c r="N134" i="10"/>
  <c r="T139" i="10"/>
  <c r="AE130" i="10"/>
  <c r="M135" i="10"/>
  <c r="P126" i="10"/>
  <c r="AD131" i="10"/>
  <c r="L136" i="10"/>
  <c r="P127" i="10"/>
  <c r="O131" i="10"/>
  <c r="AJ137" i="10"/>
  <c r="V132" i="10"/>
  <c r="U136" i="10"/>
  <c r="AI126" i="10"/>
  <c r="O132" i="10"/>
  <c r="AE136" i="10"/>
  <c r="H128" i="10"/>
  <c r="V133" i="10"/>
  <c r="AL137" i="10"/>
  <c r="G129" i="10"/>
  <c r="U134" i="10"/>
  <c r="AK138" i="10"/>
  <c r="F130" i="10"/>
  <c r="T135" i="10"/>
  <c r="AJ139" i="10"/>
  <c r="E131" i="10"/>
  <c r="S136" i="10"/>
  <c r="AF126" i="10"/>
  <c r="AL131" i="10"/>
  <c r="R137" i="10"/>
  <c r="N128" i="10"/>
  <c r="E136" i="10"/>
  <c r="AF139" i="10"/>
  <c r="T133" i="10"/>
  <c r="H127" i="10"/>
  <c r="Q127" i="10"/>
  <c r="W132" i="10"/>
  <c r="AK137" i="10"/>
  <c r="X128" i="10"/>
  <c r="AD133" i="10"/>
  <c r="J139" i="10"/>
  <c r="W129" i="10"/>
  <c r="AC134" i="10"/>
  <c r="F126" i="10"/>
  <c r="V130" i="10"/>
  <c r="AB135" i="10"/>
  <c r="E127" i="10"/>
  <c r="U131" i="10"/>
  <c r="AA136" i="10"/>
  <c r="AL127" i="10"/>
  <c r="T132" i="10"/>
  <c r="Z137" i="10"/>
  <c r="I130" i="10"/>
  <c r="AI133" i="10"/>
  <c r="L129" i="10"/>
  <c r="AD136" i="10"/>
  <c r="Q130" i="10"/>
  <c r="AI137" i="10"/>
  <c r="P131" i="10"/>
  <c r="AH138" i="10"/>
  <c r="U132" i="10"/>
  <c r="AH126" i="10"/>
  <c r="R134" i="10"/>
  <c r="E128" i="10"/>
  <c r="W135" i="10"/>
  <c r="AL128" i="10"/>
  <c r="V136" i="10"/>
  <c r="I127" i="10"/>
  <c r="E129" i="10"/>
  <c r="AI130" i="10"/>
  <c r="AE132" i="10"/>
  <c r="AA134" i="10"/>
  <c r="W136" i="10"/>
  <c r="S138" i="10"/>
  <c r="T126" i="10"/>
  <c r="P128" i="10"/>
  <c r="L130" i="10"/>
  <c r="H132" i="10"/>
  <c r="AL133" i="10"/>
  <c r="AH135" i="10"/>
  <c r="AD137" i="10"/>
  <c r="Z139" i="10"/>
  <c r="S127" i="10"/>
  <c r="O129" i="10"/>
  <c r="K131" i="10"/>
  <c r="G133" i="10"/>
  <c r="AK134" i="10"/>
  <c r="AG136" i="10"/>
  <c r="AC138" i="10"/>
  <c r="V126" i="10"/>
  <c r="R128" i="10"/>
  <c r="N130" i="10"/>
  <c r="J132" i="10"/>
  <c r="F134" i="10"/>
  <c r="AJ135" i="10"/>
  <c r="AF137" i="10"/>
  <c r="AB139" i="10"/>
  <c r="U127" i="10"/>
  <c r="Q129" i="10"/>
  <c r="M131" i="10"/>
  <c r="I133" i="10"/>
  <c r="E135" i="10"/>
  <c r="AI136" i="10"/>
  <c r="AE138" i="10"/>
  <c r="X126" i="10"/>
  <c r="T128" i="10"/>
  <c r="P130" i="10"/>
  <c r="L132" i="10"/>
  <c r="H134" i="10"/>
  <c r="AL135" i="10"/>
  <c r="AH137" i="10"/>
  <c r="AD139" i="10"/>
  <c r="G131" i="10"/>
  <c r="AG134" i="10"/>
  <c r="H131" i="10"/>
  <c r="Z138" i="10"/>
  <c r="M132" i="10"/>
  <c r="AE139" i="10"/>
  <c r="L133" i="10"/>
  <c r="AG126" i="10"/>
  <c r="Q134" i="10"/>
  <c r="AD128" i="10"/>
  <c r="N136" i="10"/>
  <c r="AI129" i="10"/>
  <c r="S137" i="10"/>
  <c r="AH130" i="10"/>
  <c r="R138" i="10"/>
  <c r="Y127" i="10"/>
  <c r="U129" i="10"/>
  <c r="Q131" i="10"/>
  <c r="M133" i="10"/>
  <c r="I135" i="10"/>
  <c r="E137" i="10"/>
  <c r="AI138" i="10"/>
  <c r="AJ126" i="10"/>
  <c r="AF128" i="10"/>
  <c r="AB130" i="10"/>
  <c r="X132" i="10"/>
  <c r="T134" i="10"/>
  <c r="P136" i="10"/>
  <c r="L138" i="10"/>
  <c r="E126" i="10"/>
  <c r="AI127" i="10"/>
  <c r="AE129" i="10"/>
  <c r="AA131" i="10"/>
  <c r="W133" i="10"/>
  <c r="S135" i="10"/>
  <c r="O137" i="10"/>
  <c r="K139" i="10"/>
  <c r="AL126" i="10"/>
  <c r="AH128" i="10"/>
  <c r="AD130" i="10"/>
  <c r="Z132" i="10"/>
  <c r="V134" i="10"/>
  <c r="R136" i="10"/>
  <c r="N138" i="10"/>
  <c r="G126" i="10"/>
  <c r="AK127" i="10"/>
  <c r="AG129" i="10"/>
  <c r="AC131" i="10"/>
  <c r="Y133" i="10"/>
  <c r="U135" i="10"/>
  <c r="Q137" i="10"/>
  <c r="M139" i="10"/>
  <c r="F127" i="10"/>
  <c r="AJ128" i="10"/>
  <c r="AF130" i="10"/>
  <c r="AB132" i="10"/>
  <c r="X134" i="10"/>
  <c r="T136" i="10"/>
  <c r="P138" i="10"/>
  <c r="Y138" i="10"/>
  <c r="M128" i="10"/>
  <c r="F132" i="10"/>
  <c r="X139" i="10"/>
  <c r="K133" i="10"/>
  <c r="Z126" i="10"/>
  <c r="J134" i="10"/>
  <c r="AE127" i="10"/>
  <c r="O135" i="10"/>
  <c r="AB129" i="10"/>
  <c r="L137" i="10"/>
  <c r="AG130" i="10"/>
  <c r="Q138" i="10"/>
  <c r="AF131" i="10"/>
  <c r="P139" i="10"/>
  <c r="AG127" i="10"/>
  <c r="AC129" i="10"/>
  <c r="Y131" i="10"/>
  <c r="U133" i="10"/>
  <c r="Q135" i="10"/>
  <c r="M137" i="10"/>
  <c r="I139" i="10"/>
  <c r="J127" i="10"/>
  <c r="F129" i="10"/>
  <c r="AJ130" i="10"/>
  <c r="AF132" i="10"/>
  <c r="AB134" i="10"/>
  <c r="X136" i="10"/>
  <c r="T138" i="10"/>
  <c r="M126" i="10"/>
  <c r="I128" i="10"/>
  <c r="E130" i="10"/>
  <c r="AI131" i="10"/>
  <c r="AE133" i="10"/>
  <c r="AA135" i="10"/>
  <c r="W137" i="10"/>
  <c r="S139" i="10"/>
  <c r="L127" i="10"/>
  <c r="H129" i="10"/>
  <c r="AL130" i="10"/>
  <c r="AH132" i="10"/>
  <c r="AD134" i="10"/>
  <c r="Z136" i="10"/>
  <c r="V138" i="10"/>
  <c r="O126" i="10"/>
  <c r="K128" i="10"/>
  <c r="G130" i="10"/>
  <c r="AK131" i="10"/>
  <c r="AG133" i="10"/>
  <c r="AC135" i="10"/>
  <c r="Y137" i="10"/>
  <c r="U139" i="10"/>
  <c r="N127" i="10"/>
  <c r="J129" i="10"/>
  <c r="F131" i="10"/>
  <c r="AJ132" i="10"/>
  <c r="AF134" i="10"/>
  <c r="AB136" i="10"/>
  <c r="X138" i="10"/>
  <c r="E132" i="10"/>
  <c r="AE135" i="10"/>
  <c r="AL132" i="10"/>
  <c r="Y126" i="10"/>
  <c r="I134" i="10"/>
  <c r="X127" i="10"/>
  <c r="H135" i="10"/>
  <c r="AC128" i="10"/>
  <c r="M136" i="10"/>
  <c r="Z130" i="10"/>
  <c r="J138" i="10"/>
  <c r="AE131" i="10"/>
  <c r="O139" i="10"/>
  <c r="AD132" i="10"/>
  <c r="K126" i="10"/>
  <c r="G128" i="10"/>
  <c r="AK129" i="10"/>
  <c r="AG131" i="10"/>
  <c r="AC133" i="10"/>
  <c r="Y135" i="10"/>
  <c r="U137" i="10"/>
  <c r="Q139" i="10"/>
  <c r="R127" i="10"/>
  <c r="N129" i="10"/>
  <c r="J131" i="10"/>
  <c r="F133" i="10"/>
  <c r="AJ134" i="10"/>
  <c r="AF136" i="10"/>
  <c r="AB138" i="10"/>
  <c r="U126" i="10"/>
  <c r="Q128" i="10"/>
  <c r="M130" i="10"/>
  <c r="I132" i="10"/>
  <c r="E134" i="10"/>
  <c r="AI135" i="10"/>
  <c r="AE137" i="10"/>
  <c r="AA139" i="10"/>
  <c r="T127" i="10"/>
  <c r="P129" i="10"/>
  <c r="L131" i="10"/>
  <c r="H133" i="10"/>
  <c r="AL134" i="10"/>
  <c r="AH136" i="10"/>
  <c r="AD138" i="10"/>
  <c r="W126" i="10"/>
  <c r="S128" i="10"/>
  <c r="O130" i="10"/>
  <c r="K132" i="10"/>
  <c r="G134" i="10"/>
  <c r="AK135" i="10"/>
  <c r="AG137" i="10"/>
  <c r="AC139" i="10"/>
  <c r="V127" i="10"/>
  <c r="R129" i="10"/>
  <c r="N131" i="10"/>
  <c r="J133" i="10"/>
  <c r="F135" i="10"/>
  <c r="AJ136" i="10"/>
  <c r="AF138" i="10"/>
  <c r="W139" i="10"/>
  <c r="R126" i="10"/>
  <c r="AJ133" i="10"/>
  <c r="W127" i="10"/>
  <c r="G135" i="10"/>
  <c r="V128" i="10"/>
  <c r="F136" i="10"/>
  <c r="AA129" i="10"/>
  <c r="K137" i="10"/>
  <c r="X131" i="10"/>
  <c r="H139" i="10"/>
  <c r="AC132" i="10"/>
  <c r="J126" i="10"/>
  <c r="AB133" i="10"/>
  <c r="S126" i="10"/>
  <c r="O128" i="10"/>
  <c r="K130" i="10"/>
  <c r="G132" i="10"/>
  <c r="AK133" i="10"/>
  <c r="AG135" i="10"/>
  <c r="AC137" i="10"/>
  <c r="Y139" i="10"/>
  <c r="Z127" i="10"/>
  <c r="V129" i="10"/>
  <c r="R131" i="10"/>
  <c r="N133" i="10"/>
  <c r="J135" i="10"/>
  <c r="F137" i="10"/>
  <c r="AJ138" i="10"/>
  <c r="AC126" i="10"/>
  <c r="Y128" i="10"/>
  <c r="U130" i="10"/>
  <c r="Q132" i="10"/>
  <c r="M134" i="10"/>
  <c r="I136" i="10"/>
  <c r="E138" i="10"/>
  <c r="AI139" i="10"/>
  <c r="AB127" i="10"/>
  <c r="X129" i="10"/>
  <c r="T131" i="10"/>
  <c r="P133" i="10"/>
  <c r="L135" i="10"/>
  <c r="H137" i="10"/>
  <c r="AL138" i="10"/>
  <c r="AE126" i="10"/>
  <c r="AA128" i="10"/>
  <c r="W130" i="10"/>
  <c r="S132" i="10"/>
  <c r="O134" i="10"/>
  <c r="K136" i="10"/>
  <c r="G138" i="10"/>
  <c r="AK139" i="10"/>
  <c r="AD127" i="10"/>
  <c r="Z129" i="10"/>
  <c r="V131" i="10"/>
  <c r="R133" i="10"/>
  <c r="N135" i="10"/>
  <c r="J137" i="10"/>
  <c r="F120" i="4" l="1"/>
  <c r="B119" i="4"/>
  <c r="B118" i="4"/>
  <c r="E127" i="4" l="1" a="1"/>
  <c r="V140" i="4" s="1"/>
  <c r="E134" i="4" l="1"/>
  <c r="T131" i="4"/>
  <c r="AE134" i="4"/>
  <c r="S129" i="4"/>
  <c r="Y138" i="4"/>
  <c r="I127" i="4"/>
  <c r="P140" i="4"/>
  <c r="I136" i="4"/>
  <c r="AC128" i="4"/>
  <c r="F132" i="4"/>
  <c r="Z131" i="4"/>
  <c r="O131" i="4"/>
  <c r="AG136" i="4"/>
  <c r="AE127" i="4"/>
  <c r="Q127" i="4"/>
  <c r="AD132" i="4"/>
  <c r="AJ132" i="4"/>
  <c r="X131" i="4"/>
  <c r="AL140" i="4"/>
  <c r="AK139" i="4"/>
  <c r="G138" i="4"/>
  <c r="AF129" i="4"/>
  <c r="U133" i="4"/>
  <c r="U137" i="4"/>
  <c r="E137" i="4"/>
  <c r="AL138" i="4"/>
  <c r="E136" i="4"/>
  <c r="I135" i="4"/>
  <c r="Z129" i="4"/>
  <c r="AF131" i="4"/>
  <c r="S140" i="4"/>
  <c r="AJ133" i="4"/>
  <c r="Z127" i="4"/>
  <c r="AL131" i="4"/>
  <c r="V133" i="4"/>
  <c r="R128" i="4"/>
  <c r="AE138" i="4"/>
  <c r="AK136" i="4"/>
  <c r="G132" i="4"/>
  <c r="AC138" i="4"/>
  <c r="Q133" i="4"/>
  <c r="AA129" i="4"/>
  <c r="AA132" i="4"/>
  <c r="K134" i="4"/>
  <c r="AA127" i="4"/>
  <c r="M139" i="4"/>
  <c r="N140" i="4"/>
  <c r="O136" i="4"/>
  <c r="K139" i="4"/>
  <c r="T140" i="4"/>
  <c r="AB140" i="4"/>
  <c r="P129" i="4"/>
  <c r="T139" i="4"/>
  <c r="E135" i="4"/>
  <c r="R134" i="4"/>
  <c r="N127" i="4"/>
  <c r="P133" i="4"/>
  <c r="Q132" i="4"/>
  <c r="M140" i="4"/>
  <c r="W138" i="4"/>
  <c r="Q140" i="4"/>
  <c r="AC130" i="4"/>
  <c r="N136" i="4"/>
  <c r="AH135" i="4"/>
  <c r="Q137" i="4"/>
  <c r="O137" i="4"/>
  <c r="AA134" i="4"/>
  <c r="E133" i="4"/>
  <c r="R133" i="4"/>
  <c r="I128" i="4"/>
  <c r="Z140" i="4"/>
  <c r="P136" i="4"/>
  <c r="F133" i="4"/>
  <c r="AJ134" i="4"/>
  <c r="AF128" i="4"/>
  <c r="AL136" i="4"/>
  <c r="AC137" i="4"/>
  <c r="J137" i="4"/>
  <c r="P139" i="4"/>
  <c r="AD135" i="4"/>
  <c r="X139" i="4"/>
  <c r="J135" i="4"/>
  <c r="V139" i="4"/>
  <c r="R135" i="4"/>
  <c r="F134" i="4"/>
  <c r="T128" i="4"/>
  <c r="AG138" i="4"/>
  <c r="AL129" i="4"/>
  <c r="Y140" i="4"/>
  <c r="E139" i="4"/>
  <c r="S133" i="4"/>
  <c r="K140" i="4"/>
  <c r="S134" i="4"/>
  <c r="K135" i="4"/>
  <c r="AF130" i="4"/>
  <c r="E127" i="4"/>
  <c r="Y131" i="4"/>
  <c r="AL130" i="4"/>
  <c r="M128" i="4"/>
  <c r="AB130" i="4"/>
  <c r="H137" i="4"/>
  <c r="Y136" i="4"/>
  <c r="AL139" i="4"/>
  <c r="AG129" i="4"/>
  <c r="S139" i="4"/>
  <c r="AH136" i="4"/>
  <c r="T137" i="4"/>
  <c r="AI136" i="4"/>
  <c r="U131" i="4"/>
  <c r="Y127" i="4"/>
  <c r="X140" i="4"/>
  <c r="X132" i="4"/>
  <c r="I134" i="4"/>
  <c r="K132" i="4"/>
  <c r="G134" i="4"/>
  <c r="W137" i="4"/>
  <c r="M133" i="4"/>
  <c r="P137" i="4"/>
  <c r="T138" i="4"/>
  <c r="G140" i="4"/>
  <c r="N129" i="4"/>
  <c r="P131" i="4"/>
  <c r="S130" i="4"/>
  <c r="Z137" i="4"/>
  <c r="AE130" i="4"/>
  <c r="AJ138" i="4"/>
  <c r="O140" i="4"/>
  <c r="J139" i="4"/>
  <c r="AJ135" i="4"/>
  <c r="P130" i="4"/>
  <c r="AC140" i="4"/>
  <c r="Z135" i="4"/>
  <c r="V130" i="4"/>
  <c r="AI140" i="4"/>
  <c r="O135" i="4"/>
  <c r="N139" i="4"/>
  <c r="U129" i="4"/>
  <c r="G137" i="4"/>
  <c r="P138" i="4"/>
  <c r="R137" i="4"/>
  <c r="AC133" i="4"/>
  <c r="V138" i="4"/>
  <c r="AI133" i="4"/>
  <c r="Y139" i="4"/>
  <c r="Q130" i="4"/>
  <c r="J130" i="4"/>
  <c r="AF139" i="4"/>
  <c r="H127" i="4"/>
  <c r="S132" i="4"/>
  <c r="AA128" i="4"/>
  <c r="X127" i="4"/>
  <c r="U128" i="4"/>
  <c r="AI139" i="4"/>
  <c r="M134" i="4"/>
  <c r="T134" i="4"/>
  <c r="AH138" i="4"/>
  <c r="N133" i="4"/>
  <c r="O127" i="4"/>
  <c r="V135" i="4"/>
  <c r="Q136" i="4"/>
  <c r="W140" i="4"/>
  <c r="K127" i="4"/>
  <c r="AF137" i="4"/>
  <c r="AL135" i="4"/>
  <c r="R130" i="4"/>
  <c r="V137" i="4"/>
  <c r="R132" i="4"/>
  <c r="AB128" i="4"/>
  <c r="AK140" i="4"/>
  <c r="I139" i="4"/>
  <c r="AC129" i="4"/>
  <c r="AH128" i="4"/>
  <c r="L140" i="4"/>
  <c r="S138" i="4"/>
  <c r="X128" i="4"/>
  <c r="R140" i="4"/>
  <c r="P127" i="4"/>
  <c r="X129" i="4"/>
  <c r="N135" i="4"/>
  <c r="AJ129" i="4"/>
  <c r="K131" i="4"/>
  <c r="AE129" i="4"/>
  <c r="J133" i="4"/>
  <c r="AA136" i="4"/>
  <c r="F139" i="4"/>
  <c r="AF136" i="4"/>
  <c r="AI134" i="4"/>
  <c r="V131" i="4"/>
  <c r="N131" i="4"/>
  <c r="H140" i="4"/>
  <c r="J131" i="4"/>
  <c r="Q128" i="4"/>
  <c r="AI131" i="4"/>
  <c r="R127" i="4"/>
  <c r="Q134" i="4"/>
  <c r="AE139" i="4"/>
  <c r="S128" i="4"/>
  <c r="W128" i="4"/>
  <c r="T135" i="4"/>
  <c r="AB138" i="4"/>
  <c r="U130" i="4"/>
  <c r="AI128" i="4"/>
  <c r="AJ131" i="4"/>
  <c r="AK132" i="4"/>
  <c r="G127" i="4"/>
  <c r="J128" i="4"/>
  <c r="AE140" i="4"/>
  <c r="AG132" i="4"/>
  <c r="U127" i="4"/>
  <c r="AH137" i="4"/>
  <c r="N132" i="4"/>
  <c r="R139" i="4"/>
  <c r="F138" i="4"/>
  <c r="T132" i="4"/>
  <c r="AD128" i="4"/>
  <c r="R131" i="4"/>
  <c r="AG131" i="4"/>
  <c r="R136" i="4"/>
  <c r="AE131" i="4"/>
  <c r="O128" i="4"/>
  <c r="H136" i="4"/>
  <c r="AK131" i="4"/>
  <c r="L129" i="4"/>
  <c r="AJ130" i="4"/>
  <c r="W136" i="4"/>
  <c r="Z133" i="4"/>
  <c r="O132" i="4"/>
  <c r="AC127" i="4"/>
  <c r="AL133" i="4"/>
  <c r="E140" i="4"/>
  <c r="L137" i="4"/>
  <c r="AC139" i="4"/>
  <c r="E138" i="4"/>
  <c r="AG137" i="4"/>
  <c r="AF132" i="4"/>
  <c r="AF127" i="4"/>
  <c r="X136" i="4"/>
  <c r="AJ136" i="4"/>
  <c r="AJ127" i="4"/>
  <c r="AH140" i="4"/>
  <c r="M130" i="4"/>
  <c r="AB131" i="4"/>
  <c r="AH129" i="4"/>
  <c r="AB135" i="4"/>
  <c r="AC136" i="4"/>
  <c r="Y134" i="4"/>
  <c r="M127" i="4"/>
  <c r="K130" i="4"/>
  <c r="AC134" i="4"/>
  <c r="Q129" i="4"/>
  <c r="AD139" i="4"/>
  <c r="AJ137" i="4"/>
  <c r="O129" i="4"/>
  <c r="AJ139" i="4"/>
  <c r="P134" i="4"/>
  <c r="Z130" i="4"/>
  <c r="I129" i="4"/>
  <c r="G136" i="4"/>
  <c r="N138" i="4"/>
  <c r="O139" i="4"/>
  <c r="U134" i="4"/>
  <c r="AL137" i="4"/>
  <c r="U139" i="4"/>
  <c r="AH134" i="4"/>
  <c r="J140" i="4"/>
  <c r="AH139" i="4"/>
  <c r="L127" i="4"/>
  <c r="K128" i="4"/>
  <c r="J129" i="4"/>
  <c r="I130" i="4"/>
  <c r="H131" i="4"/>
  <c r="AD137" i="4"/>
  <c r="AK138" i="4"/>
  <c r="F127" i="4"/>
  <c r="E128" i="4"/>
  <c r="AL128" i="4"/>
  <c r="O138" i="4"/>
  <c r="V129" i="4"/>
  <c r="AK129" i="4"/>
  <c r="AG135" i="4"/>
  <c r="AD138" i="4"/>
  <c r="T133" i="4"/>
  <c r="AE133" i="4"/>
  <c r="AJ140" i="4"/>
  <c r="I132" i="4"/>
  <c r="Y135" i="4"/>
  <c r="L135" i="4"/>
  <c r="P135" i="4"/>
  <c r="W130" i="4"/>
  <c r="K138" i="4"/>
  <c r="R129" i="4"/>
  <c r="AB127" i="4"/>
  <c r="AG139" i="4"/>
  <c r="AA139" i="4"/>
  <c r="T129" i="4"/>
  <c r="AA135" i="4"/>
  <c r="AB134" i="4"/>
  <c r="K136" i="4"/>
  <c r="S136" i="4"/>
  <c r="AA138" i="4"/>
  <c r="AI132" i="4"/>
  <c r="G131" i="4"/>
  <c r="AB137" i="4"/>
  <c r="F128" i="4"/>
  <c r="Y132" i="4"/>
  <c r="L128" i="4"/>
  <c r="G128" i="4"/>
  <c r="N137" i="4"/>
  <c r="U138" i="4"/>
  <c r="AB139" i="4"/>
  <c r="AA140" i="4"/>
  <c r="W127" i="4"/>
  <c r="V128" i="4"/>
  <c r="K129" i="4"/>
  <c r="S127" i="4"/>
  <c r="Z128" i="4"/>
  <c r="Y129" i="4"/>
  <c r="X130" i="4"/>
  <c r="W131" i="4"/>
  <c r="V132" i="4"/>
  <c r="AB133" i="4"/>
  <c r="AG127" i="4"/>
  <c r="AK133" i="4"/>
  <c r="Z139" i="4"/>
  <c r="AG140" i="4"/>
  <c r="AK127" i="4"/>
  <c r="AJ128" i="4"/>
  <c r="AI129" i="4"/>
  <c r="AH130" i="4"/>
  <c r="AD131" i="4"/>
  <c r="F137" i="4"/>
  <c r="H128" i="4"/>
  <c r="AK137" i="4"/>
  <c r="AI127" i="4"/>
  <c r="H129" i="4"/>
  <c r="G130" i="4"/>
  <c r="F131" i="4"/>
  <c r="E132" i="4"/>
  <c r="AL132" i="4"/>
  <c r="AF134" i="4"/>
  <c r="M137" i="4"/>
  <c r="V127" i="4"/>
  <c r="E130" i="4"/>
  <c r="I138" i="4"/>
  <c r="U132" i="4"/>
  <c r="O134" i="4"/>
  <c r="Q139" i="4"/>
  <c r="AK135" i="4"/>
  <c r="AI135" i="4"/>
  <c r="Y130" i="4"/>
  <c r="AK128" i="4"/>
  <c r="AG128" i="4"/>
  <c r="H130" i="4"/>
  <c r="U140" i="4"/>
  <c r="W134" i="4"/>
  <c r="AA130" i="4"/>
  <c r="AF133" i="4"/>
  <c r="AF135" i="4"/>
  <c r="AH127" i="4"/>
  <c r="G129" i="4"/>
  <c r="N130" i="4"/>
  <c r="M131" i="4"/>
  <c r="L132" i="4"/>
  <c r="K133" i="4"/>
  <c r="J134" i="4"/>
  <c r="AH131" i="4"/>
  <c r="G133" i="4"/>
  <c r="N134" i="4"/>
  <c r="M135" i="4"/>
  <c r="L136" i="4"/>
  <c r="K137" i="4"/>
  <c r="J138" i="4"/>
  <c r="AF140" i="4"/>
  <c r="E129" i="4"/>
  <c r="L130" i="4"/>
  <c r="S131" i="4"/>
  <c r="Z132" i="4"/>
  <c r="Y133" i="4"/>
  <c r="X134" i="4"/>
  <c r="W135" i="4"/>
  <c r="V136" i="4"/>
  <c r="Q138" i="4"/>
  <c r="E131" i="4"/>
  <c r="I131" i="4"/>
  <c r="P132" i="4"/>
  <c r="W133" i="4"/>
  <c r="AD134" i="4"/>
  <c r="AC135" i="4"/>
  <c r="AB136" i="4"/>
  <c r="AA137" i="4"/>
  <c r="Z138" i="4"/>
  <c r="P128" i="4"/>
  <c r="W129" i="4"/>
  <c r="AD130" i="4"/>
  <c r="AC131" i="4"/>
  <c r="AB132" i="4"/>
  <c r="AA133" i="4"/>
  <c r="Z134" i="4"/>
  <c r="AC132" i="4"/>
  <c r="F130" i="4"/>
  <c r="AI130" i="4"/>
  <c r="T130" i="4"/>
  <c r="AA131" i="4"/>
  <c r="AH132" i="4"/>
  <c r="AG133" i="4"/>
  <c r="AE135" i="4"/>
  <c r="AD136" i="4"/>
  <c r="H133" i="4"/>
  <c r="AE137" i="4"/>
  <c r="AL134" i="4"/>
  <c r="H135" i="4"/>
  <c r="M132" i="4"/>
  <c r="L138" i="4"/>
  <c r="O130" i="4"/>
  <c r="AD140" i="4"/>
  <c r="M136" i="4"/>
  <c r="AF138" i="4"/>
  <c r="X133" i="4"/>
  <c r="J127" i="4"/>
  <c r="L139" i="4"/>
  <c r="AE132" i="4"/>
  <c r="L133" i="4"/>
  <c r="Y128" i="4"/>
  <c r="F135" i="4"/>
  <c r="AG130" i="4"/>
  <c r="Q135" i="4"/>
  <c r="L131" i="4"/>
  <c r="AB129" i="4"/>
  <c r="H139" i="4"/>
  <c r="AE136" i="4"/>
  <c r="AD127" i="4"/>
  <c r="F129" i="4"/>
  <c r="AE128" i="4"/>
  <c r="T127" i="4"/>
  <c r="AI137" i="4"/>
  <c r="U136" i="4"/>
  <c r="M138" i="4"/>
  <c r="AH133" i="4"/>
  <c r="N128" i="4"/>
  <c r="AL127" i="4"/>
  <c r="AI138" i="4"/>
  <c r="X137" i="4"/>
  <c r="W132" i="4"/>
  <c r="AD129" i="4"/>
  <c r="AK130" i="4"/>
  <c r="J132" i="4"/>
  <c r="I133" i="4"/>
  <c r="H134" i="4"/>
  <c r="G135" i="4"/>
  <c r="F136" i="4"/>
  <c r="AD133" i="4"/>
  <c r="AK134" i="4"/>
  <c r="J136" i="4"/>
  <c r="I137" i="4"/>
  <c r="H138" i="4"/>
  <c r="G139" i="4"/>
  <c r="F140" i="4"/>
  <c r="I140" i="4"/>
  <c r="M129" i="4"/>
  <c r="H132" i="4"/>
  <c r="O133" i="4"/>
  <c r="V134" i="4"/>
  <c r="U135" i="4"/>
  <c r="T136" i="4"/>
  <c r="S137" i="4"/>
  <c r="R138" i="4"/>
  <c r="X135" i="4"/>
  <c r="AG134" i="4"/>
  <c r="Q131" i="4"/>
  <c r="L134" i="4"/>
  <c r="S135" i="4"/>
  <c r="Z136" i="4"/>
  <c r="Y137" i="4"/>
  <c r="X138" i="4"/>
  <c r="W13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<sst xmlns="http://schemas.openxmlformats.org/spreadsheetml/2006/main" count="229" uniqueCount="75">
  <si>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</si>
  <si>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</si>
  <si>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</si>
  <si>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</si>
  <si>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</si>
  <si>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</si>
  <si>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</si>
  <si>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</si>
  <si>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</si>
  <si>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</si>
  <si>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Состав смеси в атомных долях</t>
  </si>
  <si>
    <t>Температура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</si>
  <si>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</si>
  <si>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</si>
  <si>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</si>
  <si>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</si>
  <si>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Раствор + газовая без Ar: </t>
  </si>
  <si>
    <t>Реальный расчет</t>
  </si>
  <si>
    <t>H(289)</t>
  </si>
  <si>
    <t>T (K)</t>
  </si>
  <si>
    <t>G(T)-H(0) (J)</t>
  </si>
  <si>
    <t>G(T)-H(298) (J)</t>
  </si>
  <si>
    <t>G(T) (J)</t>
  </si>
  <si>
    <t>Состав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</si>
  <si>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</si>
  <si>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</si>
  <si>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</si>
  <si>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</si>
  <si>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</si>
  <si>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</si>
  <si>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</si>
  <si>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</si>
  <si>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</si>
  <si>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</si>
  <si>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</si>
  <si>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</si>
  <si>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</si>
  <si>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</si>
  <si>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</si>
  <si>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</si>
  <si>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</si>
  <si>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</si>
  <si>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</si>
  <si>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>(l)Ge[l]</t>
  </si>
  <si>
    <t>(l)Ga[l]</t>
  </si>
  <si>
    <t>*Se[m]</t>
  </si>
  <si>
    <t>*Ge[c]</t>
  </si>
  <si>
    <t>*GeSe</t>
  </si>
  <si>
    <t>*Ge</t>
  </si>
  <si>
    <t>(l)SeCl]</t>
  </si>
  <si>
    <t>*Se[l]</t>
  </si>
  <si>
    <t>(l)Se[r]</t>
  </si>
  <si>
    <t>(l)Se[a]</t>
  </si>
  <si>
    <t>(l)Se</t>
  </si>
  <si>
    <t>(l)Ga</t>
  </si>
  <si>
    <t>(l)Ge</t>
  </si>
  <si>
    <t>(l)GeSe</t>
  </si>
  <si>
    <t>Ga2Se3</t>
  </si>
  <si>
    <t>*GeSe2</t>
  </si>
  <si>
    <t>(l)Se[m]</t>
  </si>
  <si>
    <t>Ga2Se</t>
  </si>
  <si>
    <t>Se3</t>
  </si>
  <si>
    <t>Se4</t>
  </si>
  <si>
    <t>Se5</t>
  </si>
  <si>
    <t>Se6</t>
  </si>
  <si>
    <t>Se8</t>
  </si>
  <si>
    <t>Se2</t>
  </si>
  <si>
    <t>Se7</t>
  </si>
  <si>
    <t>(l)Ge[c]</t>
  </si>
  <si>
    <t>(l)GeSe2</t>
  </si>
  <si>
    <t>(l)Ga2Se3</t>
  </si>
  <si>
    <t>Темперратура1 Графики</t>
  </si>
  <si>
    <t>H Ge)</t>
  </si>
  <si>
    <t>*Ge[l]</t>
  </si>
  <si>
    <t>*Ga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</si>
</sst>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28" x14ac:knownFonts="1">
    <font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4"/>
      <color theme="0" tint="-4.9989318521683403E-2"/>
      <name val="Calibri"/>
      <family val="2"/>
      <charset val="204"/>
      <scheme val="minor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</borders>
  <cellStyleXfs count="9">
    <xf numFmtId="0" fontId="0" fillId="0" borderId="0"/>
    <xf numFmtId="0" fontId="4" fillId="6" borderId="0"/>
    <xf numFmtId="1" fontId="7" fillId="9" borderId="2">
      <alignment horizontal="left" vertical="center"/>
    </xf>
    <xf numFmtId="0" fontId="8" fillId="8" borderId="3" applyNumberFormat="0">
      <alignment horizontal="left" vertical="center"/>
    </xf>
    <xf numFmtId="165" fontId="9" fillId="0" borderId="0"/>
    <xf numFmtId="11" fontId="12" fillId="13" borderId="0">
      <alignment vertical="top"/>
    </xf>
    <xf numFmtId="0" fontId="1" fillId="4" borderId="0">
      <alignment horizontal="center" vertical="center"/>
    </xf>
    <xf numFmtId="0" fontId="22" fillId="3" borderId="1">
      <alignment horizontal="center" vertical="center"/>
    </xf>
    <xf numFmtId="165" fontId="9" fillId="0" borderId="0"/>
  </cellStyleXfs>
  <cellXfs count="114">
    <xf numFmtId="0" fontId="0" fillId="0" borderId="0" xfId="0"/>
    <xf numFmtId="0" fontId="7" fillId="9" borderId="35" xfId="2" applyNumberFormat="1" applyBorder="1">
      <alignment horizontal="left" vertical="center"/>
    </xf>
    <xf numFmtId="0" fontId="5" fillId="7" borderId="32" xfId="0" applyFont="1" applyFill="1" applyBorder="1"/>
    <xf numFmtId="0" fontId="0" fillId="5" borderId="0" xfId="0" applyFill="1"/>
    <xf numFmtId="0" fontId="4" fillId="7" borderId="0" xfId="1" applyFill="1"/>
    <xf numFmtId="0" fontId="0" fillId="7" borderId="0" xfId="0" applyFill="1"/>
    <xf numFmtId="0" fontId="5" fillId="7" borderId="0" xfId="0" applyFont="1" applyFill="1"/>
    <xf numFmtId="0" fontId="6" fillId="8" borderId="1" xfId="0" applyFont="1" applyFill="1" applyBorder="1" applyAlignment="1">
      <alignment horizontal="center" vertical="center"/>
    </xf>
    <xf numFmtId="0" fontId="7" fillId="9" borderId="2" xfId="2" applyNumberFormat="1">
      <alignment horizontal="left" vertical="center"/>
    </xf>
    <xf numFmtId="1" fontId="7" fillId="9" borderId="2" xfId="2">
      <alignment horizontal="left" vertical="center"/>
    </xf>
    <xf numFmtId="0" fontId="2" fillId="10" borderId="0" xfId="0" applyFont="1" applyFill="1"/>
    <xf numFmtId="0" fontId="8" fillId="8" borderId="3" xfId="3" applyNumberFormat="1">
      <alignment horizontal="left" vertical="center"/>
    </xf>
    <xf numFmtId="165" fontId="9" fillId="0" borderId="0" xfId="4"/>
    <xf numFmtId="0" fontId="10" fillId="11" borderId="4" xfId="0" applyFont="1" applyFill="1" applyBorder="1"/>
    <xf numFmtId="0" fontId="10" fillId="11" borderId="5" xfId="0" applyFont="1" applyFill="1" applyBorder="1"/>
    <xf numFmtId="0" fontId="10" fillId="11" borderId="6" xfId="0" applyFont="1" applyFill="1" applyBorder="1"/>
    <xf numFmtId="0" fontId="11" fillId="7" borderId="5" xfId="0" applyFont="1" applyFill="1" applyBorder="1"/>
    <xf numFmtId="0" fontId="0" fillId="2" borderId="0" xfId="0" applyFill="1"/>
    <xf numFmtId="0" fontId="5" fillId="9" borderId="7" xfId="0" applyFont="1" applyFill="1" applyBorder="1" applyAlignment="1">
      <alignment horizontal="center" vertical="center"/>
    </xf>
    <xf numFmtId="0" fontId="7" fillId="9" borderId="2" xfId="0" applyFont="1" applyFill="1" applyBorder="1"/>
    <xf numFmtId="0" fontId="0" fillId="10" borderId="8" xfId="0" applyFill="1" applyBorder="1"/>
    <xf numFmtId="165" fontId="0" fillId="10" borderId="0" xfId="0" applyNumberFormat="1" applyFill="1"/>
    <xf numFmtId="0" fontId="5" fillId="9" borderId="2" xfId="0" applyFont="1" applyFill="1" applyBorder="1" applyAlignment="1">
      <alignment horizontal="center" vertical="center"/>
    </xf>
    <xf numFmtId="0" fontId="1" fillId="4" borderId="0" xfId="6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0" fontId="6" fillId="8" borderId="11" xfId="0" applyFont="1" applyFill="1" applyBorder="1" applyAlignment="1">
      <alignment horizontal="center" vertical="center"/>
    </xf>
    <xf numFmtId="11" fontId="12" fillId="13" borderId="0" xfId="5">
      <alignment vertical="top"/>
    </xf>
    <xf numFmtId="0" fontId="7" fillId="12" borderId="0" xfId="0" applyFont="1" applyFill="1"/>
    <xf numFmtId="1" fontId="12" fillId="13" borderId="0" xfId="5" applyNumberFormat="1">
      <alignment vertical="top"/>
    </xf>
    <xf numFmtId="0" fontId="8" fillId="8" borderId="3" xfId="3" applyAlignment="1">
      <alignment horizontal="right" vertical="center"/>
    </xf>
    <xf numFmtId="0" fontId="8" fillId="8" borderId="3" xfId="3">
      <alignment horizontal="left" vertical="center"/>
    </xf>
    <xf numFmtId="0" fontId="0" fillId="7" borderId="9" xfId="0" applyFill="1" applyBorder="1"/>
    <xf numFmtId="0" fontId="0" fillId="7" borderId="12" xfId="0" applyFill="1" applyBorder="1"/>
    <xf numFmtId="0" fontId="7" fillId="9" borderId="13" xfId="0" applyFont="1" applyFill="1" applyBorder="1"/>
    <xf numFmtId="0" fontId="7" fillId="9" borderId="14" xfId="0" applyFont="1" applyFill="1" applyBorder="1"/>
    <xf numFmtId="0" fontId="7" fillId="9" borderId="15" xfId="0" applyFont="1" applyFill="1" applyBorder="1"/>
    <xf numFmtId="0" fontId="14" fillId="9" borderId="15" xfId="0" applyFont="1" applyFill="1" applyBorder="1"/>
    <xf numFmtId="0" fontId="0" fillId="10" borderId="0" xfId="0" applyFill="1"/>
    <xf numFmtId="2" fontId="12" fillId="13" borderId="0" xfId="5" applyNumberFormat="1">
      <alignment vertical="top"/>
    </xf>
    <xf numFmtId="1" fontId="15" fillId="9" borderId="4" xfId="2" applyFont="1" applyBorder="1">
      <alignment horizontal="left" vertical="center"/>
    </xf>
    <xf numFmtId="1" fontId="7" fillId="9" borderId="4" xfId="2" applyBorder="1">
      <alignment horizontal="left" vertical="center"/>
    </xf>
    <xf numFmtId="166" fontId="12" fillId="5" borderId="0" xfId="5" applyNumberFormat="1" applyFill="1">
      <alignment vertical="top"/>
    </xf>
    <xf numFmtId="0" fontId="1" fillId="4" borderId="19" xfId="6" applyBorder="1">
      <alignment horizontal="center" vertical="center"/>
    </xf>
    <xf numFmtId="0" fontId="1" fillId="4" borderId="21" xfId="6" applyBorder="1">
      <alignment horizontal="center" vertical="center"/>
    </xf>
    <xf numFmtId="0" fontId="1" fillId="4" borderId="8" xfId="6" applyBorder="1">
      <alignment horizontal="center" vertical="center"/>
    </xf>
    <xf numFmtId="0" fontId="1" fillId="4" borderId="23" xfId="6" applyBorder="1">
      <alignment horizontal="center" vertical="center"/>
    </xf>
    <xf numFmtId="0" fontId="1" fillId="4" borderId="24" xfId="6" applyBorder="1">
      <alignment horizontal="center" vertical="center"/>
    </xf>
    <xf numFmtId="0" fontId="0" fillId="0" borderId="17" xfId="0" applyBorder="1"/>
    <xf numFmtId="0" fontId="0" fillId="0" borderId="25" xfId="0" applyBorder="1"/>
    <xf numFmtId="0" fontId="0" fillId="0" borderId="18" xfId="0" applyBorder="1"/>
    <xf numFmtId="0" fontId="0" fillId="0" borderId="26" xfId="0" applyBorder="1"/>
    <xf numFmtId="0" fontId="0" fillId="0" borderId="0" xfId="0" applyBorder="1"/>
    <xf numFmtId="0" fontId="0" fillId="0" borderId="27" xfId="0" applyBorder="1"/>
    <xf numFmtId="0" fontId="0" fillId="0" borderId="13" xfId="0" applyBorder="1"/>
    <xf numFmtId="0" fontId="0" fillId="0" borderId="28" xfId="0" applyBorder="1"/>
    <xf numFmtId="0" fontId="0" fillId="0" borderId="29" xfId="0" applyBorder="1"/>
    <xf numFmtId="0" fontId="3" fillId="14" borderId="3" xfId="0" applyFont="1" applyFill="1" applyBorder="1" applyAlignment="1">
      <alignment horizontal="right" vertical="center"/>
    </xf>
    <xf numFmtId="1" fontId="8" fillId="8" borderId="3" xfId="3" applyNumberFormat="1">
      <alignment horizontal="left" vertical="center"/>
    </xf>
    <xf numFmtId="164" fontId="8" fillId="8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6" fillId="14" borderId="9" xfId="0" applyNumberFormat="1" applyFont="1" applyFill="1" applyBorder="1" applyAlignment="1">
      <alignment horizontal="center" vertical="center"/>
    </xf>
    <xf numFmtId="0" fontId="22" fillId="3" borderId="1" xfId="7">
      <alignment horizontal="center" vertical="center"/>
    </xf>
    <xf numFmtId="0" fontId="8" fillId="8" borderId="12" xfId="3" applyNumberFormat="1" applyBorder="1">
      <alignment horizontal="left" vertical="center"/>
    </xf>
    <xf numFmtId="0" fontId="6" fillId="8" borderId="30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2" fillId="10" borderId="9" xfId="0" applyFont="1" applyFill="1" applyBorder="1"/>
    <xf numFmtId="0" fontId="23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10" fillId="17" borderId="6" xfId="0" applyFont="1" applyFill="1" applyBorder="1"/>
    <xf numFmtId="0" fontId="0" fillId="17" borderId="0" xfId="0" applyFill="1"/>
    <xf numFmtId="0" fontId="2" fillId="10" borderId="0" xfId="0" applyFont="1" applyFill="1" applyBorder="1"/>
    <xf numFmtId="11" fontId="8" fillId="8" borderId="3" xfId="3" applyNumberFormat="1">
      <alignment horizontal="left" vertical="center"/>
    </xf>
    <xf numFmtId="165" fontId="9" fillId="0" borderId="0" xfId="8"/>
    <xf numFmtId="164" fontId="0" fillId="0" borderId="18" xfId="0" applyNumberFormat="1" applyBorder="1"/>
    <xf numFmtId="164" fontId="0" fillId="0" borderId="29" xfId="0" applyNumberFormat="1" applyBorder="1"/>
    <xf numFmtId="1" fontId="1" fillId="4" borderId="20" xfId="6" applyNumberFormat="1" applyBorder="1">
      <alignment horizontal="center" vertical="center"/>
    </xf>
    <xf numFmtId="1" fontId="1" fillId="4" borderId="22" xfId="6" applyNumberFormat="1" applyBorder="1">
      <alignment horizontal="center" vertical="center"/>
    </xf>
    <xf numFmtId="11" fontId="12" fillId="13" borderId="0" xfId="5" applyNumberFormat="1">
      <alignment vertical="top"/>
    </xf>
    <xf numFmtId="1" fontId="24" fillId="4" borderId="20" xfId="6" applyNumberFormat="1" applyFont="1" applyBorder="1">
      <alignment horizontal="center" vertical="center"/>
    </xf>
    <xf numFmtId="1" fontId="24" fillId="4" borderId="22" xfId="6" applyNumberFormat="1" applyFont="1" applyBorder="1">
      <alignment horizontal="center" vertical="center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5" fillId="0" borderId="0" xfId="0" applyNumberFormat="1" applyFont="1" applyFill="1" applyBorder="1" applyAlignment="1" applyProtection="1">
      <alignment vertical="top"/>
    </xf>
    <xf numFmtId="11" fontId="26" fillId="0" borderId="0" xfId="0" applyNumberFormat="1" applyFont="1" applyFill="1" applyBorder="1" applyAlignment="1" applyProtection="1">
      <alignment vertical="top"/>
    </xf>
    <xf numFmtId="1" fontId="0" fillId="0" borderId="29" xfId="0" applyNumberFormat="1" applyBorder="1"/>
    <xf numFmtId="0" fontId="7" fillId="9" borderId="4" xfId="2" applyNumberFormat="1" applyBorder="1">
      <alignment horizontal="left" vertical="center"/>
    </xf>
    <xf numFmtId="0" fontId="7" fillId="9" borderId="33" xfId="2" applyNumberFormat="1" applyBorder="1">
      <alignment horizontal="left" vertical="center"/>
    </xf>
    <xf numFmtId="1" fontId="7" fillId="9" borderId="33" xfId="2" applyBorder="1">
      <alignment horizontal="left" vertical="center"/>
    </xf>
    <xf numFmtId="0" fontId="5" fillId="7" borderId="26" xfId="0" applyFont="1" applyFill="1" applyBorder="1"/>
    <xf numFmtId="0" fontId="5" fillId="7" borderId="0" xfId="0" applyFont="1" applyFill="1" applyBorder="1"/>
    <xf numFmtId="0" fontId="7" fillId="9" borderId="34" xfId="2" applyNumberFormat="1" applyBorder="1">
      <alignment horizontal="left" vertical="center"/>
    </xf>
    <xf numFmtId="0" fontId="7" fillId="9" borderId="2" xfId="2" applyNumberFormat="1" applyBorder="1">
      <alignment horizontal="left" vertical="center"/>
    </xf>
    <xf numFmtId="11" fontId="12" fillId="13" borderId="26" xfId="5" applyBorder="1">
      <alignment vertical="top"/>
    </xf>
    <xf numFmtId="11" fontId="12" fillId="13" borderId="0" xfId="5" applyBorder="1">
      <alignment vertical="top"/>
    </xf>
    <xf numFmtId="1" fontId="7" fillId="9" borderId="34" xfId="2" applyBorder="1">
      <alignment horizontal="left" vertical="center"/>
    </xf>
    <xf numFmtId="1" fontId="7" fillId="9" borderId="2" xfId="2" applyBorder="1">
      <alignment horizontal="left" vertical="center"/>
    </xf>
    <xf numFmtId="0" fontId="0" fillId="7" borderId="26" xfId="0" applyFill="1" applyBorder="1"/>
    <xf numFmtId="0" fontId="0" fillId="7" borderId="0" xfId="0" applyFill="1" applyBorder="1"/>
    <xf numFmtId="11" fontId="12" fillId="13" borderId="32" xfId="5" applyBorder="1">
      <alignment vertical="top"/>
    </xf>
    <xf numFmtId="0" fontId="0" fillId="0" borderId="32" xfId="0" applyBorder="1"/>
    <xf numFmtId="1" fontId="7" fillId="9" borderId="35" xfId="2" applyBorder="1">
      <alignment horizontal="left" vertical="center"/>
    </xf>
    <xf numFmtId="0" fontId="0" fillId="7" borderId="32" xfId="0" applyFill="1" applyBorder="1"/>
    <xf numFmtId="1" fontId="27" fillId="14" borderId="12" xfId="0" applyNumberFormat="1" applyFont="1" applyFill="1" applyBorder="1" applyAlignment="1">
      <alignment horizontal="center" vertical="center"/>
    </xf>
    <xf numFmtId="1" fontId="3" fillId="15" borderId="3" xfId="0" applyNumberFormat="1" applyFont="1" applyFill="1" applyBorder="1" applyAlignment="1">
      <alignment horizontal="right" vertical="center"/>
    </xf>
    <xf numFmtId="1" fontId="16" fillId="15" borderId="12" xfId="0" applyNumberFormat="1" applyFont="1" applyFill="1" applyBorder="1" applyAlignment="1">
      <alignment horizontal="center" vertical="center"/>
    </xf>
    <xf numFmtId="1" fontId="7" fillId="9" borderId="2" xfId="2" applyNumberFormat="1">
      <alignment horizontal="left" vertical="center"/>
    </xf>
    <xf numFmtId="1" fontId="17" fillId="9" borderId="16" xfId="2" applyFont="1" applyBorder="1" applyAlignment="1">
      <alignment horizontal="center" vertical="center"/>
    </xf>
    <xf numFmtId="1" fontId="17" fillId="9" borderId="6" xfId="2" applyFont="1" applyBorder="1" applyAlignment="1">
      <alignment horizontal="center" vertical="center"/>
    </xf>
    <xf numFmtId="0" fontId="1" fillId="4" borderId="17" xfId="6" applyBorder="1">
      <alignment horizontal="center" vertical="center"/>
    </xf>
    <xf numFmtId="0" fontId="1" fillId="4" borderId="18" xfId="6" applyBorder="1">
      <alignment horizontal="center" vertical="center"/>
    </xf>
    <xf numFmtId="0" fontId="18" fillId="16" borderId="0" xfId="0" applyFont="1" applyFill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18" fillId="8" borderId="0" xfId="0" applyFont="1" applyFill="1" applyAlignment="1">
      <alignment horizontal="center" vertical="center" wrapText="1"/>
    </xf>
  </cellXfs>
  <cellStyles count="9">
    <cellStyle name="Ввод" xfId="7" xr:uid="{A9A7DDE3-643E-4013-945F-2DCD94967680}"/>
    <cellStyle name="Ввод_Данные" xfId="4" xr:uid="{80D10C37-799D-4711-BC15-76F3B638C834}"/>
    <cellStyle name="Выделение" xfId="6" xr:uid="{37775524-F980-4450-AF6C-9C309192D59A}"/>
    <cellStyle name="Данные" xfId="8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Форм" xfId="5" xr:uid="{810E17FE-2F7B-4E62-B173-29B9F2A26C86}"/>
  </cellStyles>
  <dxfs count="10">
    <dxf>
      <font>
        <color auto="1"/>
      </font>
      <fill>
        <patternFill>
          <bgColor theme="7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-370.10429633040008</c:v>
                </c:pt>
                <c:pt idx="1">
                  <c:v>-373.22941090680001</c:v>
                </c:pt>
                <c:pt idx="2">
                  <c:v>-376.53839566199997</c:v>
                </c:pt>
                <c:pt idx="3">
                  <c:v>-380.00218310399993</c:v>
                </c:pt>
                <c:pt idx="4">
                  <c:v>-383.60804207039996</c:v>
                </c:pt>
                <c:pt idx="5">
                  <c:v>-387.23913720720003</c:v>
                </c:pt>
                <c:pt idx="6">
                  <c:v>-390.96974693160001</c:v>
                </c:pt>
                <c:pt idx="7">
                  <c:v>-394.84260112200002</c:v>
                </c:pt>
                <c:pt idx="8">
                  <c:v>-398.70211220280004</c:v>
                </c:pt>
                <c:pt idx="9">
                  <c:v>-402.91723777440006</c:v>
                </c:pt>
                <c:pt idx="10">
                  <c:v>-407.12536586279998</c:v>
                </c:pt>
                <c:pt idx="11">
                  <c:v>-411.70110127680005</c:v>
                </c:pt>
                <c:pt idx="12">
                  <c:v>-419.78733166800004</c:v>
                </c:pt>
                <c:pt idx="13">
                  <c:v>-442.40329049280001</c:v>
                </c:pt>
                <c:pt idx="14">
                  <c:v>-468.33080159039991</c:v>
                </c:pt>
                <c:pt idx="15">
                  <c:v>-494.81518463999998</c:v>
                </c:pt>
                <c:pt idx="16">
                  <c:v>-522.00297438960001</c:v>
                </c:pt>
                <c:pt idx="17">
                  <c:v>-549.77520032159998</c:v>
                </c:pt>
                <c:pt idx="18">
                  <c:v>-577.99676843999998</c:v>
                </c:pt>
                <c:pt idx="19">
                  <c:v>-606.69121210560002</c:v>
                </c:pt>
                <c:pt idx="20">
                  <c:v>-636.02253316800011</c:v>
                </c:pt>
                <c:pt idx="21">
                  <c:v>-757.60037154240013</c:v>
                </c:pt>
                <c:pt idx="22">
                  <c:v>-885.96468441000013</c:v>
                </c:pt>
                <c:pt idx="23">
                  <c:v>-1019.0455005024004</c:v>
                </c:pt>
                <c:pt idx="24">
                  <c:v>-1156.0480800000003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7379480547112732E-2"/>
          <c:y val="8.2117402985827218E-2"/>
          <c:w val="0.92830948778298361"/>
          <c:h val="0.83862432720766855"/>
        </c:manualLayout>
      </c:layout>
      <c:scatterChart>
        <c:scatterStyle val="lineMarker"/>
        <c:varyColors val="0"/>
        <c:ser>
          <c:idx val="3"/>
          <c:order val="3"/>
          <c:tx>
            <c:strRef>
              <c:f>ALL!$E$7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ALL!$F$7:$AL$7</c:f>
              <c:numCache>
                <c:formatCode>0.0E+00</c:formatCode>
                <c:ptCount val="33"/>
                <c:pt idx="0">
                  <c:v>2.9857000000000002E-2</c:v>
                </c:pt>
                <c:pt idx="1">
                  <c:v>2.9388000000000001E-2</c:v>
                </c:pt>
                <c:pt idx="2">
                  <c:v>2.8185999999999999E-2</c:v>
                </c:pt>
                <c:pt idx="3">
                  <c:v>2.6471000000000001E-2</c:v>
                </c:pt>
                <c:pt idx="4">
                  <c:v>2.5118999999999999E-2</c:v>
                </c:pt>
                <c:pt idx="5">
                  <c:v>2.4421999999999999E-2</c:v>
                </c:pt>
                <c:pt idx="6">
                  <c:v>2.4072E-2</c:v>
                </c:pt>
                <c:pt idx="7">
                  <c:v>2.3723999999999999E-2</c:v>
                </c:pt>
                <c:pt idx="8">
                  <c:v>2.3074000000000001E-2</c:v>
                </c:pt>
                <c:pt idx="9">
                  <c:v>2.1937000000000002E-2</c:v>
                </c:pt>
                <c:pt idx="10">
                  <c:v>2.0412E-2</c:v>
                </c:pt>
                <c:pt idx="11">
                  <c:v>1.7909000000000001E-2</c:v>
                </c:pt>
                <c:pt idx="12">
                  <c:v>5.4866999999999997E-3</c:v>
                </c:pt>
                <c:pt idx="13">
                  <c:v>3.3152999999999999E-5</c:v>
                </c:pt>
                <c:pt idx="14">
                  <c:v>1.2323E-7</c:v>
                </c:pt>
                <c:pt idx="15">
                  <c:v>5.8855999999999998E-10</c:v>
                </c:pt>
                <c:pt idx="16">
                  <c:v>3.5497000000000001E-12</c:v>
                </c:pt>
                <c:pt idx="17">
                  <c:v>2.6532000000000001E-14</c:v>
                </c:pt>
                <c:pt idx="18">
                  <c:v>2.4176999999999998E-16</c:v>
                </c:pt>
                <c:pt idx="19">
                  <c:v>2.6477999999999999E-18</c:v>
                </c:pt>
                <c:pt idx="20">
                  <c:v>3.4417999999999998E-20</c:v>
                </c:pt>
                <c:pt idx="21">
                  <c:v>4.4587000000000003E-27</c:v>
                </c:pt>
                <c:pt idx="22">
                  <c:v>4.5323999999999997E-33</c:v>
                </c:pt>
                <c:pt idx="23">
                  <c:v>0</c:v>
                </c:pt>
                <c:pt idx="24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ALL!$F$8:$AL$8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7E-4CC2-8909-AC16E9113193}"/>
              </c:ext>
            </c:extLst>
          </c:dPt>
          <c:xVal>
            <c:numRef>
              <c:f>ALL!$A$34:$A$35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ALL!$B$34:$B$35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7E-4CC2-8909-AC16E911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3.9942999999999998E-10</c:v>
                      </c:pt>
                      <c:pt idx="1">
                        <c:v>2.5219000000000002E-9</c:v>
                      </c:pt>
                      <c:pt idx="2">
                        <c:v>1.0384000000000001E-8</c:v>
                      </c:pt>
                      <c:pt idx="3">
                        <c:v>1.0686000000000001E-8</c:v>
                      </c:pt>
                      <c:pt idx="4">
                        <c:v>2.3143999999999999E-8</c:v>
                      </c:pt>
                      <c:pt idx="5">
                        <c:v>1.7389000000000001E-8</c:v>
                      </c:pt>
                      <c:pt idx="6">
                        <c:v>1.7010000000000001E-8</c:v>
                      </c:pt>
                      <c:pt idx="7">
                        <c:v>1.7843E-8</c:v>
                      </c:pt>
                      <c:pt idx="8">
                        <c:v>1.2772E-8</c:v>
                      </c:pt>
                      <c:pt idx="9">
                        <c:v>1.4369000000000001E-9</c:v>
                      </c:pt>
                      <c:pt idx="10">
                        <c:v>1.1633E-13</c:v>
                      </c:pt>
                      <c:pt idx="11">
                        <c:v>2.7724000000000002E-21</c:v>
                      </c:pt>
                      <c:pt idx="12">
                        <c:v>6.1169999999999998E-36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2.6328000000000001E-31</c:v>
                      </c:pt>
                      <c:pt idx="2">
                        <c:v>3.9345999999999998E-23</c:v>
                      </c:pt>
                      <c:pt idx="3">
                        <c:v>1.8021999999999999E-20</c:v>
                      </c:pt>
                      <c:pt idx="4">
                        <c:v>2.006E-18</c:v>
                      </c:pt>
                      <c:pt idx="5">
                        <c:v>4.8617000000000001E-18</c:v>
                      </c:pt>
                      <c:pt idx="6">
                        <c:v>2.4299E-17</c:v>
                      </c:pt>
                      <c:pt idx="7">
                        <c:v>8.4137E-16</c:v>
                      </c:pt>
                      <c:pt idx="8">
                        <c:v>4.1477999999999998E-13</c:v>
                      </c:pt>
                      <c:pt idx="9">
                        <c:v>4.1627999999999998E-10</c:v>
                      </c:pt>
                      <c:pt idx="10">
                        <c:v>4.6131000000000001E-9</c:v>
                      </c:pt>
                      <c:pt idx="11">
                        <c:v>1.0662999999999999E-8</c:v>
                      </c:pt>
                      <c:pt idx="12">
                        <c:v>1.7808E-8</c:v>
                      </c:pt>
                      <c:pt idx="13">
                        <c:v>2.3066E-8</c:v>
                      </c:pt>
                      <c:pt idx="14">
                        <c:v>1.8885E-8</c:v>
                      </c:pt>
                      <c:pt idx="15">
                        <c:v>2.3164000000000001E-8</c:v>
                      </c:pt>
                      <c:pt idx="16">
                        <c:v>2.5265999999999999E-8</c:v>
                      </c:pt>
                      <c:pt idx="17">
                        <c:v>2.5232000000000001E-8</c:v>
                      </c:pt>
                      <c:pt idx="18">
                        <c:v>2.4207E-8</c:v>
                      </c:pt>
                      <c:pt idx="19">
                        <c:v>2.3803000000000001E-8</c:v>
                      </c:pt>
                      <c:pt idx="20">
                        <c:v>2.3175999999999999E-8</c:v>
                      </c:pt>
                      <c:pt idx="21">
                        <c:v>2.1223999999999999E-8</c:v>
                      </c:pt>
                      <c:pt idx="22">
                        <c:v>3.2181000000000002E-8</c:v>
                      </c:pt>
                      <c:pt idx="23">
                        <c:v>2.9338999999999999E-8</c:v>
                      </c:pt>
                      <c:pt idx="24">
                        <c:v>2.8792000000000001E-8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1.9182999999999999E-9</c:v>
                      </c:pt>
                      <c:pt idx="1">
                        <c:v>4.2475000000000001E-10</c:v>
                      </c:pt>
                      <c:pt idx="2">
                        <c:v>2.1857E-13</c:v>
                      </c:pt>
                      <c:pt idx="3">
                        <c:v>3.7018000000000002E-22</c:v>
                      </c:pt>
                      <c:pt idx="4">
                        <c:v>1.3102999999999999E-33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9.8088999999999996E-2</c:v>
                      </c:pt>
                      <c:pt idx="1">
                        <c:v>9.1676999999999995E-2</c:v>
                      </c:pt>
                      <c:pt idx="2">
                        <c:v>7.4269000000000002E-2</c:v>
                      </c:pt>
                      <c:pt idx="3">
                        <c:v>4.6704000000000002E-2</c:v>
                      </c:pt>
                      <c:pt idx="4">
                        <c:v>2.2398000000000001E-2</c:v>
                      </c:pt>
                      <c:pt idx="5">
                        <c:v>9.1797000000000007E-3</c:v>
                      </c:pt>
                      <c:pt idx="6">
                        <c:v>3.6418000000000002E-3</c:v>
                      </c:pt>
                      <c:pt idx="7">
                        <c:v>1.4894999999999999E-3</c:v>
                      </c:pt>
                      <c:pt idx="8">
                        <c:v>6.3650999999999996E-4</c:v>
                      </c:pt>
                      <c:pt idx="9">
                        <c:v>2.7374000000000002E-4</c:v>
                      </c:pt>
                      <c:pt idx="10">
                        <c:v>1.0883E-4</c:v>
                      </c:pt>
                      <c:pt idx="11">
                        <c:v>3.7472999999999998E-5</c:v>
                      </c:pt>
                      <c:pt idx="12">
                        <c:v>1.2257E-5</c:v>
                      </c:pt>
                      <c:pt idx="13">
                        <c:v>3.3971000000000001E-6</c:v>
                      </c:pt>
                      <c:pt idx="14">
                        <c:v>8.7889999999999996E-7</c:v>
                      </c:pt>
                      <c:pt idx="15">
                        <c:v>2.3389000000000001E-7</c:v>
                      </c:pt>
                      <c:pt idx="16">
                        <c:v>6.5110000000000005E-8</c:v>
                      </c:pt>
                      <c:pt idx="17">
                        <c:v>1.9051E-8</c:v>
                      </c:pt>
                      <c:pt idx="18">
                        <c:v>5.8558000000000004E-9</c:v>
                      </c:pt>
                      <c:pt idx="19">
                        <c:v>1.8864E-9</c:v>
                      </c:pt>
                      <c:pt idx="20">
                        <c:v>6.3496000000000005E-10</c:v>
                      </c:pt>
                      <c:pt idx="21">
                        <c:v>1.1909E-11</c:v>
                      </c:pt>
                      <c:pt idx="22">
                        <c:v>3.6376000000000001E-13</c:v>
                      </c:pt>
                      <c:pt idx="23">
                        <c:v>1.6063999999999999E-14</c:v>
                      </c:pt>
                      <c:pt idx="24">
                        <c:v>9.4275999999999996E-16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0.10191</c:v>
                      </c:pt>
                      <c:pt idx="1">
                        <c:v>0.10832</c:v>
                      </c:pt>
                      <c:pt idx="2">
                        <c:v>0.12573000000000001</c:v>
                      </c:pt>
                      <c:pt idx="3">
                        <c:v>0.15326999999999999</c:v>
                      </c:pt>
                      <c:pt idx="4">
                        <c:v>0.17748</c:v>
                      </c:pt>
                      <c:pt idx="5">
                        <c:v>0.19028</c:v>
                      </c:pt>
                      <c:pt idx="6">
                        <c:v>0.19422</c:v>
                      </c:pt>
                      <c:pt idx="7">
                        <c:v>0.19120999999999999</c:v>
                      </c:pt>
                      <c:pt idx="8">
                        <c:v>0.17865</c:v>
                      </c:pt>
                      <c:pt idx="9">
                        <c:v>0.15248</c:v>
                      </c:pt>
                      <c:pt idx="10">
                        <c:v>0.11351</c:v>
                      </c:pt>
                      <c:pt idx="11">
                        <c:v>7.1696999999999997E-2</c:v>
                      </c:pt>
                      <c:pt idx="12">
                        <c:v>4.0767999999999999E-2</c:v>
                      </c:pt>
                      <c:pt idx="13">
                        <c:v>2.0518000000000002E-2</c:v>
                      </c:pt>
                      <c:pt idx="14">
                        <c:v>9.7532000000000001E-3</c:v>
                      </c:pt>
                      <c:pt idx="15">
                        <c:v>4.6608999999999999E-3</c:v>
                      </c:pt>
                      <c:pt idx="16">
                        <c:v>2.2764999999999999E-3</c:v>
                      </c:pt>
                      <c:pt idx="17">
                        <c:v>1.1428E-3</c:v>
                      </c:pt>
                      <c:pt idx="18">
                        <c:v>5.9024999999999995E-4</c:v>
                      </c:pt>
                      <c:pt idx="19">
                        <c:v>3.1335999999999999E-4</c:v>
                      </c:pt>
                      <c:pt idx="20">
                        <c:v>1.7071999999999999E-4</c:v>
                      </c:pt>
                      <c:pt idx="21">
                        <c:v>1.8828E-5</c:v>
                      </c:pt>
                      <c:pt idx="22">
                        <c:v>2.7707999999999998E-6</c:v>
                      </c:pt>
                      <c:pt idx="23">
                        <c:v>5.0663000000000003E-7</c:v>
                      </c:pt>
                      <c:pt idx="24">
                        <c:v>1.0947E-7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3.0143E-2</c:v>
                      </c:pt>
                      <c:pt idx="1">
                        <c:v>3.0612E-2</c:v>
                      </c:pt>
                      <c:pt idx="2">
                        <c:v>3.1814000000000002E-2</c:v>
                      </c:pt>
                      <c:pt idx="3">
                        <c:v>3.3529000000000003E-2</c:v>
                      </c:pt>
                      <c:pt idx="4">
                        <c:v>3.4881000000000002E-2</c:v>
                      </c:pt>
                      <c:pt idx="5">
                        <c:v>3.5577999999999999E-2</c:v>
                      </c:pt>
                      <c:pt idx="6">
                        <c:v>3.5928000000000002E-2</c:v>
                      </c:pt>
                      <c:pt idx="7">
                        <c:v>3.6276000000000003E-2</c:v>
                      </c:pt>
                      <c:pt idx="8">
                        <c:v>3.6926E-2</c:v>
                      </c:pt>
                      <c:pt idx="9">
                        <c:v>3.8059000000000003E-2</c:v>
                      </c:pt>
                      <c:pt idx="10">
                        <c:v>3.9477999999999999E-2</c:v>
                      </c:pt>
                      <c:pt idx="11">
                        <c:v>3.9503999999999997E-2</c:v>
                      </c:pt>
                      <c:pt idx="12">
                        <c:v>1.7654E-2</c:v>
                      </c:pt>
                      <c:pt idx="13">
                        <c:v>1.2907000000000001E-4</c:v>
                      </c:pt>
                      <c:pt idx="14">
                        <c:v>4.8691999999999997E-7</c:v>
                      </c:pt>
                      <c:pt idx="15">
                        <c:v>2.3404999999999999E-9</c:v>
                      </c:pt>
                      <c:pt idx="16">
                        <c:v>1.4159000000000001E-11</c:v>
                      </c:pt>
                      <c:pt idx="17">
                        <c:v>1.0597999999999999E-13</c:v>
                      </c:pt>
                      <c:pt idx="18">
                        <c:v>9.6636999999999996E-16</c:v>
                      </c:pt>
                      <c:pt idx="19">
                        <c:v>1.0587000000000001E-17</c:v>
                      </c:pt>
                      <c:pt idx="20">
                        <c:v>1.3763999999999999E-19</c:v>
                      </c:pt>
                      <c:pt idx="21">
                        <c:v>1.7834E-26</c:v>
                      </c:pt>
                      <c:pt idx="22">
                        <c:v>1.8129999999999999E-32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3.7991999999999998E-7</c:v>
                      </c:pt>
                      <c:pt idx="1">
                        <c:v>9.8213999999999993E-7</c:v>
                      </c:pt>
                      <c:pt idx="2">
                        <c:v>3.1576999999999999E-6</c:v>
                      </c:pt>
                      <c:pt idx="3">
                        <c:v>1.3287E-5</c:v>
                      </c:pt>
                      <c:pt idx="4">
                        <c:v>6.1799999999999998E-5</c:v>
                      </c:pt>
                      <c:pt idx="5">
                        <c:v>2.7237000000000002E-4</c:v>
                      </c:pt>
                      <c:pt idx="6">
                        <c:v>1.0713999999999999E-3</c:v>
                      </c:pt>
                      <c:pt idx="7">
                        <c:v>3.6508999999999999E-3</c:v>
                      </c:pt>
                      <c:pt idx="8">
                        <c:v>1.0354E-2</c:v>
                      </c:pt>
                      <c:pt idx="9">
                        <c:v>2.3622000000000001E-2</c:v>
                      </c:pt>
                      <c:pt idx="10">
                        <c:v>4.3187999999999997E-2</c:v>
                      </c:pt>
                      <c:pt idx="11">
                        <c:v>6.4132999999999996E-2</c:v>
                      </c:pt>
                      <c:pt idx="12">
                        <c:v>7.961E-2</c:v>
                      </c:pt>
                      <c:pt idx="13">
                        <c:v>8.9738999999999999E-2</c:v>
                      </c:pt>
                      <c:pt idx="14">
                        <c:v>9.5122999999999999E-2</c:v>
                      </c:pt>
                      <c:pt idx="15">
                        <c:v>9.7669000000000006E-2</c:v>
                      </c:pt>
                      <c:pt idx="16">
                        <c:v>9.8862000000000005E-2</c:v>
                      </c:pt>
                      <c:pt idx="17">
                        <c:v>9.9429000000000003E-2</c:v>
                      </c:pt>
                      <c:pt idx="18">
                        <c:v>9.9705000000000002E-2</c:v>
                      </c:pt>
                      <c:pt idx="19">
                        <c:v>9.9843000000000001E-2</c:v>
                      </c:pt>
                      <c:pt idx="20">
                        <c:v>9.9915000000000004E-2</c:v>
                      </c:pt>
                      <c:pt idx="21">
                        <c:v>9.9990999999999997E-2</c:v>
                      </c:pt>
                      <c:pt idx="22">
                        <c:v>9.9999000000000005E-2</c:v>
                      </c:pt>
                      <c:pt idx="23">
                        <c:v>0.1</c:v>
                      </c:pt>
                      <c:pt idx="24">
                        <c:v>0.1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1.2208999999999999E-23</c:v>
                      </c:pt>
                      <c:pt idx="1">
                        <c:v>2.1536000000000001E-21</c:v>
                      </c:pt>
                      <c:pt idx="2">
                        <c:v>3.2388999999999999E-19</c:v>
                      </c:pt>
                      <c:pt idx="3">
                        <c:v>5.0439000000000001E-17</c:v>
                      </c:pt>
                      <c:pt idx="4">
                        <c:v>7.4418999999999997E-15</c:v>
                      </c:pt>
                      <c:pt idx="5">
                        <c:v>8.8381999999999996E-13</c:v>
                      </c:pt>
                      <c:pt idx="6">
                        <c:v>7.7714000000000004E-11</c:v>
                      </c:pt>
                      <c:pt idx="7">
                        <c:v>4.9525999999999996E-9</c:v>
                      </c:pt>
                      <c:pt idx="8">
                        <c:v>2.2877999999999999E-7</c:v>
                      </c:pt>
                      <c:pt idx="9">
                        <c:v>7.9127999999999999E-6</c:v>
                      </c:pt>
                      <c:pt idx="10">
                        <c:v>2.2018E-4</c:v>
                      </c:pt>
                      <c:pt idx="11">
                        <c:v>5.1728E-3</c:v>
                      </c:pt>
                      <c:pt idx="12">
                        <c:v>7.3719999999999994E-2</c:v>
                      </c:pt>
                      <c:pt idx="13">
                        <c:v>0.11967999999999999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  <c:pt idx="19">
                        <c:v>0.12</c:v>
                      </c:pt>
                      <c:pt idx="20">
                        <c:v>0.12</c:v>
                      </c:pt>
                      <c:pt idx="21">
                        <c:v>0.12</c:v>
                      </c:pt>
                      <c:pt idx="22">
                        <c:v>0.12</c:v>
                      </c:pt>
                      <c:pt idx="23">
                        <c:v>0.12</c:v>
                      </c:pt>
                      <c:pt idx="24">
                        <c:v>0.12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2.2208E-9</c:v>
                      </c:pt>
                      <c:pt idx="1">
                        <c:v>7.6164000000000003E-9</c:v>
                      </c:pt>
                      <c:pt idx="2">
                        <c:v>1.8320999999999999E-8</c:v>
                      </c:pt>
                      <c:pt idx="3">
                        <c:v>2.9294000000000001E-8</c:v>
                      </c:pt>
                      <c:pt idx="4">
                        <c:v>3.2794000000000002E-8</c:v>
                      </c:pt>
                      <c:pt idx="5">
                        <c:v>2.9528000000000001E-8</c:v>
                      </c:pt>
                      <c:pt idx="6">
                        <c:v>2.4362E-8</c:v>
                      </c:pt>
                      <c:pt idx="7">
                        <c:v>2.0033000000000001E-8</c:v>
                      </c:pt>
                      <c:pt idx="8">
                        <c:v>1.7421999999999999E-8</c:v>
                      </c:pt>
                      <c:pt idx="9">
                        <c:v>1.6374000000000002E-8</c:v>
                      </c:pt>
                      <c:pt idx="10">
                        <c:v>1.5996E-8</c:v>
                      </c:pt>
                      <c:pt idx="11">
                        <c:v>1.5650999999999999E-8</c:v>
                      </c:pt>
                      <c:pt idx="12">
                        <c:v>2.0135000000000001E-8</c:v>
                      </c:pt>
                      <c:pt idx="13">
                        <c:v>2.0514000000000001E-8</c:v>
                      </c:pt>
                      <c:pt idx="14">
                        <c:v>1.7252999999999999E-8</c:v>
                      </c:pt>
                      <c:pt idx="15">
                        <c:v>1.4321E-8</c:v>
                      </c:pt>
                      <c:pt idx="16">
                        <c:v>1.1824000000000001E-8</c:v>
                      </c:pt>
                      <c:pt idx="17">
                        <c:v>9.7431000000000004E-9</c:v>
                      </c:pt>
                      <c:pt idx="18">
                        <c:v>8.0239999999999996E-9</c:v>
                      </c:pt>
                      <c:pt idx="19">
                        <c:v>6.6095000000000004E-9</c:v>
                      </c:pt>
                      <c:pt idx="20">
                        <c:v>5.4473000000000004E-9</c:v>
                      </c:pt>
                      <c:pt idx="21">
                        <c:v>2.5335E-9</c:v>
                      </c:pt>
                      <c:pt idx="22">
                        <c:v>1.1950999999999999E-9</c:v>
                      </c:pt>
                      <c:pt idx="23">
                        <c:v>5.7156000000000004E-10</c:v>
                      </c:pt>
                      <c:pt idx="24">
                        <c:v>2.7672999999999998E-10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5.1187999999999999E-10</c:v>
                      </c:pt>
                      <c:pt idx="1">
                        <c:v>2.0419000000000002E-9</c:v>
                      </c:pt>
                      <c:pt idx="2">
                        <c:v>5.6094000000000001E-9</c:v>
                      </c:pt>
                      <c:pt idx="3">
                        <c:v>1.0088000000000001E-8</c:v>
                      </c:pt>
                      <c:pt idx="4">
                        <c:v>1.2542000000000001E-8</c:v>
                      </c:pt>
                      <c:pt idx="5">
                        <c:v>1.2407E-8</c:v>
                      </c:pt>
                      <c:pt idx="6">
                        <c:v>1.1141E-8</c:v>
                      </c:pt>
                      <c:pt idx="7">
                        <c:v>9.8918999999999997E-9</c:v>
                      </c:pt>
                      <c:pt idx="8">
                        <c:v>9.2240000000000004E-9</c:v>
                      </c:pt>
                      <c:pt idx="9">
                        <c:v>9.2382000000000006E-9</c:v>
                      </c:pt>
                      <c:pt idx="10">
                        <c:v>9.5659000000000006E-9</c:v>
                      </c:pt>
                      <c:pt idx="11">
                        <c:v>9.8455000000000004E-9</c:v>
                      </c:pt>
                      <c:pt idx="12">
                        <c:v>1.2537E-8</c:v>
                      </c:pt>
                      <c:pt idx="13">
                        <c:v>1.2633999999999999E-8</c:v>
                      </c:pt>
                      <c:pt idx="14">
                        <c:v>1.0503999999999999E-8</c:v>
                      </c:pt>
                      <c:pt idx="15">
                        <c:v>8.6163000000000005E-9</c:v>
                      </c:pt>
                      <c:pt idx="16">
                        <c:v>7.0284000000000003E-9</c:v>
                      </c:pt>
                      <c:pt idx="17">
                        <c:v>5.7204999999999998E-9</c:v>
                      </c:pt>
                      <c:pt idx="18">
                        <c:v>4.6531E-9</c:v>
                      </c:pt>
                      <c:pt idx="19">
                        <c:v>3.7855000000000002E-9</c:v>
                      </c:pt>
                      <c:pt idx="20">
                        <c:v>3.0813000000000001E-9</c:v>
                      </c:pt>
                      <c:pt idx="21">
                        <c:v>1.3644E-9</c:v>
                      </c:pt>
                      <c:pt idx="22">
                        <c:v>6.1378000000000002E-10</c:v>
                      </c:pt>
                      <c:pt idx="23">
                        <c:v>2.8039999999999998E-10</c:v>
                      </c:pt>
                      <c:pt idx="24">
                        <c:v>1.2985E-10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1.9122E-3</c:v>
                      </c:pt>
                      <c:pt idx="1">
                        <c:v>8.3245000000000003E-3</c:v>
                      </c:pt>
                      <c:pt idx="2">
                        <c:v>2.5738E-2</c:v>
                      </c:pt>
                      <c:pt idx="3">
                        <c:v>5.3322000000000001E-2</c:v>
                      </c:pt>
                      <c:pt idx="4">
                        <c:v>7.7726000000000003E-2</c:v>
                      </c:pt>
                      <c:pt idx="5">
                        <c:v>9.1365000000000002E-2</c:v>
                      </c:pt>
                      <c:pt idx="6">
                        <c:v>9.8501000000000005E-2</c:v>
                      </c:pt>
                      <c:pt idx="7">
                        <c:v>0.10581</c:v>
                      </c:pt>
                      <c:pt idx="8">
                        <c:v>0.12007</c:v>
                      </c:pt>
                      <c:pt idx="9">
                        <c:v>0.14698</c:v>
                      </c:pt>
                      <c:pt idx="10">
                        <c:v>0.18659999999999999</c:v>
                      </c:pt>
                      <c:pt idx="11">
                        <c:v>0.23599000000000001</c:v>
                      </c:pt>
                      <c:pt idx="12">
                        <c:v>0.36979000000000001</c:v>
                      </c:pt>
                      <c:pt idx="13">
                        <c:v>0.45899000000000001</c:v>
                      </c:pt>
                      <c:pt idx="14">
                        <c:v>0.47023999999999999</c:v>
                      </c:pt>
                      <c:pt idx="15">
                        <c:v>0.47533999999999998</c:v>
                      </c:pt>
                      <c:pt idx="16">
                        <c:v>0.47771999999999998</c:v>
                      </c:pt>
                      <c:pt idx="17">
                        <c:v>0.47886000000000001</c:v>
                      </c:pt>
                      <c:pt idx="18">
                        <c:v>0.47941</c:v>
                      </c:pt>
                      <c:pt idx="19">
                        <c:v>0.47969000000000001</c:v>
                      </c:pt>
                      <c:pt idx="20">
                        <c:v>0.47982999999999998</c:v>
                      </c:pt>
                      <c:pt idx="21">
                        <c:v>0.47998000000000002</c:v>
                      </c:pt>
                      <c:pt idx="22">
                        <c:v>0.48</c:v>
                      </c:pt>
                      <c:pt idx="23">
                        <c:v>0.48</c:v>
                      </c:pt>
                      <c:pt idx="24">
                        <c:v>0.48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5.6787E-12</c:v>
                      </c:pt>
                      <c:pt idx="1">
                        <c:v>3.1711000000000002E-11</c:v>
                      </c:pt>
                      <c:pt idx="2">
                        <c:v>1.1762E-10</c:v>
                      </c:pt>
                      <c:pt idx="3">
                        <c:v>2.7716999999999998E-10</c:v>
                      </c:pt>
                      <c:pt idx="4">
                        <c:v>4.4024000000000002E-10</c:v>
                      </c:pt>
                      <c:pt idx="5">
                        <c:v>5.4453999999999996E-10</c:v>
                      </c:pt>
                      <c:pt idx="6">
                        <c:v>6.0030999999999997E-10</c:v>
                      </c:pt>
                      <c:pt idx="7">
                        <c:v>6.4397E-10</c:v>
                      </c:pt>
                      <c:pt idx="8">
                        <c:v>7.1548999999999998E-10</c:v>
                      </c:pt>
                      <c:pt idx="9">
                        <c:v>8.4346E-10</c:v>
                      </c:pt>
                      <c:pt idx="10">
                        <c:v>1.0169000000000001E-9</c:v>
                      </c:pt>
                      <c:pt idx="11">
                        <c:v>1.2071000000000001E-9</c:v>
                      </c:pt>
                      <c:pt idx="12">
                        <c:v>1.7573999999999999E-9</c:v>
                      </c:pt>
                      <c:pt idx="13">
                        <c:v>2.0094000000000001E-9</c:v>
                      </c:pt>
                      <c:pt idx="14">
                        <c:v>1.8824E-9</c:v>
                      </c:pt>
                      <c:pt idx="15">
                        <c:v>1.7288000000000001E-9</c:v>
                      </c:pt>
                      <c:pt idx="16">
                        <c:v>1.5698999999999999E-9</c:v>
                      </c:pt>
                      <c:pt idx="17">
                        <c:v>1.4151E-9</c:v>
                      </c:pt>
                      <c:pt idx="18">
                        <c:v>1.2685999999999999E-9</c:v>
                      </c:pt>
                      <c:pt idx="19">
                        <c:v>1.1323999999999999E-9</c:v>
                      </c:pt>
                      <c:pt idx="20">
                        <c:v>1.0074000000000001E-9</c:v>
                      </c:pt>
                      <c:pt idx="21">
                        <c:v>6.1449000000000002E-10</c:v>
                      </c:pt>
                      <c:pt idx="22">
                        <c:v>3.6402E-10</c:v>
                      </c:pt>
                      <c:pt idx="23">
                        <c:v>2.1152000000000001E-10</c:v>
                      </c:pt>
                      <c:pt idx="24">
                        <c:v>1.2123E-10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3.7991999999999998E-7</c:v>
                      </c:pt>
                      <c:pt idx="1">
                        <c:v>9.8213999999999993E-7</c:v>
                      </c:pt>
                      <c:pt idx="2">
                        <c:v>3.1576999999999999E-6</c:v>
                      </c:pt>
                      <c:pt idx="3">
                        <c:v>1.3287E-5</c:v>
                      </c:pt>
                      <c:pt idx="4">
                        <c:v>6.1799999999999998E-5</c:v>
                      </c:pt>
                      <c:pt idx="5">
                        <c:v>2.7237000000000002E-4</c:v>
                      </c:pt>
                      <c:pt idx="6">
                        <c:v>1.0713999999999999E-3</c:v>
                      </c:pt>
                      <c:pt idx="7">
                        <c:v>3.6508999999999999E-3</c:v>
                      </c:pt>
                      <c:pt idx="8">
                        <c:v>1.0354E-2</c:v>
                      </c:pt>
                      <c:pt idx="9">
                        <c:v>2.3622000000000001E-2</c:v>
                      </c:pt>
                      <c:pt idx="10">
                        <c:v>4.3187999999999997E-2</c:v>
                      </c:pt>
                      <c:pt idx="11">
                        <c:v>6.4132999999999996E-2</c:v>
                      </c:pt>
                      <c:pt idx="12">
                        <c:v>7.961E-2</c:v>
                      </c:pt>
                      <c:pt idx="13">
                        <c:v>8.9738999999999999E-2</c:v>
                      </c:pt>
                      <c:pt idx="14">
                        <c:v>9.5122999999999999E-2</c:v>
                      </c:pt>
                      <c:pt idx="15">
                        <c:v>9.7669000000000006E-2</c:v>
                      </c:pt>
                      <c:pt idx="16">
                        <c:v>9.8862000000000005E-2</c:v>
                      </c:pt>
                      <c:pt idx="17">
                        <c:v>9.9429000000000003E-2</c:v>
                      </c:pt>
                      <c:pt idx="18">
                        <c:v>9.9705000000000002E-2</c:v>
                      </c:pt>
                      <c:pt idx="19">
                        <c:v>9.9843000000000001E-2</c:v>
                      </c:pt>
                      <c:pt idx="20">
                        <c:v>9.9915000000000004E-2</c:v>
                      </c:pt>
                      <c:pt idx="21">
                        <c:v>9.9990999999999997E-2</c:v>
                      </c:pt>
                      <c:pt idx="22">
                        <c:v>9.9999000000000005E-2</c:v>
                      </c:pt>
                      <c:pt idx="23">
                        <c:v>0.1</c:v>
                      </c:pt>
                      <c:pt idx="24">
                        <c:v>0.1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-18.760000000000002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>
                        <c:v>-18.760000000000002</c:v>
                      </c:pt>
                      <c:pt idx="5">
                        <c:v>-18.79</c:v>
                      </c:pt>
                      <c:pt idx="6">
                        <c:v>-18.809999999999999</c:v>
                      </c:pt>
                      <c:pt idx="7">
                        <c:v>-18.850000000000001</c:v>
                      </c:pt>
                      <c:pt idx="8">
                        <c:v>-18.88</c:v>
                      </c:pt>
                      <c:pt idx="9">
                        <c:v>-18.91</c:v>
                      </c:pt>
                      <c:pt idx="10">
                        <c:v>-18.940000000000001</c:v>
                      </c:pt>
                      <c:pt idx="11">
                        <c:v>-18.97</c:v>
                      </c:pt>
                      <c:pt idx="12">
                        <c:v>-18.95</c:v>
                      </c:pt>
                      <c:pt idx="13">
                        <c:v>-18.97</c:v>
                      </c:pt>
                      <c:pt idx="14">
                        <c:v>-19.010000000000002</c:v>
                      </c:pt>
                      <c:pt idx="15">
                        <c:v>-19.05</c:v>
                      </c:pt>
                      <c:pt idx="16">
                        <c:v>-19.09</c:v>
                      </c:pt>
                      <c:pt idx="17">
                        <c:v>-19.14</c:v>
                      </c:pt>
                      <c:pt idx="18">
                        <c:v>-19.18</c:v>
                      </c:pt>
                      <c:pt idx="19">
                        <c:v>-19.22</c:v>
                      </c:pt>
                      <c:pt idx="20">
                        <c:v>-19.260000000000002</c:v>
                      </c:pt>
                      <c:pt idx="21">
                        <c:v>-19.43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-66.53</c:v>
                      </c:pt>
                      <c:pt idx="1">
                        <c:v>-62.13</c:v>
                      </c:pt>
                      <c:pt idx="2">
                        <c:v>-57.96</c:v>
                      </c:pt>
                      <c:pt idx="3">
                        <c:v>-53.8</c:v>
                      </c:pt>
                      <c:pt idx="4">
                        <c:v>-49.68</c:v>
                      </c:pt>
                      <c:pt idx="5">
                        <c:v>-45.74</c:v>
                      </c:pt>
                      <c:pt idx="6">
                        <c:v>-42.09</c:v>
                      </c:pt>
                      <c:pt idx="7">
                        <c:v>-38.770000000000003</c:v>
                      </c:pt>
                      <c:pt idx="8">
                        <c:v>-35.78</c:v>
                      </c:pt>
                      <c:pt idx="9">
                        <c:v>-33.130000000000003</c:v>
                      </c:pt>
                      <c:pt idx="10">
                        <c:v>-30.71</c:v>
                      </c:pt>
                      <c:pt idx="11">
                        <c:v>-28.49</c:v>
                      </c:pt>
                      <c:pt idx="12">
                        <c:v>-26.95</c:v>
                      </c:pt>
                      <c:pt idx="13">
                        <c:v>-27.44</c:v>
                      </c:pt>
                      <c:pt idx="14">
                        <c:v>-28.24</c:v>
                      </c:pt>
                      <c:pt idx="15">
                        <c:v>-29.04</c:v>
                      </c:pt>
                      <c:pt idx="16">
                        <c:v>-29.83</c:v>
                      </c:pt>
                      <c:pt idx="17">
                        <c:v>-30.61</c:v>
                      </c:pt>
                      <c:pt idx="18">
                        <c:v>-31.38</c:v>
                      </c:pt>
                      <c:pt idx="19">
                        <c:v>-32.130000000000003</c:v>
                      </c:pt>
                      <c:pt idx="20">
                        <c:v>-32.880000000000003</c:v>
                      </c:pt>
                      <c:pt idx="21">
                        <c:v>-35.74</c:v>
                      </c:pt>
                      <c:pt idx="22">
                        <c:v>-38.369999999999997</c:v>
                      </c:pt>
                      <c:pt idx="23">
                        <c:v>-40.72</c:v>
                      </c:pt>
                      <c:pt idx="24">
                        <c:v>-42.77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-17.07</c:v>
                      </c:pt>
                      <c:pt idx="1">
                        <c:v>-16.14</c:v>
                      </c:pt>
                      <c:pt idx="2">
                        <c:v>-15.05</c:v>
                      </c:pt>
                      <c:pt idx="3">
                        <c:v>-13.74</c:v>
                      </c:pt>
                      <c:pt idx="4">
                        <c:v>-12.31</c:v>
                      </c:pt>
                      <c:pt idx="5">
                        <c:v>-10.9</c:v>
                      </c:pt>
                      <c:pt idx="6">
                        <c:v>-9.5839999999999996</c:v>
                      </c:pt>
                      <c:pt idx="7">
                        <c:v>-8.4179999999999993</c:v>
                      </c:pt>
                      <c:pt idx="8">
                        <c:v>-7.4589999999999996</c:v>
                      </c:pt>
                      <c:pt idx="9">
                        <c:v>-6.7530000000000001</c:v>
                      </c:pt>
                      <c:pt idx="10">
                        <c:v>-6.2969999999999997</c:v>
                      </c:pt>
                      <c:pt idx="11">
                        <c:v>-6.0679999999999996</c:v>
                      </c:pt>
                      <c:pt idx="12">
                        <c:v>-6.2190000000000003</c:v>
                      </c:pt>
                      <c:pt idx="13">
                        <c:v>-6.3109999999999999</c:v>
                      </c:pt>
                      <c:pt idx="14">
                        <c:v>-6.3170000000000002</c:v>
                      </c:pt>
                      <c:pt idx="15">
                        <c:v>-6.3460000000000001</c:v>
                      </c:pt>
                      <c:pt idx="16">
                        <c:v>-6.3869999999999996</c:v>
                      </c:pt>
                      <c:pt idx="17">
                        <c:v>-6.4329999999999998</c:v>
                      </c:pt>
                      <c:pt idx="18">
                        <c:v>-6.4809999999999999</c:v>
                      </c:pt>
                      <c:pt idx="19">
                        <c:v>-6.53</c:v>
                      </c:pt>
                      <c:pt idx="20">
                        <c:v>-6.5789999999999997</c:v>
                      </c:pt>
                      <c:pt idx="21">
                        <c:v>-6.7750000000000004</c:v>
                      </c:pt>
                      <c:pt idx="22">
                        <c:v>-6.9660000000000002</c:v>
                      </c:pt>
                      <c:pt idx="23">
                        <c:v>-7.1509999999999998</c:v>
                      </c:pt>
                      <c:pt idx="24">
                        <c:v>-7.3280000000000003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-21.55</c:v>
                      </c:pt>
                      <c:pt idx="3">
                        <c:v>-21.2</c:v>
                      </c:pt>
                      <c:pt idx="4">
                        <c:v>-21.2</c:v>
                      </c:pt>
                      <c:pt idx="5">
                        <c:v>-21.38</c:v>
                      </c:pt>
                      <c:pt idx="6">
                        <c:v>-21.63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-22.3</c:v>
                      </c:pt>
                      <c:pt idx="10">
                        <c:v>-22.47</c:v>
                      </c:pt>
                      <c:pt idx="11">
                        <c:v>-22.67</c:v>
                      </c:pt>
                      <c:pt idx="12">
                        <c:v>-22.85</c:v>
                      </c:pt>
                      <c:pt idx="13">
                        <c:v>-23.1</c:v>
                      </c:pt>
                      <c:pt idx="14">
                        <c:v>-23.4</c:v>
                      </c:pt>
                      <c:pt idx="15">
                        <c:v>-23.69</c:v>
                      </c:pt>
                      <c:pt idx="16">
                        <c:v>-23.99</c:v>
                      </c:pt>
                      <c:pt idx="17">
                        <c:v>-24.29</c:v>
                      </c:pt>
                      <c:pt idx="18">
                        <c:v>-24.58</c:v>
                      </c:pt>
                      <c:pt idx="19">
                        <c:v>-24.87</c:v>
                      </c:pt>
                      <c:pt idx="20">
                        <c:v>-25.16</c:v>
                      </c:pt>
                      <c:pt idx="21">
                        <c:v>-26.28</c:v>
                      </c:pt>
                      <c:pt idx="22">
                        <c:v>-27.37</c:v>
                      </c:pt>
                      <c:pt idx="23">
                        <c:v>-28.41</c:v>
                      </c:pt>
                      <c:pt idx="24">
                        <c:v>-29.42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6.000000000000001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ALL!$F$127:$AL$127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ALL!$F$128:$AL$128</c:f>
              <c:numCache>
                <c:formatCode>General</c:formatCode>
                <c:ptCount val="33"/>
                <c:pt idx="0">
                  <c:v>-301.04039430956863</c:v>
                </c:pt>
                <c:pt idx="1">
                  <c:v>-304.67530809708978</c:v>
                </c:pt>
                <c:pt idx="2">
                  <c:v>-310.21215766219348</c:v>
                </c:pt>
                <c:pt idx="3">
                  <c:v>-317.1336369938939</c:v>
                </c:pt>
                <c:pt idx="4">
                  <c:v>-323.38578457160588</c:v>
                </c:pt>
                <c:pt idx="5">
                  <c:v>-328.1365590030303</c:v>
                </c:pt>
                <c:pt idx="6">
                  <c:v>-332.1531660628155</c:v>
                </c:pt>
                <c:pt idx="7">
                  <c:v>-336.29782057594281</c:v>
                </c:pt>
                <c:pt idx="8">
                  <c:v>-341.19810392626204</c:v>
                </c:pt>
                <c:pt idx="9">
                  <c:v>-347.67140061651975</c:v>
                </c:pt>
                <c:pt idx="10">
                  <c:v>-355.18229388506404</c:v>
                </c:pt>
                <c:pt idx="11">
                  <c:v>-365.61890994929422</c:v>
                </c:pt>
                <c:pt idx="12">
                  <c:v>-405.3952696340337</c:v>
                </c:pt>
                <c:pt idx="13">
                  <c:v>-442.31474052393099</c:v>
                </c:pt>
                <c:pt idx="14">
                  <c:v>-468.32956812866991</c:v>
                </c:pt>
                <c:pt idx="15">
                  <c:v>-494.81537949836542</c:v>
                </c:pt>
                <c:pt idx="16">
                  <c:v>-522.00140070717327</c:v>
                </c:pt>
                <c:pt idx="17">
                  <c:v>-549.77761982670415</c:v>
                </c:pt>
                <c:pt idx="18">
                  <c:v>-577.99716023954431</c:v>
                </c:pt>
                <c:pt idx="19">
                  <c:v>-606.69294435399934</c:v>
                </c:pt>
                <c:pt idx="20">
                  <c:v>-636.02371753578041</c:v>
                </c:pt>
                <c:pt idx="21">
                  <c:v>-757.60033727717314</c:v>
                </c:pt>
                <c:pt idx="22">
                  <c:v>-885.96836100651205</c:v>
                </c:pt>
                <c:pt idx="23">
                  <c:v>-1019.0468400190829</c:v>
                </c:pt>
                <c:pt idx="24">
                  <c:v>-1156.0484091780211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ALL!$F$127:$AL$127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ALL!$F$129:$AL$129</c:f>
              <c:numCache>
                <c:formatCode>General</c:formatCode>
                <c:ptCount val="33"/>
                <c:pt idx="0">
                  <c:v>-69.063774847104725</c:v>
                </c:pt>
                <c:pt idx="1">
                  <c:v>-68.55291204830651</c:v>
                </c:pt>
                <c:pt idx="2">
                  <c:v>-66.331945125807081</c:v>
                </c:pt>
                <c:pt idx="3">
                  <c:v>-62.868986180912401</c:v>
                </c:pt>
                <c:pt idx="4">
                  <c:v>-60.224065054789847</c:v>
                </c:pt>
                <c:pt idx="5">
                  <c:v>-59.107213805463999</c:v>
                </c:pt>
                <c:pt idx="6">
                  <c:v>-58.821398425859222</c:v>
                </c:pt>
                <c:pt idx="7">
                  <c:v>-58.545286681364551</c:v>
                </c:pt>
                <c:pt idx="8">
                  <c:v>-57.497828356046298</c:v>
                </c:pt>
                <c:pt idx="9">
                  <c:v>-55.242471531606341</c:v>
                </c:pt>
                <c:pt idx="10">
                  <c:v>-51.939018549946709</c:v>
                </c:pt>
                <c:pt idx="11">
                  <c:v>-46.082218892288829</c:v>
                </c:pt>
                <c:pt idx="12">
                  <c:v>-14.3952947041426</c:v>
                </c:pt>
                <c:pt idx="13">
                  <c:v>-9.1668726810673756E-2</c:v>
                </c:pt>
                <c:pt idx="14">
                  <c:v>-3.6070252924990612E-4</c:v>
                </c:pt>
                <c:pt idx="15">
                  <c:v>-1.8201776566982402E-6</c:v>
                </c:pt>
                <c:pt idx="16">
                  <c:v>-1.1580962238692271E-8</c:v>
                </c:pt>
                <c:pt idx="17">
                  <c:v>-9.1166472593329337E-11</c:v>
                </c:pt>
                <c:pt idx="18">
                  <c:v>-8.7338924191086755E-13</c:v>
                </c:pt>
                <c:pt idx="19">
                  <c:v>-1.0039981196332547E-14</c:v>
                </c:pt>
                <c:pt idx="20">
                  <c:v>-1.3681639716610141E-16</c:v>
                </c:pt>
                <c:pt idx="21">
                  <c:v>-2.1111954853725622E-23</c:v>
                </c:pt>
                <c:pt idx="22">
                  <c:v>-2.5097164597624276E-29</c:v>
                </c:pt>
                <c:pt idx="23">
                  <c:v>0</c:v>
                </c:pt>
                <c:pt idx="24">
                  <c:v>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ALL!$F$127:$AL$127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ALL!$F$130:$AL$130</c:f>
              <c:numCache>
                <c:formatCode>General</c:formatCode>
                <c:ptCount val="33"/>
                <c:pt idx="0">
                  <c:v>-370.10416915667338</c:v>
                </c:pt>
                <c:pt idx="1">
                  <c:v>-373.22822014539628</c:v>
                </c:pt>
                <c:pt idx="2">
                  <c:v>-376.54410278800054</c:v>
                </c:pt>
                <c:pt idx="3">
                  <c:v>-380.00262317480633</c:v>
                </c:pt>
                <c:pt idx="4">
                  <c:v>-383.60984962639571</c:v>
                </c:pt>
                <c:pt idx="5">
                  <c:v>-387.24377280849433</c:v>
                </c:pt>
                <c:pt idx="6">
                  <c:v>-390.97456448867473</c:v>
                </c:pt>
                <c:pt idx="7">
                  <c:v>-394.84310725730734</c:v>
                </c:pt>
                <c:pt idx="8">
                  <c:v>-398.69593228230832</c:v>
                </c:pt>
                <c:pt idx="9">
                  <c:v>-402.91387214812607</c:v>
                </c:pt>
                <c:pt idx="10">
                  <c:v>-407.12131243501074</c:v>
                </c:pt>
                <c:pt idx="11">
                  <c:v>-411.70112884158306</c:v>
                </c:pt>
                <c:pt idx="12">
                  <c:v>-419.7905643381763</c:v>
                </c:pt>
                <c:pt idx="13">
                  <c:v>-442.40640925074166</c:v>
                </c:pt>
                <c:pt idx="14">
                  <c:v>-468.32992883119914</c:v>
                </c:pt>
                <c:pt idx="15">
                  <c:v>-494.81538131854307</c:v>
                </c:pt>
                <c:pt idx="16">
                  <c:v>-522.00140071875421</c:v>
                </c:pt>
                <c:pt idx="17">
                  <c:v>-549.77761982679533</c:v>
                </c:pt>
                <c:pt idx="18">
                  <c:v>-577.99716023954522</c:v>
                </c:pt>
                <c:pt idx="19">
                  <c:v>-606.69294435399934</c:v>
                </c:pt>
                <c:pt idx="20">
                  <c:v>-636.02371753578041</c:v>
                </c:pt>
                <c:pt idx="21">
                  <c:v>-757.60033727717314</c:v>
                </c:pt>
                <c:pt idx="22">
                  <c:v>-885.96836100651205</c:v>
                </c:pt>
                <c:pt idx="23">
                  <c:v>-1019.0468400190829</c:v>
                </c:pt>
                <c:pt idx="24">
                  <c:v>-1156.0484091780211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ALL!$A$118:$A$119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ALL!$B$118:$B$119</c:f>
              <c:numCache>
                <c:formatCode>0</c:formatCode>
                <c:ptCount val="2"/>
                <c:pt idx="0">
                  <c:v>-1156.0484091780211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EE-41A8-BB70-4DE407D00146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-370.10429633040008</c:v>
                </c:pt>
                <c:pt idx="1">
                  <c:v>-373.22941090680001</c:v>
                </c:pt>
                <c:pt idx="2">
                  <c:v>-376.53839566199997</c:v>
                </c:pt>
                <c:pt idx="3">
                  <c:v>-380.00218310399993</c:v>
                </c:pt>
                <c:pt idx="4">
                  <c:v>-383.60804207039996</c:v>
                </c:pt>
                <c:pt idx="5">
                  <c:v>-387.23913720720003</c:v>
                </c:pt>
                <c:pt idx="6">
                  <c:v>-390.96974693160001</c:v>
                </c:pt>
                <c:pt idx="7">
                  <c:v>-394.84260112200002</c:v>
                </c:pt>
                <c:pt idx="8">
                  <c:v>-398.70211220280004</c:v>
                </c:pt>
                <c:pt idx="9">
                  <c:v>-402.91723777440006</c:v>
                </c:pt>
                <c:pt idx="10">
                  <c:v>-407.12536586279998</c:v>
                </c:pt>
                <c:pt idx="11">
                  <c:v>-411.70110127680005</c:v>
                </c:pt>
                <c:pt idx="12">
                  <c:v>-419.78733166800004</c:v>
                </c:pt>
                <c:pt idx="13">
                  <c:v>-442.40329049280001</c:v>
                </c:pt>
                <c:pt idx="14">
                  <c:v>-468.33080159039991</c:v>
                </c:pt>
                <c:pt idx="15">
                  <c:v>-494.81518463999998</c:v>
                </c:pt>
                <c:pt idx="16">
                  <c:v>-522.00297438960001</c:v>
                </c:pt>
                <c:pt idx="17">
                  <c:v>-549.77520032159998</c:v>
                </c:pt>
                <c:pt idx="18">
                  <c:v>-577.99676843999998</c:v>
                </c:pt>
                <c:pt idx="19">
                  <c:v>-606.69121210560002</c:v>
                </c:pt>
                <c:pt idx="20">
                  <c:v>-636.02253316800011</c:v>
                </c:pt>
                <c:pt idx="21">
                  <c:v>-757.60037154240013</c:v>
                </c:pt>
                <c:pt idx="22">
                  <c:v>-885.96468441000013</c:v>
                </c:pt>
                <c:pt idx="23">
                  <c:v>-1019.0455005024004</c:v>
                </c:pt>
                <c:pt idx="24">
                  <c:v>-1156.0480800000003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EE-41A8-BB70-4DE407D00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774B-47E8-A19D-44B695C09DB0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74B-47E8-A19D-44B695C09DB0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74B-47E8-A19D-44B695C09DB0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74B-47E8-A19D-44B695C09DB0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4B-47E8-A19D-44B695C09DB0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ALL!$F$136:$AL$136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B-47E8-A19D-44B695C09DB0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ALL!$F$137:$AL$137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B-47E8-A19D-44B695C09DB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ALL!$F$138:$AL$138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B-47E8-A19D-44B695C09DB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ALL!$F$139:$AL$139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B-47E8-A19D-44B695C09DB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ALL!$F$140:$AL$140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74B-47E8-A19D-44B695C09DB0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8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354619795375856E-2"/>
          <c:y val="2.8167958402201543E-2"/>
          <c:w val="0.93230945585960412"/>
          <c:h val="0.89257377179129416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ALL!$F$4:$AL$4</c:f>
              <c:numCache>
                <c:formatCode>0.0E+00</c:formatCode>
                <c:ptCount val="33"/>
                <c:pt idx="0">
                  <c:v>3.9942999999999998E-10</c:v>
                </c:pt>
                <c:pt idx="1">
                  <c:v>2.5219000000000002E-9</c:v>
                </c:pt>
                <c:pt idx="2">
                  <c:v>1.0384000000000001E-8</c:v>
                </c:pt>
                <c:pt idx="3">
                  <c:v>1.0686000000000001E-8</c:v>
                </c:pt>
                <c:pt idx="4">
                  <c:v>2.3143999999999999E-8</c:v>
                </c:pt>
                <c:pt idx="5">
                  <c:v>1.7389000000000001E-8</c:v>
                </c:pt>
                <c:pt idx="6">
                  <c:v>1.7010000000000001E-8</c:v>
                </c:pt>
                <c:pt idx="7">
                  <c:v>1.7843E-8</c:v>
                </c:pt>
                <c:pt idx="8">
                  <c:v>1.2772E-8</c:v>
                </c:pt>
                <c:pt idx="9">
                  <c:v>1.4369000000000001E-9</c:v>
                </c:pt>
                <c:pt idx="10">
                  <c:v>1.1633E-13</c:v>
                </c:pt>
                <c:pt idx="11">
                  <c:v>2.7724000000000002E-21</c:v>
                </c:pt>
                <c:pt idx="12">
                  <c:v>6.1169999999999998E-36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ALL!$F$5:$AL$5</c:f>
              <c:numCache>
                <c:formatCode>0.0E+00</c:formatCode>
                <c:ptCount val="33"/>
                <c:pt idx="0">
                  <c:v>0</c:v>
                </c:pt>
                <c:pt idx="1">
                  <c:v>2.6328000000000001E-31</c:v>
                </c:pt>
                <c:pt idx="2">
                  <c:v>3.9345999999999998E-23</c:v>
                </c:pt>
                <c:pt idx="3">
                  <c:v>1.8021999999999999E-20</c:v>
                </c:pt>
                <c:pt idx="4">
                  <c:v>2.006E-18</c:v>
                </c:pt>
                <c:pt idx="5">
                  <c:v>4.8617000000000001E-18</c:v>
                </c:pt>
                <c:pt idx="6">
                  <c:v>2.4299E-17</c:v>
                </c:pt>
                <c:pt idx="7">
                  <c:v>8.4137E-16</c:v>
                </c:pt>
                <c:pt idx="8">
                  <c:v>4.1477999999999998E-13</c:v>
                </c:pt>
                <c:pt idx="9">
                  <c:v>4.1627999999999998E-10</c:v>
                </c:pt>
                <c:pt idx="10">
                  <c:v>4.6131000000000001E-9</c:v>
                </c:pt>
                <c:pt idx="11">
                  <c:v>1.0662999999999999E-8</c:v>
                </c:pt>
                <c:pt idx="12">
                  <c:v>1.7808E-8</c:v>
                </c:pt>
                <c:pt idx="13">
                  <c:v>2.3066E-8</c:v>
                </c:pt>
                <c:pt idx="14">
                  <c:v>1.8885E-8</c:v>
                </c:pt>
                <c:pt idx="15">
                  <c:v>2.3164000000000001E-8</c:v>
                </c:pt>
                <c:pt idx="16">
                  <c:v>2.5265999999999999E-8</c:v>
                </c:pt>
                <c:pt idx="17">
                  <c:v>2.5232000000000001E-8</c:v>
                </c:pt>
                <c:pt idx="18">
                  <c:v>2.4207E-8</c:v>
                </c:pt>
                <c:pt idx="19">
                  <c:v>2.3803000000000001E-8</c:v>
                </c:pt>
                <c:pt idx="20">
                  <c:v>2.3175999999999999E-8</c:v>
                </c:pt>
                <c:pt idx="21">
                  <c:v>2.1223999999999999E-8</c:v>
                </c:pt>
                <c:pt idx="22">
                  <c:v>3.2181000000000002E-8</c:v>
                </c:pt>
                <c:pt idx="23">
                  <c:v>2.9338999999999999E-8</c:v>
                </c:pt>
                <c:pt idx="24">
                  <c:v>2.8792000000000001E-8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ALL!$F$6:$AL$6</c:f>
              <c:numCache>
                <c:formatCode>0.0E+00</c:formatCode>
                <c:ptCount val="33"/>
                <c:pt idx="0">
                  <c:v>1.9182999999999999E-9</c:v>
                </c:pt>
                <c:pt idx="1">
                  <c:v>4.2475000000000001E-10</c:v>
                </c:pt>
                <c:pt idx="2">
                  <c:v>2.1857E-13</c:v>
                </c:pt>
                <c:pt idx="3">
                  <c:v>3.7018000000000002E-22</c:v>
                </c:pt>
                <c:pt idx="4">
                  <c:v>1.3102999999999999E-33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ALL!$F$9:$AL$9</c:f>
              <c:numCache>
                <c:formatCode>0.0E+00</c:formatCode>
                <c:ptCount val="33"/>
                <c:pt idx="0">
                  <c:v>9.8088999999999996E-2</c:v>
                </c:pt>
                <c:pt idx="1">
                  <c:v>9.1676999999999995E-2</c:v>
                </c:pt>
                <c:pt idx="2">
                  <c:v>7.4269000000000002E-2</c:v>
                </c:pt>
                <c:pt idx="3">
                  <c:v>4.6704000000000002E-2</c:v>
                </c:pt>
                <c:pt idx="4">
                  <c:v>2.2398000000000001E-2</c:v>
                </c:pt>
                <c:pt idx="5">
                  <c:v>9.1797000000000007E-3</c:v>
                </c:pt>
                <c:pt idx="6">
                  <c:v>3.6418000000000002E-3</c:v>
                </c:pt>
                <c:pt idx="7">
                  <c:v>1.4894999999999999E-3</c:v>
                </c:pt>
                <c:pt idx="8">
                  <c:v>6.3650999999999996E-4</c:v>
                </c:pt>
                <c:pt idx="9">
                  <c:v>2.7374000000000002E-4</c:v>
                </c:pt>
                <c:pt idx="10">
                  <c:v>1.0883E-4</c:v>
                </c:pt>
                <c:pt idx="11">
                  <c:v>3.7472999999999998E-5</c:v>
                </c:pt>
                <c:pt idx="12">
                  <c:v>1.2257E-5</c:v>
                </c:pt>
                <c:pt idx="13">
                  <c:v>3.3971000000000001E-6</c:v>
                </c:pt>
                <c:pt idx="14">
                  <c:v>8.7889999999999996E-7</c:v>
                </c:pt>
                <c:pt idx="15">
                  <c:v>2.3389000000000001E-7</c:v>
                </c:pt>
                <c:pt idx="16">
                  <c:v>6.5110000000000005E-8</c:v>
                </c:pt>
                <c:pt idx="17">
                  <c:v>1.9051E-8</c:v>
                </c:pt>
                <c:pt idx="18">
                  <c:v>5.8558000000000004E-9</c:v>
                </c:pt>
                <c:pt idx="19">
                  <c:v>1.8864E-9</c:v>
                </c:pt>
                <c:pt idx="20">
                  <c:v>6.3496000000000005E-10</c:v>
                </c:pt>
                <c:pt idx="21">
                  <c:v>1.1909E-11</c:v>
                </c:pt>
                <c:pt idx="22">
                  <c:v>3.6376000000000001E-13</c:v>
                </c:pt>
                <c:pt idx="23">
                  <c:v>1.6063999999999999E-14</c:v>
                </c:pt>
                <c:pt idx="24">
                  <c:v>9.4275999999999996E-16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ALL!$F$10:$AL$10</c:f>
              <c:numCache>
                <c:formatCode>0.0E+00</c:formatCode>
                <c:ptCount val="33"/>
                <c:pt idx="0">
                  <c:v>0.10191</c:v>
                </c:pt>
                <c:pt idx="1">
                  <c:v>0.10832</c:v>
                </c:pt>
                <c:pt idx="2">
                  <c:v>0.12573000000000001</c:v>
                </c:pt>
                <c:pt idx="3">
                  <c:v>0.15326999999999999</c:v>
                </c:pt>
                <c:pt idx="4">
                  <c:v>0.17748</c:v>
                </c:pt>
                <c:pt idx="5">
                  <c:v>0.19028</c:v>
                </c:pt>
                <c:pt idx="6">
                  <c:v>0.19422</c:v>
                </c:pt>
                <c:pt idx="7">
                  <c:v>0.19120999999999999</c:v>
                </c:pt>
                <c:pt idx="8">
                  <c:v>0.17865</c:v>
                </c:pt>
                <c:pt idx="9">
                  <c:v>0.15248</c:v>
                </c:pt>
                <c:pt idx="10">
                  <c:v>0.11351</c:v>
                </c:pt>
                <c:pt idx="11">
                  <c:v>7.1696999999999997E-2</c:v>
                </c:pt>
                <c:pt idx="12">
                  <c:v>4.0767999999999999E-2</c:v>
                </c:pt>
                <c:pt idx="13">
                  <c:v>2.0518000000000002E-2</c:v>
                </c:pt>
                <c:pt idx="14">
                  <c:v>9.7532000000000001E-3</c:v>
                </c:pt>
                <c:pt idx="15">
                  <c:v>4.6608999999999999E-3</c:v>
                </c:pt>
                <c:pt idx="16">
                  <c:v>2.2764999999999999E-3</c:v>
                </c:pt>
                <c:pt idx="17">
                  <c:v>1.1428E-3</c:v>
                </c:pt>
                <c:pt idx="18">
                  <c:v>5.9024999999999995E-4</c:v>
                </c:pt>
                <c:pt idx="19">
                  <c:v>3.1335999999999999E-4</c:v>
                </c:pt>
                <c:pt idx="20">
                  <c:v>1.7071999999999999E-4</c:v>
                </c:pt>
                <c:pt idx="21">
                  <c:v>1.8828E-5</c:v>
                </c:pt>
                <c:pt idx="22">
                  <c:v>2.7707999999999998E-6</c:v>
                </c:pt>
                <c:pt idx="23">
                  <c:v>5.0663000000000003E-7</c:v>
                </c:pt>
                <c:pt idx="24">
                  <c:v>1.0947E-7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ALL!$F$11:$AL$11</c:f>
              <c:numCache>
                <c:formatCode>0.0E+00</c:formatCode>
                <c:ptCount val="33"/>
                <c:pt idx="0">
                  <c:v>3.0143E-2</c:v>
                </c:pt>
                <c:pt idx="1">
                  <c:v>3.0612E-2</c:v>
                </c:pt>
                <c:pt idx="2">
                  <c:v>3.1814000000000002E-2</c:v>
                </c:pt>
                <c:pt idx="3">
                  <c:v>3.3529000000000003E-2</c:v>
                </c:pt>
                <c:pt idx="4">
                  <c:v>3.4881000000000002E-2</c:v>
                </c:pt>
                <c:pt idx="5">
                  <c:v>3.5577999999999999E-2</c:v>
                </c:pt>
                <c:pt idx="6">
                  <c:v>3.5928000000000002E-2</c:v>
                </c:pt>
                <c:pt idx="7">
                  <c:v>3.6276000000000003E-2</c:v>
                </c:pt>
                <c:pt idx="8">
                  <c:v>3.6926E-2</c:v>
                </c:pt>
                <c:pt idx="9">
                  <c:v>3.8059000000000003E-2</c:v>
                </c:pt>
                <c:pt idx="10">
                  <c:v>3.9477999999999999E-2</c:v>
                </c:pt>
                <c:pt idx="11">
                  <c:v>3.9503999999999997E-2</c:v>
                </c:pt>
                <c:pt idx="12">
                  <c:v>1.7654E-2</c:v>
                </c:pt>
                <c:pt idx="13">
                  <c:v>1.2907000000000001E-4</c:v>
                </c:pt>
                <c:pt idx="14">
                  <c:v>4.8691999999999997E-7</c:v>
                </c:pt>
                <c:pt idx="15">
                  <c:v>2.3404999999999999E-9</c:v>
                </c:pt>
                <c:pt idx="16">
                  <c:v>1.4159000000000001E-11</c:v>
                </c:pt>
                <c:pt idx="17">
                  <c:v>1.0597999999999999E-13</c:v>
                </c:pt>
                <c:pt idx="18">
                  <c:v>9.6636999999999996E-16</c:v>
                </c:pt>
                <c:pt idx="19">
                  <c:v>1.0587000000000001E-17</c:v>
                </c:pt>
                <c:pt idx="20">
                  <c:v>1.3763999999999999E-19</c:v>
                </c:pt>
                <c:pt idx="21">
                  <c:v>1.7834E-26</c:v>
                </c:pt>
                <c:pt idx="22">
                  <c:v>1.8129999999999999E-32</c:v>
                </c:pt>
                <c:pt idx="23">
                  <c:v>0</c:v>
                </c:pt>
                <c:pt idx="24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ALL!$F$12:$AL$12</c:f>
              <c:numCache>
                <c:formatCode>0.0E+00</c:formatCode>
                <c:ptCount val="33"/>
                <c:pt idx="0">
                  <c:v>3.7991999999999998E-7</c:v>
                </c:pt>
                <c:pt idx="1">
                  <c:v>9.8213999999999993E-7</c:v>
                </c:pt>
                <c:pt idx="2">
                  <c:v>3.1576999999999999E-6</c:v>
                </c:pt>
                <c:pt idx="3">
                  <c:v>1.3287E-5</c:v>
                </c:pt>
                <c:pt idx="4">
                  <c:v>6.1799999999999998E-5</c:v>
                </c:pt>
                <c:pt idx="5">
                  <c:v>2.7237000000000002E-4</c:v>
                </c:pt>
                <c:pt idx="6">
                  <c:v>1.0713999999999999E-3</c:v>
                </c:pt>
                <c:pt idx="7">
                  <c:v>3.6508999999999999E-3</c:v>
                </c:pt>
                <c:pt idx="8">
                  <c:v>1.0354E-2</c:v>
                </c:pt>
                <c:pt idx="9">
                  <c:v>2.3622000000000001E-2</c:v>
                </c:pt>
                <c:pt idx="10">
                  <c:v>4.3187999999999997E-2</c:v>
                </c:pt>
                <c:pt idx="11">
                  <c:v>6.4132999999999996E-2</c:v>
                </c:pt>
                <c:pt idx="12">
                  <c:v>7.961E-2</c:v>
                </c:pt>
                <c:pt idx="13">
                  <c:v>8.9738999999999999E-2</c:v>
                </c:pt>
                <c:pt idx="14">
                  <c:v>9.5122999999999999E-2</c:v>
                </c:pt>
                <c:pt idx="15">
                  <c:v>9.7669000000000006E-2</c:v>
                </c:pt>
                <c:pt idx="16">
                  <c:v>9.8862000000000005E-2</c:v>
                </c:pt>
                <c:pt idx="17">
                  <c:v>9.9429000000000003E-2</c:v>
                </c:pt>
                <c:pt idx="18">
                  <c:v>9.9705000000000002E-2</c:v>
                </c:pt>
                <c:pt idx="19">
                  <c:v>9.9843000000000001E-2</c:v>
                </c:pt>
                <c:pt idx="20">
                  <c:v>9.9915000000000004E-2</c:v>
                </c:pt>
                <c:pt idx="21">
                  <c:v>9.9990999999999997E-2</c:v>
                </c:pt>
                <c:pt idx="22">
                  <c:v>9.9999000000000005E-2</c:v>
                </c:pt>
                <c:pt idx="23">
                  <c:v>0.1</c:v>
                </c:pt>
                <c:pt idx="24">
                  <c:v>0.1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ALL!$F$13:$AL$13</c:f>
              <c:numCache>
                <c:formatCode>0.0E+00</c:formatCode>
                <c:ptCount val="33"/>
                <c:pt idx="0">
                  <c:v>1.2208999999999999E-23</c:v>
                </c:pt>
                <c:pt idx="1">
                  <c:v>2.1536000000000001E-21</c:v>
                </c:pt>
                <c:pt idx="2">
                  <c:v>3.2388999999999999E-19</c:v>
                </c:pt>
                <c:pt idx="3">
                  <c:v>5.0439000000000001E-17</c:v>
                </c:pt>
                <c:pt idx="4">
                  <c:v>7.4418999999999997E-15</c:v>
                </c:pt>
                <c:pt idx="5">
                  <c:v>8.8381999999999996E-13</c:v>
                </c:pt>
                <c:pt idx="6">
                  <c:v>7.7714000000000004E-11</c:v>
                </c:pt>
                <c:pt idx="7">
                  <c:v>4.9525999999999996E-9</c:v>
                </c:pt>
                <c:pt idx="8">
                  <c:v>2.2877999999999999E-7</c:v>
                </c:pt>
                <c:pt idx="9">
                  <c:v>7.9127999999999999E-6</c:v>
                </c:pt>
                <c:pt idx="10">
                  <c:v>2.2018E-4</c:v>
                </c:pt>
                <c:pt idx="11">
                  <c:v>5.1728E-3</c:v>
                </c:pt>
                <c:pt idx="12">
                  <c:v>7.3719999999999994E-2</c:v>
                </c:pt>
                <c:pt idx="13">
                  <c:v>0.11967999999999999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0.12</c:v>
                </c:pt>
                <c:pt idx="2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ALL!$F$14:$AL$14</c:f>
              <c:numCache>
                <c:formatCode>0.0E+00</c:formatCode>
                <c:ptCount val="33"/>
                <c:pt idx="0">
                  <c:v>2.2208E-9</c:v>
                </c:pt>
                <c:pt idx="1">
                  <c:v>7.6164000000000003E-9</c:v>
                </c:pt>
                <c:pt idx="2">
                  <c:v>1.8320999999999999E-8</c:v>
                </c:pt>
                <c:pt idx="3">
                  <c:v>2.9294000000000001E-8</c:v>
                </c:pt>
                <c:pt idx="4">
                  <c:v>3.2794000000000002E-8</c:v>
                </c:pt>
                <c:pt idx="5">
                  <c:v>2.9528000000000001E-8</c:v>
                </c:pt>
                <c:pt idx="6">
                  <c:v>2.4362E-8</c:v>
                </c:pt>
                <c:pt idx="7">
                  <c:v>2.0033000000000001E-8</c:v>
                </c:pt>
                <c:pt idx="8">
                  <c:v>1.7421999999999999E-8</c:v>
                </c:pt>
                <c:pt idx="9">
                  <c:v>1.6374000000000002E-8</c:v>
                </c:pt>
                <c:pt idx="10">
                  <c:v>1.5996E-8</c:v>
                </c:pt>
                <c:pt idx="11">
                  <c:v>1.5650999999999999E-8</c:v>
                </c:pt>
                <c:pt idx="12">
                  <c:v>2.0135000000000001E-8</c:v>
                </c:pt>
                <c:pt idx="13">
                  <c:v>2.0514000000000001E-8</c:v>
                </c:pt>
                <c:pt idx="14">
                  <c:v>1.7252999999999999E-8</c:v>
                </c:pt>
                <c:pt idx="15">
                  <c:v>1.4321E-8</c:v>
                </c:pt>
                <c:pt idx="16">
                  <c:v>1.1824000000000001E-8</c:v>
                </c:pt>
                <c:pt idx="17">
                  <c:v>9.7431000000000004E-9</c:v>
                </c:pt>
                <c:pt idx="18">
                  <c:v>8.0239999999999996E-9</c:v>
                </c:pt>
                <c:pt idx="19">
                  <c:v>6.6095000000000004E-9</c:v>
                </c:pt>
                <c:pt idx="20">
                  <c:v>5.4473000000000004E-9</c:v>
                </c:pt>
                <c:pt idx="21">
                  <c:v>2.5335E-9</c:v>
                </c:pt>
                <c:pt idx="22">
                  <c:v>1.1950999999999999E-9</c:v>
                </c:pt>
                <c:pt idx="23">
                  <c:v>5.7156000000000004E-10</c:v>
                </c:pt>
                <c:pt idx="24">
                  <c:v>2.7672999999999998E-10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(l)Se[a]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ALL!$F$15:$AL$15</c:f>
              <c:numCache>
                <c:formatCode>0.0E+00</c:formatCode>
                <c:ptCount val="33"/>
                <c:pt idx="0">
                  <c:v>5.1187999999999999E-10</c:v>
                </c:pt>
                <c:pt idx="1">
                  <c:v>2.0419000000000002E-9</c:v>
                </c:pt>
                <c:pt idx="2">
                  <c:v>5.6094000000000001E-9</c:v>
                </c:pt>
                <c:pt idx="3">
                  <c:v>1.0088000000000001E-8</c:v>
                </c:pt>
                <c:pt idx="4">
                  <c:v>1.2542000000000001E-8</c:v>
                </c:pt>
                <c:pt idx="5">
                  <c:v>1.2407E-8</c:v>
                </c:pt>
                <c:pt idx="6">
                  <c:v>1.1141E-8</c:v>
                </c:pt>
                <c:pt idx="7">
                  <c:v>9.8918999999999997E-9</c:v>
                </c:pt>
                <c:pt idx="8">
                  <c:v>9.2240000000000004E-9</c:v>
                </c:pt>
                <c:pt idx="9">
                  <c:v>9.2382000000000006E-9</c:v>
                </c:pt>
                <c:pt idx="10">
                  <c:v>9.5659000000000006E-9</c:v>
                </c:pt>
                <c:pt idx="11">
                  <c:v>9.8455000000000004E-9</c:v>
                </c:pt>
                <c:pt idx="12">
                  <c:v>1.2537E-8</c:v>
                </c:pt>
                <c:pt idx="13">
                  <c:v>1.2633999999999999E-8</c:v>
                </c:pt>
                <c:pt idx="14">
                  <c:v>1.0503999999999999E-8</c:v>
                </c:pt>
                <c:pt idx="15">
                  <c:v>8.6163000000000005E-9</c:v>
                </c:pt>
                <c:pt idx="16">
                  <c:v>7.0284000000000003E-9</c:v>
                </c:pt>
                <c:pt idx="17">
                  <c:v>5.7204999999999998E-9</c:v>
                </c:pt>
                <c:pt idx="18">
                  <c:v>4.6531E-9</c:v>
                </c:pt>
                <c:pt idx="19">
                  <c:v>3.7855000000000002E-9</c:v>
                </c:pt>
                <c:pt idx="20">
                  <c:v>3.0813000000000001E-9</c:v>
                </c:pt>
                <c:pt idx="21">
                  <c:v>1.3644E-9</c:v>
                </c:pt>
                <c:pt idx="22">
                  <c:v>6.1378000000000002E-10</c:v>
                </c:pt>
                <c:pt idx="23">
                  <c:v>2.8039999999999998E-10</c:v>
                </c:pt>
                <c:pt idx="24">
                  <c:v>1.2985E-10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ALL!$F$16:$AL$16</c:f>
              <c:numCache>
                <c:formatCode>0.0E+00</c:formatCode>
                <c:ptCount val="33"/>
                <c:pt idx="0">
                  <c:v>1.9122E-3</c:v>
                </c:pt>
                <c:pt idx="1">
                  <c:v>8.3245000000000003E-3</c:v>
                </c:pt>
                <c:pt idx="2">
                  <c:v>2.5738E-2</c:v>
                </c:pt>
                <c:pt idx="3">
                  <c:v>5.3322000000000001E-2</c:v>
                </c:pt>
                <c:pt idx="4">
                  <c:v>7.7726000000000003E-2</c:v>
                </c:pt>
                <c:pt idx="5">
                  <c:v>9.1365000000000002E-2</c:v>
                </c:pt>
                <c:pt idx="6">
                  <c:v>9.8501000000000005E-2</c:v>
                </c:pt>
                <c:pt idx="7">
                  <c:v>0.10581</c:v>
                </c:pt>
                <c:pt idx="8">
                  <c:v>0.12007</c:v>
                </c:pt>
                <c:pt idx="9">
                  <c:v>0.14698</c:v>
                </c:pt>
                <c:pt idx="10">
                  <c:v>0.18659999999999999</c:v>
                </c:pt>
                <c:pt idx="11">
                  <c:v>0.23599000000000001</c:v>
                </c:pt>
                <c:pt idx="12">
                  <c:v>0.36979000000000001</c:v>
                </c:pt>
                <c:pt idx="13">
                  <c:v>0.45899000000000001</c:v>
                </c:pt>
                <c:pt idx="14">
                  <c:v>0.47023999999999999</c:v>
                </c:pt>
                <c:pt idx="15">
                  <c:v>0.47533999999999998</c:v>
                </c:pt>
                <c:pt idx="16">
                  <c:v>0.47771999999999998</c:v>
                </c:pt>
                <c:pt idx="17">
                  <c:v>0.47886000000000001</c:v>
                </c:pt>
                <c:pt idx="18">
                  <c:v>0.47941</c:v>
                </c:pt>
                <c:pt idx="19">
                  <c:v>0.47969000000000001</c:v>
                </c:pt>
                <c:pt idx="20">
                  <c:v>0.47982999999999998</c:v>
                </c:pt>
                <c:pt idx="21">
                  <c:v>0.47998000000000002</c:v>
                </c:pt>
                <c:pt idx="22">
                  <c:v>0.48</c:v>
                </c:pt>
                <c:pt idx="23">
                  <c:v>0.48</c:v>
                </c:pt>
                <c:pt idx="24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(l)Se[r]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ALL!$F$17:$AL$17</c:f>
              <c:numCache>
                <c:formatCode>0.0E+00</c:formatCode>
                <c:ptCount val="33"/>
                <c:pt idx="0">
                  <c:v>5.6787E-12</c:v>
                </c:pt>
                <c:pt idx="1">
                  <c:v>3.1711000000000002E-11</c:v>
                </c:pt>
                <c:pt idx="2">
                  <c:v>1.1762E-10</c:v>
                </c:pt>
                <c:pt idx="3">
                  <c:v>2.7716999999999998E-10</c:v>
                </c:pt>
                <c:pt idx="4">
                  <c:v>4.4024000000000002E-10</c:v>
                </c:pt>
                <c:pt idx="5">
                  <c:v>5.4453999999999996E-10</c:v>
                </c:pt>
                <c:pt idx="6">
                  <c:v>6.0030999999999997E-10</c:v>
                </c:pt>
                <c:pt idx="7">
                  <c:v>6.4397E-10</c:v>
                </c:pt>
                <c:pt idx="8">
                  <c:v>7.1548999999999998E-10</c:v>
                </c:pt>
                <c:pt idx="9">
                  <c:v>8.4346E-10</c:v>
                </c:pt>
                <c:pt idx="10">
                  <c:v>1.0169000000000001E-9</c:v>
                </c:pt>
                <c:pt idx="11">
                  <c:v>1.2071000000000001E-9</c:v>
                </c:pt>
                <c:pt idx="12">
                  <c:v>1.7573999999999999E-9</c:v>
                </c:pt>
                <c:pt idx="13">
                  <c:v>2.0094000000000001E-9</c:v>
                </c:pt>
                <c:pt idx="14">
                  <c:v>1.8824E-9</c:v>
                </c:pt>
                <c:pt idx="15">
                  <c:v>1.7288000000000001E-9</c:v>
                </c:pt>
                <c:pt idx="16">
                  <c:v>1.5698999999999999E-9</c:v>
                </c:pt>
                <c:pt idx="17">
                  <c:v>1.4151E-9</c:v>
                </c:pt>
                <c:pt idx="18">
                  <c:v>1.2685999999999999E-9</c:v>
                </c:pt>
                <c:pt idx="19">
                  <c:v>1.1323999999999999E-9</c:v>
                </c:pt>
                <c:pt idx="20">
                  <c:v>1.0074000000000001E-9</c:v>
                </c:pt>
                <c:pt idx="21">
                  <c:v>6.1449000000000002E-10</c:v>
                </c:pt>
                <c:pt idx="22">
                  <c:v>3.6402E-10</c:v>
                </c:pt>
                <c:pt idx="23">
                  <c:v>2.1152000000000001E-10</c:v>
                </c:pt>
                <c:pt idx="24">
                  <c:v>1.2123E-10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(l)Ge[c]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ALL!$F$18:$AL$18</c:f>
              <c:numCache>
                <c:formatCode>0.0E+00</c:formatCode>
                <c:ptCount val="33"/>
                <c:pt idx="0">
                  <c:v>3.7991999999999998E-7</c:v>
                </c:pt>
                <c:pt idx="1">
                  <c:v>9.8213999999999993E-7</c:v>
                </c:pt>
                <c:pt idx="2">
                  <c:v>3.1576999999999999E-6</c:v>
                </c:pt>
                <c:pt idx="3">
                  <c:v>1.3287E-5</c:v>
                </c:pt>
                <c:pt idx="4">
                  <c:v>6.1799999999999998E-5</c:v>
                </c:pt>
                <c:pt idx="5">
                  <c:v>2.7237000000000002E-4</c:v>
                </c:pt>
                <c:pt idx="6">
                  <c:v>1.0713999999999999E-3</c:v>
                </c:pt>
                <c:pt idx="7">
                  <c:v>3.6508999999999999E-3</c:v>
                </c:pt>
                <c:pt idx="8">
                  <c:v>1.0354E-2</c:v>
                </c:pt>
                <c:pt idx="9">
                  <c:v>2.3622000000000001E-2</c:v>
                </c:pt>
                <c:pt idx="10">
                  <c:v>4.3187999999999997E-2</c:v>
                </c:pt>
                <c:pt idx="11">
                  <c:v>6.4132999999999996E-2</c:v>
                </c:pt>
                <c:pt idx="12">
                  <c:v>7.961E-2</c:v>
                </c:pt>
                <c:pt idx="13">
                  <c:v>8.9738999999999999E-2</c:v>
                </c:pt>
                <c:pt idx="14">
                  <c:v>9.5122999999999999E-2</c:v>
                </c:pt>
                <c:pt idx="15">
                  <c:v>9.7669000000000006E-2</c:v>
                </c:pt>
                <c:pt idx="16">
                  <c:v>9.8862000000000005E-2</c:v>
                </c:pt>
                <c:pt idx="17">
                  <c:v>9.9429000000000003E-2</c:v>
                </c:pt>
                <c:pt idx="18">
                  <c:v>9.9705000000000002E-2</c:v>
                </c:pt>
                <c:pt idx="19">
                  <c:v>9.9843000000000001E-2</c:v>
                </c:pt>
                <c:pt idx="20">
                  <c:v>9.9915000000000004E-2</c:v>
                </c:pt>
                <c:pt idx="21">
                  <c:v>9.9990999999999997E-2</c:v>
                </c:pt>
                <c:pt idx="22">
                  <c:v>9.9999000000000005E-2</c:v>
                </c:pt>
                <c:pt idx="23">
                  <c:v>0.1</c:v>
                </c:pt>
                <c:pt idx="24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AE7A-412E-BBF5-89E233391AB6}"/>
              </c:ext>
            </c:extLst>
          </c:dPt>
          <c:xVal>
            <c:numRef>
              <c:f>ALL!$A$34:$A$35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ALL!$B$34:$B$35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2.9857000000000002E-2</c:v>
                      </c:pt>
                      <c:pt idx="1">
                        <c:v>2.9388000000000001E-2</c:v>
                      </c:pt>
                      <c:pt idx="2">
                        <c:v>2.8185999999999999E-2</c:v>
                      </c:pt>
                      <c:pt idx="3">
                        <c:v>2.6471000000000001E-2</c:v>
                      </c:pt>
                      <c:pt idx="4">
                        <c:v>2.5118999999999999E-2</c:v>
                      </c:pt>
                      <c:pt idx="5">
                        <c:v>2.4421999999999999E-2</c:v>
                      </c:pt>
                      <c:pt idx="6">
                        <c:v>2.4072E-2</c:v>
                      </c:pt>
                      <c:pt idx="7">
                        <c:v>2.3723999999999999E-2</c:v>
                      </c:pt>
                      <c:pt idx="8">
                        <c:v>2.3074000000000001E-2</c:v>
                      </c:pt>
                      <c:pt idx="9">
                        <c:v>2.1937000000000002E-2</c:v>
                      </c:pt>
                      <c:pt idx="10">
                        <c:v>2.0412E-2</c:v>
                      </c:pt>
                      <c:pt idx="11">
                        <c:v>1.7909000000000001E-2</c:v>
                      </c:pt>
                      <c:pt idx="12">
                        <c:v>5.4866999999999997E-3</c:v>
                      </c:pt>
                      <c:pt idx="13">
                        <c:v>3.3152999999999999E-5</c:v>
                      </c:pt>
                      <c:pt idx="14">
                        <c:v>1.2323E-7</c:v>
                      </c:pt>
                      <c:pt idx="15">
                        <c:v>5.8855999999999998E-10</c:v>
                      </c:pt>
                      <c:pt idx="16">
                        <c:v>3.5497000000000001E-12</c:v>
                      </c:pt>
                      <c:pt idx="17">
                        <c:v>2.6532000000000001E-14</c:v>
                      </c:pt>
                      <c:pt idx="18">
                        <c:v>2.4176999999999998E-16</c:v>
                      </c:pt>
                      <c:pt idx="19">
                        <c:v>2.6477999999999999E-18</c:v>
                      </c:pt>
                      <c:pt idx="20">
                        <c:v>3.4417999999999998E-20</c:v>
                      </c:pt>
                      <c:pt idx="21">
                        <c:v>4.4587000000000003E-27</c:v>
                      </c:pt>
                      <c:pt idx="22">
                        <c:v>4.5323999999999997E-33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-18.760000000000002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>
                        <c:v>-18.760000000000002</c:v>
                      </c:pt>
                      <c:pt idx="5">
                        <c:v>-18.79</c:v>
                      </c:pt>
                      <c:pt idx="6">
                        <c:v>-18.809999999999999</c:v>
                      </c:pt>
                      <c:pt idx="7">
                        <c:v>-18.850000000000001</c:v>
                      </c:pt>
                      <c:pt idx="8">
                        <c:v>-18.88</c:v>
                      </c:pt>
                      <c:pt idx="9">
                        <c:v>-18.91</c:v>
                      </c:pt>
                      <c:pt idx="10">
                        <c:v>-18.940000000000001</c:v>
                      </c:pt>
                      <c:pt idx="11">
                        <c:v>-18.97</c:v>
                      </c:pt>
                      <c:pt idx="12">
                        <c:v>-18.95</c:v>
                      </c:pt>
                      <c:pt idx="13">
                        <c:v>-18.97</c:v>
                      </c:pt>
                      <c:pt idx="14">
                        <c:v>-19.010000000000002</c:v>
                      </c:pt>
                      <c:pt idx="15">
                        <c:v>-19.05</c:v>
                      </c:pt>
                      <c:pt idx="16">
                        <c:v>-19.09</c:v>
                      </c:pt>
                      <c:pt idx="17">
                        <c:v>-19.14</c:v>
                      </c:pt>
                      <c:pt idx="18">
                        <c:v>-19.18</c:v>
                      </c:pt>
                      <c:pt idx="19">
                        <c:v>-19.22</c:v>
                      </c:pt>
                      <c:pt idx="20">
                        <c:v>-19.260000000000002</c:v>
                      </c:pt>
                      <c:pt idx="21">
                        <c:v>-19.43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E7A-412E-BBF5-89E233391AB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-66.53</c:v>
                      </c:pt>
                      <c:pt idx="1">
                        <c:v>-62.13</c:v>
                      </c:pt>
                      <c:pt idx="2">
                        <c:v>-57.96</c:v>
                      </c:pt>
                      <c:pt idx="3">
                        <c:v>-53.8</c:v>
                      </c:pt>
                      <c:pt idx="4">
                        <c:v>-49.68</c:v>
                      </c:pt>
                      <c:pt idx="5">
                        <c:v>-45.74</c:v>
                      </c:pt>
                      <c:pt idx="6">
                        <c:v>-42.09</c:v>
                      </c:pt>
                      <c:pt idx="7">
                        <c:v>-38.770000000000003</c:v>
                      </c:pt>
                      <c:pt idx="8">
                        <c:v>-35.78</c:v>
                      </c:pt>
                      <c:pt idx="9">
                        <c:v>-33.130000000000003</c:v>
                      </c:pt>
                      <c:pt idx="10">
                        <c:v>-30.71</c:v>
                      </c:pt>
                      <c:pt idx="11">
                        <c:v>-28.49</c:v>
                      </c:pt>
                      <c:pt idx="12">
                        <c:v>-26.95</c:v>
                      </c:pt>
                      <c:pt idx="13">
                        <c:v>-27.44</c:v>
                      </c:pt>
                      <c:pt idx="14">
                        <c:v>-28.24</c:v>
                      </c:pt>
                      <c:pt idx="15">
                        <c:v>-29.04</c:v>
                      </c:pt>
                      <c:pt idx="16">
                        <c:v>-29.83</c:v>
                      </c:pt>
                      <c:pt idx="17">
                        <c:v>-30.61</c:v>
                      </c:pt>
                      <c:pt idx="18">
                        <c:v>-31.38</c:v>
                      </c:pt>
                      <c:pt idx="19">
                        <c:v>-32.130000000000003</c:v>
                      </c:pt>
                      <c:pt idx="20">
                        <c:v>-32.880000000000003</c:v>
                      </c:pt>
                      <c:pt idx="21">
                        <c:v>-35.74</c:v>
                      </c:pt>
                      <c:pt idx="22">
                        <c:v>-38.369999999999997</c:v>
                      </c:pt>
                      <c:pt idx="23">
                        <c:v>-40.72</c:v>
                      </c:pt>
                      <c:pt idx="24">
                        <c:v>-42.77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E7A-412E-BBF5-89E233391AB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-17.07</c:v>
                      </c:pt>
                      <c:pt idx="1">
                        <c:v>-16.14</c:v>
                      </c:pt>
                      <c:pt idx="2">
                        <c:v>-15.05</c:v>
                      </c:pt>
                      <c:pt idx="3">
                        <c:v>-13.74</c:v>
                      </c:pt>
                      <c:pt idx="4">
                        <c:v>-12.31</c:v>
                      </c:pt>
                      <c:pt idx="5">
                        <c:v>-10.9</c:v>
                      </c:pt>
                      <c:pt idx="6">
                        <c:v>-9.5839999999999996</c:v>
                      </c:pt>
                      <c:pt idx="7">
                        <c:v>-8.4179999999999993</c:v>
                      </c:pt>
                      <c:pt idx="8">
                        <c:v>-7.4589999999999996</c:v>
                      </c:pt>
                      <c:pt idx="9">
                        <c:v>-6.7530000000000001</c:v>
                      </c:pt>
                      <c:pt idx="10">
                        <c:v>-6.2969999999999997</c:v>
                      </c:pt>
                      <c:pt idx="11">
                        <c:v>-6.0679999999999996</c:v>
                      </c:pt>
                      <c:pt idx="12">
                        <c:v>-6.2190000000000003</c:v>
                      </c:pt>
                      <c:pt idx="13">
                        <c:v>-6.3109999999999999</c:v>
                      </c:pt>
                      <c:pt idx="14">
                        <c:v>-6.3170000000000002</c:v>
                      </c:pt>
                      <c:pt idx="15">
                        <c:v>-6.3460000000000001</c:v>
                      </c:pt>
                      <c:pt idx="16">
                        <c:v>-6.3869999999999996</c:v>
                      </c:pt>
                      <c:pt idx="17">
                        <c:v>-6.4329999999999998</c:v>
                      </c:pt>
                      <c:pt idx="18">
                        <c:v>-6.4809999999999999</c:v>
                      </c:pt>
                      <c:pt idx="19">
                        <c:v>-6.53</c:v>
                      </c:pt>
                      <c:pt idx="20">
                        <c:v>-6.5789999999999997</c:v>
                      </c:pt>
                      <c:pt idx="21">
                        <c:v>-6.7750000000000004</c:v>
                      </c:pt>
                      <c:pt idx="22">
                        <c:v>-6.9660000000000002</c:v>
                      </c:pt>
                      <c:pt idx="23">
                        <c:v>-7.1509999999999998</c:v>
                      </c:pt>
                      <c:pt idx="24">
                        <c:v>-7.3280000000000003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-21.55</c:v>
                      </c:pt>
                      <c:pt idx="3">
                        <c:v>-21.2</c:v>
                      </c:pt>
                      <c:pt idx="4">
                        <c:v>-21.2</c:v>
                      </c:pt>
                      <c:pt idx="5">
                        <c:v>-21.38</c:v>
                      </c:pt>
                      <c:pt idx="6">
                        <c:v>-21.63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-22.3</c:v>
                      </c:pt>
                      <c:pt idx="10">
                        <c:v>-22.47</c:v>
                      </c:pt>
                      <c:pt idx="11">
                        <c:v>-22.67</c:v>
                      </c:pt>
                      <c:pt idx="12">
                        <c:v>-22.85</c:v>
                      </c:pt>
                      <c:pt idx="13">
                        <c:v>-23.1</c:v>
                      </c:pt>
                      <c:pt idx="14">
                        <c:v>-23.4</c:v>
                      </c:pt>
                      <c:pt idx="15">
                        <c:v>-23.69</c:v>
                      </c:pt>
                      <c:pt idx="16">
                        <c:v>-23.99</c:v>
                      </c:pt>
                      <c:pt idx="17">
                        <c:v>-24.29</c:v>
                      </c:pt>
                      <c:pt idx="18">
                        <c:v>-24.58</c:v>
                      </c:pt>
                      <c:pt idx="19">
                        <c:v>-24.87</c:v>
                      </c:pt>
                      <c:pt idx="20">
                        <c:v>-25.16</c:v>
                      </c:pt>
                      <c:pt idx="21">
                        <c:v>-26.28</c:v>
                      </c:pt>
                      <c:pt idx="22">
                        <c:v>-27.37</c:v>
                      </c:pt>
                      <c:pt idx="23">
                        <c:v>-28.41</c:v>
                      </c:pt>
                      <c:pt idx="24">
                        <c:v>-29.42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-18.264067543829999</c:v>
                </c:pt>
                <c:pt idx="1">
                  <c:v>-38.394348724709999</c:v>
                </c:pt>
                <c:pt idx="2">
                  <c:v>-61.099240938120012</c:v>
                </c:pt>
                <c:pt idx="3">
                  <c:v>-85.789857748680006</c:v>
                </c:pt>
                <c:pt idx="4">
                  <c:v>-112.15152409956002</c:v>
                </c:pt>
                <c:pt idx="5">
                  <c:v>-140.00466275459999</c:v>
                </c:pt>
                <c:pt idx="6">
                  <c:v>-169.50249930624</c:v>
                </c:pt>
                <c:pt idx="7">
                  <c:v>-200.59975016055</c:v>
                </c:pt>
                <c:pt idx="8">
                  <c:v>-233.10505327536004</c:v>
                </c:pt>
                <c:pt idx="9">
                  <c:v>-267.57391320000005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F2-4069-8B7D-46697EC83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5701933100981945E-2"/>
          <c:y val="8.2117355881280038E-2"/>
          <c:w val="0.92895846560109563"/>
          <c:h val="0.83797357102586423"/>
        </c:manualLayout>
      </c:layout>
      <c:scatterChart>
        <c:scatterStyle val="lineMarker"/>
        <c:varyColors val="0"/>
        <c:ser>
          <c:idx val="1"/>
          <c:order val="1"/>
          <c:tx>
            <c:strRef>
              <c:f>FLUID!$E$5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FLUID!$F$5:$AL$5</c:f>
              <c:numCache>
                <c:formatCode>0.0E+00</c:formatCode>
                <c:ptCount val="33"/>
                <c:pt idx="0">
                  <c:v>2.7272000000000002E-25</c:v>
                </c:pt>
                <c:pt idx="1">
                  <c:v>4.5515999999999997E-18</c:v>
                </c:pt>
                <c:pt idx="2">
                  <c:v>1.1458E-13</c:v>
                </c:pt>
                <c:pt idx="3">
                  <c:v>9.9787999999999994E-11</c:v>
                </c:pt>
                <c:pt idx="4">
                  <c:v>1.2677E-8</c:v>
                </c:pt>
                <c:pt idx="5">
                  <c:v>5.1037999999999999E-7</c:v>
                </c:pt>
                <c:pt idx="6">
                  <c:v>9.1952999999999999E-6</c:v>
                </c:pt>
                <c:pt idx="7">
                  <c:v>8.7031000000000001E-5</c:v>
                </c:pt>
                <c:pt idx="8">
                  <c:v>4.8848000000000001E-4</c:v>
                </c:pt>
                <c:pt idx="9">
                  <c:v>1.5862999999999999E-3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96-4DE2-99DA-C7F0C20F8110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FLUID!$F$6:$AL$6</c:f>
              <c:numCache>
                <c:formatCode>0.0E+00</c:formatCode>
                <c:ptCount val="33"/>
                <c:pt idx="0">
                  <c:v>2.8659000000000002E-23</c:v>
                </c:pt>
                <c:pt idx="1">
                  <c:v>9.2949999999999999E-17</c:v>
                </c:pt>
                <c:pt idx="2">
                  <c:v>7.6957000000000002E-13</c:v>
                </c:pt>
                <c:pt idx="3">
                  <c:v>2.9812E-10</c:v>
                </c:pt>
                <c:pt idx="4">
                  <c:v>2.0496E-8</c:v>
                </c:pt>
                <c:pt idx="5">
                  <c:v>5.1551000000000004E-7</c:v>
                </c:pt>
                <c:pt idx="6">
                  <c:v>6.3798999999999997E-6</c:v>
                </c:pt>
                <c:pt idx="7">
                  <c:v>4.3479999999999997E-5</c:v>
                </c:pt>
                <c:pt idx="8">
                  <c:v>1.7650000000000001E-4</c:v>
                </c:pt>
                <c:pt idx="9">
                  <c:v>3.9039000000000001E-4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96-4DE2-99DA-C7F0C20F8110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FLUID!$F$7:$AL$7</c:f>
              <c:numCache>
                <c:formatCode>0.0E+00</c:formatCode>
                <c:ptCount val="33"/>
                <c:pt idx="0">
                  <c:v>8.2633999999999998E-20</c:v>
                </c:pt>
                <c:pt idx="1">
                  <c:v>7.1755000000000006E-14</c:v>
                </c:pt>
                <c:pt idx="2">
                  <c:v>2.4213000000000002E-10</c:v>
                </c:pt>
                <c:pt idx="3">
                  <c:v>4.8640999999999999E-8</c:v>
                </c:pt>
                <c:pt idx="4">
                  <c:v>2.0304999999999999E-6</c:v>
                </c:pt>
                <c:pt idx="5">
                  <c:v>3.4894999999999997E-5</c:v>
                </c:pt>
                <c:pt idx="6">
                  <c:v>3.1868E-4</c:v>
                </c:pt>
                <c:pt idx="7">
                  <c:v>1.6582000000000001E-3</c:v>
                </c:pt>
                <c:pt idx="8">
                  <c:v>5.1117000000000003E-3</c:v>
                </c:pt>
                <c:pt idx="9">
                  <c:v>8.0254000000000002E-3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96-4DE2-99DA-C7F0C20F8110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FLUID!$F$8:$AL$8</c:f>
              <c:numCache>
                <c:formatCode>0.0E+00</c:formatCode>
                <c:ptCount val="33"/>
                <c:pt idx="0">
                  <c:v>3.1684999999999997E-17</c:v>
                </c:pt>
                <c:pt idx="1">
                  <c:v>2.8145000000000002E-12</c:v>
                </c:pt>
                <c:pt idx="2">
                  <c:v>2.1025000000000001E-9</c:v>
                </c:pt>
                <c:pt idx="3">
                  <c:v>1.4366E-7</c:v>
                </c:pt>
                <c:pt idx="4">
                  <c:v>2.6734999999999999E-6</c:v>
                </c:pt>
                <c:pt idx="5">
                  <c:v>2.4793000000000001E-5</c:v>
                </c:pt>
                <c:pt idx="6">
                  <c:v>1.3870000000000001E-4</c:v>
                </c:pt>
                <c:pt idx="7">
                  <c:v>4.7393000000000001E-4</c:v>
                </c:pt>
                <c:pt idx="8">
                  <c:v>9.7969000000000007E-4</c:v>
                </c:pt>
                <c:pt idx="9">
                  <c:v>9.834799999999999E-4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696-4DE2-99DA-C7F0C20F8110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FLUID!$F$9:$AL$9</c:f>
              <c:numCache>
                <c:formatCode>0.0E+00</c:formatCode>
                <c:ptCount val="33"/>
                <c:pt idx="0">
                  <c:v>2.7152E-18</c:v>
                </c:pt>
                <c:pt idx="1">
                  <c:v>4.5969000000000003E-13</c:v>
                </c:pt>
                <c:pt idx="2">
                  <c:v>4.7620999999999995E-10</c:v>
                </c:pt>
                <c:pt idx="3">
                  <c:v>3.8952999999999998E-8</c:v>
                </c:pt>
                <c:pt idx="4">
                  <c:v>8.0826000000000001E-7</c:v>
                </c:pt>
                <c:pt idx="5">
                  <c:v>8.1248000000000005E-6</c:v>
                </c:pt>
                <c:pt idx="6">
                  <c:v>4.8183000000000003E-5</c:v>
                </c:pt>
                <c:pt idx="7">
                  <c:v>1.6833000000000001E-4</c:v>
                </c:pt>
                <c:pt idx="8">
                  <c:v>3.3604000000000001E-4</c:v>
                </c:pt>
                <c:pt idx="9">
                  <c:v>2.9283999999999999E-4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696-4DE2-99DA-C7F0C20F8110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5696-4DE2-99DA-C7F0C20F8110}"/>
              </c:ext>
            </c:extLst>
          </c:dPt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FLUID!$F$10:$AL$10</c:f>
              <c:numCache>
                <c:formatCode>0.0E+00</c:formatCode>
                <c:ptCount val="33"/>
                <c:pt idx="0">
                  <c:v>4.8741E-20</c:v>
                </c:pt>
                <c:pt idx="1">
                  <c:v>1.3799E-14</c:v>
                </c:pt>
                <c:pt idx="2">
                  <c:v>1.8279000000000002E-11</c:v>
                </c:pt>
                <c:pt idx="3">
                  <c:v>1.6938000000000001E-9</c:v>
                </c:pt>
                <c:pt idx="4">
                  <c:v>3.7650000000000003E-8</c:v>
                </c:pt>
                <c:pt idx="5">
                  <c:v>3.9798999999999998E-7</c:v>
                </c:pt>
                <c:pt idx="6">
                  <c:v>2.4434000000000002E-6</c:v>
                </c:pt>
                <c:pt idx="7">
                  <c:v>8.5620000000000004E-6</c:v>
                </c:pt>
                <c:pt idx="8">
                  <c:v>1.6249E-5</c:v>
                </c:pt>
                <c:pt idx="9">
                  <c:v>1.2132E-5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696-4DE2-99DA-C7F0C20F8110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FLUID!$F$11:$AL$11</c:f>
              <c:numCache>
                <c:formatCode>0.0E+00</c:formatCode>
                <c:ptCount val="33"/>
                <c:pt idx="0">
                  <c:v>3.8015999999999999E-20</c:v>
                </c:pt>
                <c:pt idx="1">
                  <c:v>3.2498000000000001E-14</c:v>
                </c:pt>
                <c:pt idx="2">
                  <c:v>1.4396000000000001E-10</c:v>
                </c:pt>
                <c:pt idx="3">
                  <c:v>4.105E-8</c:v>
                </c:pt>
                <c:pt idx="4">
                  <c:v>2.4128999999999998E-6</c:v>
                </c:pt>
                <c:pt idx="5">
                  <c:v>5.4931E-5</c:v>
                </c:pt>
                <c:pt idx="6">
                  <c:v>6.4190000000000004E-4</c:v>
                </c:pt>
                <c:pt idx="7">
                  <c:v>4.4270999999999998E-3</c:v>
                </c:pt>
                <c:pt idx="8">
                  <c:v>2.0315E-2</c:v>
                </c:pt>
                <c:pt idx="9">
                  <c:v>6.2663999999999997E-2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696-4DE2-99DA-C7F0C20F8110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1.7529999999999999E-29</c:v>
                </c:pt>
                <c:pt idx="2">
                  <c:v>4.0372999999999998E-23</c:v>
                </c:pt>
                <c:pt idx="3">
                  <c:v>8.9446000000000002E-19</c:v>
                </c:pt>
                <c:pt idx="4">
                  <c:v>1.3020000000000001E-15</c:v>
                </c:pt>
                <c:pt idx="5">
                  <c:v>3.4631999999999998E-13</c:v>
                </c:pt>
                <c:pt idx="6">
                  <c:v>2.8454000000000001E-11</c:v>
                </c:pt>
                <c:pt idx="7">
                  <c:v>9.8124000000000002E-10</c:v>
                </c:pt>
                <c:pt idx="8">
                  <c:v>1.8051000000000001E-8</c:v>
                </c:pt>
                <c:pt idx="9">
                  <c:v>2.0106E-7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696-4DE2-99DA-C7F0C20F8110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FLUID!$F$13:$AL$13</c:f>
              <c:numCache>
                <c:formatCode>0.0E+00</c:formatCode>
                <c:ptCount val="33"/>
                <c:pt idx="0">
                  <c:v>4.5016000000000001E-11</c:v>
                </c:pt>
                <c:pt idx="1">
                  <c:v>1.4917999999999999E-7</c:v>
                </c:pt>
                <c:pt idx="2">
                  <c:v>1.986E-5</c:v>
                </c:pt>
                <c:pt idx="3">
                  <c:v>5.0003999999999999E-4</c:v>
                </c:pt>
                <c:pt idx="4">
                  <c:v>4.4859000000000001E-3</c:v>
                </c:pt>
                <c:pt idx="5">
                  <c:v>1.7125000000000001E-2</c:v>
                </c:pt>
                <c:pt idx="6">
                  <c:v>3.2217999999999997E-2</c:v>
                </c:pt>
                <c:pt idx="7">
                  <c:v>4.2556999999999998E-2</c:v>
                </c:pt>
                <c:pt idx="8">
                  <c:v>4.9172E-2</c:v>
                </c:pt>
                <c:pt idx="9">
                  <c:v>5.3546000000000003E-2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696-4DE2-99DA-C7F0C20F8110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FLUID!$A$34:$A$35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FLUID!$B$34:$B$35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CF-4AE5-880A-63C83CDD9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2.2268999999999999E-8</c:v>
                      </c:pt>
                      <c:pt idx="1">
                        <c:v>2.2472000000000001E-8</c:v>
                      </c:pt>
                      <c:pt idx="2">
                        <c:v>1.9747999999999999E-8</c:v>
                      </c:pt>
                      <c:pt idx="3">
                        <c:v>2.0392999999999999E-8</c:v>
                      </c:pt>
                      <c:pt idx="4">
                        <c:v>2.5886999999999999E-8</c:v>
                      </c:pt>
                      <c:pt idx="5">
                        <c:v>3.3746999999999998E-8</c:v>
                      </c:pt>
                      <c:pt idx="6">
                        <c:v>3.1819000000000002E-8</c:v>
                      </c:pt>
                      <c:pt idx="7">
                        <c:v>3.4369000000000002E-8</c:v>
                      </c:pt>
                      <c:pt idx="8">
                        <c:v>2.7837E-8</c:v>
                      </c:pt>
                      <c:pt idx="9">
                        <c:v>1.0428000000000001E-8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5696-4DE2-99DA-C7F0C20F811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696-4DE2-99DA-C7F0C20F811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0.11996</c:v>
                      </c:pt>
                      <c:pt idx="3">
                        <c:v>0.11899999999999999</c:v>
                      </c:pt>
                      <c:pt idx="4">
                        <c:v>0.11103</c:v>
                      </c:pt>
                      <c:pt idx="5">
                        <c:v>8.5750000000000007E-2</c:v>
                      </c:pt>
                      <c:pt idx="6">
                        <c:v>5.5564000000000002E-2</c:v>
                      </c:pt>
                      <c:pt idx="7">
                        <c:v>3.4884999999999999E-2</c:v>
                      </c:pt>
                      <c:pt idx="8">
                        <c:v>2.1655000000000001E-2</c:v>
                      </c:pt>
                      <c:pt idx="9">
                        <c:v>1.2907999999999999E-2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696-4DE2-99DA-C7F0C20F811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696-4DE2-99DA-C7F0C20F8110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(l)SeCl]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0.47998000000000002</c:v>
                      </c:pt>
                      <c:pt idx="3">
                        <c:v>0.47949999999999998</c:v>
                      </c:pt>
                      <c:pt idx="4">
                        <c:v>0.47548000000000001</c:v>
                      </c:pt>
                      <c:pt idx="5">
                        <c:v>0.46238000000000001</c:v>
                      </c:pt>
                      <c:pt idx="6">
                        <c:v>0.44366</c:v>
                      </c:pt>
                      <c:pt idx="7">
                        <c:v>0.41576999999999997</c:v>
                      </c:pt>
                      <c:pt idx="8">
                        <c:v>0.35410999999999998</c:v>
                      </c:pt>
                      <c:pt idx="9">
                        <c:v>0.24662999999999999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696-4DE2-99DA-C7F0C20F8110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-18.649999999999999</c:v>
                      </c:pt>
                      <c:pt idx="2">
                        <c:v>-18.77</c:v>
                      </c:pt>
                      <c:pt idx="3">
                        <c:v>-18.93</c:v>
                      </c:pt>
                      <c:pt idx="4">
                        <c:v>-19.12</c:v>
                      </c:pt>
                      <c:pt idx="5">
                        <c:v>-19.34</c:v>
                      </c:pt>
                      <c:pt idx="6">
                        <c:v>-19.579999999999998</c:v>
                      </c:pt>
                      <c:pt idx="7">
                        <c:v>-19.809999999999999</c:v>
                      </c:pt>
                      <c:pt idx="8">
                        <c:v>-20.059999999999999</c:v>
                      </c:pt>
                      <c:pt idx="9">
                        <c:v>-20.38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696-4DE2-99DA-C7F0C20F8110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-6.5640000000000001</c:v>
                      </c:pt>
                      <c:pt idx="1">
                        <c:v>-7.1589999999999998</c:v>
                      </c:pt>
                      <c:pt idx="2">
                        <c:v>-7.6760000000000002</c:v>
                      </c:pt>
                      <c:pt idx="3">
                        <c:v>-8.1340000000000003</c:v>
                      </c:pt>
                      <c:pt idx="4">
                        <c:v>-8.5860000000000003</c:v>
                      </c:pt>
                      <c:pt idx="5">
                        <c:v>-9.1489999999999991</c:v>
                      </c:pt>
                      <c:pt idx="6">
                        <c:v>-9.8379999999999992</c:v>
                      </c:pt>
                      <c:pt idx="7">
                        <c:v>-10.52</c:v>
                      </c:pt>
                      <c:pt idx="8">
                        <c:v>-11.14</c:v>
                      </c:pt>
                      <c:pt idx="9">
                        <c:v>-11.68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96-4DE2-99DA-C7F0C20F8110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7.1749999999999998</c:v>
                      </c:pt>
                      <c:pt idx="1">
                        <c:v>3.5760000000000001</c:v>
                      </c:pt>
                      <c:pt idx="2">
                        <c:v>1.1719999999999999</c:v>
                      </c:pt>
                      <c:pt idx="3">
                        <c:v>-0.5736</c:v>
                      </c:pt>
                      <c:pt idx="4">
                        <c:v>-1.9039999999999999</c:v>
                      </c:pt>
                      <c:pt idx="5">
                        <c:v>-2.931</c:v>
                      </c:pt>
                      <c:pt idx="6">
                        <c:v>-3.754</c:v>
                      </c:pt>
                      <c:pt idx="7">
                        <c:v>-4.4349999999999996</c:v>
                      </c:pt>
                      <c:pt idx="8">
                        <c:v>-4.9619999999999997</c:v>
                      </c:pt>
                      <c:pt idx="9">
                        <c:v>-5.3040000000000003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96-4DE2-99DA-C7F0C20F8110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-5.1369999999999996</c:v>
                      </c:pt>
                      <c:pt idx="2">
                        <c:v>-5.6130000000000004</c:v>
                      </c:pt>
                      <c:pt idx="3">
                        <c:v>-6.069</c:v>
                      </c:pt>
                      <c:pt idx="4">
                        <c:v>-6.4870000000000001</c:v>
                      </c:pt>
                      <c:pt idx="5">
                        <c:v>-6.8550000000000004</c:v>
                      </c:pt>
                      <c:pt idx="6">
                        <c:v>-7.1870000000000003</c:v>
                      </c:pt>
                      <c:pt idx="7">
                        <c:v>-7.5110000000000001</c:v>
                      </c:pt>
                      <c:pt idx="8">
                        <c:v>-7.8559999999999999</c:v>
                      </c:pt>
                      <c:pt idx="9">
                        <c:v>-8.2789999999999999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696-4DE2-99DA-C7F0C20F8110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696-4DE2-99DA-C7F0C20F8110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696-4DE2-99DA-C7F0C20F8110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696-4DE2-99DA-C7F0C20F8110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696-4DE2-99DA-C7F0C20F8110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696-4DE2-99DA-C7F0C20F8110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696-4DE2-99DA-C7F0C20F8110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696-4DE2-99DA-C7F0C20F8110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696-4DE2-99DA-C7F0C20F8110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696-4DE2-99DA-C7F0C20F8110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696-4DE2-99DA-C7F0C20F8110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696-4DE2-99DA-C7F0C20F8110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008699703398236E-2"/>
          <c:y val="4.7294133830119246E-2"/>
          <c:w val="0.92848161115185734"/>
          <c:h val="0.87297067749078638"/>
        </c:manualLayout>
      </c:layout>
      <c:scatterChart>
        <c:scatterStyle val="lineMarker"/>
        <c:varyColors val="0"/>
        <c:ser>
          <c:idx val="11"/>
          <c:order val="11"/>
          <c:tx>
            <c:strRef>
              <c:f>FLUID!$E$15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FLUID!$F$15:$AL$15</c:f>
              <c:numCache>
                <c:formatCode>0.0E+00</c:formatCode>
                <c:ptCount val="33"/>
                <c:pt idx="0">
                  <c:v>0.12</c:v>
                </c:pt>
                <c:pt idx="1">
                  <c:v>0.12</c:v>
                </c:pt>
                <c:pt idx="2">
                  <c:v>0.11996</c:v>
                </c:pt>
                <c:pt idx="3">
                  <c:v>0.11899999999999999</c:v>
                </c:pt>
                <c:pt idx="4">
                  <c:v>0.11103</c:v>
                </c:pt>
                <c:pt idx="5">
                  <c:v>8.5750000000000007E-2</c:v>
                </c:pt>
                <c:pt idx="6">
                  <c:v>5.5564000000000002E-2</c:v>
                </c:pt>
                <c:pt idx="7">
                  <c:v>3.4884999999999999E-2</c:v>
                </c:pt>
                <c:pt idx="8">
                  <c:v>2.1655000000000001E-2</c:v>
                </c:pt>
                <c:pt idx="9">
                  <c:v>1.2907999999999999E-2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A61-4FB5-94E6-BE91A525E719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FLUID!$F$16:$AL$16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A61-4FB5-94E6-BE91A525E719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(l)SeCl]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FLUID!$F$17:$AL$17</c:f>
              <c:numCache>
                <c:formatCode>0.0E+00</c:formatCode>
                <c:ptCount val="33"/>
                <c:pt idx="0">
                  <c:v>0.48</c:v>
                </c:pt>
                <c:pt idx="1">
                  <c:v>0.48</c:v>
                </c:pt>
                <c:pt idx="2">
                  <c:v>0.47998000000000002</c:v>
                </c:pt>
                <c:pt idx="3">
                  <c:v>0.47949999999999998</c:v>
                </c:pt>
                <c:pt idx="4">
                  <c:v>0.47548000000000001</c:v>
                </c:pt>
                <c:pt idx="5">
                  <c:v>0.46238000000000001</c:v>
                </c:pt>
                <c:pt idx="6">
                  <c:v>0.44366</c:v>
                </c:pt>
                <c:pt idx="7">
                  <c:v>0.41576999999999997</c:v>
                </c:pt>
                <c:pt idx="8">
                  <c:v>0.35410999999999998</c:v>
                </c:pt>
                <c:pt idx="9">
                  <c:v>0.24662999999999999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A61-4FB5-94E6-BE91A525E719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7A61-4FB5-94E6-BE91A525E719}"/>
              </c:ext>
            </c:extLst>
          </c:dPt>
          <c:xVal>
            <c:numRef>
              <c:f>FLUID!$A$34:$A$35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FLUID!$B$34:$B$35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7A61-4FB5-94E6-BE91A525E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2.2268999999999999E-8</c:v>
                      </c:pt>
                      <c:pt idx="1">
                        <c:v>2.2472000000000001E-8</c:v>
                      </c:pt>
                      <c:pt idx="2">
                        <c:v>1.9747999999999999E-8</c:v>
                      </c:pt>
                      <c:pt idx="3">
                        <c:v>2.0392999999999999E-8</c:v>
                      </c:pt>
                      <c:pt idx="4">
                        <c:v>2.5886999999999999E-8</c:v>
                      </c:pt>
                      <c:pt idx="5">
                        <c:v>3.3746999999999998E-8</c:v>
                      </c:pt>
                      <c:pt idx="6">
                        <c:v>3.1819000000000002E-8</c:v>
                      </c:pt>
                      <c:pt idx="7">
                        <c:v>3.4369000000000002E-8</c:v>
                      </c:pt>
                      <c:pt idx="8">
                        <c:v>2.7837E-8</c:v>
                      </c:pt>
                      <c:pt idx="9">
                        <c:v>1.0428000000000001E-8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A61-4FB5-94E6-BE91A525E719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2.7272000000000002E-25</c:v>
                      </c:pt>
                      <c:pt idx="1">
                        <c:v>4.5515999999999997E-18</c:v>
                      </c:pt>
                      <c:pt idx="2">
                        <c:v>1.1458E-13</c:v>
                      </c:pt>
                      <c:pt idx="3">
                        <c:v>9.9787999999999994E-11</c:v>
                      </c:pt>
                      <c:pt idx="4">
                        <c:v>1.2677E-8</c:v>
                      </c:pt>
                      <c:pt idx="5">
                        <c:v>5.1037999999999999E-7</c:v>
                      </c:pt>
                      <c:pt idx="6">
                        <c:v>9.1952999999999999E-6</c:v>
                      </c:pt>
                      <c:pt idx="7">
                        <c:v>8.7031000000000001E-5</c:v>
                      </c:pt>
                      <c:pt idx="8">
                        <c:v>4.8848000000000001E-4</c:v>
                      </c:pt>
                      <c:pt idx="9">
                        <c:v>1.5862999999999999E-3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A61-4FB5-94E6-BE91A525E7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2.8659000000000002E-23</c:v>
                      </c:pt>
                      <c:pt idx="1">
                        <c:v>9.2949999999999999E-17</c:v>
                      </c:pt>
                      <c:pt idx="2">
                        <c:v>7.6957000000000002E-13</c:v>
                      </c:pt>
                      <c:pt idx="3">
                        <c:v>2.9812E-10</c:v>
                      </c:pt>
                      <c:pt idx="4">
                        <c:v>2.0496E-8</c:v>
                      </c:pt>
                      <c:pt idx="5">
                        <c:v>5.1551000000000004E-7</c:v>
                      </c:pt>
                      <c:pt idx="6">
                        <c:v>6.3798999999999997E-6</c:v>
                      </c:pt>
                      <c:pt idx="7">
                        <c:v>4.3479999999999997E-5</c:v>
                      </c:pt>
                      <c:pt idx="8">
                        <c:v>1.7650000000000001E-4</c:v>
                      </c:pt>
                      <c:pt idx="9">
                        <c:v>3.9039000000000001E-4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A61-4FB5-94E6-BE91A525E719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8.2633999999999998E-20</c:v>
                      </c:pt>
                      <c:pt idx="1">
                        <c:v>7.1755000000000006E-14</c:v>
                      </c:pt>
                      <c:pt idx="2">
                        <c:v>2.4213000000000002E-10</c:v>
                      </c:pt>
                      <c:pt idx="3">
                        <c:v>4.8640999999999999E-8</c:v>
                      </c:pt>
                      <c:pt idx="4">
                        <c:v>2.0304999999999999E-6</c:v>
                      </c:pt>
                      <c:pt idx="5">
                        <c:v>3.4894999999999997E-5</c:v>
                      </c:pt>
                      <c:pt idx="6">
                        <c:v>3.1868E-4</c:v>
                      </c:pt>
                      <c:pt idx="7">
                        <c:v>1.6582000000000001E-3</c:v>
                      </c:pt>
                      <c:pt idx="8">
                        <c:v>5.1117000000000003E-3</c:v>
                      </c:pt>
                      <c:pt idx="9">
                        <c:v>8.0254000000000002E-3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A61-4FB5-94E6-BE91A525E719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3.1684999999999997E-17</c:v>
                      </c:pt>
                      <c:pt idx="1">
                        <c:v>2.8145000000000002E-12</c:v>
                      </c:pt>
                      <c:pt idx="2">
                        <c:v>2.1025000000000001E-9</c:v>
                      </c:pt>
                      <c:pt idx="3">
                        <c:v>1.4366E-7</c:v>
                      </c:pt>
                      <c:pt idx="4">
                        <c:v>2.6734999999999999E-6</c:v>
                      </c:pt>
                      <c:pt idx="5">
                        <c:v>2.4793000000000001E-5</c:v>
                      </c:pt>
                      <c:pt idx="6">
                        <c:v>1.3870000000000001E-4</c:v>
                      </c:pt>
                      <c:pt idx="7">
                        <c:v>4.7393000000000001E-4</c:v>
                      </c:pt>
                      <c:pt idx="8">
                        <c:v>9.7969000000000007E-4</c:v>
                      </c:pt>
                      <c:pt idx="9">
                        <c:v>9.834799999999999E-4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A61-4FB5-94E6-BE91A525E719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2.7152E-18</c:v>
                      </c:pt>
                      <c:pt idx="1">
                        <c:v>4.5969000000000003E-13</c:v>
                      </c:pt>
                      <c:pt idx="2">
                        <c:v>4.7620999999999995E-10</c:v>
                      </c:pt>
                      <c:pt idx="3">
                        <c:v>3.8952999999999998E-8</c:v>
                      </c:pt>
                      <c:pt idx="4">
                        <c:v>8.0826000000000001E-7</c:v>
                      </c:pt>
                      <c:pt idx="5">
                        <c:v>8.1248000000000005E-6</c:v>
                      </c:pt>
                      <c:pt idx="6">
                        <c:v>4.8183000000000003E-5</c:v>
                      </c:pt>
                      <c:pt idx="7">
                        <c:v>1.6833000000000001E-4</c:v>
                      </c:pt>
                      <c:pt idx="8">
                        <c:v>3.3604000000000001E-4</c:v>
                      </c:pt>
                      <c:pt idx="9">
                        <c:v>2.9283999999999999E-4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A61-4FB5-94E6-BE91A525E719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7A61-4FB5-94E6-BE91A525E719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4.8741E-20</c:v>
                      </c:pt>
                      <c:pt idx="1">
                        <c:v>1.3799E-14</c:v>
                      </c:pt>
                      <c:pt idx="2">
                        <c:v>1.8279000000000002E-11</c:v>
                      </c:pt>
                      <c:pt idx="3">
                        <c:v>1.6938000000000001E-9</c:v>
                      </c:pt>
                      <c:pt idx="4">
                        <c:v>3.7650000000000003E-8</c:v>
                      </c:pt>
                      <c:pt idx="5">
                        <c:v>3.9798999999999998E-7</c:v>
                      </c:pt>
                      <c:pt idx="6">
                        <c:v>2.4434000000000002E-6</c:v>
                      </c:pt>
                      <c:pt idx="7">
                        <c:v>8.5620000000000004E-6</c:v>
                      </c:pt>
                      <c:pt idx="8">
                        <c:v>1.6249E-5</c:v>
                      </c:pt>
                      <c:pt idx="9">
                        <c:v>1.2132E-5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61-4FB5-94E6-BE91A525E719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3.8015999999999999E-20</c:v>
                      </c:pt>
                      <c:pt idx="1">
                        <c:v>3.2498000000000001E-14</c:v>
                      </c:pt>
                      <c:pt idx="2">
                        <c:v>1.4396000000000001E-10</c:v>
                      </c:pt>
                      <c:pt idx="3">
                        <c:v>4.105E-8</c:v>
                      </c:pt>
                      <c:pt idx="4">
                        <c:v>2.4128999999999998E-6</c:v>
                      </c:pt>
                      <c:pt idx="5">
                        <c:v>5.4931E-5</c:v>
                      </c:pt>
                      <c:pt idx="6">
                        <c:v>6.4190000000000004E-4</c:v>
                      </c:pt>
                      <c:pt idx="7">
                        <c:v>4.4270999999999998E-3</c:v>
                      </c:pt>
                      <c:pt idx="8">
                        <c:v>2.0315E-2</c:v>
                      </c:pt>
                      <c:pt idx="9">
                        <c:v>6.2663999999999997E-2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A61-4FB5-94E6-BE91A525E71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1.7529999999999999E-29</c:v>
                      </c:pt>
                      <c:pt idx="2">
                        <c:v>4.0372999999999998E-23</c:v>
                      </c:pt>
                      <c:pt idx="3">
                        <c:v>8.9446000000000002E-19</c:v>
                      </c:pt>
                      <c:pt idx="4">
                        <c:v>1.3020000000000001E-15</c:v>
                      </c:pt>
                      <c:pt idx="5">
                        <c:v>3.4631999999999998E-13</c:v>
                      </c:pt>
                      <c:pt idx="6">
                        <c:v>2.8454000000000001E-11</c:v>
                      </c:pt>
                      <c:pt idx="7">
                        <c:v>9.8124000000000002E-10</c:v>
                      </c:pt>
                      <c:pt idx="8">
                        <c:v>1.8051000000000001E-8</c:v>
                      </c:pt>
                      <c:pt idx="9">
                        <c:v>2.0106E-7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A61-4FB5-94E6-BE91A525E71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4.5016000000000001E-11</c:v>
                      </c:pt>
                      <c:pt idx="1">
                        <c:v>1.4917999999999999E-7</c:v>
                      </c:pt>
                      <c:pt idx="2">
                        <c:v>1.986E-5</c:v>
                      </c:pt>
                      <c:pt idx="3">
                        <c:v>5.0003999999999999E-4</c:v>
                      </c:pt>
                      <c:pt idx="4">
                        <c:v>4.4859000000000001E-3</c:v>
                      </c:pt>
                      <c:pt idx="5">
                        <c:v>1.7125000000000001E-2</c:v>
                      </c:pt>
                      <c:pt idx="6">
                        <c:v>3.2217999999999997E-2</c:v>
                      </c:pt>
                      <c:pt idx="7">
                        <c:v>4.2556999999999998E-2</c:v>
                      </c:pt>
                      <c:pt idx="8">
                        <c:v>4.9172E-2</c:v>
                      </c:pt>
                      <c:pt idx="9">
                        <c:v>5.3546000000000003E-2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A61-4FB5-94E6-BE91A525E719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A61-4FB5-94E6-BE91A525E719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-18.649999999999999</c:v>
                      </c:pt>
                      <c:pt idx="2">
                        <c:v>-18.77</c:v>
                      </c:pt>
                      <c:pt idx="3">
                        <c:v>-18.93</c:v>
                      </c:pt>
                      <c:pt idx="4">
                        <c:v>-19.12</c:v>
                      </c:pt>
                      <c:pt idx="5">
                        <c:v>-19.34</c:v>
                      </c:pt>
                      <c:pt idx="6">
                        <c:v>-19.579999999999998</c:v>
                      </c:pt>
                      <c:pt idx="7">
                        <c:v>-19.809999999999999</c:v>
                      </c:pt>
                      <c:pt idx="8">
                        <c:v>-20.059999999999999</c:v>
                      </c:pt>
                      <c:pt idx="9">
                        <c:v>-20.38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A61-4FB5-94E6-BE91A525E719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-6.5640000000000001</c:v>
                      </c:pt>
                      <c:pt idx="1">
                        <c:v>-7.1589999999999998</c:v>
                      </c:pt>
                      <c:pt idx="2">
                        <c:v>-7.6760000000000002</c:v>
                      </c:pt>
                      <c:pt idx="3">
                        <c:v>-8.1340000000000003</c:v>
                      </c:pt>
                      <c:pt idx="4">
                        <c:v>-8.5860000000000003</c:v>
                      </c:pt>
                      <c:pt idx="5">
                        <c:v>-9.1489999999999991</c:v>
                      </c:pt>
                      <c:pt idx="6">
                        <c:v>-9.8379999999999992</c:v>
                      </c:pt>
                      <c:pt idx="7">
                        <c:v>-10.52</c:v>
                      </c:pt>
                      <c:pt idx="8">
                        <c:v>-11.14</c:v>
                      </c:pt>
                      <c:pt idx="9">
                        <c:v>-11.68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A61-4FB5-94E6-BE91A525E719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7.1749999999999998</c:v>
                      </c:pt>
                      <c:pt idx="1">
                        <c:v>3.5760000000000001</c:v>
                      </c:pt>
                      <c:pt idx="2">
                        <c:v>1.1719999999999999</c:v>
                      </c:pt>
                      <c:pt idx="3">
                        <c:v>-0.5736</c:v>
                      </c:pt>
                      <c:pt idx="4">
                        <c:v>-1.9039999999999999</c:v>
                      </c:pt>
                      <c:pt idx="5">
                        <c:v>-2.931</c:v>
                      </c:pt>
                      <c:pt idx="6">
                        <c:v>-3.754</c:v>
                      </c:pt>
                      <c:pt idx="7">
                        <c:v>-4.4349999999999996</c:v>
                      </c:pt>
                      <c:pt idx="8">
                        <c:v>-4.9619999999999997</c:v>
                      </c:pt>
                      <c:pt idx="9">
                        <c:v>-5.3040000000000003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A61-4FB5-94E6-BE91A525E719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-5.1369999999999996</c:v>
                      </c:pt>
                      <c:pt idx="2">
                        <c:v>-5.6130000000000004</c:v>
                      </c:pt>
                      <c:pt idx="3">
                        <c:v>-6.069</c:v>
                      </c:pt>
                      <c:pt idx="4">
                        <c:v>-6.4870000000000001</c:v>
                      </c:pt>
                      <c:pt idx="5">
                        <c:v>-6.8550000000000004</c:v>
                      </c:pt>
                      <c:pt idx="6">
                        <c:v>-7.1870000000000003</c:v>
                      </c:pt>
                      <c:pt idx="7">
                        <c:v>-7.5110000000000001</c:v>
                      </c:pt>
                      <c:pt idx="8">
                        <c:v>-7.8559999999999999</c:v>
                      </c:pt>
                      <c:pt idx="9">
                        <c:v>-8.2789999999999999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A61-4FB5-94E6-BE91A525E719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A61-4FB5-94E6-BE91A525E719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A61-4FB5-94E6-BE91A525E719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A61-4FB5-94E6-BE91A525E719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A61-4FB5-94E6-BE91A525E719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A61-4FB5-94E6-BE91A525E719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A61-4FB5-94E6-BE91A525E719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A61-4FB5-94E6-BE91A525E719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A61-4FB5-94E6-BE91A525E719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A61-4FB5-94E6-BE91A525E719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A61-4FB5-94E6-BE91A525E719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A61-4FB5-94E6-BE91A525E719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FLUID!$F$127:$AL$127</c:f>
              <c:numCache>
                <c:formatCode>General</c:formatCode>
                <c:ptCount val="33"/>
                <c:pt idx="0">
                  <c:v>-18.264067543829999</c:v>
                </c:pt>
                <c:pt idx="1">
                  <c:v>-38.394348724709999</c:v>
                </c:pt>
                <c:pt idx="2">
                  <c:v>-61.091663530601039</c:v>
                </c:pt>
                <c:pt idx="3">
                  <c:v>-85.550556257574755</c:v>
                </c:pt>
                <c:pt idx="4">
                  <c:v>-109.51588942235738</c:v>
                </c:pt>
                <c:pt idx="5">
                  <c:v>-127.78602014661115</c:v>
                </c:pt>
                <c:pt idx="6">
                  <c:v>-141.3074079855879</c:v>
                </c:pt>
                <c:pt idx="7">
                  <c:v>-152.57021132279016</c:v>
                </c:pt>
                <c:pt idx="8">
                  <c:v>-153.44702633716813</c:v>
                </c:pt>
                <c:pt idx="9">
                  <c:v>-135.252603817725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4FDC-4DA9-88D2-BC4A05D23606}"/>
            </c:ext>
          </c:extLst>
        </c:ser>
        <c:ser>
          <c:idx val="2"/>
          <c:order val="2"/>
          <c:marker>
            <c:symbol val="none"/>
          </c:marker>
          <c:xVal>
            <c:numRef>
              <c:f>FLUID!$F$126:$AL$126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FLUID!$F$129:$AL$129</c:f>
              <c:numCache>
                <c:formatCode>General</c:formatCode>
                <c:ptCount val="33"/>
                <c:pt idx="0">
                  <c:v>-18.264067552941668</c:v>
                </c:pt>
                <c:pt idx="1">
                  <c:v>-38.394391426335517</c:v>
                </c:pt>
                <c:pt idx="2">
                  <c:v>-61.099189681200329</c:v>
                </c:pt>
                <c:pt idx="3">
                  <c:v>-85.790068694877363</c:v>
                </c:pt>
                <c:pt idx="4">
                  <c:v>-112.15238923827174</c:v>
                </c:pt>
                <c:pt idx="5">
                  <c:v>-140.00499955451087</c:v>
                </c:pt>
                <c:pt idx="6">
                  <c:v>-169.5018956975938</c:v>
                </c:pt>
                <c:pt idx="7">
                  <c:v>-200.5987550697763</c:v>
                </c:pt>
                <c:pt idx="8">
                  <c:v>-233.10533907830342</c:v>
                </c:pt>
                <c:pt idx="9">
                  <c:v>-267.57373321517628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55-4FDC-4DA9-88D2-BC4A05D23606}"/>
            </c:ext>
          </c:extLst>
        </c:ser>
        <c:ser>
          <c:idx val="4"/>
          <c:order val="3"/>
          <c:marker>
            <c:symbol val="none"/>
          </c:marker>
          <c:xVal>
            <c:numRef>
              <c:f>FLUID!$F$126:$AL$126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FLUID!$F$130:$AL$130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4FDC-4DA9-88D2-BC4A05D23606}"/>
            </c:ext>
          </c:extLst>
        </c:ser>
        <c:ser>
          <c:idx val="3"/>
          <c:order val="13"/>
          <c:tx>
            <c:v>temp</c:v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FLUID!$A$118:$A$119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FLUID!$B$118:$B$119</c:f>
              <c:numCache>
                <c:formatCode>0</c:formatCode>
                <c:ptCount val="2"/>
                <c:pt idx="0">
                  <c:v>-267.57391320000005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4FDC-4DA9-88D2-BC4A05D23606}"/>
            </c:ext>
          </c:extLst>
        </c:ser>
        <c:ser>
          <c:idx val="13"/>
          <c:order val="14"/>
          <c:tx>
            <c:v>gibs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-18.264067543829999</c:v>
                </c:pt>
                <c:pt idx="1">
                  <c:v>-38.394348724709999</c:v>
                </c:pt>
                <c:pt idx="2">
                  <c:v>-61.099240938120012</c:v>
                </c:pt>
                <c:pt idx="3">
                  <c:v>-85.789857748680006</c:v>
                </c:pt>
                <c:pt idx="4">
                  <c:v>-112.15152409956002</c:v>
                </c:pt>
                <c:pt idx="5">
                  <c:v>-140.00466275459999</c:v>
                </c:pt>
                <c:pt idx="6">
                  <c:v>-169.50249930624</c:v>
                </c:pt>
                <c:pt idx="7">
                  <c:v>-200.59975016055</c:v>
                </c:pt>
                <c:pt idx="8">
                  <c:v>-233.10505327536004</c:v>
                </c:pt>
                <c:pt idx="9">
                  <c:v>-267.57391320000005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4FDC-4DA9-88D2-BC4A05D2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-9.1116683508918282E-9</c:v>
                      </c:pt>
                      <c:pt idx="1">
                        <c:v>-4.2701625520139446E-5</c:v>
                      </c:pt>
                      <c:pt idx="2">
                        <c:v>-7.5261505992923498E-3</c:v>
                      </c:pt>
                      <c:pt idx="3">
                        <c:v>-0.23951243730260174</c:v>
                      </c:pt>
                      <c:pt idx="4">
                        <c:v>-2.6364998159143607</c:v>
                      </c:pt>
                      <c:pt idx="5">
                        <c:v>-12.21897940789972</c:v>
                      </c:pt>
                      <c:pt idx="6">
                        <c:v>-28.194487712005905</c:v>
                      </c:pt>
                      <c:pt idx="7">
                        <c:v>-48.028543746986131</c:v>
                      </c:pt>
                      <c:pt idx="8">
                        <c:v>-79.658312741135305</c:v>
                      </c:pt>
                      <c:pt idx="9">
                        <c:v>-132.32112939745124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3-4FDC-4DA9-88D2-BC4A05D23606}"/>
                  </c:ext>
                </c:extLst>
              </c15:ser>
            </c15:filteredScatterSeries>
            <c15:filteredScatterSeries>
              <c15:ser>
                <c:idx val="5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4FDC-4DA9-88D2-BC4A05D23606}"/>
                  </c:ext>
                </c:extLst>
              </c15:ser>
            </c15:filteredScatterSeries>
            <c15:filteredScatterSeries>
              <c15:ser>
                <c:idx val="6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4FDC-4DA9-88D2-BC4A05D23606}"/>
                  </c:ext>
                </c:extLst>
              </c15:ser>
            </c15:filteredScatterSeries>
            <c15:filteredScatterSeries>
              <c15:ser>
                <c:idx val="7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4FDC-4DA9-88D2-BC4A05D23606}"/>
                  </c:ext>
                </c:extLst>
              </c15:ser>
            </c15:filteredScatterSeries>
            <c15:filteredScatterSeries>
              <c15:ser>
                <c:idx val="8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4FDC-4DA9-88D2-BC4A05D23606}"/>
                  </c:ext>
                </c:extLst>
              </c15:ser>
            </c15:filteredScatterSeries>
            <c15:filteredScatterSeries>
              <c15:ser>
                <c:idx val="9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1-4FDC-4DA9-88D2-BC4A05D23606}"/>
                  </c:ext>
                </c:extLst>
              </c15:ser>
            </c15:filteredScatterSeries>
            <c15:filteredScatterSeries>
              <c15:ser>
                <c:idx val="10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FLUID!$F$136:$AL$136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4FDC-4DA9-88D2-BC4A05D23606}"/>
                  </c:ext>
                </c:extLst>
              </c15:ser>
            </c15:filteredScatterSeries>
            <c15:filteredScatterSeries>
              <c15:ser>
                <c:idx val="11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FLUID!$F$137:$AL$137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5-4FDC-4DA9-88D2-BC4A05D23606}"/>
                  </c:ext>
                </c:extLst>
              </c15:ser>
            </c15:filteredScatterSeries>
            <c15:filteredScatterSeries>
              <c15:ser>
                <c:idx val="12"/>
                <c:order val="11"/>
                <c:spPr>
                  <a:ln>
                    <a:solidFill>
                      <a:schemeClr val="tx1">
                        <a:lumMod val="95000"/>
                        <a:lumOff val="5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FLUID!$F$138:$AL$138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7-4FDC-4DA9-88D2-BC4A05D23606}"/>
                  </c:ext>
                </c:extLst>
              </c15:ser>
            </c15:filteredScatterSeries>
            <c15:filteredScatterSeries>
              <c15:ser>
                <c:idx val="14"/>
                <c:order val="12"/>
                <c:spPr>
                  <a:ln>
                    <a:noFill/>
                  </a:ln>
                </c:spPr>
                <c:marker>
                  <c:symbol val="square"/>
                  <c:size val="5"/>
                  <c:spPr>
                    <a:solidFill>
                      <a:srgbClr val="002060"/>
                    </a:solidFill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FLUID!$F$139:$AL$139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9-4FDC-4DA9-88D2-BC4A05D23606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26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</c:plotArea>
    <c:plotVisOnly val="0"/>
    <c:dispBlanksAs val="span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-255.49349179410004</c:v>
                </c:pt>
                <c:pt idx="1">
                  <c:v>-258.51077395710007</c:v>
                </c:pt>
                <c:pt idx="2">
                  <c:v>-261.629228619</c:v>
                </c:pt>
                <c:pt idx="3">
                  <c:v>-264.88061051820006</c:v>
                </c:pt>
                <c:pt idx="4">
                  <c:v>-269.28714885042001</c:v>
                </c:pt>
                <c:pt idx="5">
                  <c:v>-291.01365189855005</c:v>
                </c:pt>
                <c:pt idx="6">
                  <c:v>-296.89275586080004</c:v>
                </c:pt>
                <c:pt idx="7">
                  <c:v>-302.82378470700002</c:v>
                </c:pt>
                <c:pt idx="8">
                  <c:v>-308.82111670199998</c:v>
                </c:pt>
                <c:pt idx="9">
                  <c:v>-315.39758687999995</c:v>
                </c:pt>
                <c:pt idx="10">
                  <c:v>-327.99939561480005</c:v>
                </c:pt>
                <c:pt idx="11">
                  <c:v>-346.25720616479998</c:v>
                </c:pt>
                <c:pt idx="12">
                  <c:v>-364.79449699200001</c:v>
                </c:pt>
                <c:pt idx="13">
                  <c:v>-383.7542758335</c:v>
                </c:pt>
                <c:pt idx="14">
                  <c:v>-462.96149537550002</c:v>
                </c:pt>
                <c:pt idx="15">
                  <c:v>-547.13342425920007</c:v>
                </c:pt>
                <c:pt idx="16">
                  <c:v>-636.0498587722501</c:v>
                </c:pt>
                <c:pt idx="17">
                  <c:v>-728.56984248360004</c:v>
                </c:pt>
                <c:pt idx="18">
                  <c:v>-824.47413449999999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FF-483C-BCE0-647F459C0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4355674994144814"/>
          <c:h val="0.79988254071377496"/>
        </c:manualLayout>
      </c:layout>
      <c:scatterChart>
        <c:scatterStyle val="lineMarker"/>
        <c:varyColors val="0"/>
        <c:ser>
          <c:idx val="7"/>
          <c:order val="7"/>
          <c:tx>
            <c:strRef>
              <c:f>SOLID!$E$11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SOLID!$F$11:$AL$11</c:f>
              <c:numCache>
                <c:formatCode>0.0E+00</c:formatCode>
                <c:ptCount val="33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7.1006000000000003E-3</c:v>
                </c:pt>
                <c:pt idx="11">
                  <c:v>2.5366000000000001E-5</c:v>
                </c:pt>
                <c:pt idx="12">
                  <c:v>1.2111E-7</c:v>
                </c:pt>
                <c:pt idx="13">
                  <c:v>7.3040999999999996E-10</c:v>
                </c:pt>
                <c:pt idx="14">
                  <c:v>7.0818000000000003E-18</c:v>
                </c:pt>
                <c:pt idx="15">
                  <c:v>9.1742999999999996E-25</c:v>
                </c:pt>
                <c:pt idx="16">
                  <c:v>9.3260000000000005E-31</c:v>
                </c:pt>
                <c:pt idx="17">
                  <c:v>5.3264E-36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F12-4D25-930A-3BF236421612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SOLID!$F$12:$AL$12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F12-4D25-930A-3BF23642161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SOLID!$F$13:$AL$13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1.0516E-35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2.3361999999999999E-27</c:v>
                </c:pt>
                <c:pt idx="12">
                  <c:v>8.5098999999999996E-22</c:v>
                </c:pt>
                <c:pt idx="13">
                  <c:v>6.8195999999999997E-17</c:v>
                </c:pt>
                <c:pt idx="14">
                  <c:v>2.2108999999999998E-12</c:v>
                </c:pt>
                <c:pt idx="15">
                  <c:v>1.8937000000000001E-11</c:v>
                </c:pt>
                <c:pt idx="16">
                  <c:v>1.7477999999999999E-10</c:v>
                </c:pt>
                <c:pt idx="17">
                  <c:v>3.1660000000000002E-10</c:v>
                </c:pt>
                <c:pt idx="18">
                  <c:v>4.4636999999999998E-9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F12-4D25-930A-3BF236421612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SOLID!$A$34:$A$35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SOLID!$B$34:$B$35</c:f>
              <c:numCache>
                <c:formatCode>0.0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B7-4871-B625-DDFFBF00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8.7828999999999996E-29</c:v>
                      </c:pt>
                      <c:pt idx="12">
                        <c:v>3.7763000000000002E-23</c:v>
                      </c:pt>
                      <c:pt idx="13">
                        <c:v>3.5245E-18</c:v>
                      </c:pt>
                      <c:pt idx="14">
                        <c:v>1.8913E-13</c:v>
                      </c:pt>
                      <c:pt idx="15">
                        <c:v>2.3472999999999999E-12</c:v>
                      </c:pt>
                      <c:pt idx="16">
                        <c:v>1.2146000000000001E-10</c:v>
                      </c:pt>
                      <c:pt idx="17">
                        <c:v>3.1660000000000002E-10</c:v>
                      </c:pt>
                      <c:pt idx="18">
                        <c:v>4.4636000000000002E-9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F12-4D25-930A-3BF23642161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5.0927999999999999E-17</c:v>
                      </c:pt>
                      <c:pt idx="6">
                        <c:v>1.8410999999999999E-12</c:v>
                      </c:pt>
                      <c:pt idx="7">
                        <c:v>1.4124E-10</c:v>
                      </c:pt>
                      <c:pt idx="8">
                        <c:v>1.7804E-9</c:v>
                      </c:pt>
                      <c:pt idx="9">
                        <c:v>9.9999000000000005E-2</c:v>
                      </c:pt>
                      <c:pt idx="10">
                        <c:v>0.1</c:v>
                      </c:pt>
                      <c:pt idx="11">
                        <c:v>0.1</c:v>
                      </c:pt>
                      <c:pt idx="12">
                        <c:v>0.1</c:v>
                      </c:pt>
                      <c:pt idx="13">
                        <c:v>0.1</c:v>
                      </c:pt>
                      <c:pt idx="14">
                        <c:v>0.1</c:v>
                      </c:pt>
                      <c:pt idx="15">
                        <c:v>0.1</c:v>
                      </c:pt>
                      <c:pt idx="16">
                        <c:v>0.1</c:v>
                      </c:pt>
                      <c:pt idx="17">
                        <c:v>0.1</c:v>
                      </c:pt>
                      <c:pt idx="18">
                        <c:v>0.1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F12-4D25-930A-3BF23642161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2.165E-6</c:v>
                      </c:pt>
                      <c:pt idx="10">
                        <c:v>1.7535E-9</c:v>
                      </c:pt>
                      <c:pt idx="11">
                        <c:v>2.9718E-10</c:v>
                      </c:pt>
                      <c:pt idx="12">
                        <c:v>6.3669000000000003E-12</c:v>
                      </c:pt>
                      <c:pt idx="13">
                        <c:v>3.5102000000000001E-12</c:v>
                      </c:pt>
                      <c:pt idx="14">
                        <c:v>1.0901999999999999E-20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F12-4D25-930A-3BF23642161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0.10580000000000001</c:v>
                      </c:pt>
                      <c:pt idx="11">
                        <c:v>0.11995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F12-4D25-930A-3BF23642161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5.0927999999999999E-17</c:v>
                      </c:pt>
                      <c:pt idx="6">
                        <c:v>1.8410999999999999E-12</c:v>
                      </c:pt>
                      <c:pt idx="7">
                        <c:v>1.4124E-10</c:v>
                      </c:pt>
                      <c:pt idx="8">
                        <c:v>1.7804E-9</c:v>
                      </c:pt>
                      <c:pt idx="9">
                        <c:v>9.9999000000000005E-2</c:v>
                      </c:pt>
                      <c:pt idx="10">
                        <c:v>0.1</c:v>
                      </c:pt>
                      <c:pt idx="11">
                        <c:v>0.1</c:v>
                      </c:pt>
                      <c:pt idx="12">
                        <c:v>0.1</c:v>
                      </c:pt>
                      <c:pt idx="13">
                        <c:v>0.1</c:v>
                      </c:pt>
                      <c:pt idx="14">
                        <c:v>0.1</c:v>
                      </c:pt>
                      <c:pt idx="15">
                        <c:v>0.1</c:v>
                      </c:pt>
                      <c:pt idx="16">
                        <c:v>0.1</c:v>
                      </c:pt>
                      <c:pt idx="17">
                        <c:v>0.1</c:v>
                      </c:pt>
                      <c:pt idx="18">
                        <c:v>0.1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F12-4D25-930A-3BF23642161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1.4469E-21</c:v>
                      </c:pt>
                      <c:pt idx="1">
                        <c:v>2.8711E-16</c:v>
                      </c:pt>
                      <c:pt idx="2">
                        <c:v>1.8528999999999999E-10</c:v>
                      </c:pt>
                      <c:pt idx="3">
                        <c:v>2.569E-8</c:v>
                      </c:pt>
                      <c:pt idx="4">
                        <c:v>0.1</c:v>
                      </c:pt>
                      <c:pt idx="5">
                        <c:v>0.1</c:v>
                      </c:pt>
                      <c:pt idx="6">
                        <c:v>0.1</c:v>
                      </c:pt>
                      <c:pt idx="7">
                        <c:v>0.1</c:v>
                      </c:pt>
                      <c:pt idx="8">
                        <c:v>0.1</c:v>
                      </c:pt>
                      <c:pt idx="9">
                        <c:v>0.3</c:v>
                      </c:pt>
                      <c:pt idx="10">
                        <c:v>0.4587</c:v>
                      </c:pt>
                      <c:pt idx="11">
                        <c:v>0.47992000000000001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F12-4D25-930A-3BF23642161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6F12-4D25-930A-3BF23642161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6.4815999999999996E-9</c:v>
                      </c:pt>
                      <c:pt idx="5">
                        <c:v>1.8887000000000001E-17</c:v>
                      </c:pt>
                      <c:pt idx="6">
                        <c:v>2.9515999999999999E-20</c:v>
                      </c:pt>
                      <c:pt idx="7">
                        <c:v>7.4554999999999999E-31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F12-4D25-930A-3BF23642161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-18.88</c:v>
                      </c:pt>
                      <c:pt idx="3">
                        <c:v>-18.89</c:v>
                      </c:pt>
                      <c:pt idx="4">
                        <c:v>-18.916</c:v>
                      </c:pt>
                      <c:pt idx="5">
                        <c:v>-19.03</c:v>
                      </c:pt>
                      <c:pt idx="6">
                        <c:v>-19.07</c:v>
                      </c:pt>
                      <c:pt idx="7">
                        <c:v>-19.11</c:v>
                      </c:pt>
                      <c:pt idx="8">
                        <c:v>-19.149999999999999</c:v>
                      </c:pt>
                      <c:pt idx="9">
                        <c:v>-19.190000000000001</c:v>
                      </c:pt>
                      <c:pt idx="10">
                        <c:v>-19</c:v>
                      </c:pt>
                      <c:pt idx="11">
                        <c:v>-19.010000000000002</c:v>
                      </c:pt>
                      <c:pt idx="12">
                        <c:v>-19.05</c:v>
                      </c:pt>
                      <c:pt idx="13">
                        <c:v>-19.09</c:v>
                      </c:pt>
                      <c:pt idx="14">
                        <c:v>-19.260000000000002</c:v>
                      </c:pt>
                      <c:pt idx="15">
                        <c:v>-19.43</c:v>
                      </c:pt>
                      <c:pt idx="16">
                        <c:v>-19.59</c:v>
                      </c:pt>
                      <c:pt idx="17">
                        <c:v>-19.739999999999998</c:v>
                      </c:pt>
                      <c:pt idx="18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F12-4D25-930A-3BF23642161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-66.3</c:v>
                      </c:pt>
                      <c:pt idx="1">
                        <c:v>-62.09</c:v>
                      </c:pt>
                      <c:pt idx="2">
                        <c:v>-58.44</c:v>
                      </c:pt>
                      <c:pt idx="3">
                        <c:v>-55.24</c:v>
                      </c:pt>
                      <c:pt idx="4">
                        <c:v>-51.41</c:v>
                      </c:pt>
                      <c:pt idx="5">
                        <c:v>-37.020000000000003</c:v>
                      </c:pt>
                      <c:pt idx="6">
                        <c:v>-34.15</c:v>
                      </c:pt>
                      <c:pt idx="7">
                        <c:v>-31.5</c:v>
                      </c:pt>
                      <c:pt idx="8">
                        <c:v>-29.04</c:v>
                      </c:pt>
                      <c:pt idx="9">
                        <c:v>-26.75</c:v>
                      </c:pt>
                      <c:pt idx="10">
                        <c:v>-25.56</c:v>
                      </c:pt>
                      <c:pt idx="11">
                        <c:v>-26.36</c:v>
                      </c:pt>
                      <c:pt idx="12">
                        <c:v>-27.15</c:v>
                      </c:pt>
                      <c:pt idx="13">
                        <c:v>-27.94</c:v>
                      </c:pt>
                      <c:pt idx="14">
                        <c:v>-30.98</c:v>
                      </c:pt>
                      <c:pt idx="15">
                        <c:v>-33.840000000000003</c:v>
                      </c:pt>
                      <c:pt idx="16">
                        <c:v>-36.47</c:v>
                      </c:pt>
                      <c:pt idx="17">
                        <c:v>-38.83</c:v>
                      </c:pt>
                      <c:pt idx="18">
                        <c:v>-40.880000000000003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F12-4D25-930A-3BF23642161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-13.135999999999999</c:v>
                      </c:pt>
                      <c:pt idx="5">
                        <c:v>-7.8570000000000002</c:v>
                      </c:pt>
                      <c:pt idx="6">
                        <c:v>-6.79</c:v>
                      </c:pt>
                      <c:pt idx="7">
                        <c:v>-5.8</c:v>
                      </c:pt>
                      <c:pt idx="8">
                        <c:v>-4.8769999999999998</c:v>
                      </c:pt>
                      <c:pt idx="9">
                        <c:v>-4.1020000000000003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-4.6959999999999997</c:v>
                      </c:pt>
                      <c:pt idx="16">
                        <c:v>-4.8869999999999996</c:v>
                      </c:pt>
                      <c:pt idx="17">
                        <c:v>-5.0709999999999997</c:v>
                      </c:pt>
                      <c:pt idx="18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F12-4D25-930A-3BF23642161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-19.806000000000001</c:v>
                      </c:pt>
                      <c:pt idx="5">
                        <c:v>-21.02</c:v>
                      </c:pt>
                      <c:pt idx="6">
                        <c:v>-21.34</c:v>
                      </c:pt>
                      <c:pt idx="7">
                        <c:v>-21.65</c:v>
                      </c:pt>
                      <c:pt idx="8">
                        <c:v>-21.96</c:v>
                      </c:pt>
                      <c:pt idx="9">
                        <c:v>-22.27</c:v>
                      </c:pt>
                      <c:pt idx="10">
                        <c:v>-22.57</c:v>
                      </c:pt>
                      <c:pt idx="11">
                        <c:v>-22.88</c:v>
                      </c:pt>
                      <c:pt idx="12">
                        <c:v>-23.18</c:v>
                      </c:pt>
                      <c:pt idx="13">
                        <c:v>-23.48</c:v>
                      </c:pt>
                      <c:pt idx="14">
                        <c:v>-24.65</c:v>
                      </c:pt>
                      <c:pt idx="15">
                        <c:v>-25.77</c:v>
                      </c:pt>
                      <c:pt idx="16">
                        <c:v>-26.86</c:v>
                      </c:pt>
                      <c:pt idx="17">
                        <c:v>-27.9</c:v>
                      </c:pt>
                      <c:pt idx="18">
                        <c:v>-28.91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F12-4D25-930A-3BF23642161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F12-4D25-930A-3BF23642161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F12-4D25-930A-3BF23642161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F12-4D25-930A-3BF23642161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F12-4D25-930A-3BF23642161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F12-4D25-930A-3BF23642161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F12-4D25-930A-3BF23642161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F12-4D25-930A-3BF23642161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F12-4D25-930A-3BF23642161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F12-4D25-930A-3BF23642161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F12-4D25-930A-3BF23642161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F12-4D25-930A-3BF23642161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F12-4D25-930A-3BF23642161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F12-4D25-930A-3BF23642161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F12-4D25-930A-3BF23642161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F12-4D25-930A-3BF23642161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SOLID!$F$127:$AL$127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-1.35033781709211E-33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-2.2671695208582001E-25</c:v>
                </c:pt>
                <c:pt idx="12">
                  <c:v>-8.6584432182897605E-20</c:v>
                </c:pt>
                <c:pt idx="13">
                  <c:v>-7.2664863302197989E-15</c:v>
                </c:pt>
                <c:pt idx="14">
                  <c:v>-2.7994963366417577E-10</c:v>
                </c:pt>
                <c:pt idx="15">
                  <c:v>-2.8011908343774544E-9</c:v>
                </c:pt>
                <c:pt idx="16">
                  <c:v>-2.9774418128491722E-8</c:v>
                </c:pt>
                <c:pt idx="17">
                  <c:v>-6.1350863363341199E-8</c:v>
                </c:pt>
                <c:pt idx="18">
                  <c:v>-9.7404206614424975E-7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96-4B09-963C-81925246AA85}"/>
            </c:ext>
          </c:extLst>
        </c:ser>
        <c:ser>
          <c:idx val="13"/>
          <c:order val="2"/>
          <c:tx>
            <c:v>Ряд3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7-0D96-4B09-963C-81925246AA85}"/>
              </c:ext>
            </c:extLst>
          </c:dPt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SOLID!$F$129:$AL$129</c:f>
              <c:numCache>
                <c:formatCode>General</c:formatCode>
                <c:ptCount val="33"/>
                <c:pt idx="0">
                  <c:v>-138.39401107259999</c:v>
                </c:pt>
                <c:pt idx="1">
                  <c:v>-139.52938930560003</c:v>
                </c:pt>
                <c:pt idx="2">
                  <c:v>-140.70925177650003</c:v>
                </c:pt>
                <c:pt idx="3">
                  <c:v>-141.92648709345002</c:v>
                </c:pt>
                <c:pt idx="4">
                  <c:v>-143.21566994066998</c:v>
                </c:pt>
                <c:pt idx="5">
                  <c:v>-148.65669985950001</c:v>
                </c:pt>
                <c:pt idx="6">
                  <c:v>-150.14083312080001</c:v>
                </c:pt>
                <c:pt idx="7">
                  <c:v>-151.62915439574999</c:v>
                </c:pt>
                <c:pt idx="8">
                  <c:v>-153.11565479519999</c:v>
                </c:pt>
                <c:pt idx="9">
                  <c:v>-154.6690910769</c:v>
                </c:pt>
                <c:pt idx="10">
                  <c:v>-18.787450768820843</c:v>
                </c:pt>
                <c:pt idx="11">
                  <c:v>-7.1129906909680074E-2</c:v>
                </c:pt>
                <c:pt idx="12">
                  <c:v>-3.591447918474241E-4</c:v>
                </c:pt>
                <c:pt idx="13">
                  <c:v>-2.2868461213561712E-6</c:v>
                </c:pt>
                <c:pt idx="14">
                  <c:v>-2.7997672247127975E-10</c:v>
                </c:pt>
                <c:pt idx="15">
                  <c:v>-2.8011908343816445E-9</c:v>
                </c:pt>
                <c:pt idx="16">
                  <c:v>-2.9774418128491722E-8</c:v>
                </c:pt>
                <c:pt idx="17">
                  <c:v>-6.1350863363341199E-8</c:v>
                </c:pt>
                <c:pt idx="18">
                  <c:v>-9.7404206614424975E-7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0D96-4B09-963C-81925246AA85}"/>
            </c:ext>
          </c:extLst>
        </c:ser>
        <c:ser>
          <c:idx val="1"/>
          <c:order val="3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SOLID!$F$130:$AL$130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0D96-4B09-963C-81925246AA85}"/>
            </c:ext>
          </c:extLst>
        </c:ser>
        <c:ser>
          <c:idx val="2"/>
          <c:order val="4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SOLID!$F$131:$AL$131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0D96-4B09-963C-81925246AA85}"/>
            </c:ext>
          </c:extLst>
        </c:ser>
        <c:ser>
          <c:idx val="4"/>
          <c:order val="5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SOLID!$F$132:$AL$132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0D96-4B09-963C-81925246AA85}"/>
            </c:ext>
          </c:extLst>
        </c:ser>
        <c:ser>
          <c:idx val="5"/>
          <c:order val="6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SOLID!$F$133:$AL$133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0D96-4B09-963C-81925246AA85}"/>
            </c:ext>
          </c:extLst>
        </c:ser>
        <c:ser>
          <c:idx val="6"/>
          <c:order val="7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SOLID!$F$134:$AL$134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0D96-4B09-963C-81925246AA85}"/>
            </c:ext>
          </c:extLst>
        </c:ser>
        <c:ser>
          <c:idx val="7"/>
          <c:order val="8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SOLID!$F$135:$AL$135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0D96-4B09-963C-81925246AA85}"/>
            </c:ext>
          </c:extLst>
        </c:ser>
        <c:ser>
          <c:idx val="8"/>
          <c:order val="9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SOLID!$F$136:$AL$136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0D96-4B09-963C-81925246AA85}"/>
            </c:ext>
          </c:extLst>
        </c:ser>
        <c:ser>
          <c:idx val="9"/>
          <c:order val="10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SOLID!$F$137:$AL$137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0D96-4B09-963C-81925246AA85}"/>
            </c:ext>
          </c:extLst>
        </c:ser>
        <c:ser>
          <c:idx val="10"/>
          <c:order val="11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SOLID!$F$138:$AL$138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0D96-4B09-963C-81925246AA85}"/>
            </c:ext>
          </c:extLst>
        </c:ser>
        <c:ser>
          <c:idx val="11"/>
          <c:order val="12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SOLID!$F$139:$AL$139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0D96-4B09-963C-81925246AA85}"/>
            </c:ext>
          </c:extLst>
        </c:ser>
        <c:ser>
          <c:idx val="12"/>
          <c:order val="13"/>
          <c:tx>
            <c:v>temp</c:v>
          </c:tx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xVal>
            <c:numRef>
              <c:f>SOLID!$A$118:$A$119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SOLID!$B$118:$B$119</c:f>
              <c:numCache>
                <c:formatCode>0</c:formatCode>
                <c:ptCount val="2"/>
                <c:pt idx="0">
                  <c:v>-824.47413449999999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0D96-4B09-963C-81925246AA85}"/>
            </c:ext>
          </c:extLst>
        </c:ser>
        <c:ser>
          <c:idx val="14"/>
          <c:order val="14"/>
          <c:tx>
            <c:v>gibs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-255.49349179410004</c:v>
                </c:pt>
                <c:pt idx="1">
                  <c:v>-258.51077395710007</c:v>
                </c:pt>
                <c:pt idx="2">
                  <c:v>-261.629228619</c:v>
                </c:pt>
                <c:pt idx="3">
                  <c:v>-264.88061051820006</c:v>
                </c:pt>
                <c:pt idx="4">
                  <c:v>-269.28714885042001</c:v>
                </c:pt>
                <c:pt idx="5">
                  <c:v>-291.01365189855005</c:v>
                </c:pt>
                <c:pt idx="6">
                  <c:v>-296.89275586080004</c:v>
                </c:pt>
                <c:pt idx="7">
                  <c:v>-302.82378470700002</c:v>
                </c:pt>
                <c:pt idx="8">
                  <c:v>-308.82111670199998</c:v>
                </c:pt>
                <c:pt idx="9">
                  <c:v>-315.39758687999995</c:v>
                </c:pt>
                <c:pt idx="10">
                  <c:v>-327.99939561480005</c:v>
                </c:pt>
                <c:pt idx="11">
                  <c:v>-346.25720616479998</c:v>
                </c:pt>
                <c:pt idx="12">
                  <c:v>-364.79449699200001</c:v>
                </c:pt>
                <c:pt idx="13">
                  <c:v>-383.7542758335</c:v>
                </c:pt>
                <c:pt idx="14">
                  <c:v>-462.96149537550002</c:v>
                </c:pt>
                <c:pt idx="15">
                  <c:v>-547.13342425920007</c:v>
                </c:pt>
                <c:pt idx="16">
                  <c:v>-636.0498587722501</c:v>
                </c:pt>
                <c:pt idx="17">
                  <c:v>-728.56984248360004</c:v>
                </c:pt>
                <c:pt idx="18">
                  <c:v>-824.47413449999999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0D96-4B09-963C-81925246A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1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-138.39401107259999</c:v>
                      </c:pt>
                      <c:pt idx="1">
                        <c:v>-139.52938930560003</c:v>
                      </c:pt>
                      <c:pt idx="2">
                        <c:v>-140.70925177650003</c:v>
                      </c:pt>
                      <c:pt idx="3">
                        <c:v>-141.92648709345002</c:v>
                      </c:pt>
                      <c:pt idx="4">
                        <c:v>-143.21566994066998</c:v>
                      </c:pt>
                      <c:pt idx="5">
                        <c:v>-148.65669985950001</c:v>
                      </c:pt>
                      <c:pt idx="6">
                        <c:v>-150.14083312080001</c:v>
                      </c:pt>
                      <c:pt idx="7">
                        <c:v>-151.62915439574999</c:v>
                      </c:pt>
                      <c:pt idx="8">
                        <c:v>-153.11565479519999</c:v>
                      </c:pt>
                      <c:pt idx="9">
                        <c:v>-154.6690910769</c:v>
                      </c:pt>
                      <c:pt idx="10">
                        <c:v>-18.787450768820843</c:v>
                      </c:pt>
                      <c:pt idx="11">
                        <c:v>-7.1129906909680074E-2</c:v>
                      </c:pt>
                      <c:pt idx="12">
                        <c:v>-3.5914479184742399E-4</c:v>
                      </c:pt>
                      <c:pt idx="13">
                        <c:v>-2.2868461140896848E-6</c:v>
                      </c:pt>
                      <c:pt idx="14">
                        <c:v>-2.7088807104004638E-14</c:v>
                      </c:pt>
                      <c:pt idx="15">
                        <c:v>-4.190003797407707E-21</c:v>
                      </c:pt>
                      <c:pt idx="16">
                        <c:v>-4.9907932814680196E-27</c:v>
                      </c:pt>
                      <c:pt idx="17">
                        <c:v>-3.2843226900365567E-32</c:v>
                      </c:pt>
                      <c:pt idx="18">
                        <c:v>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0D96-4B09-963C-81925246AA8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8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100"/>
      </c:valAx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97950914030483"/>
          <c:y val="4.3911525859608953E-2"/>
          <c:w val="0.86827784684809139"/>
          <c:h val="0.85021393527448008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SOLID!$F$4:$AL$4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8.7828999999999996E-29</c:v>
                </c:pt>
                <c:pt idx="12">
                  <c:v>3.7763000000000002E-23</c:v>
                </c:pt>
                <c:pt idx="13">
                  <c:v>3.5245E-18</c:v>
                </c:pt>
                <c:pt idx="14">
                  <c:v>1.8913E-13</c:v>
                </c:pt>
                <c:pt idx="15">
                  <c:v>2.3472999999999999E-12</c:v>
                </c:pt>
                <c:pt idx="16">
                  <c:v>1.2146000000000001E-10</c:v>
                </c:pt>
                <c:pt idx="17">
                  <c:v>3.1660000000000002E-10</c:v>
                </c:pt>
                <c:pt idx="18">
                  <c:v>4.4636000000000002E-9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F2-4C72-9FE2-1C7299990DB3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SOLID!$F$5:$AL$5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5.0927999999999999E-17</c:v>
                </c:pt>
                <c:pt idx="6">
                  <c:v>1.8410999999999999E-12</c:v>
                </c:pt>
                <c:pt idx="7">
                  <c:v>1.4124E-10</c:v>
                </c:pt>
                <c:pt idx="8">
                  <c:v>1.7804E-9</c:v>
                </c:pt>
                <c:pt idx="9">
                  <c:v>9.9999000000000005E-2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F2-4C72-9FE2-1C7299990DB3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SOLID!$F$6:$AL$6</c:f>
              <c:numCache>
                <c:formatCode>0.0E+00</c:formatCode>
                <c:ptCount val="3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2.165E-6</c:v>
                </c:pt>
                <c:pt idx="10">
                  <c:v>1.7535E-9</c:v>
                </c:pt>
                <c:pt idx="11">
                  <c:v>2.9718E-10</c:v>
                </c:pt>
                <c:pt idx="12">
                  <c:v>6.3669000000000003E-12</c:v>
                </c:pt>
                <c:pt idx="13">
                  <c:v>3.5102000000000001E-12</c:v>
                </c:pt>
                <c:pt idx="14">
                  <c:v>1.0901999999999999E-20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F2-4C72-9FE2-1C7299990DB3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SOLID!$F$7:$AL$7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0.10580000000000001</c:v>
                </c:pt>
                <c:pt idx="11">
                  <c:v>0.11995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F2-4C72-9FE2-1C7299990DB3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SOLID!$F$8:$AL$8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5.0927999999999999E-17</c:v>
                </c:pt>
                <c:pt idx="6">
                  <c:v>1.8410999999999999E-12</c:v>
                </c:pt>
                <c:pt idx="7">
                  <c:v>1.4124E-10</c:v>
                </c:pt>
                <c:pt idx="8">
                  <c:v>1.7804E-9</c:v>
                </c:pt>
                <c:pt idx="9">
                  <c:v>9.9999000000000005E-2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F2-4C72-9FE2-1C7299990DB3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SOLID!$F$9:$AL$9</c:f>
              <c:numCache>
                <c:formatCode>0.0E+00</c:formatCode>
                <c:ptCount val="33"/>
                <c:pt idx="0">
                  <c:v>1.4469E-21</c:v>
                </c:pt>
                <c:pt idx="1">
                  <c:v>2.8711E-16</c:v>
                </c:pt>
                <c:pt idx="2">
                  <c:v>1.8528999999999999E-10</c:v>
                </c:pt>
                <c:pt idx="3">
                  <c:v>2.569E-8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0.3</c:v>
                </c:pt>
                <c:pt idx="10">
                  <c:v>0.4587</c:v>
                </c:pt>
                <c:pt idx="11">
                  <c:v>0.47992000000000001</c:v>
                </c:pt>
                <c:pt idx="12">
                  <c:v>0.48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EF2-4C72-9FE2-1C7299990DB3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5EF2-4C72-9FE2-1C7299990DB3}"/>
              </c:ext>
            </c:extLst>
          </c:dPt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SOLID!$F$10:$AL$10</c:f>
              <c:numCache>
                <c:formatCode>0.0E+00</c:formatCode>
                <c:ptCount val="33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6.4815999999999996E-9</c:v>
                </c:pt>
                <c:pt idx="5">
                  <c:v>1.8887000000000001E-17</c:v>
                </c:pt>
                <c:pt idx="6">
                  <c:v>2.9515999999999999E-20</c:v>
                </c:pt>
                <c:pt idx="7">
                  <c:v>7.4554999999999999E-31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EF2-4C72-9FE2-1C7299990DB3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H (Ar)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SOLID!$F$14:$AL$14</c:f>
              <c:numCache>
                <c:formatCode>0.0E+00</c:formatCode>
                <c:ptCount val="33"/>
                <c:pt idx="0">
                  <c:v>-18.88</c:v>
                </c:pt>
                <c:pt idx="1">
                  <c:v>-18.87</c:v>
                </c:pt>
                <c:pt idx="2">
                  <c:v>-18.88</c:v>
                </c:pt>
                <c:pt idx="3">
                  <c:v>-18.89</c:v>
                </c:pt>
                <c:pt idx="4">
                  <c:v>-18.916</c:v>
                </c:pt>
                <c:pt idx="5">
                  <c:v>-19.03</c:v>
                </c:pt>
                <c:pt idx="6">
                  <c:v>-19.07</c:v>
                </c:pt>
                <c:pt idx="7">
                  <c:v>-19.11</c:v>
                </c:pt>
                <c:pt idx="8">
                  <c:v>-19.149999999999999</c:v>
                </c:pt>
                <c:pt idx="9">
                  <c:v>-19.190000000000001</c:v>
                </c:pt>
                <c:pt idx="10">
                  <c:v>-19</c:v>
                </c:pt>
                <c:pt idx="11">
                  <c:v>-19.010000000000002</c:v>
                </c:pt>
                <c:pt idx="12">
                  <c:v>-19.05</c:v>
                </c:pt>
                <c:pt idx="13">
                  <c:v>-19.09</c:v>
                </c:pt>
                <c:pt idx="14">
                  <c:v>-19.260000000000002</c:v>
                </c:pt>
                <c:pt idx="15">
                  <c:v>-19.43</c:v>
                </c:pt>
                <c:pt idx="16">
                  <c:v>-19.59</c:v>
                </c:pt>
                <c:pt idx="17">
                  <c:v>-19.739999999999998</c:v>
                </c:pt>
                <c:pt idx="18">
                  <c:v>-19.88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EF2-4C72-9FE2-1C7299990DB3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H (Ga)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SOLID!$F$15:$AL$15</c:f>
              <c:numCache>
                <c:formatCode>0.0E+00</c:formatCode>
                <c:ptCount val="33"/>
                <c:pt idx="0">
                  <c:v>-66.3</c:v>
                </c:pt>
                <c:pt idx="1">
                  <c:v>-62.09</c:v>
                </c:pt>
                <c:pt idx="2">
                  <c:v>-58.44</c:v>
                </c:pt>
                <c:pt idx="3">
                  <c:v>-55.24</c:v>
                </c:pt>
                <c:pt idx="4">
                  <c:v>-51.41</c:v>
                </c:pt>
                <c:pt idx="5">
                  <c:v>-37.020000000000003</c:v>
                </c:pt>
                <c:pt idx="6">
                  <c:v>-34.15</c:v>
                </c:pt>
                <c:pt idx="7">
                  <c:v>-31.5</c:v>
                </c:pt>
                <c:pt idx="8">
                  <c:v>-29.04</c:v>
                </c:pt>
                <c:pt idx="9">
                  <c:v>-26.75</c:v>
                </c:pt>
                <c:pt idx="10">
                  <c:v>-25.56</c:v>
                </c:pt>
                <c:pt idx="11">
                  <c:v>-26.36</c:v>
                </c:pt>
                <c:pt idx="12">
                  <c:v>-27.15</c:v>
                </c:pt>
                <c:pt idx="13">
                  <c:v>-27.94</c:v>
                </c:pt>
                <c:pt idx="14">
                  <c:v>-30.98</c:v>
                </c:pt>
                <c:pt idx="15">
                  <c:v>-33.840000000000003</c:v>
                </c:pt>
                <c:pt idx="16">
                  <c:v>-36.47</c:v>
                </c:pt>
                <c:pt idx="17">
                  <c:v>-38.83</c:v>
                </c:pt>
                <c:pt idx="18">
                  <c:v>-40.880000000000003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EF2-4C72-9FE2-1C7299990D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SOLID!$A$34:$A$35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SOLID!$B$34:$B$35</c:f>
              <c:numCache>
                <c:formatCode>0.0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EF2-4C72-9FE2-1C7299990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0.06</c:v>
                      </c:pt>
                      <c:pt idx="3">
                        <c:v>0.06</c:v>
                      </c:pt>
                      <c:pt idx="4">
                        <c:v>0.06</c:v>
                      </c:pt>
                      <c:pt idx="5">
                        <c:v>0.06</c:v>
                      </c:pt>
                      <c:pt idx="6">
                        <c:v>0.06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7.1006000000000003E-3</c:v>
                      </c:pt>
                      <c:pt idx="11">
                        <c:v>2.5366000000000001E-5</c:v>
                      </c:pt>
                      <c:pt idx="12">
                        <c:v>1.2111E-7</c:v>
                      </c:pt>
                      <c:pt idx="13">
                        <c:v>7.3040999999999996E-10</c:v>
                      </c:pt>
                      <c:pt idx="14">
                        <c:v>7.0818000000000003E-18</c:v>
                      </c:pt>
                      <c:pt idx="15">
                        <c:v>9.1742999999999996E-25</c:v>
                      </c:pt>
                      <c:pt idx="16">
                        <c:v>9.3260000000000005E-31</c:v>
                      </c:pt>
                      <c:pt idx="17">
                        <c:v>5.3264E-36</c:v>
                      </c:pt>
                      <c:pt idx="1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8-5EF2-4C72-9FE2-1C7299990D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EF2-4C72-9FE2-1C7299990D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1.0516E-35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2.3361999999999999E-27</c:v>
                      </c:pt>
                      <c:pt idx="12">
                        <c:v>8.5098999999999996E-22</c:v>
                      </c:pt>
                      <c:pt idx="13">
                        <c:v>6.8195999999999997E-17</c:v>
                      </c:pt>
                      <c:pt idx="14">
                        <c:v>2.2108999999999998E-12</c:v>
                      </c:pt>
                      <c:pt idx="15">
                        <c:v>1.8937000000000001E-11</c:v>
                      </c:pt>
                      <c:pt idx="16">
                        <c:v>1.7477999999999999E-10</c:v>
                      </c:pt>
                      <c:pt idx="17">
                        <c:v>3.1660000000000002E-10</c:v>
                      </c:pt>
                      <c:pt idx="18">
                        <c:v>4.4636999999999998E-9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EF2-4C72-9FE2-1C7299990D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-13.135999999999999</c:v>
                      </c:pt>
                      <c:pt idx="5">
                        <c:v>-7.8570000000000002</c:v>
                      </c:pt>
                      <c:pt idx="6">
                        <c:v>-6.79</c:v>
                      </c:pt>
                      <c:pt idx="7">
                        <c:v>-5.8</c:v>
                      </c:pt>
                      <c:pt idx="8">
                        <c:v>-4.8769999999999998</c:v>
                      </c:pt>
                      <c:pt idx="9">
                        <c:v>-4.1020000000000003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-4.6959999999999997</c:v>
                      </c:pt>
                      <c:pt idx="16">
                        <c:v>-4.8869999999999996</c:v>
                      </c:pt>
                      <c:pt idx="17">
                        <c:v>-5.0709999999999997</c:v>
                      </c:pt>
                      <c:pt idx="18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EF2-4C72-9FE2-1C7299990D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-19.806000000000001</c:v>
                      </c:pt>
                      <c:pt idx="5">
                        <c:v>-21.02</c:v>
                      </c:pt>
                      <c:pt idx="6">
                        <c:v>-21.34</c:v>
                      </c:pt>
                      <c:pt idx="7">
                        <c:v>-21.65</c:v>
                      </c:pt>
                      <c:pt idx="8">
                        <c:v>-21.96</c:v>
                      </c:pt>
                      <c:pt idx="9">
                        <c:v>-22.27</c:v>
                      </c:pt>
                      <c:pt idx="10">
                        <c:v>-22.57</c:v>
                      </c:pt>
                      <c:pt idx="11">
                        <c:v>-22.88</c:v>
                      </c:pt>
                      <c:pt idx="12">
                        <c:v>-23.18</c:v>
                      </c:pt>
                      <c:pt idx="13">
                        <c:v>-23.48</c:v>
                      </c:pt>
                      <c:pt idx="14">
                        <c:v>-24.65</c:v>
                      </c:pt>
                      <c:pt idx="15">
                        <c:v>-25.77</c:v>
                      </c:pt>
                      <c:pt idx="16">
                        <c:v>-26.86</c:v>
                      </c:pt>
                      <c:pt idx="17">
                        <c:v>-27.9</c:v>
                      </c:pt>
                      <c:pt idx="18">
                        <c:v>-28.91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EF2-4C72-9FE2-1C7299990D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EF2-4C72-9FE2-1C7299990DB3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EF2-4C72-9FE2-1C7299990DB3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EF2-4C72-9FE2-1C7299990DB3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EF2-4C72-9FE2-1C7299990DB3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EF2-4C72-9FE2-1C7299990DB3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EF2-4C72-9FE2-1C7299990DB3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EF2-4C72-9FE2-1C7299990DB3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EF2-4C72-9FE2-1C7299990DB3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EF2-4C72-9FE2-1C7299990DB3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EF2-4C72-9FE2-1C7299990DB3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EF2-4C72-9FE2-1C7299990DB3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EF2-4C72-9FE2-1C7299990DB3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EF2-4C72-9FE2-1C7299990DB3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EF2-4C72-9FE2-1C7299990DB3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EF2-4C72-9FE2-1C7299990DB3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Ga2Se3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687748068614962"/>
          <c:y val="0.10453964061718739"/>
          <c:w val="0.7632155780506652"/>
          <c:h val="0.77627501851686642"/>
        </c:manualLayout>
      </c:layout>
      <c:scatterChart>
        <c:scatterStyle val="smoothMarker"/>
        <c:varyColors val="0"/>
        <c:ser>
          <c:idx val="7"/>
          <c:order val="7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EVALUATION!$B$108:$CP$108</c:f>
              <c:numCache>
                <c:formatCode>0</c:formatCode>
                <c:ptCount val="93"/>
                <c:pt idx="0">
                  <c:v>-192.75227722772277</c:v>
                </c:pt>
                <c:pt idx="1">
                  <c:v>-188.21178217821782</c:v>
                </c:pt>
                <c:pt idx="2">
                  <c:v>-183.94247524752475</c:v>
                </c:pt>
                <c:pt idx="3">
                  <c:v>-179.70658415841584</c:v>
                </c:pt>
                <c:pt idx="4" formatCode="General">
                  <c:v>-175.97193069306931</c:v>
                </c:pt>
                <c:pt idx="5" formatCode="General">
                  <c:v>-172.23727722772276</c:v>
                </c:pt>
                <c:pt idx="6" formatCode="General">
                  <c:v>-168.74912871287128</c:v>
                </c:pt>
                <c:pt idx="7" formatCode="General">
                  <c:v>-165.47308910891087</c:v>
                </c:pt>
                <c:pt idx="8" formatCode="General">
                  <c:v>-162.20688861386137</c:v>
                </c:pt>
                <c:pt idx="9" formatCode="General">
                  <c:v>-159.71797772277228</c:v>
                </c:pt>
                <c:pt idx="10" formatCode="General">
                  <c:v>-157.22906683168316</c:v>
                </c:pt>
                <c:pt idx="11" formatCode="General">
                  <c:v>-154.74015594059406</c:v>
                </c:pt>
                <c:pt idx="12" formatCode="General">
                  <c:v>-152.25124504950494</c:v>
                </c:pt>
                <c:pt idx="13" formatCode="General">
                  <c:v>-149.76233415841585</c:v>
                </c:pt>
                <c:pt idx="14" formatCode="General">
                  <c:v>-147.27342326732673</c:v>
                </c:pt>
                <c:pt idx="15" formatCode="General">
                  <c:v>-144.78451237623764</c:v>
                </c:pt>
                <c:pt idx="16" formatCode="General">
                  <c:v>-142.29560148514852</c:v>
                </c:pt>
                <c:pt idx="17" formatCode="General">
                  <c:v>-139.80669059405943</c:v>
                </c:pt>
                <c:pt idx="18" formatCode="General">
                  <c:v>-137.31777970297031</c:v>
                </c:pt>
                <c:pt idx="19" formatCode="General">
                  <c:v>-135.37257425742575</c:v>
                </c:pt>
                <c:pt idx="20" formatCode="General">
                  <c:v>-133.47950495049506</c:v>
                </c:pt>
                <c:pt idx="21" formatCode="General">
                  <c:v>-131.64935643564354</c:v>
                </c:pt>
                <c:pt idx="22" formatCode="General">
                  <c:v>-129.91866336633663</c:v>
                </c:pt>
                <c:pt idx="23" formatCode="General">
                  <c:v>-128.18797029702969</c:v>
                </c:pt>
                <c:pt idx="24" formatCode="General">
                  <c:v>-126.58029850746269</c:v>
                </c:pt>
                <c:pt idx="25" formatCode="General">
                  <c:v>-124.99223880597015</c:v>
                </c:pt>
                <c:pt idx="26" formatCode="General">
                  <c:v>-123.45405940594058</c:v>
                </c:pt>
                <c:pt idx="27" formatCode="General">
                  <c:v>-122.00851485148515</c:v>
                </c:pt>
                <c:pt idx="28" formatCode="General">
                  <c:v>-120.56297029702969</c:v>
                </c:pt>
                <c:pt idx="29" formatCode="General">
                  <c:v>-119.82643564356437</c:v>
                </c:pt>
                <c:pt idx="30" formatCode="General">
                  <c:v>-119.24029702970299</c:v>
                </c:pt>
                <c:pt idx="31" formatCode="General">
                  <c:v>-119.13059405940595</c:v>
                </c:pt>
                <c:pt idx="32" formatCode="General">
                  <c:v>-120.13257425742574</c:v>
                </c:pt>
                <c:pt idx="33" formatCode="General">
                  <c:v>-121.13455445544555</c:v>
                </c:pt>
                <c:pt idx="34" formatCode="General">
                  <c:v>-122.12118811881189</c:v>
                </c:pt>
                <c:pt idx="35" formatCode="General">
                  <c:v>-123.10336633663366</c:v>
                </c:pt>
                <c:pt idx="36" formatCode="General">
                  <c:v>-124.08554455445544</c:v>
                </c:pt>
                <c:pt idx="37" formatCode="General">
                  <c:v>-125.06772277227722</c:v>
                </c:pt>
                <c:pt idx="38" formatCode="General">
                  <c:v>-126.04990099009899</c:v>
                </c:pt>
                <c:pt idx="39" formatCode="General">
                  <c:v>-127.0083910891089</c:v>
                </c:pt>
                <c:pt idx="40" formatCode="General">
                  <c:v>-127.95789603960395</c:v>
                </c:pt>
                <c:pt idx="41" formatCode="General">
                  <c:v>-128.90740099009901</c:v>
                </c:pt>
                <c:pt idx="42" formatCode="General">
                  <c:v>-129.85690594059406</c:v>
                </c:pt>
                <c:pt idx="43" formatCode="General">
                  <c:v>-130.80641089108912</c:v>
                </c:pt>
                <c:pt idx="44" formatCode="General">
                  <c:v>-131.75591584158414</c:v>
                </c:pt>
                <c:pt idx="45" formatCode="General">
                  <c:v>-132.7054207920792</c:v>
                </c:pt>
                <c:pt idx="46" formatCode="General">
                  <c:v>-133.65492574257425</c:v>
                </c:pt>
                <c:pt idx="47" formatCode="General">
                  <c:v>-134.6044306930693</c:v>
                </c:pt>
                <c:pt idx="48" formatCode="General">
                  <c:v>-135.55393564356436</c:v>
                </c:pt>
                <c:pt idx="49" formatCode="General">
                  <c:v>-136.47257744733582</c:v>
                </c:pt>
                <c:pt idx="50" formatCode="General">
                  <c:v>-137.37270136307311</c:v>
                </c:pt>
                <c:pt idx="51" formatCode="General">
                  <c:v>-138.27282527881042</c:v>
                </c:pt>
                <c:pt idx="52" formatCode="General">
                  <c:v>-139.1729491945477</c:v>
                </c:pt>
                <c:pt idx="53" formatCode="General">
                  <c:v>-140.07307311028501</c:v>
                </c:pt>
                <c:pt idx="54" formatCode="General">
                  <c:v>-140.97319702602232</c:v>
                </c:pt>
                <c:pt idx="55" formatCode="General">
                  <c:v>-141.8733209417596</c:v>
                </c:pt>
                <c:pt idx="56" formatCode="General">
                  <c:v>-142.77344485749691</c:v>
                </c:pt>
                <c:pt idx="57" formatCode="General">
                  <c:v>-143.67356877323419</c:v>
                </c:pt>
                <c:pt idx="58" formatCode="General">
                  <c:v>-144.57369268897151</c:v>
                </c:pt>
                <c:pt idx="59" formatCode="General">
                  <c:v>-145.44394801980198</c:v>
                </c:pt>
                <c:pt idx="60" formatCode="General">
                  <c:v>-146.28850247524753</c:v>
                </c:pt>
                <c:pt idx="61" formatCode="General">
                  <c:v>-147.13305693069307</c:v>
                </c:pt>
                <c:pt idx="62" formatCode="General">
                  <c:v>-147.97761138613862</c:v>
                </c:pt>
                <c:pt idx="63" formatCode="General">
                  <c:v>-148.82216584158417</c:v>
                </c:pt>
                <c:pt idx="64" formatCode="General">
                  <c:v>-149.66672029702968</c:v>
                </c:pt>
                <c:pt idx="65" formatCode="General">
                  <c:v>-150.51127475247523</c:v>
                </c:pt>
                <c:pt idx="66" formatCode="General">
                  <c:v>-151.35582920792078</c:v>
                </c:pt>
                <c:pt idx="67" formatCode="General">
                  <c:v>-152.20038366336632</c:v>
                </c:pt>
                <c:pt idx="68" formatCode="General">
                  <c:v>-153.04493811881187</c:v>
                </c:pt>
                <c:pt idx="69" formatCode="General">
                  <c:v>-153.86002478314745</c:v>
                </c:pt>
                <c:pt idx="70" formatCode="General">
                  <c:v>-154.63722428748449</c:v>
                </c:pt>
                <c:pt idx="71" formatCode="General">
                  <c:v>-155.41442379182155</c:v>
                </c:pt>
                <c:pt idx="72" formatCode="General">
                  <c:v>-156.19162329615858</c:v>
                </c:pt>
                <c:pt idx="73" formatCode="General">
                  <c:v>-156.96882280049564</c:v>
                </c:pt>
                <c:pt idx="74" formatCode="General">
                  <c:v>-157.74602230483271</c:v>
                </c:pt>
                <c:pt idx="75" formatCode="General">
                  <c:v>-158.52322180916974</c:v>
                </c:pt>
                <c:pt idx="76" formatCode="General">
                  <c:v>-159.3004213135068</c:v>
                </c:pt>
                <c:pt idx="77" formatCode="General">
                  <c:v>-160.07762081784384</c:v>
                </c:pt>
                <c:pt idx="78" formatCode="General">
                  <c:v>-160.8548203221809</c:v>
                </c:pt>
                <c:pt idx="79" formatCode="General">
                  <c:v>-161.60707920792078</c:v>
                </c:pt>
                <c:pt idx="80" formatCode="General">
                  <c:v>-162.31301980198018</c:v>
                </c:pt>
                <c:pt idx="81" formatCode="General">
                  <c:v>-163.0189603960396</c:v>
                </c:pt>
                <c:pt idx="82" formatCode="General">
                  <c:v>-163.724900990099</c:v>
                </c:pt>
                <c:pt idx="83" formatCode="General">
                  <c:v>-164.4308415841584</c:v>
                </c:pt>
                <c:pt idx="84" formatCode="General">
                  <c:v>-165.13678217821783</c:v>
                </c:pt>
                <c:pt idx="85" formatCode="General">
                  <c:v>-165.84272277227723</c:v>
                </c:pt>
                <c:pt idx="86" formatCode="General">
                  <c:v>-166.54866336633663</c:v>
                </c:pt>
                <c:pt idx="87" formatCode="General">
                  <c:v>-167.25460396039605</c:v>
                </c:pt>
                <c:pt idx="88" formatCode="General">
                  <c:v>-167.96054455445545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4F-4D49-897C-571A8CD55ADD}"/>
            </c:ext>
          </c:extLst>
        </c:ser>
        <c:ser>
          <c:idx val="38"/>
          <c:order val="38"/>
          <c:spPr>
            <a:ln w="19050" cap="rnd">
              <a:solidFill>
                <a:srgbClr val="7030A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EVALUATION!$B$139:$CP$139</c:f>
              <c:numCache>
                <c:formatCode>0</c:formatCode>
                <c:ptCount val="93"/>
                <c:pt idx="0">
                  <c:v>-193.34064356435644</c:v>
                </c:pt>
                <c:pt idx="1">
                  <c:v>-188.81108910891089</c:v>
                </c:pt>
                <c:pt idx="2">
                  <c:v>-184.55762376237624</c:v>
                </c:pt>
                <c:pt idx="3">
                  <c:v>-180.33806930693069</c:v>
                </c:pt>
                <c:pt idx="4" formatCode="General">
                  <c:v>-176.62717821782178</c:v>
                </c:pt>
                <c:pt idx="5" formatCode="General">
                  <c:v>-172.91628712871287</c:v>
                </c:pt>
                <c:pt idx="6" formatCode="General">
                  <c:v>-169.44594059405938</c:v>
                </c:pt>
                <c:pt idx="7" formatCode="General">
                  <c:v>-166.18257425742573</c:v>
                </c:pt>
                <c:pt idx="8" formatCode="General">
                  <c:v>-162.9236633663366</c:v>
                </c:pt>
                <c:pt idx="9" formatCode="General">
                  <c:v>-160.01673267326731</c:v>
                </c:pt>
                <c:pt idx="10" formatCode="General">
                  <c:v>-157.10980198019803</c:v>
                </c:pt>
                <c:pt idx="11" formatCode="General">
                  <c:v>-154.35539603960396</c:v>
                </c:pt>
                <c:pt idx="12" formatCode="General">
                  <c:v>-151.76133663366338</c:v>
                </c:pt>
                <c:pt idx="13" formatCode="General">
                  <c:v>-149.16727722772276</c:v>
                </c:pt>
                <c:pt idx="14" formatCode="General">
                  <c:v>-146.83623762376237</c:v>
                </c:pt>
                <c:pt idx="15" formatCode="General">
                  <c:v>-144.51544554455447</c:v>
                </c:pt>
                <c:pt idx="16" formatCode="General">
                  <c:v>-142.28821782178218</c:v>
                </c:pt>
                <c:pt idx="17" formatCode="General">
                  <c:v>-140.18128712871285</c:v>
                </c:pt>
                <c:pt idx="18" formatCode="General">
                  <c:v>-138.07435643564355</c:v>
                </c:pt>
                <c:pt idx="19" formatCode="General">
                  <c:v>-136.18064356435644</c:v>
                </c:pt>
                <c:pt idx="20" formatCode="General">
                  <c:v>-134.30737623762377</c:v>
                </c:pt>
                <c:pt idx="21" formatCode="General">
                  <c:v>-132.49549504950497</c:v>
                </c:pt>
                <c:pt idx="22" formatCode="General">
                  <c:v>-130.78064356435644</c:v>
                </c:pt>
                <c:pt idx="23" formatCode="General">
                  <c:v>-129.06579207920791</c:v>
                </c:pt>
                <c:pt idx="24" formatCode="General">
                  <c:v>-127.51179104477612</c:v>
                </c:pt>
                <c:pt idx="25" formatCode="General">
                  <c:v>-125.98343283582089</c:v>
                </c:pt>
                <c:pt idx="26" formatCode="General">
                  <c:v>-124.63792079207921</c:v>
                </c:pt>
                <c:pt idx="27" formatCode="General">
                  <c:v>-123.63198019801982</c:v>
                </c:pt>
                <c:pt idx="28" formatCode="General">
                  <c:v>-122.62603960396041</c:v>
                </c:pt>
                <c:pt idx="29" formatCode="General">
                  <c:v>-123.0152475247525</c:v>
                </c:pt>
                <c:pt idx="30" formatCode="General">
                  <c:v>-123.70039603960397</c:v>
                </c:pt>
                <c:pt idx="31" formatCode="General">
                  <c:v>-124.4770297029703</c:v>
                </c:pt>
                <c:pt idx="32" formatCode="General">
                  <c:v>-125.46712871287129</c:v>
                </c:pt>
                <c:pt idx="33" formatCode="General">
                  <c:v>-126.45722772277226</c:v>
                </c:pt>
                <c:pt idx="34" formatCode="General">
                  <c:v>-127.43811881188118</c:v>
                </c:pt>
                <c:pt idx="35" formatCode="General">
                  <c:v>-128.41633663366338</c:v>
                </c:pt>
                <c:pt idx="36" formatCode="General">
                  <c:v>-129.39554455445545</c:v>
                </c:pt>
                <c:pt idx="37" formatCode="General">
                  <c:v>-130.37772277227722</c:v>
                </c:pt>
                <c:pt idx="38" formatCode="General">
                  <c:v>-131.35990099009899</c:v>
                </c:pt>
                <c:pt idx="39" formatCode="General">
                  <c:v>-132.33633663366336</c:v>
                </c:pt>
                <c:pt idx="40" formatCode="General">
                  <c:v>-133.31059405940593</c:v>
                </c:pt>
                <c:pt idx="41" formatCode="General">
                  <c:v>-134.28089108910891</c:v>
                </c:pt>
                <c:pt idx="42" formatCode="General">
                  <c:v>-135.23534653465347</c:v>
                </c:pt>
                <c:pt idx="43" formatCode="General">
                  <c:v>-136.18980198019801</c:v>
                </c:pt>
                <c:pt idx="44" formatCode="General">
                  <c:v>-137.13356435643564</c:v>
                </c:pt>
                <c:pt idx="45" formatCode="General">
                  <c:v>-138.0721782178218</c:v>
                </c:pt>
                <c:pt idx="46" formatCode="General">
                  <c:v>-139.01079207920793</c:v>
                </c:pt>
                <c:pt idx="47" formatCode="General">
                  <c:v>-139.94940594059406</c:v>
                </c:pt>
                <c:pt idx="48" formatCode="General">
                  <c:v>-140.88801980198022</c:v>
                </c:pt>
                <c:pt idx="49" formatCode="General">
                  <c:v>-141.80257744733581</c:v>
                </c:pt>
                <c:pt idx="50" formatCode="General">
                  <c:v>-142.70270136307312</c:v>
                </c:pt>
                <c:pt idx="51" formatCode="General">
                  <c:v>-143.6028252788104</c:v>
                </c:pt>
                <c:pt idx="52" formatCode="General">
                  <c:v>-144.50294919454771</c:v>
                </c:pt>
                <c:pt idx="53" formatCode="General">
                  <c:v>-145.40307311028499</c:v>
                </c:pt>
                <c:pt idx="54" formatCode="General">
                  <c:v>-146.3031970260223</c:v>
                </c:pt>
                <c:pt idx="55" formatCode="General">
                  <c:v>-147.20332094175959</c:v>
                </c:pt>
                <c:pt idx="56" formatCode="General">
                  <c:v>-148.1034448574969</c:v>
                </c:pt>
                <c:pt idx="57" formatCode="General">
                  <c:v>-149.00356877323418</c:v>
                </c:pt>
                <c:pt idx="58" formatCode="General">
                  <c:v>-149.90369268897149</c:v>
                </c:pt>
                <c:pt idx="59" formatCode="General">
                  <c:v>-150.77394801980196</c:v>
                </c:pt>
                <c:pt idx="60" formatCode="General">
                  <c:v>-151.61850247524751</c:v>
                </c:pt>
                <c:pt idx="61" formatCode="General">
                  <c:v>-152.46305693069306</c:v>
                </c:pt>
                <c:pt idx="62" formatCode="General">
                  <c:v>-153.3076113861386</c:v>
                </c:pt>
                <c:pt idx="63" formatCode="General">
                  <c:v>-154.15216584158415</c:v>
                </c:pt>
                <c:pt idx="64" formatCode="General">
                  <c:v>-154.9967202970297</c:v>
                </c:pt>
                <c:pt idx="65" formatCode="General">
                  <c:v>-155.84127475247524</c:v>
                </c:pt>
                <c:pt idx="66" formatCode="General">
                  <c:v>-156.68582920792079</c:v>
                </c:pt>
                <c:pt idx="67" formatCode="General">
                  <c:v>-157.53038366336634</c:v>
                </c:pt>
                <c:pt idx="68" formatCode="General">
                  <c:v>-158.37493811881188</c:v>
                </c:pt>
                <c:pt idx="69" formatCode="General">
                  <c:v>-159.18915737298636</c:v>
                </c:pt>
                <c:pt idx="70" formatCode="General">
                  <c:v>-159.96437422552663</c:v>
                </c:pt>
                <c:pt idx="71" formatCode="General">
                  <c:v>-160.73959107806692</c:v>
                </c:pt>
                <c:pt idx="72" formatCode="General">
                  <c:v>-161.51480793060719</c:v>
                </c:pt>
                <c:pt idx="73" formatCode="General">
                  <c:v>-162.29002478314746</c:v>
                </c:pt>
                <c:pt idx="74" formatCode="General">
                  <c:v>-163.06524163568773</c:v>
                </c:pt>
                <c:pt idx="75" formatCode="General">
                  <c:v>-163.84045848822802</c:v>
                </c:pt>
                <c:pt idx="76" formatCode="General">
                  <c:v>-164.61567534076829</c:v>
                </c:pt>
                <c:pt idx="77" formatCode="General">
                  <c:v>-165.39089219330856</c:v>
                </c:pt>
                <c:pt idx="78" formatCode="General">
                  <c:v>-166.16610904584883</c:v>
                </c:pt>
                <c:pt idx="79" formatCode="General">
                  <c:v>-166.91707920792081</c:v>
                </c:pt>
                <c:pt idx="80" formatCode="General">
                  <c:v>-167.62301980198021</c:v>
                </c:pt>
                <c:pt idx="81" formatCode="General">
                  <c:v>-168.32896039603961</c:v>
                </c:pt>
                <c:pt idx="82" formatCode="General">
                  <c:v>-169.03490099009903</c:v>
                </c:pt>
                <c:pt idx="83" formatCode="General">
                  <c:v>-169.74084158415843</c:v>
                </c:pt>
                <c:pt idx="84" formatCode="General">
                  <c:v>-170.44678217821783</c:v>
                </c:pt>
                <c:pt idx="85" formatCode="General">
                  <c:v>-171.15272277227723</c:v>
                </c:pt>
                <c:pt idx="86" formatCode="General">
                  <c:v>-171.85866336633666</c:v>
                </c:pt>
                <c:pt idx="87" formatCode="General">
                  <c:v>-172.56460396039606</c:v>
                </c:pt>
                <c:pt idx="88" formatCode="General">
                  <c:v>-173.27054455445545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4F-4D49-897C-571A8CD55ADD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4F-4D49-897C-571A8CD55ADD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-193.34064356435644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64F-4D49-897C-571A8CD55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D64F-4D49-897C-571A8CD55ADD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64F-4D49-897C-571A8CD55ADD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-34.01879207920792</c:v>
                      </c:pt>
                      <c:pt idx="7" formatCode="General">
                        <c:v>-33.477009900990097</c:v>
                      </c:pt>
                      <c:pt idx="8" formatCode="General">
                        <c:v>-32.936969059405939</c:v>
                      </c:pt>
                      <c:pt idx="9" formatCode="General">
                        <c:v>-32.534493811881184</c:v>
                      </c:pt>
                      <c:pt idx="10" formatCode="General">
                        <c:v>-32.132018564356436</c:v>
                      </c:pt>
                      <c:pt idx="11" formatCode="General">
                        <c:v>-31.72954331683168</c:v>
                      </c:pt>
                      <c:pt idx="12" formatCode="General">
                        <c:v>-31.327068069306929</c:v>
                      </c:pt>
                      <c:pt idx="13" formatCode="General">
                        <c:v>-30.924592821782177</c:v>
                      </c:pt>
                      <c:pt idx="14" formatCode="General">
                        <c:v>-30.522117574257425</c:v>
                      </c:pt>
                      <c:pt idx="15" formatCode="General">
                        <c:v>-30.119642326732674</c:v>
                      </c:pt>
                      <c:pt idx="16" formatCode="General">
                        <c:v>-29.717167079207918</c:v>
                      </c:pt>
                      <c:pt idx="17" formatCode="General">
                        <c:v>-29.314691831683167</c:v>
                      </c:pt>
                      <c:pt idx="18" formatCode="General">
                        <c:v>-28.912216584158415</c:v>
                      </c:pt>
                      <c:pt idx="19" formatCode="General">
                        <c:v>-28.607044554455445</c:v>
                      </c:pt>
                      <c:pt idx="20" formatCode="General">
                        <c:v>-28.311202970297028</c:v>
                      </c:pt>
                      <c:pt idx="21" formatCode="General">
                        <c:v>-28.025643564356436</c:v>
                      </c:pt>
                      <c:pt idx="22" formatCode="General">
                        <c:v>-27.756336633663366</c:v>
                      </c:pt>
                      <c:pt idx="23" formatCode="General">
                        <c:v>-27.487029702970297</c:v>
                      </c:pt>
                      <c:pt idx="24" formatCode="General">
                        <c:v>-27.239567164179103</c:v>
                      </c:pt>
                      <c:pt idx="25" formatCode="General">
                        <c:v>-26.995587064676617</c:v>
                      </c:pt>
                      <c:pt idx="26" formatCode="General">
                        <c:v>-26.772544554455443</c:v>
                      </c:pt>
                      <c:pt idx="27" formatCode="General">
                        <c:v>-26.58838613861386</c:v>
                      </c:pt>
                      <c:pt idx="28" formatCode="General">
                        <c:v>-26.404227722772276</c:v>
                      </c:pt>
                      <c:pt idx="29" formatCode="General">
                        <c:v>-26.48570297029703</c:v>
                      </c:pt>
                      <c:pt idx="30" formatCode="General">
                        <c:v>-26.623524752475248</c:v>
                      </c:pt>
                      <c:pt idx="31" formatCode="General">
                        <c:v>-26.762772277227722</c:v>
                      </c:pt>
                      <c:pt idx="32" formatCode="General">
                        <c:v>-26.905346534653464</c:v>
                      </c:pt>
                      <c:pt idx="33" formatCode="General">
                        <c:v>-27.047920792079207</c:v>
                      </c:pt>
                      <c:pt idx="34" formatCode="General">
                        <c:v>-27.187118811881188</c:v>
                      </c:pt>
                      <c:pt idx="35" formatCode="General">
                        <c:v>-27.325336633663365</c:v>
                      </c:pt>
                      <c:pt idx="36" formatCode="General">
                        <c:v>-27.463653465346532</c:v>
                      </c:pt>
                      <c:pt idx="37" formatCode="General">
                        <c:v>-27.602267326732672</c:v>
                      </c:pt>
                      <c:pt idx="38" formatCode="General">
                        <c:v>-27.740881188118809</c:v>
                      </c:pt>
                      <c:pt idx="39" formatCode="General">
                        <c:v>-27.877341584158415</c:v>
                      </c:pt>
                      <c:pt idx="40" formatCode="General">
                        <c:v>-28.012985148514851</c:v>
                      </c:pt>
                      <c:pt idx="41" formatCode="General">
                        <c:v>-28.148628712871286</c:v>
                      </c:pt>
                      <c:pt idx="42" formatCode="General">
                        <c:v>-28.284272277227721</c:v>
                      </c:pt>
                      <c:pt idx="43" formatCode="General">
                        <c:v>-28.419915841584157</c:v>
                      </c:pt>
                      <c:pt idx="44" formatCode="General">
                        <c:v>-28.555559405940592</c:v>
                      </c:pt>
                      <c:pt idx="45" formatCode="General">
                        <c:v>-28.691202970297027</c:v>
                      </c:pt>
                      <c:pt idx="46" formatCode="General">
                        <c:v>-28.826846534653463</c:v>
                      </c:pt>
                      <c:pt idx="47" formatCode="General">
                        <c:v>-28.962490099009898</c:v>
                      </c:pt>
                      <c:pt idx="48" formatCode="General">
                        <c:v>-29.098133663366333</c:v>
                      </c:pt>
                      <c:pt idx="49" formatCode="General">
                        <c:v>-29.230598513011149</c:v>
                      </c:pt>
                      <c:pt idx="50" formatCode="General">
                        <c:v>-29.361156133828995</c:v>
                      </c:pt>
                      <c:pt idx="51" formatCode="General">
                        <c:v>-29.491713754646838</c:v>
                      </c:pt>
                      <c:pt idx="52" formatCode="General">
                        <c:v>-29.622271375464681</c:v>
                      </c:pt>
                      <c:pt idx="53" formatCode="General">
                        <c:v>-29.752828996282528</c:v>
                      </c:pt>
                      <c:pt idx="54" formatCode="General">
                        <c:v>-29.883386617100371</c:v>
                      </c:pt>
                      <c:pt idx="55" formatCode="General">
                        <c:v>-30.013944237918214</c:v>
                      </c:pt>
                      <c:pt idx="56" formatCode="General">
                        <c:v>-30.14450185873606</c:v>
                      </c:pt>
                      <c:pt idx="57" formatCode="General">
                        <c:v>-30.275059479553903</c:v>
                      </c:pt>
                      <c:pt idx="58" formatCode="General">
                        <c:v>-30.405617100371746</c:v>
                      </c:pt>
                      <c:pt idx="59" formatCode="General">
                        <c:v>-30.534172029702972</c:v>
                      </c:pt>
                      <c:pt idx="60" formatCode="General">
                        <c:v>-30.661003712871288</c:v>
                      </c:pt>
                      <c:pt idx="61" formatCode="General">
                        <c:v>-30.787835396039604</c:v>
                      </c:pt>
                      <c:pt idx="62" formatCode="General">
                        <c:v>-30.91466707920792</c:v>
                      </c:pt>
                      <c:pt idx="63" formatCode="General">
                        <c:v>-31.041498762376239</c:v>
                      </c:pt>
                      <c:pt idx="64" formatCode="General">
                        <c:v>-31.168330445544555</c:v>
                      </c:pt>
                      <c:pt idx="65" formatCode="General">
                        <c:v>-31.295162128712871</c:v>
                      </c:pt>
                      <c:pt idx="66" formatCode="General">
                        <c:v>-31.421993811881187</c:v>
                      </c:pt>
                      <c:pt idx="67" formatCode="General">
                        <c:v>-31.548825495049506</c:v>
                      </c:pt>
                      <c:pt idx="68" formatCode="General">
                        <c:v>-31.675657178217822</c:v>
                      </c:pt>
                      <c:pt idx="69" formatCode="General">
                        <c:v>-31.800085501858735</c:v>
                      </c:pt>
                      <c:pt idx="70" formatCode="General">
                        <c:v>-31.92142379182156</c:v>
                      </c:pt>
                      <c:pt idx="71" formatCode="General">
                        <c:v>-32.042762081784389</c:v>
                      </c:pt>
                      <c:pt idx="72" formatCode="General">
                        <c:v>-32.16410037174721</c:v>
                      </c:pt>
                      <c:pt idx="73" formatCode="General">
                        <c:v>-32.285438661710032</c:v>
                      </c:pt>
                      <c:pt idx="74" formatCode="General">
                        <c:v>-32.40677695167286</c:v>
                      </c:pt>
                      <c:pt idx="75" formatCode="General">
                        <c:v>-32.528115241635682</c:v>
                      </c:pt>
                      <c:pt idx="76" formatCode="General">
                        <c:v>-32.64945353159851</c:v>
                      </c:pt>
                      <c:pt idx="77" formatCode="General">
                        <c:v>-32.770791821561332</c:v>
                      </c:pt>
                      <c:pt idx="78" formatCode="General">
                        <c:v>-32.89213011152416</c:v>
                      </c:pt>
                      <c:pt idx="79" formatCode="General">
                        <c:v>-33.012168316831676</c:v>
                      </c:pt>
                      <c:pt idx="80" formatCode="General">
                        <c:v>-33.129792079207917</c:v>
                      </c:pt>
                      <c:pt idx="81" formatCode="General">
                        <c:v>-33.247415841584157</c:v>
                      </c:pt>
                      <c:pt idx="82" formatCode="General">
                        <c:v>-33.36503960396039</c:v>
                      </c:pt>
                      <c:pt idx="83" formatCode="General">
                        <c:v>-33.482663366336631</c:v>
                      </c:pt>
                      <c:pt idx="84" formatCode="General">
                        <c:v>-33.600287128712871</c:v>
                      </c:pt>
                      <c:pt idx="85" formatCode="General">
                        <c:v>-33.717910891089105</c:v>
                      </c:pt>
                      <c:pt idx="86" formatCode="General">
                        <c:v>-33.835534653465345</c:v>
                      </c:pt>
                      <c:pt idx="87" formatCode="General">
                        <c:v>-33.953158415841585</c:v>
                      </c:pt>
                      <c:pt idx="88" formatCode="General">
                        <c:v>-34.070782178217819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64F-4D49-897C-571A8CD55ADD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64F-4D49-897C-571A8CD55ADD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64F-4D49-897C-571A8CD55ADD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-19.966574257425744</c:v>
                      </c:pt>
                      <c:pt idx="7" formatCode="General">
                        <c:v>-19.885782178217823</c:v>
                      </c:pt>
                      <c:pt idx="8" formatCode="General">
                        <c:v>-19.807502475247524</c:v>
                      </c:pt>
                      <c:pt idx="9" formatCode="General">
                        <c:v>-19.927700495049507</c:v>
                      </c:pt>
                      <c:pt idx="10" formatCode="General">
                        <c:v>-20.047898514851486</c:v>
                      </c:pt>
                      <c:pt idx="11" formatCode="General">
                        <c:v>-20.168096534653465</c:v>
                      </c:pt>
                      <c:pt idx="12" formatCode="General">
                        <c:v>-20.288294554455447</c:v>
                      </c:pt>
                      <c:pt idx="13" formatCode="General">
                        <c:v>-20.408492574257426</c:v>
                      </c:pt>
                      <c:pt idx="14" formatCode="General">
                        <c:v>-20.528690594059405</c:v>
                      </c:pt>
                      <c:pt idx="15" formatCode="General">
                        <c:v>-20.648888613861388</c:v>
                      </c:pt>
                      <c:pt idx="16" formatCode="General">
                        <c:v>-20.769086633663367</c:v>
                      </c:pt>
                      <c:pt idx="17" formatCode="General">
                        <c:v>-20.889284653465346</c:v>
                      </c:pt>
                      <c:pt idx="18" formatCode="General">
                        <c:v>-21.009482673267328</c:v>
                      </c:pt>
                      <c:pt idx="19" formatCode="General">
                        <c:v>-21.135643564356435</c:v>
                      </c:pt>
                      <c:pt idx="20" formatCode="General">
                        <c:v>-21.262376237623762</c:v>
                      </c:pt>
                      <c:pt idx="21" formatCode="General">
                        <c:v>-21.387574257425744</c:v>
                      </c:pt>
                      <c:pt idx="22" formatCode="General">
                        <c:v>-21.510346534653465</c:v>
                      </c:pt>
                      <c:pt idx="23" formatCode="General">
                        <c:v>-21.633118811881186</c:v>
                      </c:pt>
                      <c:pt idx="24" formatCode="General">
                        <c:v>-21.756417910447759</c:v>
                      </c:pt>
                      <c:pt idx="25" formatCode="General">
                        <c:v>-21.879800995024876</c:v>
                      </c:pt>
                      <c:pt idx="26" formatCode="General">
                        <c:v>-22.002970297029705</c:v>
                      </c:pt>
                      <c:pt idx="27" formatCode="General">
                        <c:v>-22.125742574257426</c:v>
                      </c:pt>
                      <c:pt idx="28" formatCode="General">
                        <c:v>-22.248514851485147</c:v>
                      </c:pt>
                      <c:pt idx="29" formatCode="General">
                        <c:v>-22.368019801980196</c:v>
                      </c:pt>
                      <c:pt idx="30" formatCode="General">
                        <c:v>-22.486831683168315</c:v>
                      </c:pt>
                      <c:pt idx="31" formatCode="General">
                        <c:v>-22.606831683168316</c:v>
                      </c:pt>
                      <c:pt idx="32" formatCode="General">
                        <c:v>-22.729603960396041</c:v>
                      </c:pt>
                      <c:pt idx="33" formatCode="General">
                        <c:v>-22.852376237623762</c:v>
                      </c:pt>
                      <c:pt idx="34" formatCode="General">
                        <c:v>-22.972079207920792</c:v>
                      </c:pt>
                      <c:pt idx="35" formatCode="General">
                        <c:v>-23.090891089108911</c:v>
                      </c:pt>
                      <c:pt idx="36" formatCode="General">
                        <c:v>-23.20970297029703</c:v>
                      </c:pt>
                      <c:pt idx="37" formatCode="General">
                        <c:v>-23.328514851485149</c:v>
                      </c:pt>
                      <c:pt idx="38" formatCode="General">
                        <c:v>-23.447326732673268</c:v>
                      </c:pt>
                      <c:pt idx="39" formatCode="General">
                        <c:v>-23.563985148514853</c:v>
                      </c:pt>
                      <c:pt idx="40" formatCode="General">
                        <c:v>-23.679826732673266</c:v>
                      </c:pt>
                      <c:pt idx="41" formatCode="General">
                        <c:v>-23.795668316831684</c:v>
                      </c:pt>
                      <c:pt idx="42" formatCode="General">
                        <c:v>-23.911509900990097</c:v>
                      </c:pt>
                      <c:pt idx="43" formatCode="General">
                        <c:v>-24.027351485148515</c:v>
                      </c:pt>
                      <c:pt idx="44" formatCode="General">
                        <c:v>-24.143193069306928</c:v>
                      </c:pt>
                      <c:pt idx="45" formatCode="General">
                        <c:v>-24.259034653465346</c:v>
                      </c:pt>
                      <c:pt idx="46" formatCode="General">
                        <c:v>-24.374876237623763</c:v>
                      </c:pt>
                      <c:pt idx="47" formatCode="General">
                        <c:v>-24.490717821782177</c:v>
                      </c:pt>
                      <c:pt idx="48" formatCode="General">
                        <c:v>-24.606559405940594</c:v>
                      </c:pt>
                      <c:pt idx="49" formatCode="General">
                        <c:v>-24.719392812887236</c:v>
                      </c:pt>
                      <c:pt idx="50" formatCode="General">
                        <c:v>-24.830421313506815</c:v>
                      </c:pt>
                      <c:pt idx="51" formatCode="General">
                        <c:v>-24.941449814126393</c:v>
                      </c:pt>
                      <c:pt idx="52" formatCode="General">
                        <c:v>-25.052478314745972</c:v>
                      </c:pt>
                      <c:pt idx="53" formatCode="General">
                        <c:v>-25.163506815365551</c:v>
                      </c:pt>
                      <c:pt idx="54" formatCode="General">
                        <c:v>-25.27453531598513</c:v>
                      </c:pt>
                      <c:pt idx="55" formatCode="General">
                        <c:v>-25.385563816604709</c:v>
                      </c:pt>
                      <c:pt idx="56" formatCode="General">
                        <c:v>-25.496592317224287</c:v>
                      </c:pt>
                      <c:pt idx="57" formatCode="General">
                        <c:v>-25.607620817843866</c:v>
                      </c:pt>
                      <c:pt idx="58" formatCode="General">
                        <c:v>-25.718649318463445</c:v>
                      </c:pt>
                      <c:pt idx="59" formatCode="General">
                        <c:v>-25.828007425742573</c:v>
                      </c:pt>
                      <c:pt idx="60" formatCode="General">
                        <c:v>-25.935928217821782</c:v>
                      </c:pt>
                      <c:pt idx="61" formatCode="General">
                        <c:v>-26.043849009900988</c:v>
                      </c:pt>
                      <c:pt idx="62" formatCode="General">
                        <c:v>-26.151769801980198</c:v>
                      </c:pt>
                      <c:pt idx="63" formatCode="General">
                        <c:v>-26.259690594059403</c:v>
                      </c:pt>
                      <c:pt idx="64" formatCode="General">
                        <c:v>-26.367611386138613</c:v>
                      </c:pt>
                      <c:pt idx="65" formatCode="General">
                        <c:v>-26.475532178217822</c:v>
                      </c:pt>
                      <c:pt idx="66" formatCode="General">
                        <c:v>-26.583452970297028</c:v>
                      </c:pt>
                      <c:pt idx="67" formatCode="General">
                        <c:v>-26.691373762376237</c:v>
                      </c:pt>
                      <c:pt idx="68" formatCode="General">
                        <c:v>-26.799294554455443</c:v>
                      </c:pt>
                      <c:pt idx="69" formatCode="General">
                        <c:v>-26.905105328376703</c:v>
                      </c:pt>
                      <c:pt idx="70" formatCode="General">
                        <c:v>-27.008203221809168</c:v>
                      </c:pt>
                      <c:pt idx="71" formatCode="General">
                        <c:v>-27.111301115241634</c:v>
                      </c:pt>
                      <c:pt idx="72" formatCode="General">
                        <c:v>-27.2143990086741</c:v>
                      </c:pt>
                      <c:pt idx="73" formatCode="General">
                        <c:v>-27.317496902106566</c:v>
                      </c:pt>
                      <c:pt idx="74" formatCode="General">
                        <c:v>-27.420594795539031</c:v>
                      </c:pt>
                      <c:pt idx="75" formatCode="General">
                        <c:v>-27.523692688971497</c:v>
                      </c:pt>
                      <c:pt idx="76" formatCode="General">
                        <c:v>-27.626790582403963</c:v>
                      </c:pt>
                      <c:pt idx="77" formatCode="General">
                        <c:v>-27.729888475836429</c:v>
                      </c:pt>
                      <c:pt idx="78" formatCode="General">
                        <c:v>-27.832986369268895</c:v>
                      </c:pt>
                      <c:pt idx="79" formatCode="General">
                        <c:v>-27.934999999999999</c:v>
                      </c:pt>
                      <c:pt idx="80" formatCode="General">
                        <c:v>-28.034999999999997</c:v>
                      </c:pt>
                      <c:pt idx="81" formatCode="General">
                        <c:v>-28.134999999999998</c:v>
                      </c:pt>
                      <c:pt idx="82" formatCode="General">
                        <c:v>-28.234999999999999</c:v>
                      </c:pt>
                      <c:pt idx="83" formatCode="General">
                        <c:v>-28.334999999999997</c:v>
                      </c:pt>
                      <c:pt idx="84" formatCode="General">
                        <c:v>-28.434999999999999</c:v>
                      </c:pt>
                      <c:pt idx="85" formatCode="General">
                        <c:v>-28.535</c:v>
                      </c:pt>
                      <c:pt idx="86" formatCode="General">
                        <c:v>-28.634999999999998</c:v>
                      </c:pt>
                      <c:pt idx="87" formatCode="General">
                        <c:v>-28.734999999999999</c:v>
                      </c:pt>
                      <c:pt idx="88" formatCode="General">
                        <c:v>-28.835000000000001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64F-4D49-897C-571A8CD55ADD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-53.985366336633668</c:v>
                      </c:pt>
                      <c:pt idx="7" formatCode="General">
                        <c:v>-53.362792079207928</c:v>
                      </c:pt>
                      <c:pt idx="8" formatCode="General">
                        <c:v>-52.744471534653471</c:v>
                      </c:pt>
                      <c:pt idx="9" formatCode="General">
                        <c:v>-52.462194306930698</c:v>
                      </c:pt>
                      <c:pt idx="10" formatCode="General">
                        <c:v>-52.179917079207925</c:v>
                      </c:pt>
                      <c:pt idx="11" formatCode="General">
                        <c:v>-51.897639851485152</c:v>
                      </c:pt>
                      <c:pt idx="12" formatCode="General">
                        <c:v>-51.61536262376238</c:v>
                      </c:pt>
                      <c:pt idx="13" formatCode="General">
                        <c:v>-51.333085396039607</c:v>
                      </c:pt>
                      <c:pt idx="14" formatCode="General">
                        <c:v>-51.050808168316834</c:v>
                      </c:pt>
                      <c:pt idx="15" formatCode="General">
                        <c:v>-50.768530940594061</c:v>
                      </c:pt>
                      <c:pt idx="16" formatCode="General">
                        <c:v>-50.486253712871289</c:v>
                      </c:pt>
                      <c:pt idx="17" formatCode="General">
                        <c:v>-50.203976485148516</c:v>
                      </c:pt>
                      <c:pt idx="18" formatCode="General">
                        <c:v>-49.921699257425743</c:v>
                      </c:pt>
                      <c:pt idx="19" formatCode="General">
                        <c:v>-49.742688118811877</c:v>
                      </c:pt>
                      <c:pt idx="20" formatCode="General">
                        <c:v>-49.573579207920787</c:v>
                      </c:pt>
                      <c:pt idx="21" formatCode="General">
                        <c:v>-49.413217821782176</c:v>
                      </c:pt>
                      <c:pt idx="22" formatCode="General">
                        <c:v>-49.266683168316831</c:v>
                      </c:pt>
                      <c:pt idx="23" formatCode="General">
                        <c:v>-49.120148514851479</c:v>
                      </c:pt>
                      <c:pt idx="24" formatCode="General">
                        <c:v>-48.995985074626866</c:v>
                      </c:pt>
                      <c:pt idx="25" formatCode="General">
                        <c:v>-48.875388059701493</c:v>
                      </c:pt>
                      <c:pt idx="26" formatCode="General">
                        <c:v>-48.775514851485148</c:v>
                      </c:pt>
                      <c:pt idx="27" formatCode="General">
                        <c:v>-48.714128712871286</c:v>
                      </c:pt>
                      <c:pt idx="28" formatCode="General">
                        <c:v>-48.652742574257424</c:v>
                      </c:pt>
                      <c:pt idx="29" formatCode="General">
                        <c:v>-48.853722772277223</c:v>
                      </c:pt>
                      <c:pt idx="30" formatCode="General">
                        <c:v>-49.11035643564356</c:v>
                      </c:pt>
                      <c:pt idx="31" formatCode="General">
                        <c:v>-49.369603960396041</c:v>
                      </c:pt>
                      <c:pt idx="32" formatCode="General">
                        <c:v>-49.634950495049509</c:v>
                      </c:pt>
                      <c:pt idx="33" formatCode="General">
                        <c:v>-49.900297029702969</c:v>
                      </c:pt>
                      <c:pt idx="34" formatCode="General">
                        <c:v>-50.159198019801984</c:v>
                      </c:pt>
                      <c:pt idx="35" formatCode="General">
                        <c:v>-50.416227722772277</c:v>
                      </c:pt>
                      <c:pt idx="36" formatCode="General">
                        <c:v>-50.673356435643569</c:v>
                      </c:pt>
                      <c:pt idx="37" formatCode="General">
                        <c:v>-50.930782178217825</c:v>
                      </c:pt>
                      <c:pt idx="38" formatCode="General">
                        <c:v>-51.188207920792081</c:v>
                      </c:pt>
                      <c:pt idx="39" formatCode="General">
                        <c:v>-51.441326732673268</c:v>
                      </c:pt>
                      <c:pt idx="40" formatCode="General">
                        <c:v>-51.692811881188121</c:v>
                      </c:pt>
                      <c:pt idx="41" formatCode="General">
                        <c:v>-51.944297029702966</c:v>
                      </c:pt>
                      <c:pt idx="42" formatCode="General">
                        <c:v>-52.195782178217819</c:v>
                      </c:pt>
                      <c:pt idx="43" formatCode="General">
                        <c:v>-52.447267326732671</c:v>
                      </c:pt>
                      <c:pt idx="44" formatCode="General">
                        <c:v>-52.698752475247524</c:v>
                      </c:pt>
                      <c:pt idx="45" formatCode="General">
                        <c:v>-52.950237623762376</c:v>
                      </c:pt>
                      <c:pt idx="46" formatCode="General">
                        <c:v>-53.201722772277229</c:v>
                      </c:pt>
                      <c:pt idx="47" formatCode="General">
                        <c:v>-53.453207920792082</c:v>
                      </c:pt>
                      <c:pt idx="48" formatCode="General">
                        <c:v>-53.704693069306927</c:v>
                      </c:pt>
                      <c:pt idx="49" formatCode="General">
                        <c:v>-53.949991325898388</c:v>
                      </c:pt>
                      <c:pt idx="50" formatCode="General">
                        <c:v>-54.19157744733581</c:v>
                      </c:pt>
                      <c:pt idx="51" formatCode="General">
                        <c:v>-54.433163568773232</c:v>
                      </c:pt>
                      <c:pt idx="52" formatCode="General">
                        <c:v>-54.674749690210653</c:v>
                      </c:pt>
                      <c:pt idx="53" formatCode="General">
                        <c:v>-54.916335811648075</c:v>
                      </c:pt>
                      <c:pt idx="54" formatCode="General">
                        <c:v>-55.157921933085497</c:v>
                      </c:pt>
                      <c:pt idx="55" formatCode="General">
                        <c:v>-55.399508054522919</c:v>
                      </c:pt>
                      <c:pt idx="56" formatCode="General">
                        <c:v>-55.64109417596034</c:v>
                      </c:pt>
                      <c:pt idx="57" formatCode="General">
                        <c:v>-55.882680297397769</c:v>
                      </c:pt>
                      <c:pt idx="58" formatCode="General">
                        <c:v>-56.124266418835191</c:v>
                      </c:pt>
                      <c:pt idx="59" formatCode="General">
                        <c:v>-56.362179455445542</c:v>
                      </c:pt>
                      <c:pt idx="60" formatCode="General">
                        <c:v>-56.596931930693067</c:v>
                      </c:pt>
                      <c:pt idx="61" formatCode="General">
                        <c:v>-56.831684405940592</c:v>
                      </c:pt>
                      <c:pt idx="62" formatCode="General">
                        <c:v>-57.066436881188118</c:v>
                      </c:pt>
                      <c:pt idx="63" formatCode="General">
                        <c:v>-57.301189356435643</c:v>
                      </c:pt>
                      <c:pt idx="64" formatCode="General">
                        <c:v>-57.535941831683168</c:v>
                      </c:pt>
                      <c:pt idx="65" formatCode="General">
                        <c:v>-57.770694306930693</c:v>
                      </c:pt>
                      <c:pt idx="66" formatCode="General">
                        <c:v>-58.005446782178218</c:v>
                      </c:pt>
                      <c:pt idx="67" formatCode="General">
                        <c:v>-58.240199257425743</c:v>
                      </c:pt>
                      <c:pt idx="68" formatCode="General">
                        <c:v>-58.474951732673269</c:v>
                      </c:pt>
                      <c:pt idx="69" formatCode="General">
                        <c:v>-58.705190830235438</c:v>
                      </c:pt>
                      <c:pt idx="70" formatCode="General">
                        <c:v>-58.929627013630729</c:v>
                      </c:pt>
                      <c:pt idx="71" formatCode="General">
                        <c:v>-59.154063197026019</c:v>
                      </c:pt>
                      <c:pt idx="72" formatCode="General">
                        <c:v>-59.37849938042131</c:v>
                      </c:pt>
                      <c:pt idx="73" formatCode="General">
                        <c:v>-59.602935563816601</c:v>
                      </c:pt>
                      <c:pt idx="74" formatCode="General">
                        <c:v>-59.827371747211892</c:v>
                      </c:pt>
                      <c:pt idx="75" formatCode="General">
                        <c:v>-60.051807930607183</c:v>
                      </c:pt>
                      <c:pt idx="76" formatCode="General">
                        <c:v>-60.276244114002473</c:v>
                      </c:pt>
                      <c:pt idx="77" formatCode="General">
                        <c:v>-60.500680297397764</c:v>
                      </c:pt>
                      <c:pt idx="78" formatCode="General">
                        <c:v>-60.725116480793055</c:v>
                      </c:pt>
                      <c:pt idx="79" formatCode="General">
                        <c:v>-60.947168316831679</c:v>
                      </c:pt>
                      <c:pt idx="80" formatCode="General">
                        <c:v>-61.164792079207913</c:v>
                      </c:pt>
                      <c:pt idx="81" formatCode="General">
                        <c:v>-61.382415841584155</c:v>
                      </c:pt>
                      <c:pt idx="82" formatCode="General">
                        <c:v>-61.60003960396039</c:v>
                      </c:pt>
                      <c:pt idx="83" formatCode="General">
                        <c:v>-61.817663366336632</c:v>
                      </c:pt>
                      <c:pt idx="84" formatCode="General">
                        <c:v>-62.035287128712866</c:v>
                      </c:pt>
                      <c:pt idx="85" formatCode="General">
                        <c:v>-62.252910891089108</c:v>
                      </c:pt>
                      <c:pt idx="86" formatCode="General">
                        <c:v>-62.47053465346535</c:v>
                      </c:pt>
                      <c:pt idx="87" formatCode="General">
                        <c:v>-62.688158415841585</c:v>
                      </c:pt>
                      <c:pt idx="88" formatCode="General">
                        <c:v>-62.905782178217827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64F-4D49-897C-571A8CD55ADD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64F-4D49-897C-571A8CD55ADD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64F-4D49-897C-571A8CD55AD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64F-4D49-897C-571A8CD55AD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64F-4D49-897C-571A8CD55AD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64F-4D49-897C-571A8CD55AD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-19.966574257425744</c:v>
                      </c:pt>
                      <c:pt idx="7" formatCode="General">
                        <c:v>-19.885782178217823</c:v>
                      </c:pt>
                      <c:pt idx="8" formatCode="General">
                        <c:v>-19.807502475247524</c:v>
                      </c:pt>
                      <c:pt idx="9" formatCode="General">
                        <c:v>-19.927700495049507</c:v>
                      </c:pt>
                      <c:pt idx="10" formatCode="General">
                        <c:v>-20.047898514851486</c:v>
                      </c:pt>
                      <c:pt idx="11" formatCode="General">
                        <c:v>-20.168096534653465</c:v>
                      </c:pt>
                      <c:pt idx="12" formatCode="General">
                        <c:v>-20.288294554455447</c:v>
                      </c:pt>
                      <c:pt idx="13" formatCode="General">
                        <c:v>-20.408492574257426</c:v>
                      </c:pt>
                      <c:pt idx="14" formatCode="General">
                        <c:v>-20.528690594059405</c:v>
                      </c:pt>
                      <c:pt idx="15" formatCode="General">
                        <c:v>-20.648888613861388</c:v>
                      </c:pt>
                      <c:pt idx="16" formatCode="General">
                        <c:v>-20.769086633663367</c:v>
                      </c:pt>
                      <c:pt idx="17" formatCode="General">
                        <c:v>-20.889284653465346</c:v>
                      </c:pt>
                      <c:pt idx="18" formatCode="General">
                        <c:v>-21.009482673267328</c:v>
                      </c:pt>
                      <c:pt idx="19" formatCode="General">
                        <c:v>-21.135643564356435</c:v>
                      </c:pt>
                      <c:pt idx="20" formatCode="General">
                        <c:v>-21.262376237623762</c:v>
                      </c:pt>
                      <c:pt idx="21" formatCode="General">
                        <c:v>-21.387574257425744</c:v>
                      </c:pt>
                      <c:pt idx="22" formatCode="General">
                        <c:v>-21.510346534653465</c:v>
                      </c:pt>
                      <c:pt idx="23" formatCode="General">
                        <c:v>-21.633118811881186</c:v>
                      </c:pt>
                      <c:pt idx="24" formatCode="General">
                        <c:v>-21.756417910447759</c:v>
                      </c:pt>
                      <c:pt idx="25" formatCode="General">
                        <c:v>-21.879800995024876</c:v>
                      </c:pt>
                      <c:pt idx="26" formatCode="General">
                        <c:v>-22.002970297029705</c:v>
                      </c:pt>
                      <c:pt idx="27" formatCode="General">
                        <c:v>-22.125742574257426</c:v>
                      </c:pt>
                      <c:pt idx="28" formatCode="General">
                        <c:v>-22.248514851485147</c:v>
                      </c:pt>
                      <c:pt idx="29" formatCode="General">
                        <c:v>-22.368019801980196</c:v>
                      </c:pt>
                      <c:pt idx="30" formatCode="General">
                        <c:v>-22.486831683168315</c:v>
                      </c:pt>
                      <c:pt idx="31" formatCode="General">
                        <c:v>-22.606831683168316</c:v>
                      </c:pt>
                      <c:pt idx="32" formatCode="General">
                        <c:v>-22.729603960396041</c:v>
                      </c:pt>
                      <c:pt idx="33" formatCode="General">
                        <c:v>-22.852376237623762</c:v>
                      </c:pt>
                      <c:pt idx="34" formatCode="General">
                        <c:v>-22.972079207920792</c:v>
                      </c:pt>
                      <c:pt idx="35" formatCode="General">
                        <c:v>-23.090891089108911</c:v>
                      </c:pt>
                      <c:pt idx="36" formatCode="General">
                        <c:v>-23.20970297029703</c:v>
                      </c:pt>
                      <c:pt idx="37" formatCode="General">
                        <c:v>-23.328514851485149</c:v>
                      </c:pt>
                      <c:pt idx="38" formatCode="General">
                        <c:v>-23.447326732673268</c:v>
                      </c:pt>
                      <c:pt idx="39" formatCode="General">
                        <c:v>-23.563985148514853</c:v>
                      </c:pt>
                      <c:pt idx="40" formatCode="General">
                        <c:v>-23.679826732673266</c:v>
                      </c:pt>
                      <c:pt idx="41" formatCode="General">
                        <c:v>-23.795668316831684</c:v>
                      </c:pt>
                      <c:pt idx="42" formatCode="General">
                        <c:v>-23.911509900990097</c:v>
                      </c:pt>
                      <c:pt idx="43" formatCode="General">
                        <c:v>-24.027351485148515</c:v>
                      </c:pt>
                      <c:pt idx="44" formatCode="General">
                        <c:v>-24.143193069306928</c:v>
                      </c:pt>
                      <c:pt idx="45" formatCode="General">
                        <c:v>-24.259034653465346</c:v>
                      </c:pt>
                      <c:pt idx="46" formatCode="General">
                        <c:v>-24.374876237623763</c:v>
                      </c:pt>
                      <c:pt idx="47" formatCode="General">
                        <c:v>-24.490717821782177</c:v>
                      </c:pt>
                      <c:pt idx="48" formatCode="General">
                        <c:v>-24.606559405940594</c:v>
                      </c:pt>
                      <c:pt idx="49" formatCode="General">
                        <c:v>-24.719392812887236</c:v>
                      </c:pt>
                      <c:pt idx="50" formatCode="General">
                        <c:v>-24.830421313506815</c:v>
                      </c:pt>
                      <c:pt idx="51" formatCode="General">
                        <c:v>-24.941449814126393</c:v>
                      </c:pt>
                      <c:pt idx="52" formatCode="General">
                        <c:v>-25.052478314745972</c:v>
                      </c:pt>
                      <c:pt idx="53" formatCode="General">
                        <c:v>-25.163506815365551</c:v>
                      </c:pt>
                      <c:pt idx="54" formatCode="General">
                        <c:v>-25.27453531598513</c:v>
                      </c:pt>
                      <c:pt idx="55" formatCode="General">
                        <c:v>-25.385563816604709</c:v>
                      </c:pt>
                      <c:pt idx="56" formatCode="General">
                        <c:v>-25.496592317224287</c:v>
                      </c:pt>
                      <c:pt idx="57" formatCode="General">
                        <c:v>-25.607620817843866</c:v>
                      </c:pt>
                      <c:pt idx="58" formatCode="General">
                        <c:v>-25.718649318463445</c:v>
                      </c:pt>
                      <c:pt idx="59" formatCode="General">
                        <c:v>-25.828007425742573</c:v>
                      </c:pt>
                      <c:pt idx="60" formatCode="General">
                        <c:v>-25.935928217821782</c:v>
                      </c:pt>
                      <c:pt idx="61" formatCode="General">
                        <c:v>-26.043849009900988</c:v>
                      </c:pt>
                      <c:pt idx="62" formatCode="General">
                        <c:v>-26.151769801980198</c:v>
                      </c:pt>
                      <c:pt idx="63" formatCode="General">
                        <c:v>-26.259690594059403</c:v>
                      </c:pt>
                      <c:pt idx="64" formatCode="General">
                        <c:v>-26.367611386138613</c:v>
                      </c:pt>
                      <c:pt idx="65" formatCode="General">
                        <c:v>-26.475532178217822</c:v>
                      </c:pt>
                      <c:pt idx="66" formatCode="General">
                        <c:v>-26.583452970297028</c:v>
                      </c:pt>
                      <c:pt idx="67" formatCode="General">
                        <c:v>-26.691373762376237</c:v>
                      </c:pt>
                      <c:pt idx="68" formatCode="General">
                        <c:v>-26.799294554455443</c:v>
                      </c:pt>
                      <c:pt idx="69" formatCode="General">
                        <c:v>-26.905105328376703</c:v>
                      </c:pt>
                      <c:pt idx="70" formatCode="General">
                        <c:v>-27.008203221809168</c:v>
                      </c:pt>
                      <c:pt idx="71" formatCode="General">
                        <c:v>-27.111301115241634</c:v>
                      </c:pt>
                      <c:pt idx="72" formatCode="General">
                        <c:v>-27.2143990086741</c:v>
                      </c:pt>
                      <c:pt idx="73" formatCode="General">
                        <c:v>-27.317496902106566</c:v>
                      </c:pt>
                      <c:pt idx="74" formatCode="General">
                        <c:v>-27.420594795539031</c:v>
                      </c:pt>
                      <c:pt idx="75" formatCode="General">
                        <c:v>-27.523692688971497</c:v>
                      </c:pt>
                      <c:pt idx="76" formatCode="General">
                        <c:v>-27.626790582403963</c:v>
                      </c:pt>
                      <c:pt idx="77" formatCode="General">
                        <c:v>-27.729888475836429</c:v>
                      </c:pt>
                      <c:pt idx="78" formatCode="General">
                        <c:v>-27.832986369268895</c:v>
                      </c:pt>
                      <c:pt idx="79" formatCode="General">
                        <c:v>-27.934999999999999</c:v>
                      </c:pt>
                      <c:pt idx="80" formatCode="General">
                        <c:v>-28.034999999999997</c:v>
                      </c:pt>
                      <c:pt idx="81" formatCode="General">
                        <c:v>-28.134999999999998</c:v>
                      </c:pt>
                      <c:pt idx="82" formatCode="General">
                        <c:v>-28.234999999999999</c:v>
                      </c:pt>
                      <c:pt idx="83" formatCode="General">
                        <c:v>-28.334999999999997</c:v>
                      </c:pt>
                      <c:pt idx="84" formatCode="General">
                        <c:v>-28.434999999999999</c:v>
                      </c:pt>
                      <c:pt idx="85" formatCode="General">
                        <c:v>-28.535</c:v>
                      </c:pt>
                      <c:pt idx="86" formatCode="General">
                        <c:v>-28.634999999999998</c:v>
                      </c:pt>
                      <c:pt idx="87" formatCode="General">
                        <c:v>-28.734999999999999</c:v>
                      </c:pt>
                      <c:pt idx="88" formatCode="General">
                        <c:v>-28.835000000000001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64F-4D49-897C-571A8CD55AD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64F-4D49-897C-571A8CD55AD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64F-4D49-897C-571A8CD55AD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64F-4D49-897C-571A8CD55AD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64F-4D49-897C-571A8CD55AD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64F-4D49-897C-571A8CD55AD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64F-4D49-897C-571A8CD55ADD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64F-4D49-897C-571A8CD55ADD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64F-4D49-897C-571A8CD55ADD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64F-4D49-897C-571A8CD55ADD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64F-4D49-897C-571A8CD55ADD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64F-4D49-897C-571A8CD55ADD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64F-4D49-897C-571A8CD55ADD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64F-4D49-897C-571A8CD55ADD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64F-4D49-897C-571A8CD55ADD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64F-4D49-897C-571A8CD55ADD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64F-4D49-897C-571A8CD55ADD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64F-4D49-897C-571A8CD55ADD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-85.396485148514856</c:v>
                      </c:pt>
                      <c:pt idx="1">
                        <c:v>-83.32361386138615</c:v>
                      </c:pt>
                      <c:pt idx="2">
                        <c:v>-81.355297029702982</c:v>
                      </c:pt>
                      <c:pt idx="3">
                        <c:v>-79.398366336633671</c:v>
                      </c:pt>
                      <c:pt idx="4" formatCode="General">
                        <c:v>-77.612227722772275</c:v>
                      </c:pt>
                      <c:pt idx="5" formatCode="General">
                        <c:v>-75.826089108910892</c:v>
                      </c:pt>
                      <c:pt idx="6" formatCode="General">
                        <c:v>-74.122970297029696</c:v>
                      </c:pt>
                      <c:pt idx="7" formatCode="General">
                        <c:v>-72.49128712871287</c:v>
                      </c:pt>
                      <c:pt idx="8" formatCode="General">
                        <c:v>-70.861386138613852</c:v>
                      </c:pt>
                      <c:pt idx="9" formatCode="General">
                        <c:v>-69.372277227722776</c:v>
                      </c:pt>
                      <c:pt idx="10" formatCode="General">
                        <c:v>-67.883168316831686</c:v>
                      </c:pt>
                      <c:pt idx="11" formatCode="General">
                        <c:v>-66.463564356435654</c:v>
                      </c:pt>
                      <c:pt idx="12" formatCode="General">
                        <c:v>-65.117029702970299</c:v>
                      </c:pt>
                      <c:pt idx="13" formatCode="General">
                        <c:v>-63.770495049504952</c:v>
                      </c:pt>
                      <c:pt idx="14" formatCode="General">
                        <c:v>-62.553564356435643</c:v>
                      </c:pt>
                      <c:pt idx="15" formatCode="General">
                        <c:v>-61.341683168316834</c:v>
                      </c:pt>
                      <c:pt idx="16" formatCode="General">
                        <c:v>-60.180049504950496</c:v>
                      </c:pt>
                      <c:pt idx="17" formatCode="General">
                        <c:v>-59.0830198019802</c:v>
                      </c:pt>
                      <c:pt idx="18" formatCode="General">
                        <c:v>-57.985990099009896</c:v>
                      </c:pt>
                      <c:pt idx="19" formatCode="General">
                        <c:v>-57.000990099009904</c:v>
                      </c:pt>
                      <c:pt idx="20" formatCode="General">
                        <c:v>-56.026732673267333</c:v>
                      </c:pt>
                      <c:pt idx="21" formatCode="General">
                        <c:v>-55.08470297029703</c:v>
                      </c:pt>
                      <c:pt idx="22" formatCode="General">
                        <c:v>-54.19361386138614</c:v>
                      </c:pt>
                      <c:pt idx="23" formatCode="General">
                        <c:v>-53.30252475247525</c:v>
                      </c:pt>
                      <c:pt idx="24" formatCode="General">
                        <c:v>-52.486567164179107</c:v>
                      </c:pt>
                      <c:pt idx="25" formatCode="General">
                        <c:v>-51.682587064676611</c:v>
                      </c:pt>
                      <c:pt idx="26" formatCode="General">
                        <c:v>-50.971485148514844</c:v>
                      </c:pt>
                      <c:pt idx="27" formatCode="General">
                        <c:v>-50.432871287128705</c:v>
                      </c:pt>
                      <c:pt idx="28" formatCode="General">
                        <c:v>-49.894257425742573</c:v>
                      </c:pt>
                      <c:pt idx="29" formatCode="General">
                        <c:v>-50.041782178217822</c:v>
                      </c:pt>
                      <c:pt idx="30" formatCode="General">
                        <c:v>-50.334851485148519</c:v>
                      </c:pt>
                      <c:pt idx="31" formatCode="General">
                        <c:v>-50.670693069306935</c:v>
                      </c:pt>
                      <c:pt idx="32" formatCode="General">
                        <c:v>-51.106336633663368</c:v>
                      </c:pt>
                      <c:pt idx="33" formatCode="General">
                        <c:v>-51.541980198019807</c:v>
                      </c:pt>
                      <c:pt idx="34" formatCode="General">
                        <c:v>-51.974554455445549</c:v>
                      </c:pt>
                      <c:pt idx="35" formatCode="General">
                        <c:v>-52.406237623762379</c:v>
                      </c:pt>
                      <c:pt idx="36" formatCode="General">
                        <c:v>-52.83792079207921</c:v>
                      </c:pt>
                      <c:pt idx="37" formatCode="General">
                        <c:v>-53.26960396039604</c:v>
                      </c:pt>
                      <c:pt idx="38" formatCode="General">
                        <c:v>-53.701287128712863</c:v>
                      </c:pt>
                      <c:pt idx="39" formatCode="General">
                        <c:v>-54.130099009900981</c:v>
                      </c:pt>
                      <c:pt idx="40" formatCode="General">
                        <c:v>-54.557821782178216</c:v>
                      </c:pt>
                      <c:pt idx="41" formatCode="General">
                        <c:v>-54.983960396039606</c:v>
                      </c:pt>
                      <c:pt idx="42" formatCode="General">
                        <c:v>-55.403762376237623</c:v>
                      </c:pt>
                      <c:pt idx="43" formatCode="General">
                        <c:v>-55.823564356435639</c:v>
                      </c:pt>
                      <c:pt idx="44" formatCode="General">
                        <c:v>-56.238019801980194</c:v>
                      </c:pt>
                      <c:pt idx="45" formatCode="General">
                        <c:v>-56.649900990099006</c:v>
                      </c:pt>
                      <c:pt idx="46" formatCode="General">
                        <c:v>-57.061782178217825</c:v>
                      </c:pt>
                      <c:pt idx="47" formatCode="General">
                        <c:v>-57.473663366336638</c:v>
                      </c:pt>
                      <c:pt idx="48" formatCode="General">
                        <c:v>-57.88554455445545</c:v>
                      </c:pt>
                      <c:pt idx="49" formatCode="General">
                        <c:v>-58.28659231722429</c:v>
                      </c:pt>
                      <c:pt idx="50" formatCode="General">
                        <c:v>-58.681140024783154</c:v>
                      </c:pt>
                      <c:pt idx="51" formatCode="General">
                        <c:v>-59.075687732342011</c:v>
                      </c:pt>
                      <c:pt idx="52" formatCode="General">
                        <c:v>-59.470235439900868</c:v>
                      </c:pt>
                      <c:pt idx="53" formatCode="General">
                        <c:v>-59.864783147459733</c:v>
                      </c:pt>
                      <c:pt idx="54" formatCode="General">
                        <c:v>-60.25933085501859</c:v>
                      </c:pt>
                      <c:pt idx="55" formatCode="General">
                        <c:v>-60.653878562577447</c:v>
                      </c:pt>
                      <c:pt idx="56" formatCode="General">
                        <c:v>-61.048426270136311</c:v>
                      </c:pt>
                      <c:pt idx="57" formatCode="General">
                        <c:v>-61.442973977695168</c:v>
                      </c:pt>
                      <c:pt idx="58" formatCode="General">
                        <c:v>-61.837521685254032</c:v>
                      </c:pt>
                      <c:pt idx="59" formatCode="General">
                        <c:v>-62.217970297029701</c:v>
                      </c:pt>
                      <c:pt idx="60" formatCode="General">
                        <c:v>-62.586287128712868</c:v>
                      </c:pt>
                      <c:pt idx="61" formatCode="General">
                        <c:v>-62.954603960396042</c:v>
                      </c:pt>
                      <c:pt idx="62" formatCode="General">
                        <c:v>-63.322920792079209</c:v>
                      </c:pt>
                      <c:pt idx="63" formatCode="General">
                        <c:v>-63.691237623762376</c:v>
                      </c:pt>
                      <c:pt idx="64" formatCode="General">
                        <c:v>-64.059554455445536</c:v>
                      </c:pt>
                      <c:pt idx="65" formatCode="General">
                        <c:v>-64.42787128712871</c:v>
                      </c:pt>
                      <c:pt idx="66" formatCode="General">
                        <c:v>-64.796188118811884</c:v>
                      </c:pt>
                      <c:pt idx="67" formatCode="General">
                        <c:v>-65.164504950495044</c:v>
                      </c:pt>
                      <c:pt idx="68" formatCode="General">
                        <c:v>-65.532821782178218</c:v>
                      </c:pt>
                      <c:pt idx="69" formatCode="General">
                        <c:v>-65.887026022304823</c:v>
                      </c:pt>
                      <c:pt idx="70" formatCode="General">
                        <c:v>-66.223085501858733</c:v>
                      </c:pt>
                      <c:pt idx="71" formatCode="General">
                        <c:v>-66.559144981412629</c:v>
                      </c:pt>
                      <c:pt idx="72" formatCode="General">
                        <c:v>-66.895204460966539</c:v>
                      </c:pt>
                      <c:pt idx="73" formatCode="General">
                        <c:v>-67.231263940520435</c:v>
                      </c:pt>
                      <c:pt idx="74" formatCode="General">
                        <c:v>-67.567323420074345</c:v>
                      </c:pt>
                      <c:pt idx="75" formatCode="General">
                        <c:v>-67.903382899628241</c:v>
                      </c:pt>
                      <c:pt idx="76" formatCode="General">
                        <c:v>-68.239442379182151</c:v>
                      </c:pt>
                      <c:pt idx="77" formatCode="General">
                        <c:v>-68.575501858736047</c:v>
                      </c:pt>
                      <c:pt idx="78" formatCode="General">
                        <c:v>-68.911561338289957</c:v>
                      </c:pt>
                      <c:pt idx="79" formatCode="General">
                        <c:v>-69.236039603960393</c:v>
                      </c:pt>
                      <c:pt idx="80" formatCode="General">
                        <c:v>-69.539009900990095</c:v>
                      </c:pt>
                      <c:pt idx="81" formatCode="General">
                        <c:v>-69.841980198019797</c:v>
                      </c:pt>
                      <c:pt idx="82" formatCode="General">
                        <c:v>-70.1449504950495</c:v>
                      </c:pt>
                      <c:pt idx="83" formatCode="General">
                        <c:v>-70.447920792079202</c:v>
                      </c:pt>
                      <c:pt idx="84" formatCode="General">
                        <c:v>-70.750891089108904</c:v>
                      </c:pt>
                      <c:pt idx="85" formatCode="General">
                        <c:v>-71.053861386138607</c:v>
                      </c:pt>
                      <c:pt idx="86" formatCode="General">
                        <c:v>-71.356831683168309</c:v>
                      </c:pt>
                      <c:pt idx="87" formatCode="General">
                        <c:v>-71.659801980198012</c:v>
                      </c:pt>
                      <c:pt idx="88" formatCode="General">
                        <c:v>-71.962772277227714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64F-4D49-897C-571A8CD55ADD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64F-4D49-897C-571A8CD55ADD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-107.9441584158416</c:v>
                      </c:pt>
                      <c:pt idx="1">
                        <c:v>-105.48747524752477</c:v>
                      </c:pt>
                      <c:pt idx="2">
                        <c:v>-103.20232673267327</c:v>
                      </c:pt>
                      <c:pt idx="3">
                        <c:v>-100.93970297029703</c:v>
                      </c:pt>
                      <c:pt idx="4" formatCode="General">
                        <c:v>-99.014950495049504</c:v>
                      </c:pt>
                      <c:pt idx="5" formatCode="General">
                        <c:v>-97.090198019801974</c:v>
                      </c:pt>
                      <c:pt idx="6" formatCode="General">
                        <c:v>-95.322970297029684</c:v>
                      </c:pt>
                      <c:pt idx="7" formatCode="General">
                        <c:v>-93.691287128712858</c:v>
                      </c:pt>
                      <c:pt idx="8" formatCode="General">
                        <c:v>-92.06227722772276</c:v>
                      </c:pt>
                      <c:pt idx="9" formatCode="General">
                        <c:v>-90.644455445544551</c:v>
                      </c:pt>
                      <c:pt idx="10" formatCode="General">
                        <c:v>-89.226633663366343</c:v>
                      </c:pt>
                      <c:pt idx="11" formatCode="General">
                        <c:v>-87.89183168316832</c:v>
                      </c:pt>
                      <c:pt idx="12" formatCode="General">
                        <c:v>-86.644306930693062</c:v>
                      </c:pt>
                      <c:pt idx="13" formatCode="General">
                        <c:v>-85.396782178217819</c:v>
                      </c:pt>
                      <c:pt idx="14" formatCode="General">
                        <c:v>-84.282673267326729</c:v>
                      </c:pt>
                      <c:pt idx="15" formatCode="General">
                        <c:v>-83.173762376237633</c:v>
                      </c:pt>
                      <c:pt idx="16" formatCode="General">
                        <c:v>-82.108168316831694</c:v>
                      </c:pt>
                      <c:pt idx="17" formatCode="General">
                        <c:v>-81.098267326732682</c:v>
                      </c:pt>
                      <c:pt idx="18" formatCode="General">
                        <c:v>-80.088366336633669</c:v>
                      </c:pt>
                      <c:pt idx="19" formatCode="General">
                        <c:v>-79.179653465346533</c:v>
                      </c:pt>
                      <c:pt idx="20" formatCode="General">
                        <c:v>-78.280643564356438</c:v>
                      </c:pt>
                      <c:pt idx="21" formatCode="General">
                        <c:v>-77.410792079207923</c:v>
                      </c:pt>
                      <c:pt idx="22" formatCode="General">
                        <c:v>-76.587029702970298</c:v>
                      </c:pt>
                      <c:pt idx="23" formatCode="General">
                        <c:v>-75.763267326732688</c:v>
                      </c:pt>
                      <c:pt idx="24" formatCode="General">
                        <c:v>-75.025223880597025</c:v>
                      </c:pt>
                      <c:pt idx="25" formatCode="General">
                        <c:v>-74.300845771144282</c:v>
                      </c:pt>
                      <c:pt idx="26" formatCode="General">
                        <c:v>-73.666435643564355</c:v>
                      </c:pt>
                      <c:pt idx="27" formatCode="General">
                        <c:v>-73.199108910891084</c:v>
                      </c:pt>
                      <c:pt idx="28" formatCode="General">
                        <c:v>-72.731782178217827</c:v>
                      </c:pt>
                      <c:pt idx="29" formatCode="General">
                        <c:v>-72.973465346534653</c:v>
                      </c:pt>
                      <c:pt idx="30" formatCode="General">
                        <c:v>-73.365544554455454</c:v>
                      </c:pt>
                      <c:pt idx="31" formatCode="General">
                        <c:v>-73.806336633663364</c:v>
                      </c:pt>
                      <c:pt idx="32" formatCode="General">
                        <c:v>-74.360792079207911</c:v>
                      </c:pt>
                      <c:pt idx="33" formatCode="General">
                        <c:v>-74.915247524752473</c:v>
                      </c:pt>
                      <c:pt idx="34" formatCode="General">
                        <c:v>-75.46356435643564</c:v>
                      </c:pt>
                      <c:pt idx="35" formatCode="General">
                        <c:v>-76.010099009900983</c:v>
                      </c:pt>
                      <c:pt idx="36" formatCode="General">
                        <c:v>-76.557623762376238</c:v>
                      </c:pt>
                      <c:pt idx="37" formatCode="General">
                        <c:v>-77.108118811881184</c:v>
                      </c:pt>
                      <c:pt idx="38" formatCode="General">
                        <c:v>-77.658613861386144</c:v>
                      </c:pt>
                      <c:pt idx="39" formatCode="General">
                        <c:v>-78.206237623762377</c:v>
                      </c:pt>
                      <c:pt idx="40" formatCode="General">
                        <c:v>-78.75277227722772</c:v>
                      </c:pt>
                      <c:pt idx="41" formatCode="General">
                        <c:v>-79.296930693069299</c:v>
                      </c:pt>
                      <c:pt idx="42" formatCode="General">
                        <c:v>-79.831584158415836</c:v>
                      </c:pt>
                      <c:pt idx="43" formatCode="General">
                        <c:v>-80.366237623762373</c:v>
                      </c:pt>
                      <c:pt idx="44" formatCode="General">
                        <c:v>-80.895544554455441</c:v>
                      </c:pt>
                      <c:pt idx="45" formatCode="General">
                        <c:v>-81.422277227722773</c:v>
                      </c:pt>
                      <c:pt idx="46" formatCode="General">
                        <c:v>-81.949009900990106</c:v>
                      </c:pt>
                      <c:pt idx="47" formatCode="General">
                        <c:v>-82.475742574257424</c:v>
                      </c:pt>
                      <c:pt idx="48" formatCode="General">
                        <c:v>-83.002475247524757</c:v>
                      </c:pt>
                      <c:pt idx="49" formatCode="General">
                        <c:v>-83.515985130111531</c:v>
                      </c:pt>
                      <c:pt idx="50" formatCode="General">
                        <c:v>-84.02156133828997</c:v>
                      </c:pt>
                      <c:pt idx="51" formatCode="General">
                        <c:v>-84.52713754646841</c:v>
                      </c:pt>
                      <c:pt idx="52" formatCode="General">
                        <c:v>-85.032713754646849</c:v>
                      </c:pt>
                      <c:pt idx="53" formatCode="General">
                        <c:v>-85.538289962825289</c:v>
                      </c:pt>
                      <c:pt idx="54" formatCode="General">
                        <c:v>-86.043866171003728</c:v>
                      </c:pt>
                      <c:pt idx="55" formatCode="General">
                        <c:v>-86.549442379182167</c:v>
                      </c:pt>
                      <c:pt idx="56" formatCode="General">
                        <c:v>-87.055018587360607</c:v>
                      </c:pt>
                      <c:pt idx="57" formatCode="General">
                        <c:v>-87.560594795539046</c:v>
                      </c:pt>
                      <c:pt idx="58" formatCode="General">
                        <c:v>-88.066171003717486</c:v>
                      </c:pt>
                      <c:pt idx="59" formatCode="General">
                        <c:v>-88.555977722772283</c:v>
                      </c:pt>
                      <c:pt idx="60" formatCode="General">
                        <c:v>-89.032215346534656</c:v>
                      </c:pt>
                      <c:pt idx="61" formatCode="General">
                        <c:v>-89.508452970297043</c:v>
                      </c:pt>
                      <c:pt idx="62" formatCode="General">
                        <c:v>-89.984690594059416</c:v>
                      </c:pt>
                      <c:pt idx="63" formatCode="General">
                        <c:v>-90.460928217821788</c:v>
                      </c:pt>
                      <c:pt idx="64" formatCode="General">
                        <c:v>-90.937165841584161</c:v>
                      </c:pt>
                      <c:pt idx="65" formatCode="General">
                        <c:v>-91.413403465346533</c:v>
                      </c:pt>
                      <c:pt idx="66" formatCode="General">
                        <c:v>-91.889641089108906</c:v>
                      </c:pt>
                      <c:pt idx="67" formatCode="General">
                        <c:v>-92.365878712871293</c:v>
                      </c:pt>
                      <c:pt idx="68" formatCode="General">
                        <c:v>-92.842116336633666</c:v>
                      </c:pt>
                      <c:pt idx="69" formatCode="General">
                        <c:v>-93.302131350681535</c:v>
                      </c:pt>
                      <c:pt idx="70" formatCode="General">
                        <c:v>-93.741288723667907</c:v>
                      </c:pt>
                      <c:pt idx="71" formatCode="General">
                        <c:v>-94.180446096654279</c:v>
                      </c:pt>
                      <c:pt idx="72" formatCode="General">
                        <c:v>-94.619603469640637</c:v>
                      </c:pt>
                      <c:pt idx="73" formatCode="General">
                        <c:v>-95.058760842627009</c:v>
                      </c:pt>
                      <c:pt idx="74" formatCode="General">
                        <c:v>-95.497918215613382</c:v>
                      </c:pt>
                      <c:pt idx="75" formatCode="General">
                        <c:v>-95.93707558859974</c:v>
                      </c:pt>
                      <c:pt idx="76" formatCode="General">
                        <c:v>-96.376232961586112</c:v>
                      </c:pt>
                      <c:pt idx="77" formatCode="General">
                        <c:v>-96.815390334572484</c:v>
                      </c:pt>
                      <c:pt idx="78" formatCode="General">
                        <c:v>-97.254547707558856</c:v>
                      </c:pt>
                      <c:pt idx="79" formatCode="General">
                        <c:v>-97.681039603960386</c:v>
                      </c:pt>
                      <c:pt idx="80" formatCode="General">
                        <c:v>-98.084009900990097</c:v>
                      </c:pt>
                      <c:pt idx="81" formatCode="General">
                        <c:v>-98.486980198019793</c:v>
                      </c:pt>
                      <c:pt idx="82" formatCode="General">
                        <c:v>-98.889950495049504</c:v>
                      </c:pt>
                      <c:pt idx="83" formatCode="General">
                        <c:v>-99.292920792079201</c:v>
                      </c:pt>
                      <c:pt idx="84" formatCode="General">
                        <c:v>-99.695891089108912</c:v>
                      </c:pt>
                      <c:pt idx="85" formatCode="General">
                        <c:v>-100.09886138613862</c:v>
                      </c:pt>
                      <c:pt idx="86" formatCode="General">
                        <c:v>-100.50183168316832</c:v>
                      </c:pt>
                      <c:pt idx="87" formatCode="General">
                        <c:v>-100.90480198019803</c:v>
                      </c:pt>
                      <c:pt idx="88" formatCode="General">
                        <c:v>-101.30777227722774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64F-4D49-897C-571A8CD55ADD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-193.34064356435644</c:v>
                      </c:pt>
                      <c:pt idx="1">
                        <c:v>-188.81108910891089</c:v>
                      </c:pt>
                      <c:pt idx="2">
                        <c:v>-184.55762376237624</c:v>
                      </c:pt>
                      <c:pt idx="3">
                        <c:v>-180.33806930693069</c:v>
                      </c:pt>
                      <c:pt idx="4" formatCode="General">
                        <c:v>-176.62717821782178</c:v>
                      </c:pt>
                      <c:pt idx="5" formatCode="General">
                        <c:v>-172.91628712871287</c:v>
                      </c:pt>
                      <c:pt idx="6" formatCode="General">
                        <c:v>-169.44594059405938</c:v>
                      </c:pt>
                      <c:pt idx="7" formatCode="General">
                        <c:v>-166.18257425742573</c:v>
                      </c:pt>
                      <c:pt idx="8" formatCode="General">
                        <c:v>-162.9236633663366</c:v>
                      </c:pt>
                      <c:pt idx="9" formatCode="General">
                        <c:v>-160.01673267326731</c:v>
                      </c:pt>
                      <c:pt idx="10" formatCode="General">
                        <c:v>-157.10980198019803</c:v>
                      </c:pt>
                      <c:pt idx="11" formatCode="General">
                        <c:v>-154.35539603960396</c:v>
                      </c:pt>
                      <c:pt idx="12" formatCode="General">
                        <c:v>-151.76133663366338</c:v>
                      </c:pt>
                      <c:pt idx="13" formatCode="General">
                        <c:v>-149.16727722772276</c:v>
                      </c:pt>
                      <c:pt idx="14" formatCode="General">
                        <c:v>-146.83623762376237</c:v>
                      </c:pt>
                      <c:pt idx="15" formatCode="General">
                        <c:v>-144.51544554455447</c:v>
                      </c:pt>
                      <c:pt idx="16" formatCode="General">
                        <c:v>-142.28821782178218</c:v>
                      </c:pt>
                      <c:pt idx="17" formatCode="General">
                        <c:v>-140.18128712871285</c:v>
                      </c:pt>
                      <c:pt idx="18" formatCode="General">
                        <c:v>-138.07435643564355</c:v>
                      </c:pt>
                      <c:pt idx="19" formatCode="General">
                        <c:v>-136.18064356435644</c:v>
                      </c:pt>
                      <c:pt idx="20" formatCode="General">
                        <c:v>-134.30737623762377</c:v>
                      </c:pt>
                      <c:pt idx="21" formatCode="General">
                        <c:v>-132.49549504950497</c:v>
                      </c:pt>
                      <c:pt idx="22" formatCode="General">
                        <c:v>-130.78064356435644</c:v>
                      </c:pt>
                      <c:pt idx="23" formatCode="General">
                        <c:v>-129.06579207920791</c:v>
                      </c:pt>
                      <c:pt idx="24" formatCode="General">
                        <c:v>-127.51179104477612</c:v>
                      </c:pt>
                      <c:pt idx="25" formatCode="General">
                        <c:v>-125.98343283582089</c:v>
                      </c:pt>
                      <c:pt idx="26" formatCode="General">
                        <c:v>-124.63792079207921</c:v>
                      </c:pt>
                      <c:pt idx="27" formatCode="General">
                        <c:v>-123.63198019801982</c:v>
                      </c:pt>
                      <c:pt idx="28" formatCode="General">
                        <c:v>-122.62603960396041</c:v>
                      </c:pt>
                      <c:pt idx="29" formatCode="General">
                        <c:v>-123.0152475247525</c:v>
                      </c:pt>
                      <c:pt idx="30" formatCode="General">
                        <c:v>-123.70039603960397</c:v>
                      </c:pt>
                      <c:pt idx="31" formatCode="General">
                        <c:v>-124.4770297029703</c:v>
                      </c:pt>
                      <c:pt idx="32" formatCode="General">
                        <c:v>-125.46712871287129</c:v>
                      </c:pt>
                      <c:pt idx="33" formatCode="General">
                        <c:v>-126.45722772277226</c:v>
                      </c:pt>
                      <c:pt idx="34" formatCode="General">
                        <c:v>-127.43811881188118</c:v>
                      </c:pt>
                      <c:pt idx="35" formatCode="General">
                        <c:v>-128.41633663366338</c:v>
                      </c:pt>
                      <c:pt idx="36" formatCode="General">
                        <c:v>-129.39554455445545</c:v>
                      </c:pt>
                      <c:pt idx="37" formatCode="General">
                        <c:v>-130.37772277227722</c:v>
                      </c:pt>
                      <c:pt idx="38" formatCode="General">
                        <c:v>-131.35990099009899</c:v>
                      </c:pt>
                      <c:pt idx="39" formatCode="General">
                        <c:v>-132.33633663366336</c:v>
                      </c:pt>
                      <c:pt idx="40" formatCode="General">
                        <c:v>-133.31059405940593</c:v>
                      </c:pt>
                      <c:pt idx="41" formatCode="General">
                        <c:v>-134.28089108910891</c:v>
                      </c:pt>
                      <c:pt idx="42" formatCode="General">
                        <c:v>-135.23534653465347</c:v>
                      </c:pt>
                      <c:pt idx="43" formatCode="General">
                        <c:v>-136.18980198019801</c:v>
                      </c:pt>
                      <c:pt idx="44" formatCode="General">
                        <c:v>-137.13356435643564</c:v>
                      </c:pt>
                      <c:pt idx="45" formatCode="General">
                        <c:v>-138.0721782178218</c:v>
                      </c:pt>
                      <c:pt idx="46" formatCode="General">
                        <c:v>-139.01079207920793</c:v>
                      </c:pt>
                      <c:pt idx="47" formatCode="General">
                        <c:v>-139.94940594059406</c:v>
                      </c:pt>
                      <c:pt idx="48" formatCode="General">
                        <c:v>-140.88801980198022</c:v>
                      </c:pt>
                      <c:pt idx="49" formatCode="General">
                        <c:v>-141.80257744733581</c:v>
                      </c:pt>
                      <c:pt idx="50" formatCode="General">
                        <c:v>-142.70270136307312</c:v>
                      </c:pt>
                      <c:pt idx="51" formatCode="General">
                        <c:v>-143.6028252788104</c:v>
                      </c:pt>
                      <c:pt idx="52" formatCode="General">
                        <c:v>-144.50294919454771</c:v>
                      </c:pt>
                      <c:pt idx="53" formatCode="General">
                        <c:v>-145.40307311028499</c:v>
                      </c:pt>
                      <c:pt idx="54" formatCode="General">
                        <c:v>-146.3031970260223</c:v>
                      </c:pt>
                      <c:pt idx="55" formatCode="General">
                        <c:v>-147.20332094175959</c:v>
                      </c:pt>
                      <c:pt idx="56" formatCode="General">
                        <c:v>-148.1034448574969</c:v>
                      </c:pt>
                      <c:pt idx="57" formatCode="General">
                        <c:v>-149.00356877323418</c:v>
                      </c:pt>
                      <c:pt idx="58" formatCode="General">
                        <c:v>-149.90369268897149</c:v>
                      </c:pt>
                      <c:pt idx="59" formatCode="General">
                        <c:v>-150.77394801980196</c:v>
                      </c:pt>
                      <c:pt idx="60" formatCode="General">
                        <c:v>-151.61850247524751</c:v>
                      </c:pt>
                      <c:pt idx="61" formatCode="General">
                        <c:v>-152.46305693069306</c:v>
                      </c:pt>
                      <c:pt idx="62" formatCode="General">
                        <c:v>-153.3076113861386</c:v>
                      </c:pt>
                      <c:pt idx="63" formatCode="General">
                        <c:v>-154.15216584158415</c:v>
                      </c:pt>
                      <c:pt idx="64" formatCode="General">
                        <c:v>-154.9967202970297</c:v>
                      </c:pt>
                      <c:pt idx="65" formatCode="General">
                        <c:v>-155.84127475247524</c:v>
                      </c:pt>
                      <c:pt idx="66" formatCode="General">
                        <c:v>-156.68582920792079</c:v>
                      </c:pt>
                      <c:pt idx="67" formatCode="General">
                        <c:v>-157.53038366336634</c:v>
                      </c:pt>
                      <c:pt idx="68" formatCode="General">
                        <c:v>-158.37493811881188</c:v>
                      </c:pt>
                      <c:pt idx="69" formatCode="General">
                        <c:v>-159.18915737298636</c:v>
                      </c:pt>
                      <c:pt idx="70" formatCode="General">
                        <c:v>-159.96437422552663</c:v>
                      </c:pt>
                      <c:pt idx="71" formatCode="General">
                        <c:v>-160.73959107806692</c:v>
                      </c:pt>
                      <c:pt idx="72" formatCode="General">
                        <c:v>-161.51480793060719</c:v>
                      </c:pt>
                      <c:pt idx="73" formatCode="General">
                        <c:v>-162.29002478314746</c:v>
                      </c:pt>
                      <c:pt idx="74" formatCode="General">
                        <c:v>-163.06524163568773</c:v>
                      </c:pt>
                      <c:pt idx="75" formatCode="General">
                        <c:v>-163.84045848822802</c:v>
                      </c:pt>
                      <c:pt idx="76" formatCode="General">
                        <c:v>-164.61567534076829</c:v>
                      </c:pt>
                      <c:pt idx="77" formatCode="General">
                        <c:v>-165.39089219330856</c:v>
                      </c:pt>
                      <c:pt idx="78" formatCode="General">
                        <c:v>-166.16610904584883</c:v>
                      </c:pt>
                      <c:pt idx="79" formatCode="General">
                        <c:v>-166.91707920792081</c:v>
                      </c:pt>
                      <c:pt idx="80" formatCode="General">
                        <c:v>-167.62301980198021</c:v>
                      </c:pt>
                      <c:pt idx="81" formatCode="General">
                        <c:v>-168.32896039603961</c:v>
                      </c:pt>
                      <c:pt idx="82" formatCode="General">
                        <c:v>-169.03490099009903</c:v>
                      </c:pt>
                      <c:pt idx="83" formatCode="General">
                        <c:v>-169.74084158415843</c:v>
                      </c:pt>
                      <c:pt idx="84" formatCode="General">
                        <c:v>-170.44678217821783</c:v>
                      </c:pt>
                      <c:pt idx="85" formatCode="General">
                        <c:v>-171.15272277227723</c:v>
                      </c:pt>
                      <c:pt idx="86" formatCode="General">
                        <c:v>-171.85866336633666</c:v>
                      </c:pt>
                      <c:pt idx="87" formatCode="General">
                        <c:v>-172.56460396039606</c:v>
                      </c:pt>
                      <c:pt idx="88" formatCode="General">
                        <c:v>-173.27054455445545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64F-4D49-897C-571A8CD55ADD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64F-4D49-897C-571A8CD55ADD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-107.9441584158416</c:v>
                      </c:pt>
                      <c:pt idx="1">
                        <c:v>-105.48747524752477</c:v>
                      </c:pt>
                      <c:pt idx="2">
                        <c:v>-103.20232673267327</c:v>
                      </c:pt>
                      <c:pt idx="3">
                        <c:v>-100.93970297029703</c:v>
                      </c:pt>
                      <c:pt idx="4" formatCode="General">
                        <c:v>-99.014950495049504</c:v>
                      </c:pt>
                      <c:pt idx="5" formatCode="General">
                        <c:v>-97.090198019801974</c:v>
                      </c:pt>
                      <c:pt idx="6" formatCode="General">
                        <c:v>-95.322970297029684</c:v>
                      </c:pt>
                      <c:pt idx="7" formatCode="General">
                        <c:v>-93.691287128712858</c:v>
                      </c:pt>
                      <c:pt idx="8" formatCode="General">
                        <c:v>-92.06227722772276</c:v>
                      </c:pt>
                      <c:pt idx="9" formatCode="General">
                        <c:v>-90.644455445544551</c:v>
                      </c:pt>
                      <c:pt idx="10" formatCode="General">
                        <c:v>-89.226633663366343</c:v>
                      </c:pt>
                      <c:pt idx="11" formatCode="General">
                        <c:v>-87.89183168316832</c:v>
                      </c:pt>
                      <c:pt idx="12" formatCode="General">
                        <c:v>-86.644306930693062</c:v>
                      </c:pt>
                      <c:pt idx="13" formatCode="General">
                        <c:v>-85.396782178217819</c:v>
                      </c:pt>
                      <c:pt idx="14" formatCode="General">
                        <c:v>-84.282673267326729</c:v>
                      </c:pt>
                      <c:pt idx="15" formatCode="General">
                        <c:v>-83.173762376237633</c:v>
                      </c:pt>
                      <c:pt idx="16" formatCode="General">
                        <c:v>-82.108168316831694</c:v>
                      </c:pt>
                      <c:pt idx="17" formatCode="General">
                        <c:v>-81.098267326732682</c:v>
                      </c:pt>
                      <c:pt idx="18" formatCode="General">
                        <c:v>-80.088366336633669</c:v>
                      </c:pt>
                      <c:pt idx="19" formatCode="General">
                        <c:v>-79.179653465346533</c:v>
                      </c:pt>
                      <c:pt idx="20" formatCode="General">
                        <c:v>-78.280643564356438</c:v>
                      </c:pt>
                      <c:pt idx="21" formatCode="General">
                        <c:v>-77.410792079207923</c:v>
                      </c:pt>
                      <c:pt idx="22" formatCode="General">
                        <c:v>-76.587029702970298</c:v>
                      </c:pt>
                      <c:pt idx="23" formatCode="General">
                        <c:v>-75.763267326732688</c:v>
                      </c:pt>
                      <c:pt idx="24" formatCode="General">
                        <c:v>-75.025223880597025</c:v>
                      </c:pt>
                      <c:pt idx="25" formatCode="General">
                        <c:v>-74.300845771144282</c:v>
                      </c:pt>
                      <c:pt idx="26" formatCode="General">
                        <c:v>-73.666435643564355</c:v>
                      </c:pt>
                      <c:pt idx="27" formatCode="General">
                        <c:v>-73.199108910891084</c:v>
                      </c:pt>
                      <c:pt idx="28" formatCode="General">
                        <c:v>-72.731782178217827</c:v>
                      </c:pt>
                      <c:pt idx="29" formatCode="General">
                        <c:v>-72.973465346534653</c:v>
                      </c:pt>
                      <c:pt idx="30" formatCode="General">
                        <c:v>-73.365544554455454</c:v>
                      </c:pt>
                      <c:pt idx="31" formatCode="General">
                        <c:v>-73.806336633663364</c:v>
                      </c:pt>
                      <c:pt idx="32" formatCode="General">
                        <c:v>-74.360792079207911</c:v>
                      </c:pt>
                      <c:pt idx="33" formatCode="General">
                        <c:v>-74.915247524752473</c:v>
                      </c:pt>
                      <c:pt idx="34" formatCode="General">
                        <c:v>-75.46356435643564</c:v>
                      </c:pt>
                      <c:pt idx="35" formatCode="General">
                        <c:v>-76.010099009900983</c:v>
                      </c:pt>
                      <c:pt idx="36" formatCode="General">
                        <c:v>-76.557623762376238</c:v>
                      </c:pt>
                      <c:pt idx="37" formatCode="General">
                        <c:v>-77.108118811881184</c:v>
                      </c:pt>
                      <c:pt idx="38" formatCode="General">
                        <c:v>-77.658613861386144</c:v>
                      </c:pt>
                      <c:pt idx="39" formatCode="General">
                        <c:v>-78.206237623762377</c:v>
                      </c:pt>
                      <c:pt idx="40" formatCode="General">
                        <c:v>-78.75277227722772</c:v>
                      </c:pt>
                      <c:pt idx="41" formatCode="General">
                        <c:v>-79.296930693069299</c:v>
                      </c:pt>
                      <c:pt idx="42" formatCode="General">
                        <c:v>-79.831584158415836</c:v>
                      </c:pt>
                      <c:pt idx="43" formatCode="General">
                        <c:v>-80.366237623762373</c:v>
                      </c:pt>
                      <c:pt idx="44" formatCode="General">
                        <c:v>-80.895544554455441</c:v>
                      </c:pt>
                      <c:pt idx="45" formatCode="General">
                        <c:v>-81.422277227722773</c:v>
                      </c:pt>
                      <c:pt idx="46" formatCode="General">
                        <c:v>-81.949009900990106</c:v>
                      </c:pt>
                      <c:pt idx="47" formatCode="General">
                        <c:v>-82.475742574257424</c:v>
                      </c:pt>
                      <c:pt idx="48" formatCode="General">
                        <c:v>-83.002475247524757</c:v>
                      </c:pt>
                      <c:pt idx="49" formatCode="General">
                        <c:v>-83.515985130111531</c:v>
                      </c:pt>
                      <c:pt idx="50" formatCode="General">
                        <c:v>-84.02156133828997</c:v>
                      </c:pt>
                      <c:pt idx="51" formatCode="General">
                        <c:v>-84.52713754646841</c:v>
                      </c:pt>
                      <c:pt idx="52" formatCode="General">
                        <c:v>-85.032713754646849</c:v>
                      </c:pt>
                      <c:pt idx="53" formatCode="General">
                        <c:v>-85.538289962825289</c:v>
                      </c:pt>
                      <c:pt idx="54" formatCode="General">
                        <c:v>-86.043866171003728</c:v>
                      </c:pt>
                      <c:pt idx="55" formatCode="General">
                        <c:v>-86.549442379182167</c:v>
                      </c:pt>
                      <c:pt idx="56" formatCode="General">
                        <c:v>-87.055018587360607</c:v>
                      </c:pt>
                      <c:pt idx="57" formatCode="General">
                        <c:v>-87.560594795539046</c:v>
                      </c:pt>
                      <c:pt idx="58" formatCode="General">
                        <c:v>-88.066171003717486</c:v>
                      </c:pt>
                      <c:pt idx="59" formatCode="General">
                        <c:v>-88.555977722772283</c:v>
                      </c:pt>
                      <c:pt idx="60" formatCode="General">
                        <c:v>-89.032215346534656</c:v>
                      </c:pt>
                      <c:pt idx="61" formatCode="General">
                        <c:v>-89.508452970297043</c:v>
                      </c:pt>
                      <c:pt idx="62" formatCode="General">
                        <c:v>-89.984690594059416</c:v>
                      </c:pt>
                      <c:pt idx="63" formatCode="General">
                        <c:v>-90.460928217821788</c:v>
                      </c:pt>
                      <c:pt idx="64" formatCode="General">
                        <c:v>-90.937165841584161</c:v>
                      </c:pt>
                      <c:pt idx="65" formatCode="General">
                        <c:v>-91.413403465346533</c:v>
                      </c:pt>
                      <c:pt idx="66" formatCode="General">
                        <c:v>-91.889641089108906</c:v>
                      </c:pt>
                      <c:pt idx="67" formatCode="General">
                        <c:v>-92.365878712871293</c:v>
                      </c:pt>
                      <c:pt idx="68" formatCode="General">
                        <c:v>-92.842116336633666</c:v>
                      </c:pt>
                      <c:pt idx="69" formatCode="General">
                        <c:v>-93.302131350681535</c:v>
                      </c:pt>
                      <c:pt idx="70" formatCode="General">
                        <c:v>-93.741288723667907</c:v>
                      </c:pt>
                      <c:pt idx="71" formatCode="General">
                        <c:v>-94.180446096654279</c:v>
                      </c:pt>
                      <c:pt idx="72" formatCode="General">
                        <c:v>-94.619603469640637</c:v>
                      </c:pt>
                      <c:pt idx="73" formatCode="General">
                        <c:v>-95.058760842627009</c:v>
                      </c:pt>
                      <c:pt idx="74" formatCode="General">
                        <c:v>-95.497918215613382</c:v>
                      </c:pt>
                      <c:pt idx="75" formatCode="General">
                        <c:v>-95.93707558859974</c:v>
                      </c:pt>
                      <c:pt idx="76" formatCode="General">
                        <c:v>-96.376232961586112</c:v>
                      </c:pt>
                      <c:pt idx="77" formatCode="General">
                        <c:v>-96.815390334572484</c:v>
                      </c:pt>
                      <c:pt idx="78" formatCode="General">
                        <c:v>-97.254547707558856</c:v>
                      </c:pt>
                      <c:pt idx="79" formatCode="General">
                        <c:v>-97.681039603960386</c:v>
                      </c:pt>
                      <c:pt idx="80" formatCode="General">
                        <c:v>-98.084009900990097</c:v>
                      </c:pt>
                      <c:pt idx="81" formatCode="General">
                        <c:v>-98.486980198019793</c:v>
                      </c:pt>
                      <c:pt idx="82" formatCode="General">
                        <c:v>-98.889950495049504</c:v>
                      </c:pt>
                      <c:pt idx="83" formatCode="General">
                        <c:v>-99.292920792079201</c:v>
                      </c:pt>
                      <c:pt idx="84" formatCode="General">
                        <c:v>-99.695891089108912</c:v>
                      </c:pt>
                      <c:pt idx="85" formatCode="General">
                        <c:v>-100.09886138613862</c:v>
                      </c:pt>
                      <c:pt idx="86" formatCode="General">
                        <c:v>-100.50183168316832</c:v>
                      </c:pt>
                      <c:pt idx="87" formatCode="General">
                        <c:v>-100.90480198019803</c:v>
                      </c:pt>
                      <c:pt idx="88" formatCode="General">
                        <c:v>-101.30777227722774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64F-4D49-897C-571A8CD55ADD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-85.396485148514856</c:v>
                      </c:pt>
                      <c:pt idx="1">
                        <c:v>-83.32361386138615</c:v>
                      </c:pt>
                      <c:pt idx="2">
                        <c:v>-81.355297029702982</c:v>
                      </c:pt>
                      <c:pt idx="3">
                        <c:v>-79.398366336633671</c:v>
                      </c:pt>
                      <c:pt idx="4" formatCode="General">
                        <c:v>-77.612227722772275</c:v>
                      </c:pt>
                      <c:pt idx="5" formatCode="General">
                        <c:v>-75.826089108910892</c:v>
                      </c:pt>
                      <c:pt idx="6" formatCode="General">
                        <c:v>-74.122970297029696</c:v>
                      </c:pt>
                      <c:pt idx="7" formatCode="General">
                        <c:v>-72.49128712871287</c:v>
                      </c:pt>
                      <c:pt idx="8" formatCode="General">
                        <c:v>-70.861386138613852</c:v>
                      </c:pt>
                      <c:pt idx="9" formatCode="General">
                        <c:v>-69.372277227722776</c:v>
                      </c:pt>
                      <c:pt idx="10" formatCode="General">
                        <c:v>-67.883168316831686</c:v>
                      </c:pt>
                      <c:pt idx="11" formatCode="General">
                        <c:v>-66.463564356435654</c:v>
                      </c:pt>
                      <c:pt idx="12" formatCode="General">
                        <c:v>-65.117029702970299</c:v>
                      </c:pt>
                      <c:pt idx="13" formatCode="General">
                        <c:v>-63.770495049504952</c:v>
                      </c:pt>
                      <c:pt idx="14" formatCode="General">
                        <c:v>-62.553564356435643</c:v>
                      </c:pt>
                      <c:pt idx="15" formatCode="General">
                        <c:v>-61.341683168316834</c:v>
                      </c:pt>
                      <c:pt idx="16" formatCode="General">
                        <c:v>-60.180049504950496</c:v>
                      </c:pt>
                      <c:pt idx="17" formatCode="General">
                        <c:v>-59.0830198019802</c:v>
                      </c:pt>
                      <c:pt idx="18" formatCode="General">
                        <c:v>-57.985990099009896</c:v>
                      </c:pt>
                      <c:pt idx="19" formatCode="General">
                        <c:v>-57.000990099009904</c:v>
                      </c:pt>
                      <c:pt idx="20" formatCode="General">
                        <c:v>-56.026732673267333</c:v>
                      </c:pt>
                      <c:pt idx="21" formatCode="General">
                        <c:v>-55.08470297029703</c:v>
                      </c:pt>
                      <c:pt idx="22" formatCode="General">
                        <c:v>-54.19361386138614</c:v>
                      </c:pt>
                      <c:pt idx="23" formatCode="General">
                        <c:v>-53.30252475247525</c:v>
                      </c:pt>
                      <c:pt idx="24" formatCode="General">
                        <c:v>-52.486567164179107</c:v>
                      </c:pt>
                      <c:pt idx="25" formatCode="General">
                        <c:v>-51.682587064676611</c:v>
                      </c:pt>
                      <c:pt idx="26" formatCode="General">
                        <c:v>-50.971485148514844</c:v>
                      </c:pt>
                      <c:pt idx="27" formatCode="General">
                        <c:v>-50.432871287128705</c:v>
                      </c:pt>
                      <c:pt idx="28" formatCode="General">
                        <c:v>-49.894257425742573</c:v>
                      </c:pt>
                      <c:pt idx="29" formatCode="General">
                        <c:v>-50.041782178217822</c:v>
                      </c:pt>
                      <c:pt idx="30" formatCode="General">
                        <c:v>-50.334851485148519</c:v>
                      </c:pt>
                      <c:pt idx="31" formatCode="General">
                        <c:v>-50.670693069306935</c:v>
                      </c:pt>
                      <c:pt idx="32" formatCode="General">
                        <c:v>-51.106336633663368</c:v>
                      </c:pt>
                      <c:pt idx="33" formatCode="General">
                        <c:v>-51.541980198019807</c:v>
                      </c:pt>
                      <c:pt idx="34" formatCode="General">
                        <c:v>-51.974554455445549</c:v>
                      </c:pt>
                      <c:pt idx="35" formatCode="General">
                        <c:v>-52.406237623762379</c:v>
                      </c:pt>
                      <c:pt idx="36" formatCode="General">
                        <c:v>-52.83792079207921</c:v>
                      </c:pt>
                      <c:pt idx="37" formatCode="General">
                        <c:v>-53.26960396039604</c:v>
                      </c:pt>
                      <c:pt idx="38" formatCode="General">
                        <c:v>-53.701287128712863</c:v>
                      </c:pt>
                      <c:pt idx="39" formatCode="General">
                        <c:v>-54.130099009900981</c:v>
                      </c:pt>
                      <c:pt idx="40" formatCode="General">
                        <c:v>-54.557821782178216</c:v>
                      </c:pt>
                      <c:pt idx="41" formatCode="General">
                        <c:v>-54.983960396039606</c:v>
                      </c:pt>
                      <c:pt idx="42" formatCode="General">
                        <c:v>-55.403762376237623</c:v>
                      </c:pt>
                      <c:pt idx="43" formatCode="General">
                        <c:v>-55.823564356435639</c:v>
                      </c:pt>
                      <c:pt idx="44" formatCode="General">
                        <c:v>-56.238019801980194</c:v>
                      </c:pt>
                      <c:pt idx="45" formatCode="General">
                        <c:v>-56.649900990099006</c:v>
                      </c:pt>
                      <c:pt idx="46" formatCode="General">
                        <c:v>-57.061782178217825</c:v>
                      </c:pt>
                      <c:pt idx="47" formatCode="General">
                        <c:v>-57.473663366336638</c:v>
                      </c:pt>
                      <c:pt idx="48" formatCode="General">
                        <c:v>-57.88554455445545</c:v>
                      </c:pt>
                      <c:pt idx="49" formatCode="General">
                        <c:v>-58.28659231722429</c:v>
                      </c:pt>
                      <c:pt idx="50" formatCode="General">
                        <c:v>-58.681140024783154</c:v>
                      </c:pt>
                      <c:pt idx="51" formatCode="General">
                        <c:v>-59.075687732342011</c:v>
                      </c:pt>
                      <c:pt idx="52" formatCode="General">
                        <c:v>-59.470235439900868</c:v>
                      </c:pt>
                      <c:pt idx="53" formatCode="General">
                        <c:v>-59.864783147459733</c:v>
                      </c:pt>
                      <c:pt idx="54" formatCode="General">
                        <c:v>-60.25933085501859</c:v>
                      </c:pt>
                      <c:pt idx="55" formatCode="General">
                        <c:v>-60.653878562577447</c:v>
                      </c:pt>
                      <c:pt idx="56" formatCode="General">
                        <c:v>-61.048426270136311</c:v>
                      </c:pt>
                      <c:pt idx="57" formatCode="General">
                        <c:v>-61.442973977695168</c:v>
                      </c:pt>
                      <c:pt idx="58" formatCode="General">
                        <c:v>-61.837521685254032</c:v>
                      </c:pt>
                      <c:pt idx="59" formatCode="General">
                        <c:v>-62.217970297029701</c:v>
                      </c:pt>
                      <c:pt idx="60" formatCode="General">
                        <c:v>-62.586287128712868</c:v>
                      </c:pt>
                      <c:pt idx="61" formatCode="General">
                        <c:v>-62.954603960396042</c:v>
                      </c:pt>
                      <c:pt idx="62" formatCode="General">
                        <c:v>-63.322920792079209</c:v>
                      </c:pt>
                      <c:pt idx="63" formatCode="General">
                        <c:v>-63.691237623762376</c:v>
                      </c:pt>
                      <c:pt idx="64" formatCode="General">
                        <c:v>-64.059554455445536</c:v>
                      </c:pt>
                      <c:pt idx="65" formatCode="General">
                        <c:v>-64.42787128712871</c:v>
                      </c:pt>
                      <c:pt idx="66" formatCode="General">
                        <c:v>-64.796188118811884</c:v>
                      </c:pt>
                      <c:pt idx="67" formatCode="General">
                        <c:v>-65.164504950495044</c:v>
                      </c:pt>
                      <c:pt idx="68" formatCode="General">
                        <c:v>-65.532821782178218</c:v>
                      </c:pt>
                      <c:pt idx="69" formatCode="General">
                        <c:v>-65.887026022304823</c:v>
                      </c:pt>
                      <c:pt idx="70" formatCode="General">
                        <c:v>-66.223085501858733</c:v>
                      </c:pt>
                      <c:pt idx="71" formatCode="General">
                        <c:v>-66.559144981412629</c:v>
                      </c:pt>
                      <c:pt idx="72" formatCode="General">
                        <c:v>-66.895204460966539</c:v>
                      </c:pt>
                      <c:pt idx="73" formatCode="General">
                        <c:v>-67.231263940520435</c:v>
                      </c:pt>
                      <c:pt idx="74" formatCode="General">
                        <c:v>-67.567323420074345</c:v>
                      </c:pt>
                      <c:pt idx="75" formatCode="General">
                        <c:v>-67.903382899628241</c:v>
                      </c:pt>
                      <c:pt idx="76" formatCode="General">
                        <c:v>-68.239442379182151</c:v>
                      </c:pt>
                      <c:pt idx="77" formatCode="General">
                        <c:v>-68.575501858736047</c:v>
                      </c:pt>
                      <c:pt idx="78" formatCode="General">
                        <c:v>-68.911561338289957</c:v>
                      </c:pt>
                      <c:pt idx="79" formatCode="General">
                        <c:v>-69.236039603960393</c:v>
                      </c:pt>
                      <c:pt idx="80" formatCode="General">
                        <c:v>-69.539009900990095</c:v>
                      </c:pt>
                      <c:pt idx="81" formatCode="General">
                        <c:v>-69.841980198019797</c:v>
                      </c:pt>
                      <c:pt idx="82" formatCode="General">
                        <c:v>-70.1449504950495</c:v>
                      </c:pt>
                      <c:pt idx="83" formatCode="General">
                        <c:v>-70.447920792079202</c:v>
                      </c:pt>
                      <c:pt idx="84" formatCode="General">
                        <c:v>-70.750891089108904</c:v>
                      </c:pt>
                      <c:pt idx="85" formatCode="General">
                        <c:v>-71.053861386138607</c:v>
                      </c:pt>
                      <c:pt idx="86" formatCode="General">
                        <c:v>-71.356831683168309</c:v>
                      </c:pt>
                      <c:pt idx="87" formatCode="General">
                        <c:v>-71.659801980198012</c:v>
                      </c:pt>
                      <c:pt idx="88" formatCode="General">
                        <c:v>-71.962772277227714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64F-4D49-897C-571A8CD55ADD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64F-4D49-897C-571A8CD55ADD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64F-4D49-897C-571A8CD55ADD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64F-4D49-897C-571A8CD55AD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64F-4D49-897C-571A8CD55ADD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64F-4D49-897C-571A8CD55ADD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64F-4D49-897C-571A8CD55AD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64F-4D49-897C-571A8CD55AD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64F-4D49-897C-571A8CD55AD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64F-4D49-897C-571A8CD55AD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64F-4D49-897C-571A8CD55ADD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64F-4D49-897C-571A8CD55AD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64F-4D49-897C-571A8CD55AD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64F-4D49-897C-571A8CD55ADD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64F-4D49-897C-571A8CD55AD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64F-4D49-897C-571A8CD55ADD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80"/>
          <c:min val="-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GeSe2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887597466096567"/>
          <c:y val="9.7871135220072E-2"/>
          <c:w val="0.76019913337979017"/>
          <c:h val="0.78304241404704567"/>
        </c:manualLayout>
      </c:layout>
      <c:scatterChart>
        <c:scatterStyle val="smoothMarker"/>
        <c:varyColors val="0"/>
        <c:ser>
          <c:idx val="6"/>
          <c:order val="6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EVALUATION!$B$107:$CP$107</c:f>
              <c:numCache>
                <c:formatCode>0</c:formatCode>
                <c:ptCount val="93"/>
                <c:pt idx="0">
                  <c:v>-60.44361386138614</c:v>
                </c:pt>
                <c:pt idx="1">
                  <c:v>-59.186633663366337</c:v>
                </c:pt>
                <c:pt idx="2">
                  <c:v>-58.006435643564352</c:v>
                </c:pt>
                <c:pt idx="3">
                  <c:v>-56.836138613861387</c:v>
                </c:pt>
                <c:pt idx="4" formatCode="General">
                  <c:v>-55.814356435643568</c:v>
                </c:pt>
                <c:pt idx="5" formatCode="General">
                  <c:v>-54.792574257425748</c:v>
                </c:pt>
                <c:pt idx="6" formatCode="General">
                  <c:v>-53.985366336633668</c:v>
                </c:pt>
                <c:pt idx="7" formatCode="General">
                  <c:v>-53.362792079207928</c:v>
                </c:pt>
                <c:pt idx="8" formatCode="General">
                  <c:v>-52.744471534653471</c:v>
                </c:pt>
                <c:pt idx="9" formatCode="General">
                  <c:v>-52.462194306930698</c:v>
                </c:pt>
                <c:pt idx="10" formatCode="General">
                  <c:v>-52.179917079207925</c:v>
                </c:pt>
                <c:pt idx="11" formatCode="General">
                  <c:v>-51.897639851485152</c:v>
                </c:pt>
                <c:pt idx="12" formatCode="General">
                  <c:v>-51.61536262376238</c:v>
                </c:pt>
                <c:pt idx="13" formatCode="General">
                  <c:v>-51.333085396039607</c:v>
                </c:pt>
                <c:pt idx="14" formatCode="General">
                  <c:v>-51.050808168316834</c:v>
                </c:pt>
                <c:pt idx="15" formatCode="General">
                  <c:v>-50.768530940594061</c:v>
                </c:pt>
                <c:pt idx="16" formatCode="General">
                  <c:v>-50.486253712871289</c:v>
                </c:pt>
                <c:pt idx="17" formatCode="General">
                  <c:v>-50.203976485148516</c:v>
                </c:pt>
                <c:pt idx="18" formatCode="General">
                  <c:v>-49.921699257425743</c:v>
                </c:pt>
                <c:pt idx="19" formatCode="General">
                  <c:v>-49.742688118811877</c:v>
                </c:pt>
                <c:pt idx="20" formatCode="General">
                  <c:v>-49.573579207920787</c:v>
                </c:pt>
                <c:pt idx="21" formatCode="General">
                  <c:v>-49.413217821782176</c:v>
                </c:pt>
                <c:pt idx="22" formatCode="General">
                  <c:v>-49.266683168316831</c:v>
                </c:pt>
                <c:pt idx="23" formatCode="General">
                  <c:v>-49.120148514851479</c:v>
                </c:pt>
                <c:pt idx="24" formatCode="General">
                  <c:v>-48.995985074626866</c:v>
                </c:pt>
                <c:pt idx="25" formatCode="General">
                  <c:v>-48.875388059701493</c:v>
                </c:pt>
                <c:pt idx="26" formatCode="General">
                  <c:v>-48.775514851485148</c:v>
                </c:pt>
                <c:pt idx="27" formatCode="General">
                  <c:v>-48.714128712871286</c:v>
                </c:pt>
                <c:pt idx="28" formatCode="General">
                  <c:v>-48.652742574257424</c:v>
                </c:pt>
                <c:pt idx="29" formatCode="General">
                  <c:v>-48.853722772277223</c:v>
                </c:pt>
                <c:pt idx="30" formatCode="General">
                  <c:v>-49.11035643564356</c:v>
                </c:pt>
                <c:pt idx="31" formatCode="General">
                  <c:v>-49.369603960396041</c:v>
                </c:pt>
                <c:pt idx="32" formatCode="General">
                  <c:v>-49.634950495049509</c:v>
                </c:pt>
                <c:pt idx="33" formatCode="General">
                  <c:v>-49.900297029702969</c:v>
                </c:pt>
                <c:pt idx="34" formatCode="General">
                  <c:v>-50.159198019801984</c:v>
                </c:pt>
                <c:pt idx="35" formatCode="General">
                  <c:v>-50.416227722772277</c:v>
                </c:pt>
                <c:pt idx="36" formatCode="General">
                  <c:v>-50.673356435643569</c:v>
                </c:pt>
                <c:pt idx="37" formatCode="General">
                  <c:v>-50.930782178217825</c:v>
                </c:pt>
                <c:pt idx="38" formatCode="General">
                  <c:v>-51.188207920792081</c:v>
                </c:pt>
                <c:pt idx="39" formatCode="General">
                  <c:v>-51.441326732673268</c:v>
                </c:pt>
                <c:pt idx="40" formatCode="General">
                  <c:v>-51.692811881188121</c:v>
                </c:pt>
                <c:pt idx="41" formatCode="General">
                  <c:v>-51.944297029702966</c:v>
                </c:pt>
                <c:pt idx="42" formatCode="General">
                  <c:v>-52.195782178217819</c:v>
                </c:pt>
                <c:pt idx="43" formatCode="General">
                  <c:v>-52.447267326732671</c:v>
                </c:pt>
                <c:pt idx="44" formatCode="General">
                  <c:v>-52.698752475247524</c:v>
                </c:pt>
                <c:pt idx="45" formatCode="General">
                  <c:v>-52.950237623762376</c:v>
                </c:pt>
                <c:pt idx="46" formatCode="General">
                  <c:v>-53.201722772277229</c:v>
                </c:pt>
                <c:pt idx="47" formatCode="General">
                  <c:v>-53.453207920792082</c:v>
                </c:pt>
                <c:pt idx="48" formatCode="General">
                  <c:v>-53.704693069306927</c:v>
                </c:pt>
                <c:pt idx="49" formatCode="General">
                  <c:v>-53.949991325898388</c:v>
                </c:pt>
                <c:pt idx="50" formatCode="General">
                  <c:v>-54.19157744733581</c:v>
                </c:pt>
                <c:pt idx="51" formatCode="General">
                  <c:v>-54.433163568773232</c:v>
                </c:pt>
                <c:pt idx="52" formatCode="General">
                  <c:v>-54.674749690210653</c:v>
                </c:pt>
                <c:pt idx="53" formatCode="General">
                  <c:v>-54.916335811648075</c:v>
                </c:pt>
                <c:pt idx="54" formatCode="General">
                  <c:v>-55.157921933085497</c:v>
                </c:pt>
                <c:pt idx="55" formatCode="General">
                  <c:v>-55.399508054522919</c:v>
                </c:pt>
                <c:pt idx="56" formatCode="General">
                  <c:v>-55.64109417596034</c:v>
                </c:pt>
                <c:pt idx="57" formatCode="General">
                  <c:v>-55.882680297397769</c:v>
                </c:pt>
                <c:pt idx="58" formatCode="General">
                  <c:v>-56.124266418835191</c:v>
                </c:pt>
                <c:pt idx="59" formatCode="General">
                  <c:v>-56.362179455445542</c:v>
                </c:pt>
                <c:pt idx="60" formatCode="General">
                  <c:v>-56.596931930693067</c:v>
                </c:pt>
                <c:pt idx="61" formatCode="General">
                  <c:v>-56.831684405940592</c:v>
                </c:pt>
                <c:pt idx="62" formatCode="General">
                  <c:v>-57.066436881188118</c:v>
                </c:pt>
                <c:pt idx="63" formatCode="General">
                  <c:v>-57.301189356435643</c:v>
                </c:pt>
                <c:pt idx="64" formatCode="General">
                  <c:v>-57.535941831683168</c:v>
                </c:pt>
                <c:pt idx="65" formatCode="General">
                  <c:v>-57.770694306930693</c:v>
                </c:pt>
                <c:pt idx="66" formatCode="General">
                  <c:v>-58.005446782178218</c:v>
                </c:pt>
                <c:pt idx="67" formatCode="General">
                  <c:v>-58.240199257425743</c:v>
                </c:pt>
                <c:pt idx="68" formatCode="General">
                  <c:v>-58.474951732673269</c:v>
                </c:pt>
                <c:pt idx="69" formatCode="General">
                  <c:v>-58.705190830235438</c:v>
                </c:pt>
                <c:pt idx="70" formatCode="General">
                  <c:v>-58.929627013630729</c:v>
                </c:pt>
                <c:pt idx="71" formatCode="General">
                  <c:v>-59.154063197026019</c:v>
                </c:pt>
                <c:pt idx="72" formatCode="General">
                  <c:v>-59.37849938042131</c:v>
                </c:pt>
                <c:pt idx="73" formatCode="General">
                  <c:v>-59.602935563816601</c:v>
                </c:pt>
                <c:pt idx="74" formatCode="General">
                  <c:v>-59.827371747211892</c:v>
                </c:pt>
                <c:pt idx="75" formatCode="General">
                  <c:v>-60.051807930607183</c:v>
                </c:pt>
                <c:pt idx="76" formatCode="General">
                  <c:v>-60.276244114002473</c:v>
                </c:pt>
                <c:pt idx="77" formatCode="General">
                  <c:v>-60.500680297397764</c:v>
                </c:pt>
                <c:pt idx="78" formatCode="General">
                  <c:v>-60.725116480793055</c:v>
                </c:pt>
                <c:pt idx="79" formatCode="General">
                  <c:v>-60.947168316831679</c:v>
                </c:pt>
                <c:pt idx="80" formatCode="General">
                  <c:v>-61.164792079207913</c:v>
                </c:pt>
                <c:pt idx="81" formatCode="General">
                  <c:v>-61.382415841584155</c:v>
                </c:pt>
                <c:pt idx="82" formatCode="General">
                  <c:v>-61.60003960396039</c:v>
                </c:pt>
                <c:pt idx="83" formatCode="General">
                  <c:v>-61.817663366336632</c:v>
                </c:pt>
                <c:pt idx="84" formatCode="General">
                  <c:v>-62.035287128712866</c:v>
                </c:pt>
                <c:pt idx="85" formatCode="General">
                  <c:v>-62.252910891089108</c:v>
                </c:pt>
                <c:pt idx="86" formatCode="General">
                  <c:v>-62.47053465346535</c:v>
                </c:pt>
                <c:pt idx="87" formatCode="General">
                  <c:v>-62.688158415841585</c:v>
                </c:pt>
                <c:pt idx="88" formatCode="General">
                  <c:v>-62.905782178217827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5DEF-4401-8F1D-74D1683602C7}"/>
            </c:ext>
          </c:extLst>
        </c:ser>
        <c:ser>
          <c:idx val="36"/>
          <c:order val="36"/>
          <c:spPr>
            <a:ln w="19050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EVALUATION!$B$137:$CP$137</c:f>
              <c:numCache>
                <c:formatCode>0</c:formatCode>
                <c:ptCount val="93"/>
                <c:pt idx="0">
                  <c:v>-107.9441584158416</c:v>
                </c:pt>
                <c:pt idx="1">
                  <c:v>-105.48747524752477</c:v>
                </c:pt>
                <c:pt idx="2">
                  <c:v>-103.20232673267327</c:v>
                </c:pt>
                <c:pt idx="3">
                  <c:v>-100.93970297029703</c:v>
                </c:pt>
                <c:pt idx="4" formatCode="General">
                  <c:v>-99.014950495049504</c:v>
                </c:pt>
                <c:pt idx="5" formatCode="General">
                  <c:v>-97.090198019801974</c:v>
                </c:pt>
                <c:pt idx="6" formatCode="General">
                  <c:v>-95.322970297029684</c:v>
                </c:pt>
                <c:pt idx="7" formatCode="General">
                  <c:v>-93.691287128712858</c:v>
                </c:pt>
                <c:pt idx="8" formatCode="General">
                  <c:v>-92.06227722772276</c:v>
                </c:pt>
                <c:pt idx="9" formatCode="General">
                  <c:v>-90.644455445544551</c:v>
                </c:pt>
                <c:pt idx="10" formatCode="General">
                  <c:v>-89.226633663366343</c:v>
                </c:pt>
                <c:pt idx="11" formatCode="General">
                  <c:v>-87.89183168316832</c:v>
                </c:pt>
                <c:pt idx="12" formatCode="General">
                  <c:v>-86.644306930693062</c:v>
                </c:pt>
                <c:pt idx="13" formatCode="General">
                  <c:v>-85.396782178217819</c:v>
                </c:pt>
                <c:pt idx="14" formatCode="General">
                  <c:v>-84.282673267326729</c:v>
                </c:pt>
                <c:pt idx="15" formatCode="General">
                  <c:v>-83.173762376237633</c:v>
                </c:pt>
                <c:pt idx="16" formatCode="General">
                  <c:v>-82.108168316831694</c:v>
                </c:pt>
                <c:pt idx="17" formatCode="General">
                  <c:v>-81.098267326732682</c:v>
                </c:pt>
                <c:pt idx="18" formatCode="General">
                  <c:v>-80.088366336633669</c:v>
                </c:pt>
                <c:pt idx="19" formatCode="General">
                  <c:v>-79.179653465346533</c:v>
                </c:pt>
                <c:pt idx="20" formatCode="General">
                  <c:v>-78.280643564356438</c:v>
                </c:pt>
                <c:pt idx="21" formatCode="General">
                  <c:v>-77.410792079207923</c:v>
                </c:pt>
                <c:pt idx="22" formatCode="General">
                  <c:v>-76.587029702970298</c:v>
                </c:pt>
                <c:pt idx="23" formatCode="General">
                  <c:v>-75.763267326732688</c:v>
                </c:pt>
                <c:pt idx="24" formatCode="General">
                  <c:v>-75.025223880597025</c:v>
                </c:pt>
                <c:pt idx="25" formatCode="General">
                  <c:v>-74.300845771144282</c:v>
                </c:pt>
                <c:pt idx="26" formatCode="General">
                  <c:v>-73.666435643564355</c:v>
                </c:pt>
                <c:pt idx="27" formatCode="General">
                  <c:v>-73.199108910891084</c:v>
                </c:pt>
                <c:pt idx="28" formatCode="General">
                  <c:v>-72.731782178217827</c:v>
                </c:pt>
                <c:pt idx="29" formatCode="General">
                  <c:v>-72.973465346534653</c:v>
                </c:pt>
                <c:pt idx="30" formatCode="General">
                  <c:v>-73.365544554455454</c:v>
                </c:pt>
                <c:pt idx="31" formatCode="General">
                  <c:v>-73.806336633663364</c:v>
                </c:pt>
                <c:pt idx="32" formatCode="General">
                  <c:v>-74.360792079207911</c:v>
                </c:pt>
                <c:pt idx="33" formatCode="General">
                  <c:v>-74.915247524752473</c:v>
                </c:pt>
                <c:pt idx="34" formatCode="General">
                  <c:v>-75.46356435643564</c:v>
                </c:pt>
                <c:pt idx="35" formatCode="General">
                  <c:v>-76.010099009900983</c:v>
                </c:pt>
                <c:pt idx="36" formatCode="General">
                  <c:v>-76.557623762376238</c:v>
                </c:pt>
                <c:pt idx="37" formatCode="General">
                  <c:v>-77.108118811881184</c:v>
                </c:pt>
                <c:pt idx="38" formatCode="General">
                  <c:v>-77.658613861386144</c:v>
                </c:pt>
                <c:pt idx="39" formatCode="General">
                  <c:v>-78.206237623762377</c:v>
                </c:pt>
                <c:pt idx="40" formatCode="General">
                  <c:v>-78.75277227722772</c:v>
                </c:pt>
                <c:pt idx="41" formatCode="General">
                  <c:v>-79.296930693069299</c:v>
                </c:pt>
                <c:pt idx="42" formatCode="General">
                  <c:v>-79.831584158415836</c:v>
                </c:pt>
                <c:pt idx="43" formatCode="General">
                  <c:v>-80.366237623762373</c:v>
                </c:pt>
                <c:pt idx="44" formatCode="General">
                  <c:v>-80.895544554455441</c:v>
                </c:pt>
                <c:pt idx="45" formatCode="General">
                  <c:v>-81.422277227722773</c:v>
                </c:pt>
                <c:pt idx="46" formatCode="General">
                  <c:v>-81.949009900990106</c:v>
                </c:pt>
                <c:pt idx="47" formatCode="General">
                  <c:v>-82.475742574257424</c:v>
                </c:pt>
                <c:pt idx="48" formatCode="General">
                  <c:v>-83.002475247524757</c:v>
                </c:pt>
                <c:pt idx="49" formatCode="General">
                  <c:v>-83.515985130111531</c:v>
                </c:pt>
                <c:pt idx="50" formatCode="General">
                  <c:v>-84.02156133828997</c:v>
                </c:pt>
                <c:pt idx="51" formatCode="General">
                  <c:v>-84.52713754646841</c:v>
                </c:pt>
                <c:pt idx="52" formatCode="General">
                  <c:v>-85.032713754646849</c:v>
                </c:pt>
                <c:pt idx="53" formatCode="General">
                  <c:v>-85.538289962825289</c:v>
                </c:pt>
                <c:pt idx="54" formatCode="General">
                  <c:v>-86.043866171003728</c:v>
                </c:pt>
                <c:pt idx="55" formatCode="General">
                  <c:v>-86.549442379182167</c:v>
                </c:pt>
                <c:pt idx="56" formatCode="General">
                  <c:v>-87.055018587360607</c:v>
                </c:pt>
                <c:pt idx="57" formatCode="General">
                  <c:v>-87.560594795539046</c:v>
                </c:pt>
                <c:pt idx="58" formatCode="General">
                  <c:v>-88.066171003717486</c:v>
                </c:pt>
                <c:pt idx="59" formatCode="General">
                  <c:v>-88.555977722772283</c:v>
                </c:pt>
                <c:pt idx="60" formatCode="General">
                  <c:v>-89.032215346534656</c:v>
                </c:pt>
                <c:pt idx="61" formatCode="General">
                  <c:v>-89.508452970297043</c:v>
                </c:pt>
                <c:pt idx="62" formatCode="General">
                  <c:v>-89.984690594059416</c:v>
                </c:pt>
                <c:pt idx="63" formatCode="General">
                  <c:v>-90.460928217821788</c:v>
                </c:pt>
                <c:pt idx="64" formatCode="General">
                  <c:v>-90.937165841584161</c:v>
                </c:pt>
                <c:pt idx="65" formatCode="General">
                  <c:v>-91.413403465346533</c:v>
                </c:pt>
                <c:pt idx="66" formatCode="General">
                  <c:v>-91.889641089108906</c:v>
                </c:pt>
                <c:pt idx="67" formatCode="General">
                  <c:v>-92.365878712871293</c:v>
                </c:pt>
                <c:pt idx="68" formatCode="General">
                  <c:v>-92.842116336633666</c:v>
                </c:pt>
                <c:pt idx="69" formatCode="General">
                  <c:v>-93.302131350681535</c:v>
                </c:pt>
                <c:pt idx="70" formatCode="General">
                  <c:v>-93.741288723667907</c:v>
                </c:pt>
                <c:pt idx="71" formatCode="General">
                  <c:v>-94.180446096654279</c:v>
                </c:pt>
                <c:pt idx="72" formatCode="General">
                  <c:v>-94.619603469640637</c:v>
                </c:pt>
                <c:pt idx="73" formatCode="General">
                  <c:v>-95.058760842627009</c:v>
                </c:pt>
                <c:pt idx="74" formatCode="General">
                  <c:v>-95.497918215613382</c:v>
                </c:pt>
                <c:pt idx="75" formatCode="General">
                  <c:v>-95.93707558859974</c:v>
                </c:pt>
                <c:pt idx="76" formatCode="General">
                  <c:v>-96.376232961586112</c:v>
                </c:pt>
                <c:pt idx="77" formatCode="General">
                  <c:v>-96.815390334572484</c:v>
                </c:pt>
                <c:pt idx="78" formatCode="General">
                  <c:v>-97.254547707558856</c:v>
                </c:pt>
                <c:pt idx="79" formatCode="General">
                  <c:v>-97.681039603960386</c:v>
                </c:pt>
                <c:pt idx="80" formatCode="General">
                  <c:v>-98.084009900990097</c:v>
                </c:pt>
                <c:pt idx="81" formatCode="General">
                  <c:v>-98.486980198019793</c:v>
                </c:pt>
                <c:pt idx="82" formatCode="General">
                  <c:v>-98.889950495049504</c:v>
                </c:pt>
                <c:pt idx="83" formatCode="General">
                  <c:v>-99.292920792079201</c:v>
                </c:pt>
                <c:pt idx="84" formatCode="General">
                  <c:v>-99.695891089108912</c:v>
                </c:pt>
                <c:pt idx="85" formatCode="General">
                  <c:v>-100.09886138613862</c:v>
                </c:pt>
                <c:pt idx="86" formatCode="General">
                  <c:v>-100.50183168316832</c:v>
                </c:pt>
                <c:pt idx="87" formatCode="General">
                  <c:v>-100.90480198019803</c:v>
                </c:pt>
                <c:pt idx="88" formatCode="General">
                  <c:v>-101.30777227722774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5DEF-4401-8F1D-74D1683602C7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EF-4401-8F1D-74D1683602C7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-193.34064356435644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DEF-4401-8F1D-74D168360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5DEF-4401-8F1D-74D1683602C7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DEF-4401-8F1D-74D1683602C7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-34.01879207920792</c:v>
                      </c:pt>
                      <c:pt idx="7" formatCode="General">
                        <c:v>-33.477009900990097</c:v>
                      </c:pt>
                      <c:pt idx="8" formatCode="General">
                        <c:v>-32.936969059405939</c:v>
                      </c:pt>
                      <c:pt idx="9" formatCode="General">
                        <c:v>-32.534493811881184</c:v>
                      </c:pt>
                      <c:pt idx="10" formatCode="General">
                        <c:v>-32.132018564356436</c:v>
                      </c:pt>
                      <c:pt idx="11" formatCode="General">
                        <c:v>-31.72954331683168</c:v>
                      </c:pt>
                      <c:pt idx="12" formatCode="General">
                        <c:v>-31.327068069306929</c:v>
                      </c:pt>
                      <c:pt idx="13" formatCode="General">
                        <c:v>-30.924592821782177</c:v>
                      </c:pt>
                      <c:pt idx="14" formatCode="General">
                        <c:v>-30.522117574257425</c:v>
                      </c:pt>
                      <c:pt idx="15" formatCode="General">
                        <c:v>-30.119642326732674</c:v>
                      </c:pt>
                      <c:pt idx="16" formatCode="General">
                        <c:v>-29.717167079207918</c:v>
                      </c:pt>
                      <c:pt idx="17" formatCode="General">
                        <c:v>-29.314691831683167</c:v>
                      </c:pt>
                      <c:pt idx="18" formatCode="General">
                        <c:v>-28.912216584158415</c:v>
                      </c:pt>
                      <c:pt idx="19" formatCode="General">
                        <c:v>-28.607044554455445</c:v>
                      </c:pt>
                      <c:pt idx="20" formatCode="General">
                        <c:v>-28.311202970297028</c:v>
                      </c:pt>
                      <c:pt idx="21" formatCode="General">
                        <c:v>-28.025643564356436</c:v>
                      </c:pt>
                      <c:pt idx="22" formatCode="General">
                        <c:v>-27.756336633663366</c:v>
                      </c:pt>
                      <c:pt idx="23" formatCode="General">
                        <c:v>-27.487029702970297</c:v>
                      </c:pt>
                      <c:pt idx="24" formatCode="General">
                        <c:v>-27.239567164179103</c:v>
                      </c:pt>
                      <c:pt idx="25" formatCode="General">
                        <c:v>-26.995587064676617</c:v>
                      </c:pt>
                      <c:pt idx="26" formatCode="General">
                        <c:v>-26.772544554455443</c:v>
                      </c:pt>
                      <c:pt idx="27" formatCode="General">
                        <c:v>-26.58838613861386</c:v>
                      </c:pt>
                      <c:pt idx="28" formatCode="General">
                        <c:v>-26.404227722772276</c:v>
                      </c:pt>
                      <c:pt idx="29" formatCode="General">
                        <c:v>-26.48570297029703</c:v>
                      </c:pt>
                      <c:pt idx="30" formatCode="General">
                        <c:v>-26.623524752475248</c:v>
                      </c:pt>
                      <c:pt idx="31" formatCode="General">
                        <c:v>-26.762772277227722</c:v>
                      </c:pt>
                      <c:pt idx="32" formatCode="General">
                        <c:v>-26.905346534653464</c:v>
                      </c:pt>
                      <c:pt idx="33" formatCode="General">
                        <c:v>-27.047920792079207</c:v>
                      </c:pt>
                      <c:pt idx="34" formatCode="General">
                        <c:v>-27.187118811881188</c:v>
                      </c:pt>
                      <c:pt idx="35" formatCode="General">
                        <c:v>-27.325336633663365</c:v>
                      </c:pt>
                      <c:pt idx="36" formatCode="General">
                        <c:v>-27.463653465346532</c:v>
                      </c:pt>
                      <c:pt idx="37" formatCode="General">
                        <c:v>-27.602267326732672</c:v>
                      </c:pt>
                      <c:pt idx="38" formatCode="General">
                        <c:v>-27.740881188118809</c:v>
                      </c:pt>
                      <c:pt idx="39" formatCode="General">
                        <c:v>-27.877341584158415</c:v>
                      </c:pt>
                      <c:pt idx="40" formatCode="General">
                        <c:v>-28.012985148514851</c:v>
                      </c:pt>
                      <c:pt idx="41" formatCode="General">
                        <c:v>-28.148628712871286</c:v>
                      </c:pt>
                      <c:pt idx="42" formatCode="General">
                        <c:v>-28.284272277227721</c:v>
                      </c:pt>
                      <c:pt idx="43" formatCode="General">
                        <c:v>-28.419915841584157</c:v>
                      </c:pt>
                      <c:pt idx="44" formatCode="General">
                        <c:v>-28.555559405940592</c:v>
                      </c:pt>
                      <c:pt idx="45" formatCode="General">
                        <c:v>-28.691202970297027</c:v>
                      </c:pt>
                      <c:pt idx="46" formatCode="General">
                        <c:v>-28.826846534653463</c:v>
                      </c:pt>
                      <c:pt idx="47" formatCode="General">
                        <c:v>-28.962490099009898</c:v>
                      </c:pt>
                      <c:pt idx="48" formatCode="General">
                        <c:v>-29.098133663366333</c:v>
                      </c:pt>
                      <c:pt idx="49" formatCode="General">
                        <c:v>-29.230598513011149</c:v>
                      </c:pt>
                      <c:pt idx="50" formatCode="General">
                        <c:v>-29.361156133828995</c:v>
                      </c:pt>
                      <c:pt idx="51" formatCode="General">
                        <c:v>-29.491713754646838</c:v>
                      </c:pt>
                      <c:pt idx="52" formatCode="General">
                        <c:v>-29.622271375464681</c:v>
                      </c:pt>
                      <c:pt idx="53" formatCode="General">
                        <c:v>-29.752828996282528</c:v>
                      </c:pt>
                      <c:pt idx="54" formatCode="General">
                        <c:v>-29.883386617100371</c:v>
                      </c:pt>
                      <c:pt idx="55" formatCode="General">
                        <c:v>-30.013944237918214</c:v>
                      </c:pt>
                      <c:pt idx="56" formatCode="General">
                        <c:v>-30.14450185873606</c:v>
                      </c:pt>
                      <c:pt idx="57" formatCode="General">
                        <c:v>-30.275059479553903</c:v>
                      </c:pt>
                      <c:pt idx="58" formatCode="General">
                        <c:v>-30.405617100371746</c:v>
                      </c:pt>
                      <c:pt idx="59" formatCode="General">
                        <c:v>-30.534172029702972</c:v>
                      </c:pt>
                      <c:pt idx="60" formatCode="General">
                        <c:v>-30.661003712871288</c:v>
                      </c:pt>
                      <c:pt idx="61" formatCode="General">
                        <c:v>-30.787835396039604</c:v>
                      </c:pt>
                      <c:pt idx="62" formatCode="General">
                        <c:v>-30.91466707920792</c:v>
                      </c:pt>
                      <c:pt idx="63" formatCode="General">
                        <c:v>-31.041498762376239</c:v>
                      </c:pt>
                      <c:pt idx="64" formatCode="General">
                        <c:v>-31.168330445544555</c:v>
                      </c:pt>
                      <c:pt idx="65" formatCode="General">
                        <c:v>-31.295162128712871</c:v>
                      </c:pt>
                      <c:pt idx="66" formatCode="General">
                        <c:v>-31.421993811881187</c:v>
                      </c:pt>
                      <c:pt idx="67" formatCode="General">
                        <c:v>-31.548825495049506</c:v>
                      </c:pt>
                      <c:pt idx="68" formatCode="General">
                        <c:v>-31.675657178217822</c:v>
                      </c:pt>
                      <c:pt idx="69" formatCode="General">
                        <c:v>-31.800085501858735</c:v>
                      </c:pt>
                      <c:pt idx="70" formatCode="General">
                        <c:v>-31.92142379182156</c:v>
                      </c:pt>
                      <c:pt idx="71" formatCode="General">
                        <c:v>-32.042762081784389</c:v>
                      </c:pt>
                      <c:pt idx="72" formatCode="General">
                        <c:v>-32.16410037174721</c:v>
                      </c:pt>
                      <c:pt idx="73" formatCode="General">
                        <c:v>-32.285438661710032</c:v>
                      </c:pt>
                      <c:pt idx="74" formatCode="General">
                        <c:v>-32.40677695167286</c:v>
                      </c:pt>
                      <c:pt idx="75" formatCode="General">
                        <c:v>-32.528115241635682</c:v>
                      </c:pt>
                      <c:pt idx="76" formatCode="General">
                        <c:v>-32.64945353159851</c:v>
                      </c:pt>
                      <c:pt idx="77" formatCode="General">
                        <c:v>-32.770791821561332</c:v>
                      </c:pt>
                      <c:pt idx="78" formatCode="General">
                        <c:v>-32.89213011152416</c:v>
                      </c:pt>
                      <c:pt idx="79" formatCode="General">
                        <c:v>-33.012168316831676</c:v>
                      </c:pt>
                      <c:pt idx="80" formatCode="General">
                        <c:v>-33.129792079207917</c:v>
                      </c:pt>
                      <c:pt idx="81" formatCode="General">
                        <c:v>-33.247415841584157</c:v>
                      </c:pt>
                      <c:pt idx="82" formatCode="General">
                        <c:v>-33.36503960396039</c:v>
                      </c:pt>
                      <c:pt idx="83" formatCode="General">
                        <c:v>-33.482663366336631</c:v>
                      </c:pt>
                      <c:pt idx="84" formatCode="General">
                        <c:v>-33.600287128712871</c:v>
                      </c:pt>
                      <c:pt idx="85" formatCode="General">
                        <c:v>-33.717910891089105</c:v>
                      </c:pt>
                      <c:pt idx="86" formatCode="General">
                        <c:v>-33.835534653465345</c:v>
                      </c:pt>
                      <c:pt idx="87" formatCode="General">
                        <c:v>-33.953158415841585</c:v>
                      </c:pt>
                      <c:pt idx="88" formatCode="General">
                        <c:v>-34.070782178217819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DEF-4401-8F1D-74D1683602C7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DEF-4401-8F1D-74D1683602C7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DEF-4401-8F1D-74D1683602C7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-19.966574257425744</c:v>
                      </c:pt>
                      <c:pt idx="7" formatCode="General">
                        <c:v>-19.885782178217823</c:v>
                      </c:pt>
                      <c:pt idx="8" formatCode="General">
                        <c:v>-19.807502475247524</c:v>
                      </c:pt>
                      <c:pt idx="9" formatCode="General">
                        <c:v>-19.927700495049507</c:v>
                      </c:pt>
                      <c:pt idx="10" formatCode="General">
                        <c:v>-20.047898514851486</c:v>
                      </c:pt>
                      <c:pt idx="11" formatCode="General">
                        <c:v>-20.168096534653465</c:v>
                      </c:pt>
                      <c:pt idx="12" formatCode="General">
                        <c:v>-20.288294554455447</c:v>
                      </c:pt>
                      <c:pt idx="13" formatCode="General">
                        <c:v>-20.408492574257426</c:v>
                      </c:pt>
                      <c:pt idx="14" formatCode="General">
                        <c:v>-20.528690594059405</c:v>
                      </c:pt>
                      <c:pt idx="15" formatCode="General">
                        <c:v>-20.648888613861388</c:v>
                      </c:pt>
                      <c:pt idx="16" formatCode="General">
                        <c:v>-20.769086633663367</c:v>
                      </c:pt>
                      <c:pt idx="17" formatCode="General">
                        <c:v>-20.889284653465346</c:v>
                      </c:pt>
                      <c:pt idx="18" formatCode="General">
                        <c:v>-21.009482673267328</c:v>
                      </c:pt>
                      <c:pt idx="19" formatCode="General">
                        <c:v>-21.135643564356435</c:v>
                      </c:pt>
                      <c:pt idx="20" formatCode="General">
                        <c:v>-21.262376237623762</c:v>
                      </c:pt>
                      <c:pt idx="21" formatCode="General">
                        <c:v>-21.387574257425744</c:v>
                      </c:pt>
                      <c:pt idx="22" formatCode="General">
                        <c:v>-21.510346534653465</c:v>
                      </c:pt>
                      <c:pt idx="23" formatCode="General">
                        <c:v>-21.633118811881186</c:v>
                      </c:pt>
                      <c:pt idx="24" formatCode="General">
                        <c:v>-21.756417910447759</c:v>
                      </c:pt>
                      <c:pt idx="25" formatCode="General">
                        <c:v>-21.879800995024876</c:v>
                      </c:pt>
                      <c:pt idx="26" formatCode="General">
                        <c:v>-22.002970297029705</c:v>
                      </c:pt>
                      <c:pt idx="27" formatCode="General">
                        <c:v>-22.125742574257426</c:v>
                      </c:pt>
                      <c:pt idx="28" formatCode="General">
                        <c:v>-22.248514851485147</c:v>
                      </c:pt>
                      <c:pt idx="29" formatCode="General">
                        <c:v>-22.368019801980196</c:v>
                      </c:pt>
                      <c:pt idx="30" formatCode="General">
                        <c:v>-22.486831683168315</c:v>
                      </c:pt>
                      <c:pt idx="31" formatCode="General">
                        <c:v>-22.606831683168316</c:v>
                      </c:pt>
                      <c:pt idx="32" formatCode="General">
                        <c:v>-22.729603960396041</c:v>
                      </c:pt>
                      <c:pt idx="33" formatCode="General">
                        <c:v>-22.852376237623762</c:v>
                      </c:pt>
                      <c:pt idx="34" formatCode="General">
                        <c:v>-22.972079207920792</c:v>
                      </c:pt>
                      <c:pt idx="35" formatCode="General">
                        <c:v>-23.090891089108911</c:v>
                      </c:pt>
                      <c:pt idx="36" formatCode="General">
                        <c:v>-23.20970297029703</c:v>
                      </c:pt>
                      <c:pt idx="37" formatCode="General">
                        <c:v>-23.328514851485149</c:v>
                      </c:pt>
                      <c:pt idx="38" formatCode="General">
                        <c:v>-23.447326732673268</c:v>
                      </c:pt>
                      <c:pt idx="39" formatCode="General">
                        <c:v>-23.563985148514853</c:v>
                      </c:pt>
                      <c:pt idx="40" formatCode="General">
                        <c:v>-23.679826732673266</c:v>
                      </c:pt>
                      <c:pt idx="41" formatCode="General">
                        <c:v>-23.795668316831684</c:v>
                      </c:pt>
                      <c:pt idx="42" formatCode="General">
                        <c:v>-23.911509900990097</c:v>
                      </c:pt>
                      <c:pt idx="43" formatCode="General">
                        <c:v>-24.027351485148515</c:v>
                      </c:pt>
                      <c:pt idx="44" formatCode="General">
                        <c:v>-24.143193069306928</c:v>
                      </c:pt>
                      <c:pt idx="45" formatCode="General">
                        <c:v>-24.259034653465346</c:v>
                      </c:pt>
                      <c:pt idx="46" formatCode="General">
                        <c:v>-24.374876237623763</c:v>
                      </c:pt>
                      <c:pt idx="47" formatCode="General">
                        <c:v>-24.490717821782177</c:v>
                      </c:pt>
                      <c:pt idx="48" formatCode="General">
                        <c:v>-24.606559405940594</c:v>
                      </c:pt>
                      <c:pt idx="49" formatCode="General">
                        <c:v>-24.719392812887236</c:v>
                      </c:pt>
                      <c:pt idx="50" formatCode="General">
                        <c:v>-24.830421313506815</c:v>
                      </c:pt>
                      <c:pt idx="51" formatCode="General">
                        <c:v>-24.941449814126393</c:v>
                      </c:pt>
                      <c:pt idx="52" formatCode="General">
                        <c:v>-25.052478314745972</c:v>
                      </c:pt>
                      <c:pt idx="53" formatCode="General">
                        <c:v>-25.163506815365551</c:v>
                      </c:pt>
                      <c:pt idx="54" formatCode="General">
                        <c:v>-25.27453531598513</c:v>
                      </c:pt>
                      <c:pt idx="55" formatCode="General">
                        <c:v>-25.385563816604709</c:v>
                      </c:pt>
                      <c:pt idx="56" formatCode="General">
                        <c:v>-25.496592317224287</c:v>
                      </c:pt>
                      <c:pt idx="57" formatCode="General">
                        <c:v>-25.607620817843866</c:v>
                      </c:pt>
                      <c:pt idx="58" formatCode="General">
                        <c:v>-25.718649318463445</c:v>
                      </c:pt>
                      <c:pt idx="59" formatCode="General">
                        <c:v>-25.828007425742573</c:v>
                      </c:pt>
                      <c:pt idx="60" formatCode="General">
                        <c:v>-25.935928217821782</c:v>
                      </c:pt>
                      <c:pt idx="61" formatCode="General">
                        <c:v>-26.043849009900988</c:v>
                      </c:pt>
                      <c:pt idx="62" formatCode="General">
                        <c:v>-26.151769801980198</c:v>
                      </c:pt>
                      <c:pt idx="63" formatCode="General">
                        <c:v>-26.259690594059403</c:v>
                      </c:pt>
                      <c:pt idx="64" formatCode="General">
                        <c:v>-26.367611386138613</c:v>
                      </c:pt>
                      <c:pt idx="65" formatCode="General">
                        <c:v>-26.475532178217822</c:v>
                      </c:pt>
                      <c:pt idx="66" formatCode="General">
                        <c:v>-26.583452970297028</c:v>
                      </c:pt>
                      <c:pt idx="67" formatCode="General">
                        <c:v>-26.691373762376237</c:v>
                      </c:pt>
                      <c:pt idx="68" formatCode="General">
                        <c:v>-26.799294554455443</c:v>
                      </c:pt>
                      <c:pt idx="69" formatCode="General">
                        <c:v>-26.905105328376703</c:v>
                      </c:pt>
                      <c:pt idx="70" formatCode="General">
                        <c:v>-27.008203221809168</c:v>
                      </c:pt>
                      <c:pt idx="71" formatCode="General">
                        <c:v>-27.111301115241634</c:v>
                      </c:pt>
                      <c:pt idx="72" formatCode="General">
                        <c:v>-27.2143990086741</c:v>
                      </c:pt>
                      <c:pt idx="73" formatCode="General">
                        <c:v>-27.317496902106566</c:v>
                      </c:pt>
                      <c:pt idx="74" formatCode="General">
                        <c:v>-27.420594795539031</c:v>
                      </c:pt>
                      <c:pt idx="75" formatCode="General">
                        <c:v>-27.523692688971497</c:v>
                      </c:pt>
                      <c:pt idx="76" formatCode="General">
                        <c:v>-27.626790582403963</c:v>
                      </c:pt>
                      <c:pt idx="77" formatCode="General">
                        <c:v>-27.729888475836429</c:v>
                      </c:pt>
                      <c:pt idx="78" formatCode="General">
                        <c:v>-27.832986369268895</c:v>
                      </c:pt>
                      <c:pt idx="79" formatCode="General">
                        <c:v>-27.934999999999999</c:v>
                      </c:pt>
                      <c:pt idx="80" formatCode="General">
                        <c:v>-28.034999999999997</c:v>
                      </c:pt>
                      <c:pt idx="81" formatCode="General">
                        <c:v>-28.134999999999998</c:v>
                      </c:pt>
                      <c:pt idx="82" formatCode="General">
                        <c:v>-28.234999999999999</c:v>
                      </c:pt>
                      <c:pt idx="83" formatCode="General">
                        <c:v>-28.334999999999997</c:v>
                      </c:pt>
                      <c:pt idx="84" formatCode="General">
                        <c:v>-28.434999999999999</c:v>
                      </c:pt>
                      <c:pt idx="85" formatCode="General">
                        <c:v>-28.535</c:v>
                      </c:pt>
                      <c:pt idx="86" formatCode="General">
                        <c:v>-28.634999999999998</c:v>
                      </c:pt>
                      <c:pt idx="87" formatCode="General">
                        <c:v>-28.734999999999999</c:v>
                      </c:pt>
                      <c:pt idx="88" formatCode="General">
                        <c:v>-28.835000000000001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DEF-4401-8F1D-74D1683602C7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-192.75227722772277</c:v>
                      </c:pt>
                      <c:pt idx="1">
                        <c:v>-188.21178217821782</c:v>
                      </c:pt>
                      <c:pt idx="2">
                        <c:v>-183.94247524752475</c:v>
                      </c:pt>
                      <c:pt idx="3">
                        <c:v>-179.70658415841584</c:v>
                      </c:pt>
                      <c:pt idx="4" formatCode="General">
                        <c:v>-175.97193069306931</c:v>
                      </c:pt>
                      <c:pt idx="5" formatCode="General">
                        <c:v>-172.23727722772276</c:v>
                      </c:pt>
                      <c:pt idx="6" formatCode="General">
                        <c:v>-168.74912871287128</c:v>
                      </c:pt>
                      <c:pt idx="7" formatCode="General">
                        <c:v>-165.47308910891087</c:v>
                      </c:pt>
                      <c:pt idx="8" formatCode="General">
                        <c:v>-162.20688861386137</c:v>
                      </c:pt>
                      <c:pt idx="9" formatCode="General">
                        <c:v>-159.71797772277228</c:v>
                      </c:pt>
                      <c:pt idx="10" formatCode="General">
                        <c:v>-157.22906683168316</c:v>
                      </c:pt>
                      <c:pt idx="11" formatCode="General">
                        <c:v>-154.74015594059406</c:v>
                      </c:pt>
                      <c:pt idx="12" formatCode="General">
                        <c:v>-152.25124504950494</c:v>
                      </c:pt>
                      <c:pt idx="13" formatCode="General">
                        <c:v>-149.76233415841585</c:v>
                      </c:pt>
                      <c:pt idx="14" formatCode="General">
                        <c:v>-147.27342326732673</c:v>
                      </c:pt>
                      <c:pt idx="15" formatCode="General">
                        <c:v>-144.78451237623764</c:v>
                      </c:pt>
                      <c:pt idx="16" formatCode="General">
                        <c:v>-142.29560148514852</c:v>
                      </c:pt>
                      <c:pt idx="17" formatCode="General">
                        <c:v>-139.80669059405943</c:v>
                      </c:pt>
                      <c:pt idx="18" formatCode="General">
                        <c:v>-137.31777970297031</c:v>
                      </c:pt>
                      <c:pt idx="19" formatCode="General">
                        <c:v>-135.37257425742575</c:v>
                      </c:pt>
                      <c:pt idx="20" formatCode="General">
                        <c:v>-133.47950495049506</c:v>
                      </c:pt>
                      <c:pt idx="21" formatCode="General">
                        <c:v>-131.64935643564354</c:v>
                      </c:pt>
                      <c:pt idx="22" formatCode="General">
                        <c:v>-129.91866336633663</c:v>
                      </c:pt>
                      <c:pt idx="23" formatCode="General">
                        <c:v>-128.18797029702969</c:v>
                      </c:pt>
                      <c:pt idx="24" formatCode="General">
                        <c:v>-126.58029850746269</c:v>
                      </c:pt>
                      <c:pt idx="25" formatCode="General">
                        <c:v>-124.99223880597015</c:v>
                      </c:pt>
                      <c:pt idx="26" formatCode="General">
                        <c:v>-123.45405940594058</c:v>
                      </c:pt>
                      <c:pt idx="27" formatCode="General">
                        <c:v>-122.00851485148515</c:v>
                      </c:pt>
                      <c:pt idx="28" formatCode="General">
                        <c:v>-120.56297029702969</c:v>
                      </c:pt>
                      <c:pt idx="29" formatCode="General">
                        <c:v>-119.82643564356437</c:v>
                      </c:pt>
                      <c:pt idx="30" formatCode="General">
                        <c:v>-119.24029702970299</c:v>
                      </c:pt>
                      <c:pt idx="31" formatCode="General">
                        <c:v>-119.13059405940595</c:v>
                      </c:pt>
                      <c:pt idx="32" formatCode="General">
                        <c:v>-120.13257425742574</c:v>
                      </c:pt>
                      <c:pt idx="33" formatCode="General">
                        <c:v>-121.13455445544555</c:v>
                      </c:pt>
                      <c:pt idx="34" formatCode="General">
                        <c:v>-122.12118811881189</c:v>
                      </c:pt>
                      <c:pt idx="35" formatCode="General">
                        <c:v>-123.10336633663366</c:v>
                      </c:pt>
                      <c:pt idx="36" formatCode="General">
                        <c:v>-124.08554455445544</c:v>
                      </c:pt>
                      <c:pt idx="37" formatCode="General">
                        <c:v>-125.06772277227722</c:v>
                      </c:pt>
                      <c:pt idx="38" formatCode="General">
                        <c:v>-126.04990099009899</c:v>
                      </c:pt>
                      <c:pt idx="39" formatCode="General">
                        <c:v>-127.0083910891089</c:v>
                      </c:pt>
                      <c:pt idx="40" formatCode="General">
                        <c:v>-127.95789603960395</c:v>
                      </c:pt>
                      <c:pt idx="41" formatCode="General">
                        <c:v>-128.90740099009901</c:v>
                      </c:pt>
                      <c:pt idx="42" formatCode="General">
                        <c:v>-129.85690594059406</c:v>
                      </c:pt>
                      <c:pt idx="43" formatCode="General">
                        <c:v>-130.80641089108912</c:v>
                      </c:pt>
                      <c:pt idx="44" formatCode="General">
                        <c:v>-131.75591584158414</c:v>
                      </c:pt>
                      <c:pt idx="45" formatCode="General">
                        <c:v>-132.7054207920792</c:v>
                      </c:pt>
                      <c:pt idx="46" formatCode="General">
                        <c:v>-133.65492574257425</c:v>
                      </c:pt>
                      <c:pt idx="47" formatCode="General">
                        <c:v>-134.6044306930693</c:v>
                      </c:pt>
                      <c:pt idx="48" formatCode="General">
                        <c:v>-135.55393564356436</c:v>
                      </c:pt>
                      <c:pt idx="49" formatCode="General">
                        <c:v>-136.47257744733582</c:v>
                      </c:pt>
                      <c:pt idx="50" formatCode="General">
                        <c:v>-137.37270136307311</c:v>
                      </c:pt>
                      <c:pt idx="51" formatCode="General">
                        <c:v>-138.27282527881042</c:v>
                      </c:pt>
                      <c:pt idx="52" formatCode="General">
                        <c:v>-139.1729491945477</c:v>
                      </c:pt>
                      <c:pt idx="53" formatCode="General">
                        <c:v>-140.07307311028501</c:v>
                      </c:pt>
                      <c:pt idx="54" formatCode="General">
                        <c:v>-140.97319702602232</c:v>
                      </c:pt>
                      <c:pt idx="55" formatCode="General">
                        <c:v>-141.8733209417596</c:v>
                      </c:pt>
                      <c:pt idx="56" formatCode="General">
                        <c:v>-142.77344485749691</c:v>
                      </c:pt>
                      <c:pt idx="57" formatCode="General">
                        <c:v>-143.67356877323419</c:v>
                      </c:pt>
                      <c:pt idx="58" formatCode="General">
                        <c:v>-144.57369268897151</c:v>
                      </c:pt>
                      <c:pt idx="59" formatCode="General">
                        <c:v>-145.44394801980198</c:v>
                      </c:pt>
                      <c:pt idx="60" formatCode="General">
                        <c:v>-146.28850247524753</c:v>
                      </c:pt>
                      <c:pt idx="61" formatCode="General">
                        <c:v>-147.13305693069307</c:v>
                      </c:pt>
                      <c:pt idx="62" formatCode="General">
                        <c:v>-147.97761138613862</c:v>
                      </c:pt>
                      <c:pt idx="63" formatCode="General">
                        <c:v>-148.82216584158417</c:v>
                      </c:pt>
                      <c:pt idx="64" formatCode="General">
                        <c:v>-149.66672029702968</c:v>
                      </c:pt>
                      <c:pt idx="65" formatCode="General">
                        <c:v>-150.51127475247523</c:v>
                      </c:pt>
                      <c:pt idx="66" formatCode="General">
                        <c:v>-151.35582920792078</c:v>
                      </c:pt>
                      <c:pt idx="67" formatCode="General">
                        <c:v>-152.20038366336632</c:v>
                      </c:pt>
                      <c:pt idx="68" formatCode="General">
                        <c:v>-153.04493811881187</c:v>
                      </c:pt>
                      <c:pt idx="69" formatCode="General">
                        <c:v>-153.86002478314745</c:v>
                      </c:pt>
                      <c:pt idx="70" formatCode="General">
                        <c:v>-154.63722428748449</c:v>
                      </c:pt>
                      <c:pt idx="71" formatCode="General">
                        <c:v>-155.41442379182155</c:v>
                      </c:pt>
                      <c:pt idx="72" formatCode="General">
                        <c:v>-156.19162329615858</c:v>
                      </c:pt>
                      <c:pt idx="73" formatCode="General">
                        <c:v>-156.96882280049564</c:v>
                      </c:pt>
                      <c:pt idx="74" formatCode="General">
                        <c:v>-157.74602230483271</c:v>
                      </c:pt>
                      <c:pt idx="75" formatCode="General">
                        <c:v>-158.52322180916974</c:v>
                      </c:pt>
                      <c:pt idx="76" formatCode="General">
                        <c:v>-159.3004213135068</c:v>
                      </c:pt>
                      <c:pt idx="77" formatCode="General">
                        <c:v>-160.07762081784384</c:v>
                      </c:pt>
                      <c:pt idx="78" formatCode="General">
                        <c:v>-160.8548203221809</c:v>
                      </c:pt>
                      <c:pt idx="79" formatCode="General">
                        <c:v>-161.60707920792078</c:v>
                      </c:pt>
                      <c:pt idx="80" formatCode="General">
                        <c:v>-162.31301980198018</c:v>
                      </c:pt>
                      <c:pt idx="81" formatCode="General">
                        <c:v>-163.0189603960396</c:v>
                      </c:pt>
                      <c:pt idx="82" formatCode="General">
                        <c:v>-163.724900990099</c:v>
                      </c:pt>
                      <c:pt idx="83" formatCode="General">
                        <c:v>-164.4308415841584</c:v>
                      </c:pt>
                      <c:pt idx="84" formatCode="General">
                        <c:v>-165.13678217821783</c:v>
                      </c:pt>
                      <c:pt idx="85" formatCode="General">
                        <c:v>-165.84272277227723</c:v>
                      </c:pt>
                      <c:pt idx="86" formatCode="General">
                        <c:v>-166.54866336633663</c:v>
                      </c:pt>
                      <c:pt idx="87" formatCode="General">
                        <c:v>-167.25460396039605</c:v>
                      </c:pt>
                      <c:pt idx="88" formatCode="General">
                        <c:v>-167.96054455445545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DEF-4401-8F1D-74D1683602C7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DEF-4401-8F1D-74D1683602C7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DEF-4401-8F1D-74D1683602C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DEF-4401-8F1D-74D1683602C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DEF-4401-8F1D-74D1683602C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DEF-4401-8F1D-74D1683602C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-19.966574257425744</c:v>
                      </c:pt>
                      <c:pt idx="7" formatCode="General">
                        <c:v>-19.885782178217823</c:v>
                      </c:pt>
                      <c:pt idx="8" formatCode="General">
                        <c:v>-19.807502475247524</c:v>
                      </c:pt>
                      <c:pt idx="9" formatCode="General">
                        <c:v>-19.927700495049507</c:v>
                      </c:pt>
                      <c:pt idx="10" formatCode="General">
                        <c:v>-20.047898514851486</c:v>
                      </c:pt>
                      <c:pt idx="11" formatCode="General">
                        <c:v>-20.168096534653465</c:v>
                      </c:pt>
                      <c:pt idx="12" formatCode="General">
                        <c:v>-20.288294554455447</c:v>
                      </c:pt>
                      <c:pt idx="13" formatCode="General">
                        <c:v>-20.408492574257426</c:v>
                      </c:pt>
                      <c:pt idx="14" formatCode="General">
                        <c:v>-20.528690594059405</c:v>
                      </c:pt>
                      <c:pt idx="15" formatCode="General">
                        <c:v>-20.648888613861388</c:v>
                      </c:pt>
                      <c:pt idx="16" formatCode="General">
                        <c:v>-20.769086633663367</c:v>
                      </c:pt>
                      <c:pt idx="17" formatCode="General">
                        <c:v>-20.889284653465346</c:v>
                      </c:pt>
                      <c:pt idx="18" formatCode="General">
                        <c:v>-21.009482673267328</c:v>
                      </c:pt>
                      <c:pt idx="19" formatCode="General">
                        <c:v>-21.135643564356435</c:v>
                      </c:pt>
                      <c:pt idx="20" formatCode="General">
                        <c:v>-21.262376237623762</c:v>
                      </c:pt>
                      <c:pt idx="21" formatCode="General">
                        <c:v>-21.387574257425744</c:v>
                      </c:pt>
                      <c:pt idx="22" formatCode="General">
                        <c:v>-21.510346534653465</c:v>
                      </c:pt>
                      <c:pt idx="23" formatCode="General">
                        <c:v>-21.633118811881186</c:v>
                      </c:pt>
                      <c:pt idx="24" formatCode="General">
                        <c:v>-21.756417910447759</c:v>
                      </c:pt>
                      <c:pt idx="25" formatCode="General">
                        <c:v>-21.879800995024876</c:v>
                      </c:pt>
                      <c:pt idx="26" formatCode="General">
                        <c:v>-22.002970297029705</c:v>
                      </c:pt>
                      <c:pt idx="27" formatCode="General">
                        <c:v>-22.125742574257426</c:v>
                      </c:pt>
                      <c:pt idx="28" formatCode="General">
                        <c:v>-22.248514851485147</c:v>
                      </c:pt>
                      <c:pt idx="29" formatCode="General">
                        <c:v>-22.368019801980196</c:v>
                      </c:pt>
                      <c:pt idx="30" formatCode="General">
                        <c:v>-22.486831683168315</c:v>
                      </c:pt>
                      <c:pt idx="31" formatCode="General">
                        <c:v>-22.606831683168316</c:v>
                      </c:pt>
                      <c:pt idx="32" formatCode="General">
                        <c:v>-22.729603960396041</c:v>
                      </c:pt>
                      <c:pt idx="33" formatCode="General">
                        <c:v>-22.852376237623762</c:v>
                      </c:pt>
                      <c:pt idx="34" formatCode="General">
                        <c:v>-22.972079207920792</c:v>
                      </c:pt>
                      <c:pt idx="35" formatCode="General">
                        <c:v>-23.090891089108911</c:v>
                      </c:pt>
                      <c:pt idx="36" formatCode="General">
                        <c:v>-23.20970297029703</c:v>
                      </c:pt>
                      <c:pt idx="37" formatCode="General">
                        <c:v>-23.328514851485149</c:v>
                      </c:pt>
                      <c:pt idx="38" formatCode="General">
                        <c:v>-23.447326732673268</c:v>
                      </c:pt>
                      <c:pt idx="39" formatCode="General">
                        <c:v>-23.563985148514853</c:v>
                      </c:pt>
                      <c:pt idx="40" formatCode="General">
                        <c:v>-23.679826732673266</c:v>
                      </c:pt>
                      <c:pt idx="41" formatCode="General">
                        <c:v>-23.795668316831684</c:v>
                      </c:pt>
                      <c:pt idx="42" formatCode="General">
                        <c:v>-23.911509900990097</c:v>
                      </c:pt>
                      <c:pt idx="43" formatCode="General">
                        <c:v>-24.027351485148515</c:v>
                      </c:pt>
                      <c:pt idx="44" formatCode="General">
                        <c:v>-24.143193069306928</c:v>
                      </c:pt>
                      <c:pt idx="45" formatCode="General">
                        <c:v>-24.259034653465346</c:v>
                      </c:pt>
                      <c:pt idx="46" formatCode="General">
                        <c:v>-24.374876237623763</c:v>
                      </c:pt>
                      <c:pt idx="47" formatCode="General">
                        <c:v>-24.490717821782177</c:v>
                      </c:pt>
                      <c:pt idx="48" formatCode="General">
                        <c:v>-24.606559405940594</c:v>
                      </c:pt>
                      <c:pt idx="49" formatCode="General">
                        <c:v>-24.719392812887236</c:v>
                      </c:pt>
                      <c:pt idx="50" formatCode="General">
                        <c:v>-24.830421313506815</c:v>
                      </c:pt>
                      <c:pt idx="51" formatCode="General">
                        <c:v>-24.941449814126393</c:v>
                      </c:pt>
                      <c:pt idx="52" formatCode="General">
                        <c:v>-25.052478314745972</c:v>
                      </c:pt>
                      <c:pt idx="53" formatCode="General">
                        <c:v>-25.163506815365551</c:v>
                      </c:pt>
                      <c:pt idx="54" formatCode="General">
                        <c:v>-25.27453531598513</c:v>
                      </c:pt>
                      <c:pt idx="55" formatCode="General">
                        <c:v>-25.385563816604709</c:v>
                      </c:pt>
                      <c:pt idx="56" formatCode="General">
                        <c:v>-25.496592317224287</c:v>
                      </c:pt>
                      <c:pt idx="57" formatCode="General">
                        <c:v>-25.607620817843866</c:v>
                      </c:pt>
                      <c:pt idx="58" formatCode="General">
                        <c:v>-25.718649318463445</c:v>
                      </c:pt>
                      <c:pt idx="59" formatCode="General">
                        <c:v>-25.828007425742573</c:v>
                      </c:pt>
                      <c:pt idx="60" formatCode="General">
                        <c:v>-25.935928217821782</c:v>
                      </c:pt>
                      <c:pt idx="61" formatCode="General">
                        <c:v>-26.043849009900988</c:v>
                      </c:pt>
                      <c:pt idx="62" formatCode="General">
                        <c:v>-26.151769801980198</c:v>
                      </c:pt>
                      <c:pt idx="63" formatCode="General">
                        <c:v>-26.259690594059403</c:v>
                      </c:pt>
                      <c:pt idx="64" formatCode="General">
                        <c:v>-26.367611386138613</c:v>
                      </c:pt>
                      <c:pt idx="65" formatCode="General">
                        <c:v>-26.475532178217822</c:v>
                      </c:pt>
                      <c:pt idx="66" formatCode="General">
                        <c:v>-26.583452970297028</c:v>
                      </c:pt>
                      <c:pt idx="67" formatCode="General">
                        <c:v>-26.691373762376237</c:v>
                      </c:pt>
                      <c:pt idx="68" formatCode="General">
                        <c:v>-26.799294554455443</c:v>
                      </c:pt>
                      <c:pt idx="69" formatCode="General">
                        <c:v>-26.905105328376703</c:v>
                      </c:pt>
                      <c:pt idx="70" formatCode="General">
                        <c:v>-27.008203221809168</c:v>
                      </c:pt>
                      <c:pt idx="71" formatCode="General">
                        <c:v>-27.111301115241634</c:v>
                      </c:pt>
                      <c:pt idx="72" formatCode="General">
                        <c:v>-27.2143990086741</c:v>
                      </c:pt>
                      <c:pt idx="73" formatCode="General">
                        <c:v>-27.317496902106566</c:v>
                      </c:pt>
                      <c:pt idx="74" formatCode="General">
                        <c:v>-27.420594795539031</c:v>
                      </c:pt>
                      <c:pt idx="75" formatCode="General">
                        <c:v>-27.523692688971497</c:v>
                      </c:pt>
                      <c:pt idx="76" formatCode="General">
                        <c:v>-27.626790582403963</c:v>
                      </c:pt>
                      <c:pt idx="77" formatCode="General">
                        <c:v>-27.729888475836429</c:v>
                      </c:pt>
                      <c:pt idx="78" formatCode="General">
                        <c:v>-27.832986369268895</c:v>
                      </c:pt>
                      <c:pt idx="79" formatCode="General">
                        <c:v>-27.934999999999999</c:v>
                      </c:pt>
                      <c:pt idx="80" formatCode="General">
                        <c:v>-28.034999999999997</c:v>
                      </c:pt>
                      <c:pt idx="81" formatCode="General">
                        <c:v>-28.134999999999998</c:v>
                      </c:pt>
                      <c:pt idx="82" formatCode="General">
                        <c:v>-28.234999999999999</c:v>
                      </c:pt>
                      <c:pt idx="83" formatCode="General">
                        <c:v>-28.334999999999997</c:v>
                      </c:pt>
                      <c:pt idx="84" formatCode="General">
                        <c:v>-28.434999999999999</c:v>
                      </c:pt>
                      <c:pt idx="85" formatCode="General">
                        <c:v>-28.535</c:v>
                      </c:pt>
                      <c:pt idx="86" formatCode="General">
                        <c:v>-28.634999999999998</c:v>
                      </c:pt>
                      <c:pt idx="87" formatCode="General">
                        <c:v>-28.734999999999999</c:v>
                      </c:pt>
                      <c:pt idx="88" formatCode="General">
                        <c:v>-28.835000000000001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DEF-4401-8F1D-74D1683602C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DEF-4401-8F1D-74D1683602C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DEF-4401-8F1D-74D1683602C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DEF-4401-8F1D-74D1683602C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DEF-4401-8F1D-74D1683602C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DEF-4401-8F1D-74D1683602C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DEF-4401-8F1D-74D1683602C7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DEF-4401-8F1D-74D1683602C7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DEF-4401-8F1D-74D1683602C7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DEF-4401-8F1D-74D1683602C7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DEF-4401-8F1D-74D1683602C7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DEF-4401-8F1D-74D1683602C7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DEF-4401-8F1D-74D1683602C7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DEF-4401-8F1D-74D1683602C7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DEF-4401-8F1D-74D1683602C7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DEF-4401-8F1D-74D1683602C7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DEF-4401-8F1D-74D1683602C7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DEF-4401-8F1D-74D1683602C7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-85.396485148514856</c:v>
                      </c:pt>
                      <c:pt idx="1">
                        <c:v>-83.32361386138615</c:v>
                      </c:pt>
                      <c:pt idx="2">
                        <c:v>-81.355297029702982</c:v>
                      </c:pt>
                      <c:pt idx="3">
                        <c:v>-79.398366336633671</c:v>
                      </c:pt>
                      <c:pt idx="4" formatCode="General">
                        <c:v>-77.612227722772275</c:v>
                      </c:pt>
                      <c:pt idx="5" formatCode="General">
                        <c:v>-75.826089108910892</c:v>
                      </c:pt>
                      <c:pt idx="6" formatCode="General">
                        <c:v>-74.122970297029696</c:v>
                      </c:pt>
                      <c:pt idx="7" formatCode="General">
                        <c:v>-72.49128712871287</c:v>
                      </c:pt>
                      <c:pt idx="8" formatCode="General">
                        <c:v>-70.861386138613852</c:v>
                      </c:pt>
                      <c:pt idx="9" formatCode="General">
                        <c:v>-69.372277227722776</c:v>
                      </c:pt>
                      <c:pt idx="10" formatCode="General">
                        <c:v>-67.883168316831686</c:v>
                      </c:pt>
                      <c:pt idx="11" formatCode="General">
                        <c:v>-66.463564356435654</c:v>
                      </c:pt>
                      <c:pt idx="12" formatCode="General">
                        <c:v>-65.117029702970299</c:v>
                      </c:pt>
                      <c:pt idx="13" formatCode="General">
                        <c:v>-63.770495049504952</c:v>
                      </c:pt>
                      <c:pt idx="14" formatCode="General">
                        <c:v>-62.553564356435643</c:v>
                      </c:pt>
                      <c:pt idx="15" formatCode="General">
                        <c:v>-61.341683168316834</c:v>
                      </c:pt>
                      <c:pt idx="16" formatCode="General">
                        <c:v>-60.180049504950496</c:v>
                      </c:pt>
                      <c:pt idx="17" formatCode="General">
                        <c:v>-59.0830198019802</c:v>
                      </c:pt>
                      <c:pt idx="18" formatCode="General">
                        <c:v>-57.985990099009896</c:v>
                      </c:pt>
                      <c:pt idx="19" formatCode="General">
                        <c:v>-57.000990099009904</c:v>
                      </c:pt>
                      <c:pt idx="20" formatCode="General">
                        <c:v>-56.026732673267333</c:v>
                      </c:pt>
                      <c:pt idx="21" formatCode="General">
                        <c:v>-55.08470297029703</c:v>
                      </c:pt>
                      <c:pt idx="22" formatCode="General">
                        <c:v>-54.19361386138614</c:v>
                      </c:pt>
                      <c:pt idx="23" formatCode="General">
                        <c:v>-53.30252475247525</c:v>
                      </c:pt>
                      <c:pt idx="24" formatCode="General">
                        <c:v>-52.486567164179107</c:v>
                      </c:pt>
                      <c:pt idx="25" formatCode="General">
                        <c:v>-51.682587064676611</c:v>
                      </c:pt>
                      <c:pt idx="26" formatCode="General">
                        <c:v>-50.971485148514844</c:v>
                      </c:pt>
                      <c:pt idx="27" formatCode="General">
                        <c:v>-50.432871287128705</c:v>
                      </c:pt>
                      <c:pt idx="28" formatCode="General">
                        <c:v>-49.894257425742573</c:v>
                      </c:pt>
                      <c:pt idx="29" formatCode="General">
                        <c:v>-50.041782178217822</c:v>
                      </c:pt>
                      <c:pt idx="30" formatCode="General">
                        <c:v>-50.334851485148519</c:v>
                      </c:pt>
                      <c:pt idx="31" formatCode="General">
                        <c:v>-50.670693069306935</c:v>
                      </c:pt>
                      <c:pt idx="32" formatCode="General">
                        <c:v>-51.106336633663368</c:v>
                      </c:pt>
                      <c:pt idx="33" formatCode="General">
                        <c:v>-51.541980198019807</c:v>
                      </c:pt>
                      <c:pt idx="34" formatCode="General">
                        <c:v>-51.974554455445549</c:v>
                      </c:pt>
                      <c:pt idx="35" formatCode="General">
                        <c:v>-52.406237623762379</c:v>
                      </c:pt>
                      <c:pt idx="36" formatCode="General">
                        <c:v>-52.83792079207921</c:v>
                      </c:pt>
                      <c:pt idx="37" formatCode="General">
                        <c:v>-53.26960396039604</c:v>
                      </c:pt>
                      <c:pt idx="38" formatCode="General">
                        <c:v>-53.701287128712863</c:v>
                      </c:pt>
                      <c:pt idx="39" formatCode="General">
                        <c:v>-54.130099009900981</c:v>
                      </c:pt>
                      <c:pt idx="40" formatCode="General">
                        <c:v>-54.557821782178216</c:v>
                      </c:pt>
                      <c:pt idx="41" formatCode="General">
                        <c:v>-54.983960396039606</c:v>
                      </c:pt>
                      <c:pt idx="42" formatCode="General">
                        <c:v>-55.403762376237623</c:v>
                      </c:pt>
                      <c:pt idx="43" formatCode="General">
                        <c:v>-55.823564356435639</c:v>
                      </c:pt>
                      <c:pt idx="44" formatCode="General">
                        <c:v>-56.238019801980194</c:v>
                      </c:pt>
                      <c:pt idx="45" formatCode="General">
                        <c:v>-56.649900990099006</c:v>
                      </c:pt>
                      <c:pt idx="46" formatCode="General">
                        <c:v>-57.061782178217825</c:v>
                      </c:pt>
                      <c:pt idx="47" formatCode="General">
                        <c:v>-57.473663366336638</c:v>
                      </c:pt>
                      <c:pt idx="48" formatCode="General">
                        <c:v>-57.88554455445545</c:v>
                      </c:pt>
                      <c:pt idx="49" formatCode="General">
                        <c:v>-58.28659231722429</c:v>
                      </c:pt>
                      <c:pt idx="50" formatCode="General">
                        <c:v>-58.681140024783154</c:v>
                      </c:pt>
                      <c:pt idx="51" formatCode="General">
                        <c:v>-59.075687732342011</c:v>
                      </c:pt>
                      <c:pt idx="52" formatCode="General">
                        <c:v>-59.470235439900868</c:v>
                      </c:pt>
                      <c:pt idx="53" formatCode="General">
                        <c:v>-59.864783147459733</c:v>
                      </c:pt>
                      <c:pt idx="54" formatCode="General">
                        <c:v>-60.25933085501859</c:v>
                      </c:pt>
                      <c:pt idx="55" formatCode="General">
                        <c:v>-60.653878562577447</c:v>
                      </c:pt>
                      <c:pt idx="56" formatCode="General">
                        <c:v>-61.048426270136311</c:v>
                      </c:pt>
                      <c:pt idx="57" formatCode="General">
                        <c:v>-61.442973977695168</c:v>
                      </c:pt>
                      <c:pt idx="58" formatCode="General">
                        <c:v>-61.837521685254032</c:v>
                      </c:pt>
                      <c:pt idx="59" formatCode="General">
                        <c:v>-62.217970297029701</c:v>
                      </c:pt>
                      <c:pt idx="60" formatCode="General">
                        <c:v>-62.586287128712868</c:v>
                      </c:pt>
                      <c:pt idx="61" formatCode="General">
                        <c:v>-62.954603960396042</c:v>
                      </c:pt>
                      <c:pt idx="62" formatCode="General">
                        <c:v>-63.322920792079209</c:v>
                      </c:pt>
                      <c:pt idx="63" formatCode="General">
                        <c:v>-63.691237623762376</c:v>
                      </c:pt>
                      <c:pt idx="64" formatCode="General">
                        <c:v>-64.059554455445536</c:v>
                      </c:pt>
                      <c:pt idx="65" formatCode="General">
                        <c:v>-64.42787128712871</c:v>
                      </c:pt>
                      <c:pt idx="66" formatCode="General">
                        <c:v>-64.796188118811884</c:v>
                      </c:pt>
                      <c:pt idx="67" formatCode="General">
                        <c:v>-65.164504950495044</c:v>
                      </c:pt>
                      <c:pt idx="68" formatCode="General">
                        <c:v>-65.532821782178218</c:v>
                      </c:pt>
                      <c:pt idx="69" formatCode="General">
                        <c:v>-65.887026022304823</c:v>
                      </c:pt>
                      <c:pt idx="70" formatCode="General">
                        <c:v>-66.223085501858733</c:v>
                      </c:pt>
                      <c:pt idx="71" formatCode="General">
                        <c:v>-66.559144981412629</c:v>
                      </c:pt>
                      <c:pt idx="72" formatCode="General">
                        <c:v>-66.895204460966539</c:v>
                      </c:pt>
                      <c:pt idx="73" formatCode="General">
                        <c:v>-67.231263940520435</c:v>
                      </c:pt>
                      <c:pt idx="74" formatCode="General">
                        <c:v>-67.567323420074345</c:v>
                      </c:pt>
                      <c:pt idx="75" formatCode="General">
                        <c:v>-67.903382899628241</c:v>
                      </c:pt>
                      <c:pt idx="76" formatCode="General">
                        <c:v>-68.239442379182151</c:v>
                      </c:pt>
                      <c:pt idx="77" formatCode="General">
                        <c:v>-68.575501858736047</c:v>
                      </c:pt>
                      <c:pt idx="78" formatCode="General">
                        <c:v>-68.911561338289957</c:v>
                      </c:pt>
                      <c:pt idx="79" formatCode="General">
                        <c:v>-69.236039603960393</c:v>
                      </c:pt>
                      <c:pt idx="80" formatCode="General">
                        <c:v>-69.539009900990095</c:v>
                      </c:pt>
                      <c:pt idx="81" formatCode="General">
                        <c:v>-69.841980198019797</c:v>
                      </c:pt>
                      <c:pt idx="82" formatCode="General">
                        <c:v>-70.1449504950495</c:v>
                      </c:pt>
                      <c:pt idx="83" formatCode="General">
                        <c:v>-70.447920792079202</c:v>
                      </c:pt>
                      <c:pt idx="84" formatCode="General">
                        <c:v>-70.750891089108904</c:v>
                      </c:pt>
                      <c:pt idx="85" formatCode="General">
                        <c:v>-71.053861386138607</c:v>
                      </c:pt>
                      <c:pt idx="86" formatCode="General">
                        <c:v>-71.356831683168309</c:v>
                      </c:pt>
                      <c:pt idx="87" formatCode="General">
                        <c:v>-71.659801980198012</c:v>
                      </c:pt>
                      <c:pt idx="88" formatCode="General">
                        <c:v>-71.962772277227714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DEF-4401-8F1D-74D1683602C7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DEF-4401-8F1D-74D1683602C7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-107.9441584158416</c:v>
                      </c:pt>
                      <c:pt idx="1">
                        <c:v>-105.48747524752477</c:v>
                      </c:pt>
                      <c:pt idx="2">
                        <c:v>-103.20232673267327</c:v>
                      </c:pt>
                      <c:pt idx="3">
                        <c:v>-100.93970297029703</c:v>
                      </c:pt>
                      <c:pt idx="4" formatCode="General">
                        <c:v>-99.014950495049504</c:v>
                      </c:pt>
                      <c:pt idx="5" formatCode="General">
                        <c:v>-97.090198019801974</c:v>
                      </c:pt>
                      <c:pt idx="6" formatCode="General">
                        <c:v>-95.322970297029684</c:v>
                      </c:pt>
                      <c:pt idx="7" formatCode="General">
                        <c:v>-93.691287128712858</c:v>
                      </c:pt>
                      <c:pt idx="8" formatCode="General">
                        <c:v>-92.06227722772276</c:v>
                      </c:pt>
                      <c:pt idx="9" formatCode="General">
                        <c:v>-90.644455445544551</c:v>
                      </c:pt>
                      <c:pt idx="10" formatCode="General">
                        <c:v>-89.226633663366343</c:v>
                      </c:pt>
                      <c:pt idx="11" formatCode="General">
                        <c:v>-87.89183168316832</c:v>
                      </c:pt>
                      <c:pt idx="12" formatCode="General">
                        <c:v>-86.644306930693062</c:v>
                      </c:pt>
                      <c:pt idx="13" formatCode="General">
                        <c:v>-85.396782178217819</c:v>
                      </c:pt>
                      <c:pt idx="14" formatCode="General">
                        <c:v>-84.282673267326729</c:v>
                      </c:pt>
                      <c:pt idx="15" formatCode="General">
                        <c:v>-83.173762376237633</c:v>
                      </c:pt>
                      <c:pt idx="16" formatCode="General">
                        <c:v>-82.108168316831694</c:v>
                      </c:pt>
                      <c:pt idx="17" formatCode="General">
                        <c:v>-81.098267326732682</c:v>
                      </c:pt>
                      <c:pt idx="18" formatCode="General">
                        <c:v>-80.088366336633669</c:v>
                      </c:pt>
                      <c:pt idx="19" formatCode="General">
                        <c:v>-79.179653465346533</c:v>
                      </c:pt>
                      <c:pt idx="20" formatCode="General">
                        <c:v>-78.280643564356438</c:v>
                      </c:pt>
                      <c:pt idx="21" formatCode="General">
                        <c:v>-77.410792079207923</c:v>
                      </c:pt>
                      <c:pt idx="22" formatCode="General">
                        <c:v>-76.587029702970298</c:v>
                      </c:pt>
                      <c:pt idx="23" formatCode="General">
                        <c:v>-75.763267326732688</c:v>
                      </c:pt>
                      <c:pt idx="24" formatCode="General">
                        <c:v>-75.025223880597025</c:v>
                      </c:pt>
                      <c:pt idx="25" formatCode="General">
                        <c:v>-74.300845771144282</c:v>
                      </c:pt>
                      <c:pt idx="26" formatCode="General">
                        <c:v>-73.666435643564355</c:v>
                      </c:pt>
                      <c:pt idx="27" formatCode="General">
                        <c:v>-73.199108910891084</c:v>
                      </c:pt>
                      <c:pt idx="28" formatCode="General">
                        <c:v>-72.731782178217827</c:v>
                      </c:pt>
                      <c:pt idx="29" formatCode="General">
                        <c:v>-72.973465346534653</c:v>
                      </c:pt>
                      <c:pt idx="30" formatCode="General">
                        <c:v>-73.365544554455454</c:v>
                      </c:pt>
                      <c:pt idx="31" formatCode="General">
                        <c:v>-73.806336633663364</c:v>
                      </c:pt>
                      <c:pt idx="32" formatCode="General">
                        <c:v>-74.360792079207911</c:v>
                      </c:pt>
                      <c:pt idx="33" formatCode="General">
                        <c:v>-74.915247524752473</c:v>
                      </c:pt>
                      <c:pt idx="34" formatCode="General">
                        <c:v>-75.46356435643564</c:v>
                      </c:pt>
                      <c:pt idx="35" formatCode="General">
                        <c:v>-76.010099009900983</c:v>
                      </c:pt>
                      <c:pt idx="36" formatCode="General">
                        <c:v>-76.557623762376238</c:v>
                      </c:pt>
                      <c:pt idx="37" formatCode="General">
                        <c:v>-77.108118811881184</c:v>
                      </c:pt>
                      <c:pt idx="38" formatCode="General">
                        <c:v>-77.658613861386144</c:v>
                      </c:pt>
                      <c:pt idx="39" formatCode="General">
                        <c:v>-78.206237623762377</c:v>
                      </c:pt>
                      <c:pt idx="40" formatCode="General">
                        <c:v>-78.75277227722772</c:v>
                      </c:pt>
                      <c:pt idx="41" formatCode="General">
                        <c:v>-79.296930693069299</c:v>
                      </c:pt>
                      <c:pt idx="42" formatCode="General">
                        <c:v>-79.831584158415836</c:v>
                      </c:pt>
                      <c:pt idx="43" formatCode="General">
                        <c:v>-80.366237623762373</c:v>
                      </c:pt>
                      <c:pt idx="44" formatCode="General">
                        <c:v>-80.895544554455441</c:v>
                      </c:pt>
                      <c:pt idx="45" formatCode="General">
                        <c:v>-81.422277227722773</c:v>
                      </c:pt>
                      <c:pt idx="46" formatCode="General">
                        <c:v>-81.949009900990106</c:v>
                      </c:pt>
                      <c:pt idx="47" formatCode="General">
                        <c:v>-82.475742574257424</c:v>
                      </c:pt>
                      <c:pt idx="48" formatCode="General">
                        <c:v>-83.002475247524757</c:v>
                      </c:pt>
                      <c:pt idx="49" formatCode="General">
                        <c:v>-83.515985130111531</c:v>
                      </c:pt>
                      <c:pt idx="50" formatCode="General">
                        <c:v>-84.02156133828997</c:v>
                      </c:pt>
                      <c:pt idx="51" formatCode="General">
                        <c:v>-84.52713754646841</c:v>
                      </c:pt>
                      <c:pt idx="52" formatCode="General">
                        <c:v>-85.032713754646849</c:v>
                      </c:pt>
                      <c:pt idx="53" formatCode="General">
                        <c:v>-85.538289962825289</c:v>
                      </c:pt>
                      <c:pt idx="54" formatCode="General">
                        <c:v>-86.043866171003728</c:v>
                      </c:pt>
                      <c:pt idx="55" formatCode="General">
                        <c:v>-86.549442379182167</c:v>
                      </c:pt>
                      <c:pt idx="56" formatCode="General">
                        <c:v>-87.055018587360607</c:v>
                      </c:pt>
                      <c:pt idx="57" formatCode="General">
                        <c:v>-87.560594795539046</c:v>
                      </c:pt>
                      <c:pt idx="58" formatCode="General">
                        <c:v>-88.066171003717486</c:v>
                      </c:pt>
                      <c:pt idx="59" formatCode="General">
                        <c:v>-88.555977722772283</c:v>
                      </c:pt>
                      <c:pt idx="60" formatCode="General">
                        <c:v>-89.032215346534656</c:v>
                      </c:pt>
                      <c:pt idx="61" formatCode="General">
                        <c:v>-89.508452970297043</c:v>
                      </c:pt>
                      <c:pt idx="62" formatCode="General">
                        <c:v>-89.984690594059416</c:v>
                      </c:pt>
                      <c:pt idx="63" formatCode="General">
                        <c:v>-90.460928217821788</c:v>
                      </c:pt>
                      <c:pt idx="64" formatCode="General">
                        <c:v>-90.937165841584161</c:v>
                      </c:pt>
                      <c:pt idx="65" formatCode="General">
                        <c:v>-91.413403465346533</c:v>
                      </c:pt>
                      <c:pt idx="66" formatCode="General">
                        <c:v>-91.889641089108906</c:v>
                      </c:pt>
                      <c:pt idx="67" formatCode="General">
                        <c:v>-92.365878712871293</c:v>
                      </c:pt>
                      <c:pt idx="68" formatCode="General">
                        <c:v>-92.842116336633666</c:v>
                      </c:pt>
                      <c:pt idx="69" formatCode="General">
                        <c:v>-93.302131350681535</c:v>
                      </c:pt>
                      <c:pt idx="70" formatCode="General">
                        <c:v>-93.741288723667907</c:v>
                      </c:pt>
                      <c:pt idx="71" formatCode="General">
                        <c:v>-94.180446096654279</c:v>
                      </c:pt>
                      <c:pt idx="72" formatCode="General">
                        <c:v>-94.619603469640637</c:v>
                      </c:pt>
                      <c:pt idx="73" formatCode="General">
                        <c:v>-95.058760842627009</c:v>
                      </c:pt>
                      <c:pt idx="74" formatCode="General">
                        <c:v>-95.497918215613382</c:v>
                      </c:pt>
                      <c:pt idx="75" formatCode="General">
                        <c:v>-95.93707558859974</c:v>
                      </c:pt>
                      <c:pt idx="76" formatCode="General">
                        <c:v>-96.376232961586112</c:v>
                      </c:pt>
                      <c:pt idx="77" formatCode="General">
                        <c:v>-96.815390334572484</c:v>
                      </c:pt>
                      <c:pt idx="78" formatCode="General">
                        <c:v>-97.254547707558856</c:v>
                      </c:pt>
                      <c:pt idx="79" formatCode="General">
                        <c:v>-97.681039603960386</c:v>
                      </c:pt>
                      <c:pt idx="80" formatCode="General">
                        <c:v>-98.084009900990097</c:v>
                      </c:pt>
                      <c:pt idx="81" formatCode="General">
                        <c:v>-98.486980198019793</c:v>
                      </c:pt>
                      <c:pt idx="82" formatCode="General">
                        <c:v>-98.889950495049504</c:v>
                      </c:pt>
                      <c:pt idx="83" formatCode="General">
                        <c:v>-99.292920792079201</c:v>
                      </c:pt>
                      <c:pt idx="84" formatCode="General">
                        <c:v>-99.695891089108912</c:v>
                      </c:pt>
                      <c:pt idx="85" formatCode="General">
                        <c:v>-100.09886138613862</c:v>
                      </c:pt>
                      <c:pt idx="86" formatCode="General">
                        <c:v>-100.50183168316832</c:v>
                      </c:pt>
                      <c:pt idx="87" formatCode="General">
                        <c:v>-100.90480198019803</c:v>
                      </c:pt>
                      <c:pt idx="88" formatCode="General">
                        <c:v>-101.30777227722774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DEF-4401-8F1D-74D1683602C7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-193.34064356435644</c:v>
                      </c:pt>
                      <c:pt idx="1">
                        <c:v>-188.81108910891089</c:v>
                      </c:pt>
                      <c:pt idx="2">
                        <c:v>-184.55762376237624</c:v>
                      </c:pt>
                      <c:pt idx="3">
                        <c:v>-180.33806930693069</c:v>
                      </c:pt>
                      <c:pt idx="4" formatCode="General">
                        <c:v>-176.62717821782178</c:v>
                      </c:pt>
                      <c:pt idx="5" formatCode="General">
                        <c:v>-172.91628712871287</c:v>
                      </c:pt>
                      <c:pt idx="6" formatCode="General">
                        <c:v>-169.44594059405938</c:v>
                      </c:pt>
                      <c:pt idx="7" formatCode="General">
                        <c:v>-166.18257425742573</c:v>
                      </c:pt>
                      <c:pt idx="8" formatCode="General">
                        <c:v>-162.9236633663366</c:v>
                      </c:pt>
                      <c:pt idx="9" formatCode="General">
                        <c:v>-160.01673267326731</c:v>
                      </c:pt>
                      <c:pt idx="10" formatCode="General">
                        <c:v>-157.10980198019803</c:v>
                      </c:pt>
                      <c:pt idx="11" formatCode="General">
                        <c:v>-154.35539603960396</c:v>
                      </c:pt>
                      <c:pt idx="12" formatCode="General">
                        <c:v>-151.76133663366338</c:v>
                      </c:pt>
                      <c:pt idx="13" formatCode="General">
                        <c:v>-149.16727722772276</c:v>
                      </c:pt>
                      <c:pt idx="14" formatCode="General">
                        <c:v>-146.83623762376237</c:v>
                      </c:pt>
                      <c:pt idx="15" formatCode="General">
                        <c:v>-144.51544554455447</c:v>
                      </c:pt>
                      <c:pt idx="16" formatCode="General">
                        <c:v>-142.28821782178218</c:v>
                      </c:pt>
                      <c:pt idx="17" formatCode="General">
                        <c:v>-140.18128712871285</c:v>
                      </c:pt>
                      <c:pt idx="18" formatCode="General">
                        <c:v>-138.07435643564355</c:v>
                      </c:pt>
                      <c:pt idx="19" formatCode="General">
                        <c:v>-136.18064356435644</c:v>
                      </c:pt>
                      <c:pt idx="20" formatCode="General">
                        <c:v>-134.30737623762377</c:v>
                      </c:pt>
                      <c:pt idx="21" formatCode="General">
                        <c:v>-132.49549504950497</c:v>
                      </c:pt>
                      <c:pt idx="22" formatCode="General">
                        <c:v>-130.78064356435644</c:v>
                      </c:pt>
                      <c:pt idx="23" formatCode="General">
                        <c:v>-129.06579207920791</c:v>
                      </c:pt>
                      <c:pt idx="24" formatCode="General">
                        <c:v>-127.51179104477612</c:v>
                      </c:pt>
                      <c:pt idx="25" formatCode="General">
                        <c:v>-125.98343283582089</c:v>
                      </c:pt>
                      <c:pt idx="26" formatCode="General">
                        <c:v>-124.63792079207921</c:v>
                      </c:pt>
                      <c:pt idx="27" formatCode="General">
                        <c:v>-123.63198019801982</c:v>
                      </c:pt>
                      <c:pt idx="28" formatCode="General">
                        <c:v>-122.62603960396041</c:v>
                      </c:pt>
                      <c:pt idx="29" formatCode="General">
                        <c:v>-123.0152475247525</c:v>
                      </c:pt>
                      <c:pt idx="30" formatCode="General">
                        <c:v>-123.70039603960397</c:v>
                      </c:pt>
                      <c:pt idx="31" formatCode="General">
                        <c:v>-124.4770297029703</c:v>
                      </c:pt>
                      <c:pt idx="32" formatCode="General">
                        <c:v>-125.46712871287129</c:v>
                      </c:pt>
                      <c:pt idx="33" formatCode="General">
                        <c:v>-126.45722772277226</c:v>
                      </c:pt>
                      <c:pt idx="34" formatCode="General">
                        <c:v>-127.43811881188118</c:v>
                      </c:pt>
                      <c:pt idx="35" formatCode="General">
                        <c:v>-128.41633663366338</c:v>
                      </c:pt>
                      <c:pt idx="36" formatCode="General">
                        <c:v>-129.39554455445545</c:v>
                      </c:pt>
                      <c:pt idx="37" formatCode="General">
                        <c:v>-130.37772277227722</c:v>
                      </c:pt>
                      <c:pt idx="38" formatCode="General">
                        <c:v>-131.35990099009899</c:v>
                      </c:pt>
                      <c:pt idx="39" formatCode="General">
                        <c:v>-132.33633663366336</c:v>
                      </c:pt>
                      <c:pt idx="40" formatCode="General">
                        <c:v>-133.31059405940593</c:v>
                      </c:pt>
                      <c:pt idx="41" formatCode="General">
                        <c:v>-134.28089108910891</c:v>
                      </c:pt>
                      <c:pt idx="42" formatCode="General">
                        <c:v>-135.23534653465347</c:v>
                      </c:pt>
                      <c:pt idx="43" formatCode="General">
                        <c:v>-136.18980198019801</c:v>
                      </c:pt>
                      <c:pt idx="44" formatCode="General">
                        <c:v>-137.13356435643564</c:v>
                      </c:pt>
                      <c:pt idx="45" formatCode="General">
                        <c:v>-138.0721782178218</c:v>
                      </c:pt>
                      <c:pt idx="46" formatCode="General">
                        <c:v>-139.01079207920793</c:v>
                      </c:pt>
                      <c:pt idx="47" formatCode="General">
                        <c:v>-139.94940594059406</c:v>
                      </c:pt>
                      <c:pt idx="48" formatCode="General">
                        <c:v>-140.88801980198022</c:v>
                      </c:pt>
                      <c:pt idx="49" formatCode="General">
                        <c:v>-141.80257744733581</c:v>
                      </c:pt>
                      <c:pt idx="50" formatCode="General">
                        <c:v>-142.70270136307312</c:v>
                      </c:pt>
                      <c:pt idx="51" formatCode="General">
                        <c:v>-143.6028252788104</c:v>
                      </c:pt>
                      <c:pt idx="52" formatCode="General">
                        <c:v>-144.50294919454771</c:v>
                      </c:pt>
                      <c:pt idx="53" formatCode="General">
                        <c:v>-145.40307311028499</c:v>
                      </c:pt>
                      <c:pt idx="54" formatCode="General">
                        <c:v>-146.3031970260223</c:v>
                      </c:pt>
                      <c:pt idx="55" formatCode="General">
                        <c:v>-147.20332094175959</c:v>
                      </c:pt>
                      <c:pt idx="56" formatCode="General">
                        <c:v>-148.1034448574969</c:v>
                      </c:pt>
                      <c:pt idx="57" formatCode="General">
                        <c:v>-149.00356877323418</c:v>
                      </c:pt>
                      <c:pt idx="58" formatCode="General">
                        <c:v>-149.90369268897149</c:v>
                      </c:pt>
                      <c:pt idx="59" formatCode="General">
                        <c:v>-150.77394801980196</c:v>
                      </c:pt>
                      <c:pt idx="60" formatCode="General">
                        <c:v>-151.61850247524751</c:v>
                      </c:pt>
                      <c:pt idx="61" formatCode="General">
                        <c:v>-152.46305693069306</c:v>
                      </c:pt>
                      <c:pt idx="62" formatCode="General">
                        <c:v>-153.3076113861386</c:v>
                      </c:pt>
                      <c:pt idx="63" formatCode="General">
                        <c:v>-154.15216584158415</c:v>
                      </c:pt>
                      <c:pt idx="64" formatCode="General">
                        <c:v>-154.9967202970297</c:v>
                      </c:pt>
                      <c:pt idx="65" formatCode="General">
                        <c:v>-155.84127475247524</c:v>
                      </c:pt>
                      <c:pt idx="66" formatCode="General">
                        <c:v>-156.68582920792079</c:v>
                      </c:pt>
                      <c:pt idx="67" formatCode="General">
                        <c:v>-157.53038366336634</c:v>
                      </c:pt>
                      <c:pt idx="68" formatCode="General">
                        <c:v>-158.37493811881188</c:v>
                      </c:pt>
                      <c:pt idx="69" formatCode="General">
                        <c:v>-159.18915737298636</c:v>
                      </c:pt>
                      <c:pt idx="70" formatCode="General">
                        <c:v>-159.96437422552663</c:v>
                      </c:pt>
                      <c:pt idx="71" formatCode="General">
                        <c:v>-160.73959107806692</c:v>
                      </c:pt>
                      <c:pt idx="72" formatCode="General">
                        <c:v>-161.51480793060719</c:v>
                      </c:pt>
                      <c:pt idx="73" formatCode="General">
                        <c:v>-162.29002478314746</c:v>
                      </c:pt>
                      <c:pt idx="74" formatCode="General">
                        <c:v>-163.06524163568773</c:v>
                      </c:pt>
                      <c:pt idx="75" formatCode="General">
                        <c:v>-163.84045848822802</c:v>
                      </c:pt>
                      <c:pt idx="76" formatCode="General">
                        <c:v>-164.61567534076829</c:v>
                      </c:pt>
                      <c:pt idx="77" formatCode="General">
                        <c:v>-165.39089219330856</c:v>
                      </c:pt>
                      <c:pt idx="78" formatCode="General">
                        <c:v>-166.16610904584883</c:v>
                      </c:pt>
                      <c:pt idx="79" formatCode="General">
                        <c:v>-166.91707920792081</c:v>
                      </c:pt>
                      <c:pt idx="80" formatCode="General">
                        <c:v>-167.62301980198021</c:v>
                      </c:pt>
                      <c:pt idx="81" formatCode="General">
                        <c:v>-168.32896039603961</c:v>
                      </c:pt>
                      <c:pt idx="82" formatCode="General">
                        <c:v>-169.03490099009903</c:v>
                      </c:pt>
                      <c:pt idx="83" formatCode="General">
                        <c:v>-169.74084158415843</c:v>
                      </c:pt>
                      <c:pt idx="84" formatCode="General">
                        <c:v>-170.44678217821783</c:v>
                      </c:pt>
                      <c:pt idx="85" formatCode="General">
                        <c:v>-171.15272277227723</c:v>
                      </c:pt>
                      <c:pt idx="86" formatCode="General">
                        <c:v>-171.85866336633666</c:v>
                      </c:pt>
                      <c:pt idx="87" formatCode="General">
                        <c:v>-172.56460396039606</c:v>
                      </c:pt>
                      <c:pt idx="88" formatCode="General">
                        <c:v>-173.27054455445545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DEF-4401-8F1D-74D1683602C7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DEF-4401-8F1D-74D1683602C7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-85.396485148514856</c:v>
                      </c:pt>
                      <c:pt idx="1">
                        <c:v>-83.32361386138615</c:v>
                      </c:pt>
                      <c:pt idx="2">
                        <c:v>-81.355297029702982</c:v>
                      </c:pt>
                      <c:pt idx="3">
                        <c:v>-79.398366336633671</c:v>
                      </c:pt>
                      <c:pt idx="4" formatCode="General">
                        <c:v>-77.612227722772275</c:v>
                      </c:pt>
                      <c:pt idx="5" formatCode="General">
                        <c:v>-75.826089108910892</c:v>
                      </c:pt>
                      <c:pt idx="6" formatCode="General">
                        <c:v>-74.122970297029696</c:v>
                      </c:pt>
                      <c:pt idx="7" formatCode="General">
                        <c:v>-72.49128712871287</c:v>
                      </c:pt>
                      <c:pt idx="8" formatCode="General">
                        <c:v>-70.861386138613852</c:v>
                      </c:pt>
                      <c:pt idx="9" formatCode="General">
                        <c:v>-69.372277227722776</c:v>
                      </c:pt>
                      <c:pt idx="10" formatCode="General">
                        <c:v>-67.883168316831686</c:v>
                      </c:pt>
                      <c:pt idx="11" formatCode="General">
                        <c:v>-66.463564356435654</c:v>
                      </c:pt>
                      <c:pt idx="12" formatCode="General">
                        <c:v>-65.117029702970299</c:v>
                      </c:pt>
                      <c:pt idx="13" formatCode="General">
                        <c:v>-63.770495049504952</c:v>
                      </c:pt>
                      <c:pt idx="14" formatCode="General">
                        <c:v>-62.553564356435643</c:v>
                      </c:pt>
                      <c:pt idx="15" formatCode="General">
                        <c:v>-61.341683168316834</c:v>
                      </c:pt>
                      <c:pt idx="16" formatCode="General">
                        <c:v>-60.180049504950496</c:v>
                      </c:pt>
                      <c:pt idx="17" formatCode="General">
                        <c:v>-59.0830198019802</c:v>
                      </c:pt>
                      <c:pt idx="18" formatCode="General">
                        <c:v>-57.985990099009896</c:v>
                      </c:pt>
                      <c:pt idx="19" formatCode="General">
                        <c:v>-57.000990099009904</c:v>
                      </c:pt>
                      <c:pt idx="20" formatCode="General">
                        <c:v>-56.026732673267333</c:v>
                      </c:pt>
                      <c:pt idx="21" formatCode="General">
                        <c:v>-55.08470297029703</c:v>
                      </c:pt>
                      <c:pt idx="22" formatCode="General">
                        <c:v>-54.19361386138614</c:v>
                      </c:pt>
                      <c:pt idx="23" formatCode="General">
                        <c:v>-53.30252475247525</c:v>
                      </c:pt>
                      <c:pt idx="24" formatCode="General">
                        <c:v>-52.486567164179107</c:v>
                      </c:pt>
                      <c:pt idx="25" formatCode="General">
                        <c:v>-51.682587064676611</c:v>
                      </c:pt>
                      <c:pt idx="26" formatCode="General">
                        <c:v>-50.971485148514844</c:v>
                      </c:pt>
                      <c:pt idx="27" formatCode="General">
                        <c:v>-50.432871287128705</c:v>
                      </c:pt>
                      <c:pt idx="28" formatCode="General">
                        <c:v>-49.894257425742573</c:v>
                      </c:pt>
                      <c:pt idx="29" formatCode="General">
                        <c:v>-50.041782178217822</c:v>
                      </c:pt>
                      <c:pt idx="30" formatCode="General">
                        <c:v>-50.334851485148519</c:v>
                      </c:pt>
                      <c:pt idx="31" formatCode="General">
                        <c:v>-50.670693069306935</c:v>
                      </c:pt>
                      <c:pt idx="32" formatCode="General">
                        <c:v>-51.106336633663368</c:v>
                      </c:pt>
                      <c:pt idx="33" formatCode="General">
                        <c:v>-51.541980198019807</c:v>
                      </c:pt>
                      <c:pt idx="34" formatCode="General">
                        <c:v>-51.974554455445549</c:v>
                      </c:pt>
                      <c:pt idx="35" formatCode="General">
                        <c:v>-52.406237623762379</c:v>
                      </c:pt>
                      <c:pt idx="36" formatCode="General">
                        <c:v>-52.83792079207921</c:v>
                      </c:pt>
                      <c:pt idx="37" formatCode="General">
                        <c:v>-53.26960396039604</c:v>
                      </c:pt>
                      <c:pt idx="38" formatCode="General">
                        <c:v>-53.701287128712863</c:v>
                      </c:pt>
                      <c:pt idx="39" formatCode="General">
                        <c:v>-54.130099009900981</c:v>
                      </c:pt>
                      <c:pt idx="40" formatCode="General">
                        <c:v>-54.557821782178216</c:v>
                      </c:pt>
                      <c:pt idx="41" formatCode="General">
                        <c:v>-54.983960396039606</c:v>
                      </c:pt>
                      <c:pt idx="42" formatCode="General">
                        <c:v>-55.403762376237623</c:v>
                      </c:pt>
                      <c:pt idx="43" formatCode="General">
                        <c:v>-55.823564356435639</c:v>
                      </c:pt>
                      <c:pt idx="44" formatCode="General">
                        <c:v>-56.238019801980194</c:v>
                      </c:pt>
                      <c:pt idx="45" formatCode="General">
                        <c:v>-56.649900990099006</c:v>
                      </c:pt>
                      <c:pt idx="46" formatCode="General">
                        <c:v>-57.061782178217825</c:v>
                      </c:pt>
                      <c:pt idx="47" formatCode="General">
                        <c:v>-57.473663366336638</c:v>
                      </c:pt>
                      <c:pt idx="48" formatCode="General">
                        <c:v>-57.88554455445545</c:v>
                      </c:pt>
                      <c:pt idx="49" formatCode="General">
                        <c:v>-58.28659231722429</c:v>
                      </c:pt>
                      <c:pt idx="50" formatCode="General">
                        <c:v>-58.681140024783154</c:v>
                      </c:pt>
                      <c:pt idx="51" formatCode="General">
                        <c:v>-59.075687732342011</c:v>
                      </c:pt>
                      <c:pt idx="52" formatCode="General">
                        <c:v>-59.470235439900868</c:v>
                      </c:pt>
                      <c:pt idx="53" formatCode="General">
                        <c:v>-59.864783147459733</c:v>
                      </c:pt>
                      <c:pt idx="54" formatCode="General">
                        <c:v>-60.25933085501859</c:v>
                      </c:pt>
                      <c:pt idx="55" formatCode="General">
                        <c:v>-60.653878562577447</c:v>
                      </c:pt>
                      <c:pt idx="56" formatCode="General">
                        <c:v>-61.048426270136311</c:v>
                      </c:pt>
                      <c:pt idx="57" formatCode="General">
                        <c:v>-61.442973977695168</c:v>
                      </c:pt>
                      <c:pt idx="58" formatCode="General">
                        <c:v>-61.837521685254032</c:v>
                      </c:pt>
                      <c:pt idx="59" formatCode="General">
                        <c:v>-62.217970297029701</c:v>
                      </c:pt>
                      <c:pt idx="60" formatCode="General">
                        <c:v>-62.586287128712868</c:v>
                      </c:pt>
                      <c:pt idx="61" formatCode="General">
                        <c:v>-62.954603960396042</c:v>
                      </c:pt>
                      <c:pt idx="62" formatCode="General">
                        <c:v>-63.322920792079209</c:v>
                      </c:pt>
                      <c:pt idx="63" formatCode="General">
                        <c:v>-63.691237623762376</c:v>
                      </c:pt>
                      <c:pt idx="64" formatCode="General">
                        <c:v>-64.059554455445536</c:v>
                      </c:pt>
                      <c:pt idx="65" formatCode="General">
                        <c:v>-64.42787128712871</c:v>
                      </c:pt>
                      <c:pt idx="66" formatCode="General">
                        <c:v>-64.796188118811884</c:v>
                      </c:pt>
                      <c:pt idx="67" formatCode="General">
                        <c:v>-65.164504950495044</c:v>
                      </c:pt>
                      <c:pt idx="68" formatCode="General">
                        <c:v>-65.532821782178218</c:v>
                      </c:pt>
                      <c:pt idx="69" formatCode="General">
                        <c:v>-65.887026022304823</c:v>
                      </c:pt>
                      <c:pt idx="70" formatCode="General">
                        <c:v>-66.223085501858733</c:v>
                      </c:pt>
                      <c:pt idx="71" formatCode="General">
                        <c:v>-66.559144981412629</c:v>
                      </c:pt>
                      <c:pt idx="72" formatCode="General">
                        <c:v>-66.895204460966539</c:v>
                      </c:pt>
                      <c:pt idx="73" formatCode="General">
                        <c:v>-67.231263940520435</c:v>
                      </c:pt>
                      <c:pt idx="74" formatCode="General">
                        <c:v>-67.567323420074345</c:v>
                      </c:pt>
                      <c:pt idx="75" formatCode="General">
                        <c:v>-67.903382899628241</c:v>
                      </c:pt>
                      <c:pt idx="76" formatCode="General">
                        <c:v>-68.239442379182151</c:v>
                      </c:pt>
                      <c:pt idx="77" formatCode="General">
                        <c:v>-68.575501858736047</c:v>
                      </c:pt>
                      <c:pt idx="78" formatCode="General">
                        <c:v>-68.911561338289957</c:v>
                      </c:pt>
                      <c:pt idx="79" formatCode="General">
                        <c:v>-69.236039603960393</c:v>
                      </c:pt>
                      <c:pt idx="80" formatCode="General">
                        <c:v>-69.539009900990095</c:v>
                      </c:pt>
                      <c:pt idx="81" formatCode="General">
                        <c:v>-69.841980198019797</c:v>
                      </c:pt>
                      <c:pt idx="82" formatCode="General">
                        <c:v>-70.1449504950495</c:v>
                      </c:pt>
                      <c:pt idx="83" formatCode="General">
                        <c:v>-70.447920792079202</c:v>
                      </c:pt>
                      <c:pt idx="84" formatCode="General">
                        <c:v>-70.750891089108904</c:v>
                      </c:pt>
                      <c:pt idx="85" formatCode="General">
                        <c:v>-71.053861386138607</c:v>
                      </c:pt>
                      <c:pt idx="86" formatCode="General">
                        <c:v>-71.356831683168309</c:v>
                      </c:pt>
                      <c:pt idx="87" formatCode="General">
                        <c:v>-71.659801980198012</c:v>
                      </c:pt>
                      <c:pt idx="88" formatCode="General">
                        <c:v>-71.962772277227714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DEF-4401-8F1D-74D1683602C7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-193.34064356435644</c:v>
                      </c:pt>
                      <c:pt idx="1">
                        <c:v>-188.81108910891089</c:v>
                      </c:pt>
                      <c:pt idx="2">
                        <c:v>-184.55762376237624</c:v>
                      </c:pt>
                      <c:pt idx="3">
                        <c:v>-180.33806930693069</c:v>
                      </c:pt>
                      <c:pt idx="4" formatCode="General">
                        <c:v>-176.62717821782178</c:v>
                      </c:pt>
                      <c:pt idx="5" formatCode="General">
                        <c:v>-172.91628712871287</c:v>
                      </c:pt>
                      <c:pt idx="6" formatCode="General">
                        <c:v>-169.44594059405938</c:v>
                      </c:pt>
                      <c:pt idx="7" formatCode="General">
                        <c:v>-166.18257425742573</c:v>
                      </c:pt>
                      <c:pt idx="8" formatCode="General">
                        <c:v>-162.9236633663366</c:v>
                      </c:pt>
                      <c:pt idx="9" formatCode="General">
                        <c:v>-160.01673267326731</c:v>
                      </c:pt>
                      <c:pt idx="10" formatCode="General">
                        <c:v>-157.10980198019803</c:v>
                      </c:pt>
                      <c:pt idx="11" formatCode="General">
                        <c:v>-154.35539603960396</c:v>
                      </c:pt>
                      <c:pt idx="12" formatCode="General">
                        <c:v>-151.76133663366338</c:v>
                      </c:pt>
                      <c:pt idx="13" formatCode="General">
                        <c:v>-149.16727722772276</c:v>
                      </c:pt>
                      <c:pt idx="14" formatCode="General">
                        <c:v>-146.83623762376237</c:v>
                      </c:pt>
                      <c:pt idx="15" formatCode="General">
                        <c:v>-144.51544554455447</c:v>
                      </c:pt>
                      <c:pt idx="16" formatCode="General">
                        <c:v>-142.28821782178218</c:v>
                      </c:pt>
                      <c:pt idx="17" formatCode="General">
                        <c:v>-140.18128712871285</c:v>
                      </c:pt>
                      <c:pt idx="18" formatCode="General">
                        <c:v>-138.07435643564355</c:v>
                      </c:pt>
                      <c:pt idx="19" formatCode="General">
                        <c:v>-136.18064356435644</c:v>
                      </c:pt>
                      <c:pt idx="20" formatCode="General">
                        <c:v>-134.30737623762377</c:v>
                      </c:pt>
                      <c:pt idx="21" formatCode="General">
                        <c:v>-132.49549504950497</c:v>
                      </c:pt>
                      <c:pt idx="22" formatCode="General">
                        <c:v>-130.78064356435644</c:v>
                      </c:pt>
                      <c:pt idx="23" formatCode="General">
                        <c:v>-129.06579207920791</c:v>
                      </c:pt>
                      <c:pt idx="24" formatCode="General">
                        <c:v>-127.51179104477612</c:v>
                      </c:pt>
                      <c:pt idx="25" formatCode="General">
                        <c:v>-125.98343283582089</c:v>
                      </c:pt>
                      <c:pt idx="26" formatCode="General">
                        <c:v>-124.63792079207921</c:v>
                      </c:pt>
                      <c:pt idx="27" formatCode="General">
                        <c:v>-123.63198019801982</c:v>
                      </c:pt>
                      <c:pt idx="28" formatCode="General">
                        <c:v>-122.62603960396041</c:v>
                      </c:pt>
                      <c:pt idx="29" formatCode="General">
                        <c:v>-123.0152475247525</c:v>
                      </c:pt>
                      <c:pt idx="30" formatCode="General">
                        <c:v>-123.70039603960397</c:v>
                      </c:pt>
                      <c:pt idx="31" formatCode="General">
                        <c:v>-124.4770297029703</c:v>
                      </c:pt>
                      <c:pt idx="32" formatCode="General">
                        <c:v>-125.46712871287129</c:v>
                      </c:pt>
                      <c:pt idx="33" formatCode="General">
                        <c:v>-126.45722772277226</c:v>
                      </c:pt>
                      <c:pt idx="34" formatCode="General">
                        <c:v>-127.43811881188118</c:v>
                      </c:pt>
                      <c:pt idx="35" formatCode="General">
                        <c:v>-128.41633663366338</c:v>
                      </c:pt>
                      <c:pt idx="36" formatCode="General">
                        <c:v>-129.39554455445545</c:v>
                      </c:pt>
                      <c:pt idx="37" formatCode="General">
                        <c:v>-130.37772277227722</c:v>
                      </c:pt>
                      <c:pt idx="38" formatCode="General">
                        <c:v>-131.35990099009899</c:v>
                      </c:pt>
                      <c:pt idx="39" formatCode="General">
                        <c:v>-132.33633663366336</c:v>
                      </c:pt>
                      <c:pt idx="40" formatCode="General">
                        <c:v>-133.31059405940593</c:v>
                      </c:pt>
                      <c:pt idx="41" formatCode="General">
                        <c:v>-134.28089108910891</c:v>
                      </c:pt>
                      <c:pt idx="42" formatCode="General">
                        <c:v>-135.23534653465347</c:v>
                      </c:pt>
                      <c:pt idx="43" formatCode="General">
                        <c:v>-136.18980198019801</c:v>
                      </c:pt>
                      <c:pt idx="44" formatCode="General">
                        <c:v>-137.13356435643564</c:v>
                      </c:pt>
                      <c:pt idx="45" formatCode="General">
                        <c:v>-138.0721782178218</c:v>
                      </c:pt>
                      <c:pt idx="46" formatCode="General">
                        <c:v>-139.01079207920793</c:v>
                      </c:pt>
                      <c:pt idx="47" formatCode="General">
                        <c:v>-139.94940594059406</c:v>
                      </c:pt>
                      <c:pt idx="48" formatCode="General">
                        <c:v>-140.88801980198022</c:v>
                      </c:pt>
                      <c:pt idx="49" formatCode="General">
                        <c:v>-141.80257744733581</c:v>
                      </c:pt>
                      <c:pt idx="50" formatCode="General">
                        <c:v>-142.70270136307312</c:v>
                      </c:pt>
                      <c:pt idx="51" formatCode="General">
                        <c:v>-143.6028252788104</c:v>
                      </c:pt>
                      <c:pt idx="52" formatCode="General">
                        <c:v>-144.50294919454771</c:v>
                      </c:pt>
                      <c:pt idx="53" formatCode="General">
                        <c:v>-145.40307311028499</c:v>
                      </c:pt>
                      <c:pt idx="54" formatCode="General">
                        <c:v>-146.3031970260223</c:v>
                      </c:pt>
                      <c:pt idx="55" formatCode="General">
                        <c:v>-147.20332094175959</c:v>
                      </c:pt>
                      <c:pt idx="56" formatCode="General">
                        <c:v>-148.1034448574969</c:v>
                      </c:pt>
                      <c:pt idx="57" formatCode="General">
                        <c:v>-149.00356877323418</c:v>
                      </c:pt>
                      <c:pt idx="58" formatCode="General">
                        <c:v>-149.90369268897149</c:v>
                      </c:pt>
                      <c:pt idx="59" formatCode="General">
                        <c:v>-150.77394801980196</c:v>
                      </c:pt>
                      <c:pt idx="60" formatCode="General">
                        <c:v>-151.61850247524751</c:v>
                      </c:pt>
                      <c:pt idx="61" formatCode="General">
                        <c:v>-152.46305693069306</c:v>
                      </c:pt>
                      <c:pt idx="62" formatCode="General">
                        <c:v>-153.3076113861386</c:v>
                      </c:pt>
                      <c:pt idx="63" formatCode="General">
                        <c:v>-154.15216584158415</c:v>
                      </c:pt>
                      <c:pt idx="64" formatCode="General">
                        <c:v>-154.9967202970297</c:v>
                      </c:pt>
                      <c:pt idx="65" formatCode="General">
                        <c:v>-155.84127475247524</c:v>
                      </c:pt>
                      <c:pt idx="66" formatCode="General">
                        <c:v>-156.68582920792079</c:v>
                      </c:pt>
                      <c:pt idx="67" formatCode="General">
                        <c:v>-157.53038366336634</c:v>
                      </c:pt>
                      <c:pt idx="68" formatCode="General">
                        <c:v>-158.37493811881188</c:v>
                      </c:pt>
                      <c:pt idx="69" formatCode="General">
                        <c:v>-159.18915737298636</c:v>
                      </c:pt>
                      <c:pt idx="70" formatCode="General">
                        <c:v>-159.96437422552663</c:v>
                      </c:pt>
                      <c:pt idx="71" formatCode="General">
                        <c:v>-160.73959107806692</c:v>
                      </c:pt>
                      <c:pt idx="72" formatCode="General">
                        <c:v>-161.51480793060719</c:v>
                      </c:pt>
                      <c:pt idx="73" formatCode="General">
                        <c:v>-162.29002478314746</c:v>
                      </c:pt>
                      <c:pt idx="74" formatCode="General">
                        <c:v>-163.06524163568773</c:v>
                      </c:pt>
                      <c:pt idx="75" formatCode="General">
                        <c:v>-163.84045848822802</c:v>
                      </c:pt>
                      <c:pt idx="76" formatCode="General">
                        <c:v>-164.61567534076829</c:v>
                      </c:pt>
                      <c:pt idx="77" formatCode="General">
                        <c:v>-165.39089219330856</c:v>
                      </c:pt>
                      <c:pt idx="78" formatCode="General">
                        <c:v>-166.16610904584883</c:v>
                      </c:pt>
                      <c:pt idx="79" formatCode="General">
                        <c:v>-166.91707920792081</c:v>
                      </c:pt>
                      <c:pt idx="80" formatCode="General">
                        <c:v>-167.62301980198021</c:v>
                      </c:pt>
                      <c:pt idx="81" formatCode="General">
                        <c:v>-168.32896039603961</c:v>
                      </c:pt>
                      <c:pt idx="82" formatCode="General">
                        <c:v>-169.03490099009903</c:v>
                      </c:pt>
                      <c:pt idx="83" formatCode="General">
                        <c:v>-169.74084158415843</c:v>
                      </c:pt>
                      <c:pt idx="84" formatCode="General">
                        <c:v>-170.44678217821783</c:v>
                      </c:pt>
                      <c:pt idx="85" formatCode="General">
                        <c:v>-171.15272277227723</c:v>
                      </c:pt>
                      <c:pt idx="86" formatCode="General">
                        <c:v>-171.85866336633666</c:v>
                      </c:pt>
                      <c:pt idx="87" formatCode="General">
                        <c:v>-172.56460396039606</c:v>
                      </c:pt>
                      <c:pt idx="88" formatCode="General">
                        <c:v>-173.27054455445545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DEF-4401-8F1D-74D1683602C7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DEF-4401-8F1D-74D1683602C7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DEF-4401-8F1D-74D1683602C7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5DEF-4401-8F1D-74D1683602C7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DEF-4401-8F1D-74D1683602C7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DEF-4401-8F1D-74D1683602C7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DEF-4401-8F1D-74D1683602C7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DEF-4401-8F1D-74D1683602C7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DEF-4401-8F1D-74D1683602C7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DEF-4401-8F1D-74D1683602C7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DEF-4401-8F1D-74D1683602C7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DEF-4401-8F1D-74D1683602C7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DEF-4401-8F1D-74D1683602C7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DEF-4401-8F1D-74D1683602C7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DEF-4401-8F1D-74D1683602C7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DEF-4401-8F1D-74D1683602C7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35"/>
          <c:min val="-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GeSe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887597466096567"/>
          <c:y val="9.7871135220072E-2"/>
          <c:w val="0.76019913337979017"/>
          <c:h val="0.78304241404704567"/>
        </c:manualLayout>
      </c:layout>
      <c:scatterChart>
        <c:scatterStyle val="smoothMarker"/>
        <c:varyColors val="0"/>
        <c:ser>
          <c:idx val="2"/>
          <c:order val="2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EVALUATION!$B$103:$CP$103</c:f>
              <c:numCache>
                <c:formatCode>0</c:formatCode>
                <c:ptCount val="93"/>
                <c:pt idx="0">
                  <c:v>-38.044702970297031</c:v>
                </c:pt>
                <c:pt idx="1">
                  <c:v>-37.276534653465347</c:v>
                </c:pt>
                <c:pt idx="2">
                  <c:v>-36.555742574257422</c:v>
                </c:pt>
                <c:pt idx="3">
                  <c:v>-35.841138613861382</c:v>
                </c:pt>
                <c:pt idx="4" formatCode="General">
                  <c:v>-35.219356435643562</c:v>
                </c:pt>
                <c:pt idx="5" formatCode="General">
                  <c:v>-34.597574257425741</c:v>
                </c:pt>
                <c:pt idx="6" formatCode="General">
                  <c:v>-34.01879207920792</c:v>
                </c:pt>
                <c:pt idx="7" formatCode="General">
                  <c:v>-33.477009900990097</c:v>
                </c:pt>
                <c:pt idx="8" formatCode="General">
                  <c:v>-32.936969059405939</c:v>
                </c:pt>
                <c:pt idx="9" formatCode="General">
                  <c:v>-32.534493811881184</c:v>
                </c:pt>
                <c:pt idx="10" formatCode="General">
                  <c:v>-32.132018564356436</c:v>
                </c:pt>
                <c:pt idx="11" formatCode="General">
                  <c:v>-31.72954331683168</c:v>
                </c:pt>
                <c:pt idx="12" formatCode="General">
                  <c:v>-31.327068069306929</c:v>
                </c:pt>
                <c:pt idx="13" formatCode="General">
                  <c:v>-30.924592821782177</c:v>
                </c:pt>
                <c:pt idx="14" formatCode="General">
                  <c:v>-30.522117574257425</c:v>
                </c:pt>
                <c:pt idx="15" formatCode="General">
                  <c:v>-30.119642326732674</c:v>
                </c:pt>
                <c:pt idx="16" formatCode="General">
                  <c:v>-29.717167079207918</c:v>
                </c:pt>
                <c:pt idx="17" formatCode="General">
                  <c:v>-29.314691831683167</c:v>
                </c:pt>
                <c:pt idx="18" formatCode="General">
                  <c:v>-28.912216584158415</c:v>
                </c:pt>
                <c:pt idx="19" formatCode="General">
                  <c:v>-28.607044554455445</c:v>
                </c:pt>
                <c:pt idx="20" formatCode="General">
                  <c:v>-28.311202970297028</c:v>
                </c:pt>
                <c:pt idx="21" formatCode="General">
                  <c:v>-28.025643564356436</c:v>
                </c:pt>
                <c:pt idx="22" formatCode="General">
                  <c:v>-27.756336633663366</c:v>
                </c:pt>
                <c:pt idx="23" formatCode="General">
                  <c:v>-27.487029702970297</c:v>
                </c:pt>
                <c:pt idx="24" formatCode="General">
                  <c:v>-27.239567164179103</c:v>
                </c:pt>
                <c:pt idx="25" formatCode="General">
                  <c:v>-26.995587064676617</c:v>
                </c:pt>
                <c:pt idx="26" formatCode="General">
                  <c:v>-26.772544554455443</c:v>
                </c:pt>
                <c:pt idx="27" formatCode="General">
                  <c:v>-26.58838613861386</c:v>
                </c:pt>
                <c:pt idx="28" formatCode="General">
                  <c:v>-26.404227722772276</c:v>
                </c:pt>
                <c:pt idx="29" formatCode="General">
                  <c:v>-26.48570297029703</c:v>
                </c:pt>
                <c:pt idx="30" formatCode="General">
                  <c:v>-26.623524752475248</c:v>
                </c:pt>
                <c:pt idx="31" formatCode="General">
                  <c:v>-26.762772277227722</c:v>
                </c:pt>
                <c:pt idx="32" formatCode="General">
                  <c:v>-26.905346534653464</c:v>
                </c:pt>
                <c:pt idx="33" formatCode="General">
                  <c:v>-27.047920792079207</c:v>
                </c:pt>
                <c:pt idx="34" formatCode="General">
                  <c:v>-27.187118811881188</c:v>
                </c:pt>
                <c:pt idx="35" formatCode="General">
                  <c:v>-27.325336633663365</c:v>
                </c:pt>
                <c:pt idx="36" formatCode="General">
                  <c:v>-27.463653465346532</c:v>
                </c:pt>
                <c:pt idx="37" formatCode="General">
                  <c:v>-27.602267326732672</c:v>
                </c:pt>
                <c:pt idx="38" formatCode="General">
                  <c:v>-27.740881188118809</c:v>
                </c:pt>
                <c:pt idx="39" formatCode="General">
                  <c:v>-27.877341584158415</c:v>
                </c:pt>
                <c:pt idx="40" formatCode="General">
                  <c:v>-28.012985148514851</c:v>
                </c:pt>
                <c:pt idx="41" formatCode="General">
                  <c:v>-28.148628712871286</c:v>
                </c:pt>
                <c:pt idx="42" formatCode="General">
                  <c:v>-28.284272277227721</c:v>
                </c:pt>
                <c:pt idx="43" formatCode="General">
                  <c:v>-28.419915841584157</c:v>
                </c:pt>
                <c:pt idx="44" formatCode="General">
                  <c:v>-28.555559405940592</c:v>
                </c:pt>
                <c:pt idx="45" formatCode="General">
                  <c:v>-28.691202970297027</c:v>
                </c:pt>
                <c:pt idx="46" formatCode="General">
                  <c:v>-28.826846534653463</c:v>
                </c:pt>
                <c:pt idx="47" formatCode="General">
                  <c:v>-28.962490099009898</c:v>
                </c:pt>
                <c:pt idx="48" formatCode="General">
                  <c:v>-29.098133663366333</c:v>
                </c:pt>
                <c:pt idx="49" formatCode="General">
                  <c:v>-29.230598513011149</c:v>
                </c:pt>
                <c:pt idx="50" formatCode="General">
                  <c:v>-29.361156133828995</c:v>
                </c:pt>
                <c:pt idx="51" formatCode="General">
                  <c:v>-29.491713754646838</c:v>
                </c:pt>
                <c:pt idx="52" formatCode="General">
                  <c:v>-29.622271375464681</c:v>
                </c:pt>
                <c:pt idx="53" formatCode="General">
                  <c:v>-29.752828996282528</c:v>
                </c:pt>
                <c:pt idx="54" formatCode="General">
                  <c:v>-29.883386617100371</c:v>
                </c:pt>
                <c:pt idx="55" formatCode="General">
                  <c:v>-30.013944237918214</c:v>
                </c:pt>
                <c:pt idx="56" formatCode="General">
                  <c:v>-30.14450185873606</c:v>
                </c:pt>
                <c:pt idx="57" formatCode="General">
                  <c:v>-30.275059479553903</c:v>
                </c:pt>
                <c:pt idx="58" formatCode="General">
                  <c:v>-30.405617100371746</c:v>
                </c:pt>
                <c:pt idx="59" formatCode="General">
                  <c:v>-30.534172029702972</c:v>
                </c:pt>
                <c:pt idx="60" formatCode="General">
                  <c:v>-30.661003712871288</c:v>
                </c:pt>
                <c:pt idx="61" formatCode="General">
                  <c:v>-30.787835396039604</c:v>
                </c:pt>
                <c:pt idx="62" formatCode="General">
                  <c:v>-30.91466707920792</c:v>
                </c:pt>
                <c:pt idx="63" formatCode="General">
                  <c:v>-31.041498762376239</c:v>
                </c:pt>
                <c:pt idx="64" formatCode="General">
                  <c:v>-31.168330445544555</c:v>
                </c:pt>
                <c:pt idx="65" formatCode="General">
                  <c:v>-31.295162128712871</c:v>
                </c:pt>
                <c:pt idx="66" formatCode="General">
                  <c:v>-31.421993811881187</c:v>
                </c:pt>
                <c:pt idx="67" formatCode="General">
                  <c:v>-31.548825495049506</c:v>
                </c:pt>
                <c:pt idx="68" formatCode="General">
                  <c:v>-31.675657178217822</c:v>
                </c:pt>
                <c:pt idx="69" formatCode="General">
                  <c:v>-31.800085501858735</c:v>
                </c:pt>
                <c:pt idx="70" formatCode="General">
                  <c:v>-31.92142379182156</c:v>
                </c:pt>
                <c:pt idx="71" formatCode="General">
                  <c:v>-32.042762081784389</c:v>
                </c:pt>
                <c:pt idx="72" formatCode="General">
                  <c:v>-32.16410037174721</c:v>
                </c:pt>
                <c:pt idx="73" formatCode="General">
                  <c:v>-32.285438661710032</c:v>
                </c:pt>
                <c:pt idx="74" formatCode="General">
                  <c:v>-32.40677695167286</c:v>
                </c:pt>
                <c:pt idx="75" formatCode="General">
                  <c:v>-32.528115241635682</c:v>
                </c:pt>
                <c:pt idx="76" formatCode="General">
                  <c:v>-32.64945353159851</c:v>
                </c:pt>
                <c:pt idx="77" formatCode="General">
                  <c:v>-32.770791821561332</c:v>
                </c:pt>
                <c:pt idx="78" formatCode="General">
                  <c:v>-32.89213011152416</c:v>
                </c:pt>
                <c:pt idx="79" formatCode="General">
                  <c:v>-33.012168316831676</c:v>
                </c:pt>
                <c:pt idx="80" formatCode="General">
                  <c:v>-33.129792079207917</c:v>
                </c:pt>
                <c:pt idx="81" formatCode="General">
                  <c:v>-33.247415841584157</c:v>
                </c:pt>
                <c:pt idx="82" formatCode="General">
                  <c:v>-33.36503960396039</c:v>
                </c:pt>
                <c:pt idx="83" formatCode="General">
                  <c:v>-33.482663366336631</c:v>
                </c:pt>
                <c:pt idx="84" formatCode="General">
                  <c:v>-33.600287128712871</c:v>
                </c:pt>
                <c:pt idx="85" formatCode="General">
                  <c:v>-33.717910891089105</c:v>
                </c:pt>
                <c:pt idx="86" formatCode="General">
                  <c:v>-33.835534653465345</c:v>
                </c:pt>
                <c:pt idx="87" formatCode="General">
                  <c:v>-33.953158415841585</c:v>
                </c:pt>
                <c:pt idx="88" formatCode="General">
                  <c:v>-34.070782178217819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72AA-428F-BF67-55FEE88886DD}"/>
            </c:ext>
          </c:extLst>
        </c:ser>
        <c:ser>
          <c:idx val="37"/>
          <c:order val="37"/>
          <c:spPr>
            <a:ln w="19050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EVALUATION!$B$138:$CP$138</c:f>
              <c:numCache>
                <c:formatCode>0</c:formatCode>
                <c:ptCount val="93"/>
                <c:pt idx="0">
                  <c:v>-85.396485148514856</c:v>
                </c:pt>
                <c:pt idx="1">
                  <c:v>-83.32361386138615</c:v>
                </c:pt>
                <c:pt idx="2">
                  <c:v>-81.355297029702982</c:v>
                </c:pt>
                <c:pt idx="3">
                  <c:v>-79.398366336633671</c:v>
                </c:pt>
                <c:pt idx="4" formatCode="General">
                  <c:v>-77.612227722772275</c:v>
                </c:pt>
                <c:pt idx="5" formatCode="General">
                  <c:v>-75.826089108910892</c:v>
                </c:pt>
                <c:pt idx="6" formatCode="General">
                  <c:v>-74.122970297029696</c:v>
                </c:pt>
                <c:pt idx="7" formatCode="General">
                  <c:v>-72.49128712871287</c:v>
                </c:pt>
                <c:pt idx="8" formatCode="General">
                  <c:v>-70.861386138613852</c:v>
                </c:pt>
                <c:pt idx="9" formatCode="General">
                  <c:v>-69.372277227722776</c:v>
                </c:pt>
                <c:pt idx="10" formatCode="General">
                  <c:v>-67.883168316831686</c:v>
                </c:pt>
                <c:pt idx="11" formatCode="General">
                  <c:v>-66.463564356435654</c:v>
                </c:pt>
                <c:pt idx="12" formatCode="General">
                  <c:v>-65.117029702970299</c:v>
                </c:pt>
                <c:pt idx="13" formatCode="General">
                  <c:v>-63.770495049504952</c:v>
                </c:pt>
                <c:pt idx="14" formatCode="General">
                  <c:v>-62.553564356435643</c:v>
                </c:pt>
                <c:pt idx="15" formatCode="General">
                  <c:v>-61.341683168316834</c:v>
                </c:pt>
                <c:pt idx="16" formatCode="General">
                  <c:v>-60.180049504950496</c:v>
                </c:pt>
                <c:pt idx="17" formatCode="General">
                  <c:v>-59.0830198019802</c:v>
                </c:pt>
                <c:pt idx="18" formatCode="General">
                  <c:v>-57.985990099009896</c:v>
                </c:pt>
                <c:pt idx="19" formatCode="General">
                  <c:v>-57.000990099009904</c:v>
                </c:pt>
                <c:pt idx="20" formatCode="General">
                  <c:v>-56.026732673267333</c:v>
                </c:pt>
                <c:pt idx="21" formatCode="General">
                  <c:v>-55.08470297029703</c:v>
                </c:pt>
                <c:pt idx="22" formatCode="General">
                  <c:v>-54.19361386138614</c:v>
                </c:pt>
                <c:pt idx="23" formatCode="General">
                  <c:v>-53.30252475247525</c:v>
                </c:pt>
                <c:pt idx="24" formatCode="General">
                  <c:v>-52.486567164179107</c:v>
                </c:pt>
                <c:pt idx="25" formatCode="General">
                  <c:v>-51.682587064676611</c:v>
                </c:pt>
                <c:pt idx="26" formatCode="General">
                  <c:v>-50.971485148514844</c:v>
                </c:pt>
                <c:pt idx="27" formatCode="General">
                  <c:v>-50.432871287128705</c:v>
                </c:pt>
                <c:pt idx="28" formatCode="General">
                  <c:v>-49.894257425742573</c:v>
                </c:pt>
                <c:pt idx="29" formatCode="General">
                  <c:v>-50.041782178217822</c:v>
                </c:pt>
                <c:pt idx="30" formatCode="General">
                  <c:v>-50.334851485148519</c:v>
                </c:pt>
                <c:pt idx="31" formatCode="General">
                  <c:v>-50.670693069306935</c:v>
                </c:pt>
                <c:pt idx="32" formatCode="General">
                  <c:v>-51.106336633663368</c:v>
                </c:pt>
                <c:pt idx="33" formatCode="General">
                  <c:v>-51.541980198019807</c:v>
                </c:pt>
                <c:pt idx="34" formatCode="General">
                  <c:v>-51.974554455445549</c:v>
                </c:pt>
                <c:pt idx="35" formatCode="General">
                  <c:v>-52.406237623762379</c:v>
                </c:pt>
                <c:pt idx="36" formatCode="General">
                  <c:v>-52.83792079207921</c:v>
                </c:pt>
                <c:pt idx="37" formatCode="General">
                  <c:v>-53.26960396039604</c:v>
                </c:pt>
                <c:pt idx="38" formatCode="General">
                  <c:v>-53.701287128712863</c:v>
                </c:pt>
                <c:pt idx="39" formatCode="General">
                  <c:v>-54.130099009900981</c:v>
                </c:pt>
                <c:pt idx="40" formatCode="General">
                  <c:v>-54.557821782178216</c:v>
                </c:pt>
                <c:pt idx="41" formatCode="General">
                  <c:v>-54.983960396039606</c:v>
                </c:pt>
                <c:pt idx="42" formatCode="General">
                  <c:v>-55.403762376237623</c:v>
                </c:pt>
                <c:pt idx="43" formatCode="General">
                  <c:v>-55.823564356435639</c:v>
                </c:pt>
                <c:pt idx="44" formatCode="General">
                  <c:v>-56.238019801980194</c:v>
                </c:pt>
                <c:pt idx="45" formatCode="General">
                  <c:v>-56.649900990099006</c:v>
                </c:pt>
                <c:pt idx="46" formatCode="General">
                  <c:v>-57.061782178217825</c:v>
                </c:pt>
                <c:pt idx="47" formatCode="General">
                  <c:v>-57.473663366336638</c:v>
                </c:pt>
                <c:pt idx="48" formatCode="General">
                  <c:v>-57.88554455445545</c:v>
                </c:pt>
                <c:pt idx="49" formatCode="General">
                  <c:v>-58.28659231722429</c:v>
                </c:pt>
                <c:pt idx="50" formatCode="General">
                  <c:v>-58.681140024783154</c:v>
                </c:pt>
                <c:pt idx="51" formatCode="General">
                  <c:v>-59.075687732342011</c:v>
                </c:pt>
                <c:pt idx="52" formatCode="General">
                  <c:v>-59.470235439900868</c:v>
                </c:pt>
                <c:pt idx="53" formatCode="General">
                  <c:v>-59.864783147459733</c:v>
                </c:pt>
                <c:pt idx="54" formatCode="General">
                  <c:v>-60.25933085501859</c:v>
                </c:pt>
                <c:pt idx="55" formatCode="General">
                  <c:v>-60.653878562577447</c:v>
                </c:pt>
                <c:pt idx="56" formatCode="General">
                  <c:v>-61.048426270136311</c:v>
                </c:pt>
                <c:pt idx="57" formatCode="General">
                  <c:v>-61.442973977695168</c:v>
                </c:pt>
                <c:pt idx="58" formatCode="General">
                  <c:v>-61.837521685254032</c:v>
                </c:pt>
                <c:pt idx="59" formatCode="General">
                  <c:v>-62.217970297029701</c:v>
                </c:pt>
                <c:pt idx="60" formatCode="General">
                  <c:v>-62.586287128712868</c:v>
                </c:pt>
                <c:pt idx="61" formatCode="General">
                  <c:v>-62.954603960396042</c:v>
                </c:pt>
                <c:pt idx="62" formatCode="General">
                  <c:v>-63.322920792079209</c:v>
                </c:pt>
                <c:pt idx="63" formatCode="General">
                  <c:v>-63.691237623762376</c:v>
                </c:pt>
                <c:pt idx="64" formatCode="General">
                  <c:v>-64.059554455445536</c:v>
                </c:pt>
                <c:pt idx="65" formatCode="General">
                  <c:v>-64.42787128712871</c:v>
                </c:pt>
                <c:pt idx="66" formatCode="General">
                  <c:v>-64.796188118811884</c:v>
                </c:pt>
                <c:pt idx="67" formatCode="General">
                  <c:v>-65.164504950495044</c:v>
                </c:pt>
                <c:pt idx="68" formatCode="General">
                  <c:v>-65.532821782178218</c:v>
                </c:pt>
                <c:pt idx="69" formatCode="General">
                  <c:v>-65.887026022304823</c:v>
                </c:pt>
                <c:pt idx="70" formatCode="General">
                  <c:v>-66.223085501858733</c:v>
                </c:pt>
                <c:pt idx="71" formatCode="General">
                  <c:v>-66.559144981412629</c:v>
                </c:pt>
                <c:pt idx="72" formatCode="General">
                  <c:v>-66.895204460966539</c:v>
                </c:pt>
                <c:pt idx="73" formatCode="General">
                  <c:v>-67.231263940520435</c:v>
                </c:pt>
                <c:pt idx="74" formatCode="General">
                  <c:v>-67.567323420074345</c:v>
                </c:pt>
                <c:pt idx="75" formatCode="General">
                  <c:v>-67.903382899628241</c:v>
                </c:pt>
                <c:pt idx="76" formatCode="General">
                  <c:v>-68.239442379182151</c:v>
                </c:pt>
                <c:pt idx="77" formatCode="General">
                  <c:v>-68.575501858736047</c:v>
                </c:pt>
                <c:pt idx="78" formatCode="General">
                  <c:v>-68.911561338289957</c:v>
                </c:pt>
                <c:pt idx="79" formatCode="General">
                  <c:v>-69.236039603960393</c:v>
                </c:pt>
                <c:pt idx="80" formatCode="General">
                  <c:v>-69.539009900990095</c:v>
                </c:pt>
                <c:pt idx="81" formatCode="General">
                  <c:v>-69.841980198019797</c:v>
                </c:pt>
                <c:pt idx="82" formatCode="General">
                  <c:v>-70.1449504950495</c:v>
                </c:pt>
                <c:pt idx="83" formatCode="General">
                  <c:v>-70.447920792079202</c:v>
                </c:pt>
                <c:pt idx="84" formatCode="General">
                  <c:v>-70.750891089108904</c:v>
                </c:pt>
                <c:pt idx="85" formatCode="General">
                  <c:v>-71.053861386138607</c:v>
                </c:pt>
                <c:pt idx="86" formatCode="General">
                  <c:v>-71.356831683168309</c:v>
                </c:pt>
                <c:pt idx="87" formatCode="General">
                  <c:v>-71.659801980198012</c:v>
                </c:pt>
                <c:pt idx="88" formatCode="General">
                  <c:v>-71.962772277227714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2AA-428F-BF67-55FEE88886DD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AA-428F-BF67-55FEE88886DD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-193.34064356435644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2AA-428F-BF67-55FEE8888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72AA-428F-BF67-55FEE88886DD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2AA-428F-BF67-55FEE88886DD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2AA-428F-BF67-55FEE88886DD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2AA-428F-BF67-55FEE88886DD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-19.966574257425744</c:v>
                      </c:pt>
                      <c:pt idx="7" formatCode="General">
                        <c:v>-19.885782178217823</c:v>
                      </c:pt>
                      <c:pt idx="8" formatCode="General">
                        <c:v>-19.807502475247524</c:v>
                      </c:pt>
                      <c:pt idx="9" formatCode="General">
                        <c:v>-19.927700495049507</c:v>
                      </c:pt>
                      <c:pt idx="10" formatCode="General">
                        <c:v>-20.047898514851486</c:v>
                      </c:pt>
                      <c:pt idx="11" formatCode="General">
                        <c:v>-20.168096534653465</c:v>
                      </c:pt>
                      <c:pt idx="12" formatCode="General">
                        <c:v>-20.288294554455447</c:v>
                      </c:pt>
                      <c:pt idx="13" formatCode="General">
                        <c:v>-20.408492574257426</c:v>
                      </c:pt>
                      <c:pt idx="14" formatCode="General">
                        <c:v>-20.528690594059405</c:v>
                      </c:pt>
                      <c:pt idx="15" formatCode="General">
                        <c:v>-20.648888613861388</c:v>
                      </c:pt>
                      <c:pt idx="16" formatCode="General">
                        <c:v>-20.769086633663367</c:v>
                      </c:pt>
                      <c:pt idx="17" formatCode="General">
                        <c:v>-20.889284653465346</c:v>
                      </c:pt>
                      <c:pt idx="18" formatCode="General">
                        <c:v>-21.009482673267328</c:v>
                      </c:pt>
                      <c:pt idx="19" formatCode="General">
                        <c:v>-21.135643564356435</c:v>
                      </c:pt>
                      <c:pt idx="20" formatCode="General">
                        <c:v>-21.262376237623762</c:v>
                      </c:pt>
                      <c:pt idx="21" formatCode="General">
                        <c:v>-21.387574257425744</c:v>
                      </c:pt>
                      <c:pt idx="22" formatCode="General">
                        <c:v>-21.510346534653465</c:v>
                      </c:pt>
                      <c:pt idx="23" formatCode="General">
                        <c:v>-21.633118811881186</c:v>
                      </c:pt>
                      <c:pt idx="24" formatCode="General">
                        <c:v>-21.756417910447759</c:v>
                      </c:pt>
                      <c:pt idx="25" formatCode="General">
                        <c:v>-21.879800995024876</c:v>
                      </c:pt>
                      <c:pt idx="26" formatCode="General">
                        <c:v>-22.002970297029705</c:v>
                      </c:pt>
                      <c:pt idx="27" formatCode="General">
                        <c:v>-22.125742574257426</c:v>
                      </c:pt>
                      <c:pt idx="28" formatCode="General">
                        <c:v>-22.248514851485147</c:v>
                      </c:pt>
                      <c:pt idx="29" formatCode="General">
                        <c:v>-22.368019801980196</c:v>
                      </c:pt>
                      <c:pt idx="30" formatCode="General">
                        <c:v>-22.486831683168315</c:v>
                      </c:pt>
                      <c:pt idx="31" formatCode="General">
                        <c:v>-22.606831683168316</c:v>
                      </c:pt>
                      <c:pt idx="32" formatCode="General">
                        <c:v>-22.729603960396041</c:v>
                      </c:pt>
                      <c:pt idx="33" formatCode="General">
                        <c:v>-22.852376237623762</c:v>
                      </c:pt>
                      <c:pt idx="34" formatCode="General">
                        <c:v>-22.972079207920792</c:v>
                      </c:pt>
                      <c:pt idx="35" formatCode="General">
                        <c:v>-23.090891089108911</c:v>
                      </c:pt>
                      <c:pt idx="36" formatCode="General">
                        <c:v>-23.20970297029703</c:v>
                      </c:pt>
                      <c:pt idx="37" formatCode="General">
                        <c:v>-23.328514851485149</c:v>
                      </c:pt>
                      <c:pt idx="38" formatCode="General">
                        <c:v>-23.447326732673268</c:v>
                      </c:pt>
                      <c:pt idx="39" formatCode="General">
                        <c:v>-23.563985148514853</c:v>
                      </c:pt>
                      <c:pt idx="40" formatCode="General">
                        <c:v>-23.679826732673266</c:v>
                      </c:pt>
                      <c:pt idx="41" formatCode="General">
                        <c:v>-23.795668316831684</c:v>
                      </c:pt>
                      <c:pt idx="42" formatCode="General">
                        <c:v>-23.911509900990097</c:v>
                      </c:pt>
                      <c:pt idx="43" formatCode="General">
                        <c:v>-24.027351485148515</c:v>
                      </c:pt>
                      <c:pt idx="44" formatCode="General">
                        <c:v>-24.143193069306928</c:v>
                      </c:pt>
                      <c:pt idx="45" formatCode="General">
                        <c:v>-24.259034653465346</c:v>
                      </c:pt>
                      <c:pt idx="46" formatCode="General">
                        <c:v>-24.374876237623763</c:v>
                      </c:pt>
                      <c:pt idx="47" formatCode="General">
                        <c:v>-24.490717821782177</c:v>
                      </c:pt>
                      <c:pt idx="48" formatCode="General">
                        <c:v>-24.606559405940594</c:v>
                      </c:pt>
                      <c:pt idx="49" formatCode="General">
                        <c:v>-24.719392812887236</c:v>
                      </c:pt>
                      <c:pt idx="50" formatCode="General">
                        <c:v>-24.830421313506815</c:v>
                      </c:pt>
                      <c:pt idx="51" formatCode="General">
                        <c:v>-24.941449814126393</c:v>
                      </c:pt>
                      <c:pt idx="52" formatCode="General">
                        <c:v>-25.052478314745972</c:v>
                      </c:pt>
                      <c:pt idx="53" formatCode="General">
                        <c:v>-25.163506815365551</c:v>
                      </c:pt>
                      <c:pt idx="54" formatCode="General">
                        <c:v>-25.27453531598513</c:v>
                      </c:pt>
                      <c:pt idx="55" formatCode="General">
                        <c:v>-25.385563816604709</c:v>
                      </c:pt>
                      <c:pt idx="56" formatCode="General">
                        <c:v>-25.496592317224287</c:v>
                      </c:pt>
                      <c:pt idx="57" formatCode="General">
                        <c:v>-25.607620817843866</c:v>
                      </c:pt>
                      <c:pt idx="58" formatCode="General">
                        <c:v>-25.718649318463445</c:v>
                      </c:pt>
                      <c:pt idx="59" formatCode="General">
                        <c:v>-25.828007425742573</c:v>
                      </c:pt>
                      <c:pt idx="60" formatCode="General">
                        <c:v>-25.935928217821782</c:v>
                      </c:pt>
                      <c:pt idx="61" formatCode="General">
                        <c:v>-26.043849009900988</c:v>
                      </c:pt>
                      <c:pt idx="62" formatCode="General">
                        <c:v>-26.151769801980198</c:v>
                      </c:pt>
                      <c:pt idx="63" formatCode="General">
                        <c:v>-26.259690594059403</c:v>
                      </c:pt>
                      <c:pt idx="64" formatCode="General">
                        <c:v>-26.367611386138613</c:v>
                      </c:pt>
                      <c:pt idx="65" formatCode="General">
                        <c:v>-26.475532178217822</c:v>
                      </c:pt>
                      <c:pt idx="66" formatCode="General">
                        <c:v>-26.583452970297028</c:v>
                      </c:pt>
                      <c:pt idx="67" formatCode="General">
                        <c:v>-26.691373762376237</c:v>
                      </c:pt>
                      <c:pt idx="68" formatCode="General">
                        <c:v>-26.799294554455443</c:v>
                      </c:pt>
                      <c:pt idx="69" formatCode="General">
                        <c:v>-26.905105328376703</c:v>
                      </c:pt>
                      <c:pt idx="70" formatCode="General">
                        <c:v>-27.008203221809168</c:v>
                      </c:pt>
                      <c:pt idx="71" formatCode="General">
                        <c:v>-27.111301115241634</c:v>
                      </c:pt>
                      <c:pt idx="72" formatCode="General">
                        <c:v>-27.2143990086741</c:v>
                      </c:pt>
                      <c:pt idx="73" formatCode="General">
                        <c:v>-27.317496902106566</c:v>
                      </c:pt>
                      <c:pt idx="74" formatCode="General">
                        <c:v>-27.420594795539031</c:v>
                      </c:pt>
                      <c:pt idx="75" formatCode="General">
                        <c:v>-27.523692688971497</c:v>
                      </c:pt>
                      <c:pt idx="76" formatCode="General">
                        <c:v>-27.626790582403963</c:v>
                      </c:pt>
                      <c:pt idx="77" formatCode="General">
                        <c:v>-27.729888475836429</c:v>
                      </c:pt>
                      <c:pt idx="78" formatCode="General">
                        <c:v>-27.832986369268895</c:v>
                      </c:pt>
                      <c:pt idx="79" formatCode="General">
                        <c:v>-27.934999999999999</c:v>
                      </c:pt>
                      <c:pt idx="80" formatCode="General">
                        <c:v>-28.034999999999997</c:v>
                      </c:pt>
                      <c:pt idx="81" formatCode="General">
                        <c:v>-28.134999999999998</c:v>
                      </c:pt>
                      <c:pt idx="82" formatCode="General">
                        <c:v>-28.234999999999999</c:v>
                      </c:pt>
                      <c:pt idx="83" formatCode="General">
                        <c:v>-28.334999999999997</c:v>
                      </c:pt>
                      <c:pt idx="84" formatCode="General">
                        <c:v>-28.434999999999999</c:v>
                      </c:pt>
                      <c:pt idx="85" formatCode="General">
                        <c:v>-28.535</c:v>
                      </c:pt>
                      <c:pt idx="86" formatCode="General">
                        <c:v>-28.634999999999998</c:v>
                      </c:pt>
                      <c:pt idx="87" formatCode="General">
                        <c:v>-28.734999999999999</c:v>
                      </c:pt>
                      <c:pt idx="88" formatCode="General">
                        <c:v>-28.835000000000001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2AA-428F-BF67-55FEE88886DD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-53.985366336633668</c:v>
                      </c:pt>
                      <c:pt idx="7" formatCode="General">
                        <c:v>-53.362792079207928</c:v>
                      </c:pt>
                      <c:pt idx="8" formatCode="General">
                        <c:v>-52.744471534653471</c:v>
                      </c:pt>
                      <c:pt idx="9" formatCode="General">
                        <c:v>-52.462194306930698</c:v>
                      </c:pt>
                      <c:pt idx="10" formatCode="General">
                        <c:v>-52.179917079207925</c:v>
                      </c:pt>
                      <c:pt idx="11" formatCode="General">
                        <c:v>-51.897639851485152</c:v>
                      </c:pt>
                      <c:pt idx="12" formatCode="General">
                        <c:v>-51.61536262376238</c:v>
                      </c:pt>
                      <c:pt idx="13" formatCode="General">
                        <c:v>-51.333085396039607</c:v>
                      </c:pt>
                      <c:pt idx="14" formatCode="General">
                        <c:v>-51.050808168316834</c:v>
                      </c:pt>
                      <c:pt idx="15" formatCode="General">
                        <c:v>-50.768530940594061</c:v>
                      </c:pt>
                      <c:pt idx="16" formatCode="General">
                        <c:v>-50.486253712871289</c:v>
                      </c:pt>
                      <c:pt idx="17" formatCode="General">
                        <c:v>-50.203976485148516</c:v>
                      </c:pt>
                      <c:pt idx="18" formatCode="General">
                        <c:v>-49.921699257425743</c:v>
                      </c:pt>
                      <c:pt idx="19" formatCode="General">
                        <c:v>-49.742688118811877</c:v>
                      </c:pt>
                      <c:pt idx="20" formatCode="General">
                        <c:v>-49.573579207920787</c:v>
                      </c:pt>
                      <c:pt idx="21" formatCode="General">
                        <c:v>-49.413217821782176</c:v>
                      </c:pt>
                      <c:pt idx="22" formatCode="General">
                        <c:v>-49.266683168316831</c:v>
                      </c:pt>
                      <c:pt idx="23" formatCode="General">
                        <c:v>-49.120148514851479</c:v>
                      </c:pt>
                      <c:pt idx="24" formatCode="General">
                        <c:v>-48.995985074626866</c:v>
                      </c:pt>
                      <c:pt idx="25" formatCode="General">
                        <c:v>-48.875388059701493</c:v>
                      </c:pt>
                      <c:pt idx="26" formatCode="General">
                        <c:v>-48.775514851485148</c:v>
                      </c:pt>
                      <c:pt idx="27" formatCode="General">
                        <c:v>-48.714128712871286</c:v>
                      </c:pt>
                      <c:pt idx="28" formatCode="General">
                        <c:v>-48.652742574257424</c:v>
                      </c:pt>
                      <c:pt idx="29" formatCode="General">
                        <c:v>-48.853722772277223</c:v>
                      </c:pt>
                      <c:pt idx="30" formatCode="General">
                        <c:v>-49.11035643564356</c:v>
                      </c:pt>
                      <c:pt idx="31" formatCode="General">
                        <c:v>-49.369603960396041</c:v>
                      </c:pt>
                      <c:pt idx="32" formatCode="General">
                        <c:v>-49.634950495049509</c:v>
                      </c:pt>
                      <c:pt idx="33" formatCode="General">
                        <c:v>-49.900297029702969</c:v>
                      </c:pt>
                      <c:pt idx="34" formatCode="General">
                        <c:v>-50.159198019801984</c:v>
                      </c:pt>
                      <c:pt idx="35" formatCode="General">
                        <c:v>-50.416227722772277</c:v>
                      </c:pt>
                      <c:pt idx="36" formatCode="General">
                        <c:v>-50.673356435643569</c:v>
                      </c:pt>
                      <c:pt idx="37" formatCode="General">
                        <c:v>-50.930782178217825</c:v>
                      </c:pt>
                      <c:pt idx="38" formatCode="General">
                        <c:v>-51.188207920792081</c:v>
                      </c:pt>
                      <c:pt idx="39" formatCode="General">
                        <c:v>-51.441326732673268</c:v>
                      </c:pt>
                      <c:pt idx="40" formatCode="General">
                        <c:v>-51.692811881188121</c:v>
                      </c:pt>
                      <c:pt idx="41" formatCode="General">
                        <c:v>-51.944297029702966</c:v>
                      </c:pt>
                      <c:pt idx="42" formatCode="General">
                        <c:v>-52.195782178217819</c:v>
                      </c:pt>
                      <c:pt idx="43" formatCode="General">
                        <c:v>-52.447267326732671</c:v>
                      </c:pt>
                      <c:pt idx="44" formatCode="General">
                        <c:v>-52.698752475247524</c:v>
                      </c:pt>
                      <c:pt idx="45" formatCode="General">
                        <c:v>-52.950237623762376</c:v>
                      </c:pt>
                      <c:pt idx="46" formatCode="General">
                        <c:v>-53.201722772277229</c:v>
                      </c:pt>
                      <c:pt idx="47" formatCode="General">
                        <c:v>-53.453207920792082</c:v>
                      </c:pt>
                      <c:pt idx="48" formatCode="General">
                        <c:v>-53.704693069306927</c:v>
                      </c:pt>
                      <c:pt idx="49" formatCode="General">
                        <c:v>-53.949991325898388</c:v>
                      </c:pt>
                      <c:pt idx="50" formatCode="General">
                        <c:v>-54.19157744733581</c:v>
                      </c:pt>
                      <c:pt idx="51" formatCode="General">
                        <c:v>-54.433163568773232</c:v>
                      </c:pt>
                      <c:pt idx="52" formatCode="General">
                        <c:v>-54.674749690210653</c:v>
                      </c:pt>
                      <c:pt idx="53" formatCode="General">
                        <c:v>-54.916335811648075</c:v>
                      </c:pt>
                      <c:pt idx="54" formatCode="General">
                        <c:v>-55.157921933085497</c:v>
                      </c:pt>
                      <c:pt idx="55" formatCode="General">
                        <c:v>-55.399508054522919</c:v>
                      </c:pt>
                      <c:pt idx="56" formatCode="General">
                        <c:v>-55.64109417596034</c:v>
                      </c:pt>
                      <c:pt idx="57" formatCode="General">
                        <c:v>-55.882680297397769</c:v>
                      </c:pt>
                      <c:pt idx="58" formatCode="General">
                        <c:v>-56.124266418835191</c:v>
                      </c:pt>
                      <c:pt idx="59" formatCode="General">
                        <c:v>-56.362179455445542</c:v>
                      </c:pt>
                      <c:pt idx="60" formatCode="General">
                        <c:v>-56.596931930693067</c:v>
                      </c:pt>
                      <c:pt idx="61" formatCode="General">
                        <c:v>-56.831684405940592</c:v>
                      </c:pt>
                      <c:pt idx="62" formatCode="General">
                        <c:v>-57.066436881188118</c:v>
                      </c:pt>
                      <c:pt idx="63" formatCode="General">
                        <c:v>-57.301189356435643</c:v>
                      </c:pt>
                      <c:pt idx="64" formatCode="General">
                        <c:v>-57.535941831683168</c:v>
                      </c:pt>
                      <c:pt idx="65" formatCode="General">
                        <c:v>-57.770694306930693</c:v>
                      </c:pt>
                      <c:pt idx="66" formatCode="General">
                        <c:v>-58.005446782178218</c:v>
                      </c:pt>
                      <c:pt idx="67" formatCode="General">
                        <c:v>-58.240199257425743</c:v>
                      </c:pt>
                      <c:pt idx="68" formatCode="General">
                        <c:v>-58.474951732673269</c:v>
                      </c:pt>
                      <c:pt idx="69" formatCode="General">
                        <c:v>-58.705190830235438</c:v>
                      </c:pt>
                      <c:pt idx="70" formatCode="General">
                        <c:v>-58.929627013630729</c:v>
                      </c:pt>
                      <c:pt idx="71" formatCode="General">
                        <c:v>-59.154063197026019</c:v>
                      </c:pt>
                      <c:pt idx="72" formatCode="General">
                        <c:v>-59.37849938042131</c:v>
                      </c:pt>
                      <c:pt idx="73" formatCode="General">
                        <c:v>-59.602935563816601</c:v>
                      </c:pt>
                      <c:pt idx="74" formatCode="General">
                        <c:v>-59.827371747211892</c:v>
                      </c:pt>
                      <c:pt idx="75" formatCode="General">
                        <c:v>-60.051807930607183</c:v>
                      </c:pt>
                      <c:pt idx="76" formatCode="General">
                        <c:v>-60.276244114002473</c:v>
                      </c:pt>
                      <c:pt idx="77" formatCode="General">
                        <c:v>-60.500680297397764</c:v>
                      </c:pt>
                      <c:pt idx="78" formatCode="General">
                        <c:v>-60.725116480793055</c:v>
                      </c:pt>
                      <c:pt idx="79" formatCode="General">
                        <c:v>-60.947168316831679</c:v>
                      </c:pt>
                      <c:pt idx="80" formatCode="General">
                        <c:v>-61.164792079207913</c:v>
                      </c:pt>
                      <c:pt idx="81" formatCode="General">
                        <c:v>-61.382415841584155</c:v>
                      </c:pt>
                      <c:pt idx="82" formatCode="General">
                        <c:v>-61.60003960396039</c:v>
                      </c:pt>
                      <c:pt idx="83" formatCode="General">
                        <c:v>-61.817663366336632</c:v>
                      </c:pt>
                      <c:pt idx="84" formatCode="General">
                        <c:v>-62.035287128712866</c:v>
                      </c:pt>
                      <c:pt idx="85" formatCode="General">
                        <c:v>-62.252910891089108</c:v>
                      </c:pt>
                      <c:pt idx="86" formatCode="General">
                        <c:v>-62.47053465346535</c:v>
                      </c:pt>
                      <c:pt idx="87" formatCode="General">
                        <c:v>-62.688158415841585</c:v>
                      </c:pt>
                      <c:pt idx="88" formatCode="General">
                        <c:v>-62.905782178217827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2AA-428F-BF67-55FEE88886DD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-192.75227722772277</c:v>
                      </c:pt>
                      <c:pt idx="1">
                        <c:v>-188.21178217821782</c:v>
                      </c:pt>
                      <c:pt idx="2">
                        <c:v>-183.94247524752475</c:v>
                      </c:pt>
                      <c:pt idx="3">
                        <c:v>-179.70658415841584</c:v>
                      </c:pt>
                      <c:pt idx="4" formatCode="General">
                        <c:v>-175.97193069306931</c:v>
                      </c:pt>
                      <c:pt idx="5" formatCode="General">
                        <c:v>-172.23727722772276</c:v>
                      </c:pt>
                      <c:pt idx="6" formatCode="General">
                        <c:v>-168.74912871287128</c:v>
                      </c:pt>
                      <c:pt idx="7" formatCode="General">
                        <c:v>-165.47308910891087</c:v>
                      </c:pt>
                      <c:pt idx="8" formatCode="General">
                        <c:v>-162.20688861386137</c:v>
                      </c:pt>
                      <c:pt idx="9" formatCode="General">
                        <c:v>-159.71797772277228</c:v>
                      </c:pt>
                      <c:pt idx="10" formatCode="General">
                        <c:v>-157.22906683168316</c:v>
                      </c:pt>
                      <c:pt idx="11" formatCode="General">
                        <c:v>-154.74015594059406</c:v>
                      </c:pt>
                      <c:pt idx="12" formatCode="General">
                        <c:v>-152.25124504950494</c:v>
                      </c:pt>
                      <c:pt idx="13" formatCode="General">
                        <c:v>-149.76233415841585</c:v>
                      </c:pt>
                      <c:pt idx="14" formatCode="General">
                        <c:v>-147.27342326732673</c:v>
                      </c:pt>
                      <c:pt idx="15" formatCode="General">
                        <c:v>-144.78451237623764</c:v>
                      </c:pt>
                      <c:pt idx="16" formatCode="General">
                        <c:v>-142.29560148514852</c:v>
                      </c:pt>
                      <c:pt idx="17" formatCode="General">
                        <c:v>-139.80669059405943</c:v>
                      </c:pt>
                      <c:pt idx="18" formatCode="General">
                        <c:v>-137.31777970297031</c:v>
                      </c:pt>
                      <c:pt idx="19" formatCode="General">
                        <c:v>-135.37257425742575</c:v>
                      </c:pt>
                      <c:pt idx="20" formatCode="General">
                        <c:v>-133.47950495049506</c:v>
                      </c:pt>
                      <c:pt idx="21" formatCode="General">
                        <c:v>-131.64935643564354</c:v>
                      </c:pt>
                      <c:pt idx="22" formatCode="General">
                        <c:v>-129.91866336633663</c:v>
                      </c:pt>
                      <c:pt idx="23" formatCode="General">
                        <c:v>-128.18797029702969</c:v>
                      </c:pt>
                      <c:pt idx="24" formatCode="General">
                        <c:v>-126.58029850746269</c:v>
                      </c:pt>
                      <c:pt idx="25" formatCode="General">
                        <c:v>-124.99223880597015</c:v>
                      </c:pt>
                      <c:pt idx="26" formatCode="General">
                        <c:v>-123.45405940594058</c:v>
                      </c:pt>
                      <c:pt idx="27" formatCode="General">
                        <c:v>-122.00851485148515</c:v>
                      </c:pt>
                      <c:pt idx="28" formatCode="General">
                        <c:v>-120.56297029702969</c:v>
                      </c:pt>
                      <c:pt idx="29" formatCode="General">
                        <c:v>-119.82643564356437</c:v>
                      </c:pt>
                      <c:pt idx="30" formatCode="General">
                        <c:v>-119.24029702970299</c:v>
                      </c:pt>
                      <c:pt idx="31" formatCode="General">
                        <c:v>-119.13059405940595</c:v>
                      </c:pt>
                      <c:pt idx="32" formatCode="General">
                        <c:v>-120.13257425742574</c:v>
                      </c:pt>
                      <c:pt idx="33" formatCode="General">
                        <c:v>-121.13455445544555</c:v>
                      </c:pt>
                      <c:pt idx="34" formatCode="General">
                        <c:v>-122.12118811881189</c:v>
                      </c:pt>
                      <c:pt idx="35" formatCode="General">
                        <c:v>-123.10336633663366</c:v>
                      </c:pt>
                      <c:pt idx="36" formatCode="General">
                        <c:v>-124.08554455445544</c:v>
                      </c:pt>
                      <c:pt idx="37" formatCode="General">
                        <c:v>-125.06772277227722</c:v>
                      </c:pt>
                      <c:pt idx="38" formatCode="General">
                        <c:v>-126.04990099009899</c:v>
                      </c:pt>
                      <c:pt idx="39" formatCode="General">
                        <c:v>-127.0083910891089</c:v>
                      </c:pt>
                      <c:pt idx="40" formatCode="General">
                        <c:v>-127.95789603960395</c:v>
                      </c:pt>
                      <c:pt idx="41" formatCode="General">
                        <c:v>-128.90740099009901</c:v>
                      </c:pt>
                      <c:pt idx="42" formatCode="General">
                        <c:v>-129.85690594059406</c:v>
                      </c:pt>
                      <c:pt idx="43" formatCode="General">
                        <c:v>-130.80641089108912</c:v>
                      </c:pt>
                      <c:pt idx="44" formatCode="General">
                        <c:v>-131.75591584158414</c:v>
                      </c:pt>
                      <c:pt idx="45" formatCode="General">
                        <c:v>-132.7054207920792</c:v>
                      </c:pt>
                      <c:pt idx="46" formatCode="General">
                        <c:v>-133.65492574257425</c:v>
                      </c:pt>
                      <c:pt idx="47" formatCode="General">
                        <c:v>-134.6044306930693</c:v>
                      </c:pt>
                      <c:pt idx="48" formatCode="General">
                        <c:v>-135.55393564356436</c:v>
                      </c:pt>
                      <c:pt idx="49" formatCode="General">
                        <c:v>-136.47257744733582</c:v>
                      </c:pt>
                      <c:pt idx="50" formatCode="General">
                        <c:v>-137.37270136307311</c:v>
                      </c:pt>
                      <c:pt idx="51" formatCode="General">
                        <c:v>-138.27282527881042</c:v>
                      </c:pt>
                      <c:pt idx="52" formatCode="General">
                        <c:v>-139.1729491945477</c:v>
                      </c:pt>
                      <c:pt idx="53" formatCode="General">
                        <c:v>-140.07307311028501</c:v>
                      </c:pt>
                      <c:pt idx="54" formatCode="General">
                        <c:v>-140.97319702602232</c:v>
                      </c:pt>
                      <c:pt idx="55" formatCode="General">
                        <c:v>-141.8733209417596</c:v>
                      </c:pt>
                      <c:pt idx="56" formatCode="General">
                        <c:v>-142.77344485749691</c:v>
                      </c:pt>
                      <c:pt idx="57" formatCode="General">
                        <c:v>-143.67356877323419</c:v>
                      </c:pt>
                      <c:pt idx="58" formatCode="General">
                        <c:v>-144.57369268897151</c:v>
                      </c:pt>
                      <c:pt idx="59" formatCode="General">
                        <c:v>-145.44394801980198</c:v>
                      </c:pt>
                      <c:pt idx="60" formatCode="General">
                        <c:v>-146.28850247524753</c:v>
                      </c:pt>
                      <c:pt idx="61" formatCode="General">
                        <c:v>-147.13305693069307</c:v>
                      </c:pt>
                      <c:pt idx="62" formatCode="General">
                        <c:v>-147.97761138613862</c:v>
                      </c:pt>
                      <c:pt idx="63" formatCode="General">
                        <c:v>-148.82216584158417</c:v>
                      </c:pt>
                      <c:pt idx="64" formatCode="General">
                        <c:v>-149.66672029702968</c:v>
                      </c:pt>
                      <c:pt idx="65" formatCode="General">
                        <c:v>-150.51127475247523</c:v>
                      </c:pt>
                      <c:pt idx="66" formatCode="General">
                        <c:v>-151.35582920792078</c:v>
                      </c:pt>
                      <c:pt idx="67" formatCode="General">
                        <c:v>-152.20038366336632</c:v>
                      </c:pt>
                      <c:pt idx="68" formatCode="General">
                        <c:v>-153.04493811881187</c:v>
                      </c:pt>
                      <c:pt idx="69" formatCode="General">
                        <c:v>-153.86002478314745</c:v>
                      </c:pt>
                      <c:pt idx="70" formatCode="General">
                        <c:v>-154.63722428748449</c:v>
                      </c:pt>
                      <c:pt idx="71" formatCode="General">
                        <c:v>-155.41442379182155</c:v>
                      </c:pt>
                      <c:pt idx="72" formatCode="General">
                        <c:v>-156.19162329615858</c:v>
                      </c:pt>
                      <c:pt idx="73" formatCode="General">
                        <c:v>-156.96882280049564</c:v>
                      </c:pt>
                      <c:pt idx="74" formatCode="General">
                        <c:v>-157.74602230483271</c:v>
                      </c:pt>
                      <c:pt idx="75" formatCode="General">
                        <c:v>-158.52322180916974</c:v>
                      </c:pt>
                      <c:pt idx="76" formatCode="General">
                        <c:v>-159.3004213135068</c:v>
                      </c:pt>
                      <c:pt idx="77" formatCode="General">
                        <c:v>-160.07762081784384</c:v>
                      </c:pt>
                      <c:pt idx="78" formatCode="General">
                        <c:v>-160.8548203221809</c:v>
                      </c:pt>
                      <c:pt idx="79" formatCode="General">
                        <c:v>-161.60707920792078</c:v>
                      </c:pt>
                      <c:pt idx="80" formatCode="General">
                        <c:v>-162.31301980198018</c:v>
                      </c:pt>
                      <c:pt idx="81" formatCode="General">
                        <c:v>-163.0189603960396</c:v>
                      </c:pt>
                      <c:pt idx="82" formatCode="General">
                        <c:v>-163.724900990099</c:v>
                      </c:pt>
                      <c:pt idx="83" formatCode="General">
                        <c:v>-164.4308415841584</c:v>
                      </c:pt>
                      <c:pt idx="84" formatCode="General">
                        <c:v>-165.13678217821783</c:v>
                      </c:pt>
                      <c:pt idx="85" formatCode="General">
                        <c:v>-165.84272277227723</c:v>
                      </c:pt>
                      <c:pt idx="86" formatCode="General">
                        <c:v>-166.54866336633663</c:v>
                      </c:pt>
                      <c:pt idx="87" formatCode="General">
                        <c:v>-167.25460396039605</c:v>
                      </c:pt>
                      <c:pt idx="88" formatCode="General">
                        <c:v>-167.96054455445545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2AA-428F-BF67-55FEE88886DD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2AA-428F-BF67-55FEE88886DD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2AA-428F-BF67-55FEE88886D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2AA-428F-BF67-55FEE88886D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2AA-428F-BF67-55FEE88886D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2AA-428F-BF67-55FEE88886D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-19.966574257425744</c:v>
                      </c:pt>
                      <c:pt idx="7" formatCode="General">
                        <c:v>-19.885782178217823</c:v>
                      </c:pt>
                      <c:pt idx="8" formatCode="General">
                        <c:v>-19.807502475247524</c:v>
                      </c:pt>
                      <c:pt idx="9" formatCode="General">
                        <c:v>-19.927700495049507</c:v>
                      </c:pt>
                      <c:pt idx="10" formatCode="General">
                        <c:v>-20.047898514851486</c:v>
                      </c:pt>
                      <c:pt idx="11" formatCode="General">
                        <c:v>-20.168096534653465</c:v>
                      </c:pt>
                      <c:pt idx="12" formatCode="General">
                        <c:v>-20.288294554455447</c:v>
                      </c:pt>
                      <c:pt idx="13" formatCode="General">
                        <c:v>-20.408492574257426</c:v>
                      </c:pt>
                      <c:pt idx="14" formatCode="General">
                        <c:v>-20.528690594059405</c:v>
                      </c:pt>
                      <c:pt idx="15" formatCode="General">
                        <c:v>-20.648888613861388</c:v>
                      </c:pt>
                      <c:pt idx="16" formatCode="General">
                        <c:v>-20.769086633663367</c:v>
                      </c:pt>
                      <c:pt idx="17" formatCode="General">
                        <c:v>-20.889284653465346</c:v>
                      </c:pt>
                      <c:pt idx="18" formatCode="General">
                        <c:v>-21.009482673267328</c:v>
                      </c:pt>
                      <c:pt idx="19" formatCode="General">
                        <c:v>-21.135643564356435</c:v>
                      </c:pt>
                      <c:pt idx="20" formatCode="General">
                        <c:v>-21.262376237623762</c:v>
                      </c:pt>
                      <c:pt idx="21" formatCode="General">
                        <c:v>-21.387574257425744</c:v>
                      </c:pt>
                      <c:pt idx="22" formatCode="General">
                        <c:v>-21.510346534653465</c:v>
                      </c:pt>
                      <c:pt idx="23" formatCode="General">
                        <c:v>-21.633118811881186</c:v>
                      </c:pt>
                      <c:pt idx="24" formatCode="General">
                        <c:v>-21.756417910447759</c:v>
                      </c:pt>
                      <c:pt idx="25" formatCode="General">
                        <c:v>-21.879800995024876</c:v>
                      </c:pt>
                      <c:pt idx="26" formatCode="General">
                        <c:v>-22.002970297029705</c:v>
                      </c:pt>
                      <c:pt idx="27" formatCode="General">
                        <c:v>-22.125742574257426</c:v>
                      </c:pt>
                      <c:pt idx="28" formatCode="General">
                        <c:v>-22.248514851485147</c:v>
                      </c:pt>
                      <c:pt idx="29" formatCode="General">
                        <c:v>-22.368019801980196</c:v>
                      </c:pt>
                      <c:pt idx="30" formatCode="General">
                        <c:v>-22.486831683168315</c:v>
                      </c:pt>
                      <c:pt idx="31" formatCode="General">
                        <c:v>-22.606831683168316</c:v>
                      </c:pt>
                      <c:pt idx="32" formatCode="General">
                        <c:v>-22.729603960396041</c:v>
                      </c:pt>
                      <c:pt idx="33" formatCode="General">
                        <c:v>-22.852376237623762</c:v>
                      </c:pt>
                      <c:pt idx="34" formatCode="General">
                        <c:v>-22.972079207920792</c:v>
                      </c:pt>
                      <c:pt idx="35" formatCode="General">
                        <c:v>-23.090891089108911</c:v>
                      </c:pt>
                      <c:pt idx="36" formatCode="General">
                        <c:v>-23.20970297029703</c:v>
                      </c:pt>
                      <c:pt idx="37" formatCode="General">
                        <c:v>-23.328514851485149</c:v>
                      </c:pt>
                      <c:pt idx="38" formatCode="General">
                        <c:v>-23.447326732673268</c:v>
                      </c:pt>
                      <c:pt idx="39" formatCode="General">
                        <c:v>-23.563985148514853</c:v>
                      </c:pt>
                      <c:pt idx="40" formatCode="General">
                        <c:v>-23.679826732673266</c:v>
                      </c:pt>
                      <c:pt idx="41" formatCode="General">
                        <c:v>-23.795668316831684</c:v>
                      </c:pt>
                      <c:pt idx="42" formatCode="General">
                        <c:v>-23.911509900990097</c:v>
                      </c:pt>
                      <c:pt idx="43" formatCode="General">
                        <c:v>-24.027351485148515</c:v>
                      </c:pt>
                      <c:pt idx="44" formatCode="General">
                        <c:v>-24.143193069306928</c:v>
                      </c:pt>
                      <c:pt idx="45" formatCode="General">
                        <c:v>-24.259034653465346</c:v>
                      </c:pt>
                      <c:pt idx="46" formatCode="General">
                        <c:v>-24.374876237623763</c:v>
                      </c:pt>
                      <c:pt idx="47" formatCode="General">
                        <c:v>-24.490717821782177</c:v>
                      </c:pt>
                      <c:pt idx="48" formatCode="General">
                        <c:v>-24.606559405940594</c:v>
                      </c:pt>
                      <c:pt idx="49" formatCode="General">
                        <c:v>-24.719392812887236</c:v>
                      </c:pt>
                      <c:pt idx="50" formatCode="General">
                        <c:v>-24.830421313506815</c:v>
                      </c:pt>
                      <c:pt idx="51" formatCode="General">
                        <c:v>-24.941449814126393</c:v>
                      </c:pt>
                      <c:pt idx="52" formatCode="General">
                        <c:v>-25.052478314745972</c:v>
                      </c:pt>
                      <c:pt idx="53" formatCode="General">
                        <c:v>-25.163506815365551</c:v>
                      </c:pt>
                      <c:pt idx="54" formatCode="General">
                        <c:v>-25.27453531598513</c:v>
                      </c:pt>
                      <c:pt idx="55" formatCode="General">
                        <c:v>-25.385563816604709</c:v>
                      </c:pt>
                      <c:pt idx="56" formatCode="General">
                        <c:v>-25.496592317224287</c:v>
                      </c:pt>
                      <c:pt idx="57" formatCode="General">
                        <c:v>-25.607620817843866</c:v>
                      </c:pt>
                      <c:pt idx="58" formatCode="General">
                        <c:v>-25.718649318463445</c:v>
                      </c:pt>
                      <c:pt idx="59" formatCode="General">
                        <c:v>-25.828007425742573</c:v>
                      </c:pt>
                      <c:pt idx="60" formatCode="General">
                        <c:v>-25.935928217821782</c:v>
                      </c:pt>
                      <c:pt idx="61" formatCode="General">
                        <c:v>-26.043849009900988</c:v>
                      </c:pt>
                      <c:pt idx="62" formatCode="General">
                        <c:v>-26.151769801980198</c:v>
                      </c:pt>
                      <c:pt idx="63" formatCode="General">
                        <c:v>-26.259690594059403</c:v>
                      </c:pt>
                      <c:pt idx="64" formatCode="General">
                        <c:v>-26.367611386138613</c:v>
                      </c:pt>
                      <c:pt idx="65" formatCode="General">
                        <c:v>-26.475532178217822</c:v>
                      </c:pt>
                      <c:pt idx="66" formatCode="General">
                        <c:v>-26.583452970297028</c:v>
                      </c:pt>
                      <c:pt idx="67" formatCode="General">
                        <c:v>-26.691373762376237</c:v>
                      </c:pt>
                      <c:pt idx="68" formatCode="General">
                        <c:v>-26.799294554455443</c:v>
                      </c:pt>
                      <c:pt idx="69" formatCode="General">
                        <c:v>-26.905105328376703</c:v>
                      </c:pt>
                      <c:pt idx="70" formatCode="General">
                        <c:v>-27.008203221809168</c:v>
                      </c:pt>
                      <c:pt idx="71" formatCode="General">
                        <c:v>-27.111301115241634</c:v>
                      </c:pt>
                      <c:pt idx="72" formatCode="General">
                        <c:v>-27.2143990086741</c:v>
                      </c:pt>
                      <c:pt idx="73" formatCode="General">
                        <c:v>-27.317496902106566</c:v>
                      </c:pt>
                      <c:pt idx="74" formatCode="General">
                        <c:v>-27.420594795539031</c:v>
                      </c:pt>
                      <c:pt idx="75" formatCode="General">
                        <c:v>-27.523692688971497</c:v>
                      </c:pt>
                      <c:pt idx="76" formatCode="General">
                        <c:v>-27.626790582403963</c:v>
                      </c:pt>
                      <c:pt idx="77" formatCode="General">
                        <c:v>-27.729888475836429</c:v>
                      </c:pt>
                      <c:pt idx="78" formatCode="General">
                        <c:v>-27.832986369268895</c:v>
                      </c:pt>
                      <c:pt idx="79" formatCode="General">
                        <c:v>-27.934999999999999</c:v>
                      </c:pt>
                      <c:pt idx="80" formatCode="General">
                        <c:v>-28.034999999999997</c:v>
                      </c:pt>
                      <c:pt idx="81" formatCode="General">
                        <c:v>-28.134999999999998</c:v>
                      </c:pt>
                      <c:pt idx="82" formatCode="General">
                        <c:v>-28.234999999999999</c:v>
                      </c:pt>
                      <c:pt idx="83" formatCode="General">
                        <c:v>-28.334999999999997</c:v>
                      </c:pt>
                      <c:pt idx="84" formatCode="General">
                        <c:v>-28.434999999999999</c:v>
                      </c:pt>
                      <c:pt idx="85" formatCode="General">
                        <c:v>-28.535</c:v>
                      </c:pt>
                      <c:pt idx="86" formatCode="General">
                        <c:v>-28.634999999999998</c:v>
                      </c:pt>
                      <c:pt idx="87" formatCode="General">
                        <c:v>-28.734999999999999</c:v>
                      </c:pt>
                      <c:pt idx="88" formatCode="General">
                        <c:v>-28.835000000000001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2AA-428F-BF67-55FEE88886D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2AA-428F-BF67-55FEE88886D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2AA-428F-BF67-55FEE88886D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2AA-428F-BF67-55FEE88886D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2AA-428F-BF67-55FEE88886D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2AA-428F-BF67-55FEE88886D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2AA-428F-BF67-55FEE88886DD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2AA-428F-BF67-55FEE88886DD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2AA-428F-BF67-55FEE88886DD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2AA-428F-BF67-55FEE88886DD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2AA-428F-BF67-55FEE88886DD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2AA-428F-BF67-55FEE88886DD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2AA-428F-BF67-55FEE88886DD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72AA-428F-BF67-55FEE88886DD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72AA-428F-BF67-55FEE88886DD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72AA-428F-BF67-55FEE88886DD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72AA-428F-BF67-55FEE88886DD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72AA-428F-BF67-55FEE88886DD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-85.396485148514856</c:v>
                      </c:pt>
                      <c:pt idx="1">
                        <c:v>-83.32361386138615</c:v>
                      </c:pt>
                      <c:pt idx="2">
                        <c:v>-81.355297029702982</c:v>
                      </c:pt>
                      <c:pt idx="3">
                        <c:v>-79.398366336633671</c:v>
                      </c:pt>
                      <c:pt idx="4" formatCode="General">
                        <c:v>-77.612227722772275</c:v>
                      </c:pt>
                      <c:pt idx="5" formatCode="General">
                        <c:v>-75.826089108910892</c:v>
                      </c:pt>
                      <c:pt idx="6" formatCode="General">
                        <c:v>-74.122970297029696</c:v>
                      </c:pt>
                      <c:pt idx="7" formatCode="General">
                        <c:v>-72.49128712871287</c:v>
                      </c:pt>
                      <c:pt idx="8" formatCode="General">
                        <c:v>-70.861386138613852</c:v>
                      </c:pt>
                      <c:pt idx="9" formatCode="General">
                        <c:v>-69.372277227722776</c:v>
                      </c:pt>
                      <c:pt idx="10" formatCode="General">
                        <c:v>-67.883168316831686</c:v>
                      </c:pt>
                      <c:pt idx="11" formatCode="General">
                        <c:v>-66.463564356435654</c:v>
                      </c:pt>
                      <c:pt idx="12" formatCode="General">
                        <c:v>-65.117029702970299</c:v>
                      </c:pt>
                      <c:pt idx="13" formatCode="General">
                        <c:v>-63.770495049504952</c:v>
                      </c:pt>
                      <c:pt idx="14" formatCode="General">
                        <c:v>-62.553564356435643</c:v>
                      </c:pt>
                      <c:pt idx="15" formatCode="General">
                        <c:v>-61.341683168316834</c:v>
                      </c:pt>
                      <c:pt idx="16" formatCode="General">
                        <c:v>-60.180049504950496</c:v>
                      </c:pt>
                      <c:pt idx="17" formatCode="General">
                        <c:v>-59.0830198019802</c:v>
                      </c:pt>
                      <c:pt idx="18" formatCode="General">
                        <c:v>-57.985990099009896</c:v>
                      </c:pt>
                      <c:pt idx="19" formatCode="General">
                        <c:v>-57.000990099009904</c:v>
                      </c:pt>
                      <c:pt idx="20" formatCode="General">
                        <c:v>-56.026732673267333</c:v>
                      </c:pt>
                      <c:pt idx="21" formatCode="General">
                        <c:v>-55.08470297029703</c:v>
                      </c:pt>
                      <c:pt idx="22" formatCode="General">
                        <c:v>-54.19361386138614</c:v>
                      </c:pt>
                      <c:pt idx="23" formatCode="General">
                        <c:v>-53.30252475247525</c:v>
                      </c:pt>
                      <c:pt idx="24" formatCode="General">
                        <c:v>-52.486567164179107</c:v>
                      </c:pt>
                      <c:pt idx="25" formatCode="General">
                        <c:v>-51.682587064676611</c:v>
                      </c:pt>
                      <c:pt idx="26" formatCode="General">
                        <c:v>-50.971485148514844</c:v>
                      </c:pt>
                      <c:pt idx="27" formatCode="General">
                        <c:v>-50.432871287128705</c:v>
                      </c:pt>
                      <c:pt idx="28" formatCode="General">
                        <c:v>-49.894257425742573</c:v>
                      </c:pt>
                      <c:pt idx="29" formatCode="General">
                        <c:v>-50.041782178217822</c:v>
                      </c:pt>
                      <c:pt idx="30" formatCode="General">
                        <c:v>-50.334851485148519</c:v>
                      </c:pt>
                      <c:pt idx="31" formatCode="General">
                        <c:v>-50.670693069306935</c:v>
                      </c:pt>
                      <c:pt idx="32" formatCode="General">
                        <c:v>-51.106336633663368</c:v>
                      </c:pt>
                      <c:pt idx="33" formatCode="General">
                        <c:v>-51.541980198019807</c:v>
                      </c:pt>
                      <c:pt idx="34" formatCode="General">
                        <c:v>-51.974554455445549</c:v>
                      </c:pt>
                      <c:pt idx="35" formatCode="General">
                        <c:v>-52.406237623762379</c:v>
                      </c:pt>
                      <c:pt idx="36" formatCode="General">
                        <c:v>-52.83792079207921</c:v>
                      </c:pt>
                      <c:pt idx="37" formatCode="General">
                        <c:v>-53.26960396039604</c:v>
                      </c:pt>
                      <c:pt idx="38" formatCode="General">
                        <c:v>-53.701287128712863</c:v>
                      </c:pt>
                      <c:pt idx="39" formatCode="General">
                        <c:v>-54.130099009900981</c:v>
                      </c:pt>
                      <c:pt idx="40" formatCode="General">
                        <c:v>-54.557821782178216</c:v>
                      </c:pt>
                      <c:pt idx="41" formatCode="General">
                        <c:v>-54.983960396039606</c:v>
                      </c:pt>
                      <c:pt idx="42" formatCode="General">
                        <c:v>-55.403762376237623</c:v>
                      </c:pt>
                      <c:pt idx="43" formatCode="General">
                        <c:v>-55.823564356435639</c:v>
                      </c:pt>
                      <c:pt idx="44" formatCode="General">
                        <c:v>-56.238019801980194</c:v>
                      </c:pt>
                      <c:pt idx="45" formatCode="General">
                        <c:v>-56.649900990099006</c:v>
                      </c:pt>
                      <c:pt idx="46" formatCode="General">
                        <c:v>-57.061782178217825</c:v>
                      </c:pt>
                      <c:pt idx="47" formatCode="General">
                        <c:v>-57.473663366336638</c:v>
                      </c:pt>
                      <c:pt idx="48" formatCode="General">
                        <c:v>-57.88554455445545</c:v>
                      </c:pt>
                      <c:pt idx="49" formatCode="General">
                        <c:v>-58.28659231722429</c:v>
                      </c:pt>
                      <c:pt idx="50" formatCode="General">
                        <c:v>-58.681140024783154</c:v>
                      </c:pt>
                      <c:pt idx="51" formatCode="General">
                        <c:v>-59.075687732342011</c:v>
                      </c:pt>
                      <c:pt idx="52" formatCode="General">
                        <c:v>-59.470235439900868</c:v>
                      </c:pt>
                      <c:pt idx="53" formatCode="General">
                        <c:v>-59.864783147459733</c:v>
                      </c:pt>
                      <c:pt idx="54" formatCode="General">
                        <c:v>-60.25933085501859</c:v>
                      </c:pt>
                      <c:pt idx="55" formatCode="General">
                        <c:v>-60.653878562577447</c:v>
                      </c:pt>
                      <c:pt idx="56" formatCode="General">
                        <c:v>-61.048426270136311</c:v>
                      </c:pt>
                      <c:pt idx="57" formatCode="General">
                        <c:v>-61.442973977695168</c:v>
                      </c:pt>
                      <c:pt idx="58" formatCode="General">
                        <c:v>-61.837521685254032</c:v>
                      </c:pt>
                      <c:pt idx="59" formatCode="General">
                        <c:v>-62.217970297029701</c:v>
                      </c:pt>
                      <c:pt idx="60" formatCode="General">
                        <c:v>-62.586287128712868</c:v>
                      </c:pt>
                      <c:pt idx="61" formatCode="General">
                        <c:v>-62.954603960396042</c:v>
                      </c:pt>
                      <c:pt idx="62" formatCode="General">
                        <c:v>-63.322920792079209</c:v>
                      </c:pt>
                      <c:pt idx="63" formatCode="General">
                        <c:v>-63.691237623762376</c:v>
                      </c:pt>
                      <c:pt idx="64" formatCode="General">
                        <c:v>-64.059554455445536</c:v>
                      </c:pt>
                      <c:pt idx="65" formatCode="General">
                        <c:v>-64.42787128712871</c:v>
                      </c:pt>
                      <c:pt idx="66" formatCode="General">
                        <c:v>-64.796188118811884</c:v>
                      </c:pt>
                      <c:pt idx="67" formatCode="General">
                        <c:v>-65.164504950495044</c:v>
                      </c:pt>
                      <c:pt idx="68" formatCode="General">
                        <c:v>-65.532821782178218</c:v>
                      </c:pt>
                      <c:pt idx="69" formatCode="General">
                        <c:v>-65.887026022304823</c:v>
                      </c:pt>
                      <c:pt idx="70" formatCode="General">
                        <c:v>-66.223085501858733</c:v>
                      </c:pt>
                      <c:pt idx="71" formatCode="General">
                        <c:v>-66.559144981412629</c:v>
                      </c:pt>
                      <c:pt idx="72" formatCode="General">
                        <c:v>-66.895204460966539</c:v>
                      </c:pt>
                      <c:pt idx="73" formatCode="General">
                        <c:v>-67.231263940520435</c:v>
                      </c:pt>
                      <c:pt idx="74" formatCode="General">
                        <c:v>-67.567323420074345</c:v>
                      </c:pt>
                      <c:pt idx="75" formatCode="General">
                        <c:v>-67.903382899628241</c:v>
                      </c:pt>
                      <c:pt idx="76" formatCode="General">
                        <c:v>-68.239442379182151</c:v>
                      </c:pt>
                      <c:pt idx="77" formatCode="General">
                        <c:v>-68.575501858736047</c:v>
                      </c:pt>
                      <c:pt idx="78" formatCode="General">
                        <c:v>-68.911561338289957</c:v>
                      </c:pt>
                      <c:pt idx="79" formatCode="General">
                        <c:v>-69.236039603960393</c:v>
                      </c:pt>
                      <c:pt idx="80" formatCode="General">
                        <c:v>-69.539009900990095</c:v>
                      </c:pt>
                      <c:pt idx="81" formatCode="General">
                        <c:v>-69.841980198019797</c:v>
                      </c:pt>
                      <c:pt idx="82" formatCode="General">
                        <c:v>-70.1449504950495</c:v>
                      </c:pt>
                      <c:pt idx="83" formatCode="General">
                        <c:v>-70.447920792079202</c:v>
                      </c:pt>
                      <c:pt idx="84" formatCode="General">
                        <c:v>-70.750891089108904</c:v>
                      </c:pt>
                      <c:pt idx="85" formatCode="General">
                        <c:v>-71.053861386138607</c:v>
                      </c:pt>
                      <c:pt idx="86" formatCode="General">
                        <c:v>-71.356831683168309</c:v>
                      </c:pt>
                      <c:pt idx="87" formatCode="General">
                        <c:v>-71.659801980198012</c:v>
                      </c:pt>
                      <c:pt idx="88" formatCode="General">
                        <c:v>-71.962772277227714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72AA-428F-BF67-55FEE88886DD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72AA-428F-BF67-55FEE88886DD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-107.9441584158416</c:v>
                      </c:pt>
                      <c:pt idx="1">
                        <c:v>-105.48747524752477</c:v>
                      </c:pt>
                      <c:pt idx="2">
                        <c:v>-103.20232673267327</c:v>
                      </c:pt>
                      <c:pt idx="3">
                        <c:v>-100.93970297029703</c:v>
                      </c:pt>
                      <c:pt idx="4" formatCode="General">
                        <c:v>-99.014950495049504</c:v>
                      </c:pt>
                      <c:pt idx="5" formatCode="General">
                        <c:v>-97.090198019801974</c:v>
                      </c:pt>
                      <c:pt idx="6" formatCode="General">
                        <c:v>-95.322970297029684</c:v>
                      </c:pt>
                      <c:pt idx="7" formatCode="General">
                        <c:v>-93.691287128712858</c:v>
                      </c:pt>
                      <c:pt idx="8" formatCode="General">
                        <c:v>-92.06227722772276</c:v>
                      </c:pt>
                      <c:pt idx="9" formatCode="General">
                        <c:v>-90.644455445544551</c:v>
                      </c:pt>
                      <c:pt idx="10" formatCode="General">
                        <c:v>-89.226633663366343</c:v>
                      </c:pt>
                      <c:pt idx="11" formatCode="General">
                        <c:v>-87.89183168316832</c:v>
                      </c:pt>
                      <c:pt idx="12" formatCode="General">
                        <c:v>-86.644306930693062</c:v>
                      </c:pt>
                      <c:pt idx="13" formatCode="General">
                        <c:v>-85.396782178217819</c:v>
                      </c:pt>
                      <c:pt idx="14" formatCode="General">
                        <c:v>-84.282673267326729</c:v>
                      </c:pt>
                      <c:pt idx="15" formatCode="General">
                        <c:v>-83.173762376237633</c:v>
                      </c:pt>
                      <c:pt idx="16" formatCode="General">
                        <c:v>-82.108168316831694</c:v>
                      </c:pt>
                      <c:pt idx="17" formatCode="General">
                        <c:v>-81.098267326732682</c:v>
                      </c:pt>
                      <c:pt idx="18" formatCode="General">
                        <c:v>-80.088366336633669</c:v>
                      </c:pt>
                      <c:pt idx="19" formatCode="General">
                        <c:v>-79.179653465346533</c:v>
                      </c:pt>
                      <c:pt idx="20" formatCode="General">
                        <c:v>-78.280643564356438</c:v>
                      </c:pt>
                      <c:pt idx="21" formatCode="General">
                        <c:v>-77.410792079207923</c:v>
                      </c:pt>
                      <c:pt idx="22" formatCode="General">
                        <c:v>-76.587029702970298</c:v>
                      </c:pt>
                      <c:pt idx="23" formatCode="General">
                        <c:v>-75.763267326732688</c:v>
                      </c:pt>
                      <c:pt idx="24" formatCode="General">
                        <c:v>-75.025223880597025</c:v>
                      </c:pt>
                      <c:pt idx="25" formatCode="General">
                        <c:v>-74.300845771144282</c:v>
                      </c:pt>
                      <c:pt idx="26" formatCode="General">
                        <c:v>-73.666435643564355</c:v>
                      </c:pt>
                      <c:pt idx="27" formatCode="General">
                        <c:v>-73.199108910891084</c:v>
                      </c:pt>
                      <c:pt idx="28" formatCode="General">
                        <c:v>-72.731782178217827</c:v>
                      </c:pt>
                      <c:pt idx="29" formatCode="General">
                        <c:v>-72.973465346534653</c:v>
                      </c:pt>
                      <c:pt idx="30" formatCode="General">
                        <c:v>-73.365544554455454</c:v>
                      </c:pt>
                      <c:pt idx="31" formatCode="General">
                        <c:v>-73.806336633663364</c:v>
                      </c:pt>
                      <c:pt idx="32" formatCode="General">
                        <c:v>-74.360792079207911</c:v>
                      </c:pt>
                      <c:pt idx="33" formatCode="General">
                        <c:v>-74.915247524752473</c:v>
                      </c:pt>
                      <c:pt idx="34" formatCode="General">
                        <c:v>-75.46356435643564</c:v>
                      </c:pt>
                      <c:pt idx="35" formatCode="General">
                        <c:v>-76.010099009900983</c:v>
                      </c:pt>
                      <c:pt idx="36" formatCode="General">
                        <c:v>-76.557623762376238</c:v>
                      </c:pt>
                      <c:pt idx="37" formatCode="General">
                        <c:v>-77.108118811881184</c:v>
                      </c:pt>
                      <c:pt idx="38" formatCode="General">
                        <c:v>-77.658613861386144</c:v>
                      </c:pt>
                      <c:pt idx="39" formatCode="General">
                        <c:v>-78.206237623762377</c:v>
                      </c:pt>
                      <c:pt idx="40" formatCode="General">
                        <c:v>-78.75277227722772</c:v>
                      </c:pt>
                      <c:pt idx="41" formatCode="General">
                        <c:v>-79.296930693069299</c:v>
                      </c:pt>
                      <c:pt idx="42" formatCode="General">
                        <c:v>-79.831584158415836</c:v>
                      </c:pt>
                      <c:pt idx="43" formatCode="General">
                        <c:v>-80.366237623762373</c:v>
                      </c:pt>
                      <c:pt idx="44" formatCode="General">
                        <c:v>-80.895544554455441</c:v>
                      </c:pt>
                      <c:pt idx="45" formatCode="General">
                        <c:v>-81.422277227722773</c:v>
                      </c:pt>
                      <c:pt idx="46" formatCode="General">
                        <c:v>-81.949009900990106</c:v>
                      </c:pt>
                      <c:pt idx="47" formatCode="General">
                        <c:v>-82.475742574257424</c:v>
                      </c:pt>
                      <c:pt idx="48" formatCode="General">
                        <c:v>-83.002475247524757</c:v>
                      </c:pt>
                      <c:pt idx="49" formatCode="General">
                        <c:v>-83.515985130111531</c:v>
                      </c:pt>
                      <c:pt idx="50" formatCode="General">
                        <c:v>-84.02156133828997</c:v>
                      </c:pt>
                      <c:pt idx="51" formatCode="General">
                        <c:v>-84.52713754646841</c:v>
                      </c:pt>
                      <c:pt idx="52" formatCode="General">
                        <c:v>-85.032713754646849</c:v>
                      </c:pt>
                      <c:pt idx="53" formatCode="General">
                        <c:v>-85.538289962825289</c:v>
                      </c:pt>
                      <c:pt idx="54" formatCode="General">
                        <c:v>-86.043866171003728</c:v>
                      </c:pt>
                      <c:pt idx="55" formatCode="General">
                        <c:v>-86.549442379182167</c:v>
                      </c:pt>
                      <c:pt idx="56" formatCode="General">
                        <c:v>-87.055018587360607</c:v>
                      </c:pt>
                      <c:pt idx="57" formatCode="General">
                        <c:v>-87.560594795539046</c:v>
                      </c:pt>
                      <c:pt idx="58" formatCode="General">
                        <c:v>-88.066171003717486</c:v>
                      </c:pt>
                      <c:pt idx="59" formatCode="General">
                        <c:v>-88.555977722772283</c:v>
                      </c:pt>
                      <c:pt idx="60" formatCode="General">
                        <c:v>-89.032215346534656</c:v>
                      </c:pt>
                      <c:pt idx="61" formatCode="General">
                        <c:v>-89.508452970297043</c:v>
                      </c:pt>
                      <c:pt idx="62" formatCode="General">
                        <c:v>-89.984690594059416</c:v>
                      </c:pt>
                      <c:pt idx="63" formatCode="General">
                        <c:v>-90.460928217821788</c:v>
                      </c:pt>
                      <c:pt idx="64" formatCode="General">
                        <c:v>-90.937165841584161</c:v>
                      </c:pt>
                      <c:pt idx="65" formatCode="General">
                        <c:v>-91.413403465346533</c:v>
                      </c:pt>
                      <c:pt idx="66" formatCode="General">
                        <c:v>-91.889641089108906</c:v>
                      </c:pt>
                      <c:pt idx="67" formatCode="General">
                        <c:v>-92.365878712871293</c:v>
                      </c:pt>
                      <c:pt idx="68" formatCode="General">
                        <c:v>-92.842116336633666</c:v>
                      </c:pt>
                      <c:pt idx="69" formatCode="General">
                        <c:v>-93.302131350681535</c:v>
                      </c:pt>
                      <c:pt idx="70" formatCode="General">
                        <c:v>-93.741288723667907</c:v>
                      </c:pt>
                      <c:pt idx="71" formatCode="General">
                        <c:v>-94.180446096654279</c:v>
                      </c:pt>
                      <c:pt idx="72" formatCode="General">
                        <c:v>-94.619603469640637</c:v>
                      </c:pt>
                      <c:pt idx="73" formatCode="General">
                        <c:v>-95.058760842627009</c:v>
                      </c:pt>
                      <c:pt idx="74" formatCode="General">
                        <c:v>-95.497918215613382</c:v>
                      </c:pt>
                      <c:pt idx="75" formatCode="General">
                        <c:v>-95.93707558859974</c:v>
                      </c:pt>
                      <c:pt idx="76" formatCode="General">
                        <c:v>-96.376232961586112</c:v>
                      </c:pt>
                      <c:pt idx="77" formatCode="General">
                        <c:v>-96.815390334572484</c:v>
                      </c:pt>
                      <c:pt idx="78" formatCode="General">
                        <c:v>-97.254547707558856</c:v>
                      </c:pt>
                      <c:pt idx="79" formatCode="General">
                        <c:v>-97.681039603960386</c:v>
                      </c:pt>
                      <c:pt idx="80" formatCode="General">
                        <c:v>-98.084009900990097</c:v>
                      </c:pt>
                      <c:pt idx="81" formatCode="General">
                        <c:v>-98.486980198019793</c:v>
                      </c:pt>
                      <c:pt idx="82" formatCode="General">
                        <c:v>-98.889950495049504</c:v>
                      </c:pt>
                      <c:pt idx="83" formatCode="General">
                        <c:v>-99.292920792079201</c:v>
                      </c:pt>
                      <c:pt idx="84" formatCode="General">
                        <c:v>-99.695891089108912</c:v>
                      </c:pt>
                      <c:pt idx="85" formatCode="General">
                        <c:v>-100.09886138613862</c:v>
                      </c:pt>
                      <c:pt idx="86" formatCode="General">
                        <c:v>-100.50183168316832</c:v>
                      </c:pt>
                      <c:pt idx="87" formatCode="General">
                        <c:v>-100.90480198019803</c:v>
                      </c:pt>
                      <c:pt idx="88" formatCode="General">
                        <c:v>-101.30777227722774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72AA-428F-BF67-55FEE88886DD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-193.34064356435644</c:v>
                      </c:pt>
                      <c:pt idx="1">
                        <c:v>-188.81108910891089</c:v>
                      </c:pt>
                      <c:pt idx="2">
                        <c:v>-184.55762376237624</c:v>
                      </c:pt>
                      <c:pt idx="3">
                        <c:v>-180.33806930693069</c:v>
                      </c:pt>
                      <c:pt idx="4" formatCode="General">
                        <c:v>-176.62717821782178</c:v>
                      </c:pt>
                      <c:pt idx="5" formatCode="General">
                        <c:v>-172.91628712871287</c:v>
                      </c:pt>
                      <c:pt idx="6" formatCode="General">
                        <c:v>-169.44594059405938</c:v>
                      </c:pt>
                      <c:pt idx="7" formatCode="General">
                        <c:v>-166.18257425742573</c:v>
                      </c:pt>
                      <c:pt idx="8" formatCode="General">
                        <c:v>-162.9236633663366</c:v>
                      </c:pt>
                      <c:pt idx="9" formatCode="General">
                        <c:v>-160.01673267326731</c:v>
                      </c:pt>
                      <c:pt idx="10" formatCode="General">
                        <c:v>-157.10980198019803</c:v>
                      </c:pt>
                      <c:pt idx="11" formatCode="General">
                        <c:v>-154.35539603960396</c:v>
                      </c:pt>
                      <c:pt idx="12" formatCode="General">
                        <c:v>-151.76133663366338</c:v>
                      </c:pt>
                      <c:pt idx="13" formatCode="General">
                        <c:v>-149.16727722772276</c:v>
                      </c:pt>
                      <c:pt idx="14" formatCode="General">
                        <c:v>-146.83623762376237</c:v>
                      </c:pt>
                      <c:pt idx="15" formatCode="General">
                        <c:v>-144.51544554455447</c:v>
                      </c:pt>
                      <c:pt idx="16" formatCode="General">
                        <c:v>-142.28821782178218</c:v>
                      </c:pt>
                      <c:pt idx="17" formatCode="General">
                        <c:v>-140.18128712871285</c:v>
                      </c:pt>
                      <c:pt idx="18" formatCode="General">
                        <c:v>-138.07435643564355</c:v>
                      </c:pt>
                      <c:pt idx="19" formatCode="General">
                        <c:v>-136.18064356435644</c:v>
                      </c:pt>
                      <c:pt idx="20" formatCode="General">
                        <c:v>-134.30737623762377</c:v>
                      </c:pt>
                      <c:pt idx="21" formatCode="General">
                        <c:v>-132.49549504950497</c:v>
                      </c:pt>
                      <c:pt idx="22" formatCode="General">
                        <c:v>-130.78064356435644</c:v>
                      </c:pt>
                      <c:pt idx="23" formatCode="General">
                        <c:v>-129.06579207920791</c:v>
                      </c:pt>
                      <c:pt idx="24" formatCode="General">
                        <c:v>-127.51179104477612</c:v>
                      </c:pt>
                      <c:pt idx="25" formatCode="General">
                        <c:v>-125.98343283582089</c:v>
                      </c:pt>
                      <c:pt idx="26" formatCode="General">
                        <c:v>-124.63792079207921</c:v>
                      </c:pt>
                      <c:pt idx="27" formatCode="General">
                        <c:v>-123.63198019801982</c:v>
                      </c:pt>
                      <c:pt idx="28" formatCode="General">
                        <c:v>-122.62603960396041</c:v>
                      </c:pt>
                      <c:pt idx="29" formatCode="General">
                        <c:v>-123.0152475247525</c:v>
                      </c:pt>
                      <c:pt idx="30" formatCode="General">
                        <c:v>-123.70039603960397</c:v>
                      </c:pt>
                      <c:pt idx="31" formatCode="General">
                        <c:v>-124.4770297029703</c:v>
                      </c:pt>
                      <c:pt idx="32" formatCode="General">
                        <c:v>-125.46712871287129</c:v>
                      </c:pt>
                      <c:pt idx="33" formatCode="General">
                        <c:v>-126.45722772277226</c:v>
                      </c:pt>
                      <c:pt idx="34" formatCode="General">
                        <c:v>-127.43811881188118</c:v>
                      </c:pt>
                      <c:pt idx="35" formatCode="General">
                        <c:v>-128.41633663366338</c:v>
                      </c:pt>
                      <c:pt idx="36" formatCode="General">
                        <c:v>-129.39554455445545</c:v>
                      </c:pt>
                      <c:pt idx="37" formatCode="General">
                        <c:v>-130.37772277227722</c:v>
                      </c:pt>
                      <c:pt idx="38" formatCode="General">
                        <c:v>-131.35990099009899</c:v>
                      </c:pt>
                      <c:pt idx="39" formatCode="General">
                        <c:v>-132.33633663366336</c:v>
                      </c:pt>
                      <c:pt idx="40" formatCode="General">
                        <c:v>-133.31059405940593</c:v>
                      </c:pt>
                      <c:pt idx="41" formatCode="General">
                        <c:v>-134.28089108910891</c:v>
                      </c:pt>
                      <c:pt idx="42" formatCode="General">
                        <c:v>-135.23534653465347</c:v>
                      </c:pt>
                      <c:pt idx="43" formatCode="General">
                        <c:v>-136.18980198019801</c:v>
                      </c:pt>
                      <c:pt idx="44" formatCode="General">
                        <c:v>-137.13356435643564</c:v>
                      </c:pt>
                      <c:pt idx="45" formatCode="General">
                        <c:v>-138.0721782178218</c:v>
                      </c:pt>
                      <c:pt idx="46" formatCode="General">
                        <c:v>-139.01079207920793</c:v>
                      </c:pt>
                      <c:pt idx="47" formatCode="General">
                        <c:v>-139.94940594059406</c:v>
                      </c:pt>
                      <c:pt idx="48" formatCode="General">
                        <c:v>-140.88801980198022</c:v>
                      </c:pt>
                      <c:pt idx="49" formatCode="General">
                        <c:v>-141.80257744733581</c:v>
                      </c:pt>
                      <c:pt idx="50" formatCode="General">
                        <c:v>-142.70270136307312</c:v>
                      </c:pt>
                      <c:pt idx="51" formatCode="General">
                        <c:v>-143.6028252788104</c:v>
                      </c:pt>
                      <c:pt idx="52" formatCode="General">
                        <c:v>-144.50294919454771</c:v>
                      </c:pt>
                      <c:pt idx="53" formatCode="General">
                        <c:v>-145.40307311028499</c:v>
                      </c:pt>
                      <c:pt idx="54" formatCode="General">
                        <c:v>-146.3031970260223</c:v>
                      </c:pt>
                      <c:pt idx="55" formatCode="General">
                        <c:v>-147.20332094175959</c:v>
                      </c:pt>
                      <c:pt idx="56" formatCode="General">
                        <c:v>-148.1034448574969</c:v>
                      </c:pt>
                      <c:pt idx="57" formatCode="General">
                        <c:v>-149.00356877323418</c:v>
                      </c:pt>
                      <c:pt idx="58" formatCode="General">
                        <c:v>-149.90369268897149</c:v>
                      </c:pt>
                      <c:pt idx="59" formatCode="General">
                        <c:v>-150.77394801980196</c:v>
                      </c:pt>
                      <c:pt idx="60" formatCode="General">
                        <c:v>-151.61850247524751</c:v>
                      </c:pt>
                      <c:pt idx="61" formatCode="General">
                        <c:v>-152.46305693069306</c:v>
                      </c:pt>
                      <c:pt idx="62" formatCode="General">
                        <c:v>-153.3076113861386</c:v>
                      </c:pt>
                      <c:pt idx="63" formatCode="General">
                        <c:v>-154.15216584158415</c:v>
                      </c:pt>
                      <c:pt idx="64" formatCode="General">
                        <c:v>-154.9967202970297</c:v>
                      </c:pt>
                      <c:pt idx="65" formatCode="General">
                        <c:v>-155.84127475247524</c:v>
                      </c:pt>
                      <c:pt idx="66" formatCode="General">
                        <c:v>-156.68582920792079</c:v>
                      </c:pt>
                      <c:pt idx="67" formatCode="General">
                        <c:v>-157.53038366336634</c:v>
                      </c:pt>
                      <c:pt idx="68" formatCode="General">
                        <c:v>-158.37493811881188</c:v>
                      </c:pt>
                      <c:pt idx="69" formatCode="General">
                        <c:v>-159.18915737298636</c:v>
                      </c:pt>
                      <c:pt idx="70" formatCode="General">
                        <c:v>-159.96437422552663</c:v>
                      </c:pt>
                      <c:pt idx="71" formatCode="General">
                        <c:v>-160.73959107806692</c:v>
                      </c:pt>
                      <c:pt idx="72" formatCode="General">
                        <c:v>-161.51480793060719</c:v>
                      </c:pt>
                      <c:pt idx="73" formatCode="General">
                        <c:v>-162.29002478314746</c:v>
                      </c:pt>
                      <c:pt idx="74" formatCode="General">
                        <c:v>-163.06524163568773</c:v>
                      </c:pt>
                      <c:pt idx="75" formatCode="General">
                        <c:v>-163.84045848822802</c:v>
                      </c:pt>
                      <c:pt idx="76" formatCode="General">
                        <c:v>-164.61567534076829</c:v>
                      </c:pt>
                      <c:pt idx="77" formatCode="General">
                        <c:v>-165.39089219330856</c:v>
                      </c:pt>
                      <c:pt idx="78" formatCode="General">
                        <c:v>-166.16610904584883</c:v>
                      </c:pt>
                      <c:pt idx="79" formatCode="General">
                        <c:v>-166.91707920792081</c:v>
                      </c:pt>
                      <c:pt idx="80" formatCode="General">
                        <c:v>-167.62301980198021</c:v>
                      </c:pt>
                      <c:pt idx="81" formatCode="General">
                        <c:v>-168.32896039603961</c:v>
                      </c:pt>
                      <c:pt idx="82" formatCode="General">
                        <c:v>-169.03490099009903</c:v>
                      </c:pt>
                      <c:pt idx="83" formatCode="General">
                        <c:v>-169.74084158415843</c:v>
                      </c:pt>
                      <c:pt idx="84" formatCode="General">
                        <c:v>-170.44678217821783</c:v>
                      </c:pt>
                      <c:pt idx="85" formatCode="General">
                        <c:v>-171.15272277227723</c:v>
                      </c:pt>
                      <c:pt idx="86" formatCode="General">
                        <c:v>-171.85866336633666</c:v>
                      </c:pt>
                      <c:pt idx="87" formatCode="General">
                        <c:v>-172.56460396039606</c:v>
                      </c:pt>
                      <c:pt idx="88" formatCode="General">
                        <c:v>-173.27054455445545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72AA-428F-BF67-55FEE88886DD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72AA-428F-BF67-55FEE88886DD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-107.9441584158416</c:v>
                      </c:pt>
                      <c:pt idx="1">
                        <c:v>-105.48747524752477</c:v>
                      </c:pt>
                      <c:pt idx="2">
                        <c:v>-103.20232673267327</c:v>
                      </c:pt>
                      <c:pt idx="3">
                        <c:v>-100.93970297029703</c:v>
                      </c:pt>
                      <c:pt idx="4" formatCode="General">
                        <c:v>-99.014950495049504</c:v>
                      </c:pt>
                      <c:pt idx="5" formatCode="General">
                        <c:v>-97.090198019801974</c:v>
                      </c:pt>
                      <c:pt idx="6" formatCode="General">
                        <c:v>-95.322970297029684</c:v>
                      </c:pt>
                      <c:pt idx="7" formatCode="General">
                        <c:v>-93.691287128712858</c:v>
                      </c:pt>
                      <c:pt idx="8" formatCode="General">
                        <c:v>-92.06227722772276</c:v>
                      </c:pt>
                      <c:pt idx="9" formatCode="General">
                        <c:v>-90.644455445544551</c:v>
                      </c:pt>
                      <c:pt idx="10" formatCode="General">
                        <c:v>-89.226633663366343</c:v>
                      </c:pt>
                      <c:pt idx="11" formatCode="General">
                        <c:v>-87.89183168316832</c:v>
                      </c:pt>
                      <c:pt idx="12" formatCode="General">
                        <c:v>-86.644306930693062</c:v>
                      </c:pt>
                      <c:pt idx="13" formatCode="General">
                        <c:v>-85.396782178217819</c:v>
                      </c:pt>
                      <c:pt idx="14" formatCode="General">
                        <c:v>-84.282673267326729</c:v>
                      </c:pt>
                      <c:pt idx="15" formatCode="General">
                        <c:v>-83.173762376237633</c:v>
                      </c:pt>
                      <c:pt idx="16" formatCode="General">
                        <c:v>-82.108168316831694</c:v>
                      </c:pt>
                      <c:pt idx="17" formatCode="General">
                        <c:v>-81.098267326732682</c:v>
                      </c:pt>
                      <c:pt idx="18" formatCode="General">
                        <c:v>-80.088366336633669</c:v>
                      </c:pt>
                      <c:pt idx="19" formatCode="General">
                        <c:v>-79.179653465346533</c:v>
                      </c:pt>
                      <c:pt idx="20" formatCode="General">
                        <c:v>-78.280643564356438</c:v>
                      </c:pt>
                      <c:pt idx="21" formatCode="General">
                        <c:v>-77.410792079207923</c:v>
                      </c:pt>
                      <c:pt idx="22" formatCode="General">
                        <c:v>-76.587029702970298</c:v>
                      </c:pt>
                      <c:pt idx="23" formatCode="General">
                        <c:v>-75.763267326732688</c:v>
                      </c:pt>
                      <c:pt idx="24" formatCode="General">
                        <c:v>-75.025223880597025</c:v>
                      </c:pt>
                      <c:pt idx="25" formatCode="General">
                        <c:v>-74.300845771144282</c:v>
                      </c:pt>
                      <c:pt idx="26" formatCode="General">
                        <c:v>-73.666435643564355</c:v>
                      </c:pt>
                      <c:pt idx="27" formatCode="General">
                        <c:v>-73.199108910891084</c:v>
                      </c:pt>
                      <c:pt idx="28" formatCode="General">
                        <c:v>-72.731782178217827</c:v>
                      </c:pt>
                      <c:pt idx="29" formatCode="General">
                        <c:v>-72.973465346534653</c:v>
                      </c:pt>
                      <c:pt idx="30" formatCode="General">
                        <c:v>-73.365544554455454</c:v>
                      </c:pt>
                      <c:pt idx="31" formatCode="General">
                        <c:v>-73.806336633663364</c:v>
                      </c:pt>
                      <c:pt idx="32" formatCode="General">
                        <c:v>-74.360792079207911</c:v>
                      </c:pt>
                      <c:pt idx="33" formatCode="General">
                        <c:v>-74.915247524752473</c:v>
                      </c:pt>
                      <c:pt idx="34" formatCode="General">
                        <c:v>-75.46356435643564</c:v>
                      </c:pt>
                      <c:pt idx="35" formatCode="General">
                        <c:v>-76.010099009900983</c:v>
                      </c:pt>
                      <c:pt idx="36" formatCode="General">
                        <c:v>-76.557623762376238</c:v>
                      </c:pt>
                      <c:pt idx="37" formatCode="General">
                        <c:v>-77.108118811881184</c:v>
                      </c:pt>
                      <c:pt idx="38" formatCode="General">
                        <c:v>-77.658613861386144</c:v>
                      </c:pt>
                      <c:pt idx="39" formatCode="General">
                        <c:v>-78.206237623762377</c:v>
                      </c:pt>
                      <c:pt idx="40" formatCode="General">
                        <c:v>-78.75277227722772</c:v>
                      </c:pt>
                      <c:pt idx="41" formatCode="General">
                        <c:v>-79.296930693069299</c:v>
                      </c:pt>
                      <c:pt idx="42" formatCode="General">
                        <c:v>-79.831584158415836</c:v>
                      </c:pt>
                      <c:pt idx="43" formatCode="General">
                        <c:v>-80.366237623762373</c:v>
                      </c:pt>
                      <c:pt idx="44" formatCode="General">
                        <c:v>-80.895544554455441</c:v>
                      </c:pt>
                      <c:pt idx="45" formatCode="General">
                        <c:v>-81.422277227722773</c:v>
                      </c:pt>
                      <c:pt idx="46" formatCode="General">
                        <c:v>-81.949009900990106</c:v>
                      </c:pt>
                      <c:pt idx="47" formatCode="General">
                        <c:v>-82.475742574257424</c:v>
                      </c:pt>
                      <c:pt idx="48" formatCode="General">
                        <c:v>-83.002475247524757</c:v>
                      </c:pt>
                      <c:pt idx="49" formatCode="General">
                        <c:v>-83.515985130111531</c:v>
                      </c:pt>
                      <c:pt idx="50" formatCode="General">
                        <c:v>-84.02156133828997</c:v>
                      </c:pt>
                      <c:pt idx="51" formatCode="General">
                        <c:v>-84.52713754646841</c:v>
                      </c:pt>
                      <c:pt idx="52" formatCode="General">
                        <c:v>-85.032713754646849</c:v>
                      </c:pt>
                      <c:pt idx="53" formatCode="General">
                        <c:v>-85.538289962825289</c:v>
                      </c:pt>
                      <c:pt idx="54" formatCode="General">
                        <c:v>-86.043866171003728</c:v>
                      </c:pt>
                      <c:pt idx="55" formatCode="General">
                        <c:v>-86.549442379182167</c:v>
                      </c:pt>
                      <c:pt idx="56" formatCode="General">
                        <c:v>-87.055018587360607</c:v>
                      </c:pt>
                      <c:pt idx="57" formatCode="General">
                        <c:v>-87.560594795539046</c:v>
                      </c:pt>
                      <c:pt idx="58" formatCode="General">
                        <c:v>-88.066171003717486</c:v>
                      </c:pt>
                      <c:pt idx="59" formatCode="General">
                        <c:v>-88.555977722772283</c:v>
                      </c:pt>
                      <c:pt idx="60" formatCode="General">
                        <c:v>-89.032215346534656</c:v>
                      </c:pt>
                      <c:pt idx="61" formatCode="General">
                        <c:v>-89.508452970297043</c:v>
                      </c:pt>
                      <c:pt idx="62" formatCode="General">
                        <c:v>-89.984690594059416</c:v>
                      </c:pt>
                      <c:pt idx="63" formatCode="General">
                        <c:v>-90.460928217821788</c:v>
                      </c:pt>
                      <c:pt idx="64" formatCode="General">
                        <c:v>-90.937165841584161</c:v>
                      </c:pt>
                      <c:pt idx="65" formatCode="General">
                        <c:v>-91.413403465346533</c:v>
                      </c:pt>
                      <c:pt idx="66" formatCode="General">
                        <c:v>-91.889641089108906</c:v>
                      </c:pt>
                      <c:pt idx="67" formatCode="General">
                        <c:v>-92.365878712871293</c:v>
                      </c:pt>
                      <c:pt idx="68" formatCode="General">
                        <c:v>-92.842116336633666</c:v>
                      </c:pt>
                      <c:pt idx="69" formatCode="General">
                        <c:v>-93.302131350681535</c:v>
                      </c:pt>
                      <c:pt idx="70" formatCode="General">
                        <c:v>-93.741288723667907</c:v>
                      </c:pt>
                      <c:pt idx="71" formatCode="General">
                        <c:v>-94.180446096654279</c:v>
                      </c:pt>
                      <c:pt idx="72" formatCode="General">
                        <c:v>-94.619603469640637</c:v>
                      </c:pt>
                      <c:pt idx="73" formatCode="General">
                        <c:v>-95.058760842627009</c:v>
                      </c:pt>
                      <c:pt idx="74" formatCode="General">
                        <c:v>-95.497918215613382</c:v>
                      </c:pt>
                      <c:pt idx="75" formatCode="General">
                        <c:v>-95.93707558859974</c:v>
                      </c:pt>
                      <c:pt idx="76" formatCode="General">
                        <c:v>-96.376232961586112</c:v>
                      </c:pt>
                      <c:pt idx="77" formatCode="General">
                        <c:v>-96.815390334572484</c:v>
                      </c:pt>
                      <c:pt idx="78" formatCode="General">
                        <c:v>-97.254547707558856</c:v>
                      </c:pt>
                      <c:pt idx="79" formatCode="General">
                        <c:v>-97.681039603960386</c:v>
                      </c:pt>
                      <c:pt idx="80" formatCode="General">
                        <c:v>-98.084009900990097</c:v>
                      </c:pt>
                      <c:pt idx="81" formatCode="General">
                        <c:v>-98.486980198019793</c:v>
                      </c:pt>
                      <c:pt idx="82" formatCode="General">
                        <c:v>-98.889950495049504</c:v>
                      </c:pt>
                      <c:pt idx="83" formatCode="General">
                        <c:v>-99.292920792079201</c:v>
                      </c:pt>
                      <c:pt idx="84" formatCode="General">
                        <c:v>-99.695891089108912</c:v>
                      </c:pt>
                      <c:pt idx="85" formatCode="General">
                        <c:v>-100.09886138613862</c:v>
                      </c:pt>
                      <c:pt idx="86" formatCode="General">
                        <c:v>-100.50183168316832</c:v>
                      </c:pt>
                      <c:pt idx="87" formatCode="General">
                        <c:v>-100.90480198019803</c:v>
                      </c:pt>
                      <c:pt idx="88" formatCode="General">
                        <c:v>-101.30777227722774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72AA-428F-BF67-55FEE88886DD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-193.34064356435644</c:v>
                      </c:pt>
                      <c:pt idx="1">
                        <c:v>-188.81108910891089</c:v>
                      </c:pt>
                      <c:pt idx="2">
                        <c:v>-184.55762376237624</c:v>
                      </c:pt>
                      <c:pt idx="3">
                        <c:v>-180.33806930693069</c:v>
                      </c:pt>
                      <c:pt idx="4" formatCode="General">
                        <c:v>-176.62717821782178</c:v>
                      </c:pt>
                      <c:pt idx="5" formatCode="General">
                        <c:v>-172.91628712871287</c:v>
                      </c:pt>
                      <c:pt idx="6" formatCode="General">
                        <c:v>-169.44594059405938</c:v>
                      </c:pt>
                      <c:pt idx="7" formatCode="General">
                        <c:v>-166.18257425742573</c:v>
                      </c:pt>
                      <c:pt idx="8" formatCode="General">
                        <c:v>-162.9236633663366</c:v>
                      </c:pt>
                      <c:pt idx="9" formatCode="General">
                        <c:v>-160.01673267326731</c:v>
                      </c:pt>
                      <c:pt idx="10" formatCode="General">
                        <c:v>-157.10980198019803</c:v>
                      </c:pt>
                      <c:pt idx="11" formatCode="General">
                        <c:v>-154.35539603960396</c:v>
                      </c:pt>
                      <c:pt idx="12" formatCode="General">
                        <c:v>-151.76133663366338</c:v>
                      </c:pt>
                      <c:pt idx="13" formatCode="General">
                        <c:v>-149.16727722772276</c:v>
                      </c:pt>
                      <c:pt idx="14" formatCode="General">
                        <c:v>-146.83623762376237</c:v>
                      </c:pt>
                      <c:pt idx="15" formatCode="General">
                        <c:v>-144.51544554455447</c:v>
                      </c:pt>
                      <c:pt idx="16" formatCode="General">
                        <c:v>-142.28821782178218</c:v>
                      </c:pt>
                      <c:pt idx="17" formatCode="General">
                        <c:v>-140.18128712871285</c:v>
                      </c:pt>
                      <c:pt idx="18" formatCode="General">
                        <c:v>-138.07435643564355</c:v>
                      </c:pt>
                      <c:pt idx="19" formatCode="General">
                        <c:v>-136.18064356435644</c:v>
                      </c:pt>
                      <c:pt idx="20" formatCode="General">
                        <c:v>-134.30737623762377</c:v>
                      </c:pt>
                      <c:pt idx="21" formatCode="General">
                        <c:v>-132.49549504950497</c:v>
                      </c:pt>
                      <c:pt idx="22" formatCode="General">
                        <c:v>-130.78064356435644</c:v>
                      </c:pt>
                      <c:pt idx="23" formatCode="General">
                        <c:v>-129.06579207920791</c:v>
                      </c:pt>
                      <c:pt idx="24" formatCode="General">
                        <c:v>-127.51179104477612</c:v>
                      </c:pt>
                      <c:pt idx="25" formatCode="General">
                        <c:v>-125.98343283582089</c:v>
                      </c:pt>
                      <c:pt idx="26" formatCode="General">
                        <c:v>-124.63792079207921</c:v>
                      </c:pt>
                      <c:pt idx="27" formatCode="General">
                        <c:v>-123.63198019801982</c:v>
                      </c:pt>
                      <c:pt idx="28" formatCode="General">
                        <c:v>-122.62603960396041</c:v>
                      </c:pt>
                      <c:pt idx="29" formatCode="General">
                        <c:v>-123.0152475247525</c:v>
                      </c:pt>
                      <c:pt idx="30" formatCode="General">
                        <c:v>-123.70039603960397</c:v>
                      </c:pt>
                      <c:pt idx="31" formatCode="General">
                        <c:v>-124.4770297029703</c:v>
                      </c:pt>
                      <c:pt idx="32" formatCode="General">
                        <c:v>-125.46712871287129</c:v>
                      </c:pt>
                      <c:pt idx="33" formatCode="General">
                        <c:v>-126.45722772277226</c:v>
                      </c:pt>
                      <c:pt idx="34" formatCode="General">
                        <c:v>-127.43811881188118</c:v>
                      </c:pt>
                      <c:pt idx="35" formatCode="General">
                        <c:v>-128.41633663366338</c:v>
                      </c:pt>
                      <c:pt idx="36" formatCode="General">
                        <c:v>-129.39554455445545</c:v>
                      </c:pt>
                      <c:pt idx="37" formatCode="General">
                        <c:v>-130.37772277227722</c:v>
                      </c:pt>
                      <c:pt idx="38" formatCode="General">
                        <c:v>-131.35990099009899</c:v>
                      </c:pt>
                      <c:pt idx="39" formatCode="General">
                        <c:v>-132.33633663366336</c:v>
                      </c:pt>
                      <c:pt idx="40" formatCode="General">
                        <c:v>-133.31059405940593</c:v>
                      </c:pt>
                      <c:pt idx="41" formatCode="General">
                        <c:v>-134.28089108910891</c:v>
                      </c:pt>
                      <c:pt idx="42" formatCode="General">
                        <c:v>-135.23534653465347</c:v>
                      </c:pt>
                      <c:pt idx="43" formatCode="General">
                        <c:v>-136.18980198019801</c:v>
                      </c:pt>
                      <c:pt idx="44" formatCode="General">
                        <c:v>-137.13356435643564</c:v>
                      </c:pt>
                      <c:pt idx="45" formatCode="General">
                        <c:v>-138.0721782178218</c:v>
                      </c:pt>
                      <c:pt idx="46" formatCode="General">
                        <c:v>-139.01079207920793</c:v>
                      </c:pt>
                      <c:pt idx="47" formatCode="General">
                        <c:v>-139.94940594059406</c:v>
                      </c:pt>
                      <c:pt idx="48" formatCode="General">
                        <c:v>-140.88801980198022</c:v>
                      </c:pt>
                      <c:pt idx="49" formatCode="General">
                        <c:v>-141.80257744733581</c:v>
                      </c:pt>
                      <c:pt idx="50" formatCode="General">
                        <c:v>-142.70270136307312</c:v>
                      </c:pt>
                      <c:pt idx="51" formatCode="General">
                        <c:v>-143.6028252788104</c:v>
                      </c:pt>
                      <c:pt idx="52" formatCode="General">
                        <c:v>-144.50294919454771</c:v>
                      </c:pt>
                      <c:pt idx="53" formatCode="General">
                        <c:v>-145.40307311028499</c:v>
                      </c:pt>
                      <c:pt idx="54" formatCode="General">
                        <c:v>-146.3031970260223</c:v>
                      </c:pt>
                      <c:pt idx="55" formatCode="General">
                        <c:v>-147.20332094175959</c:v>
                      </c:pt>
                      <c:pt idx="56" formatCode="General">
                        <c:v>-148.1034448574969</c:v>
                      </c:pt>
                      <c:pt idx="57" formatCode="General">
                        <c:v>-149.00356877323418</c:v>
                      </c:pt>
                      <c:pt idx="58" formatCode="General">
                        <c:v>-149.90369268897149</c:v>
                      </c:pt>
                      <c:pt idx="59" formatCode="General">
                        <c:v>-150.77394801980196</c:v>
                      </c:pt>
                      <c:pt idx="60" formatCode="General">
                        <c:v>-151.61850247524751</c:v>
                      </c:pt>
                      <c:pt idx="61" formatCode="General">
                        <c:v>-152.46305693069306</c:v>
                      </c:pt>
                      <c:pt idx="62" formatCode="General">
                        <c:v>-153.3076113861386</c:v>
                      </c:pt>
                      <c:pt idx="63" formatCode="General">
                        <c:v>-154.15216584158415</c:v>
                      </c:pt>
                      <c:pt idx="64" formatCode="General">
                        <c:v>-154.9967202970297</c:v>
                      </c:pt>
                      <c:pt idx="65" formatCode="General">
                        <c:v>-155.84127475247524</c:v>
                      </c:pt>
                      <c:pt idx="66" formatCode="General">
                        <c:v>-156.68582920792079</c:v>
                      </c:pt>
                      <c:pt idx="67" formatCode="General">
                        <c:v>-157.53038366336634</c:v>
                      </c:pt>
                      <c:pt idx="68" formatCode="General">
                        <c:v>-158.37493811881188</c:v>
                      </c:pt>
                      <c:pt idx="69" formatCode="General">
                        <c:v>-159.18915737298636</c:v>
                      </c:pt>
                      <c:pt idx="70" formatCode="General">
                        <c:v>-159.96437422552663</c:v>
                      </c:pt>
                      <c:pt idx="71" formatCode="General">
                        <c:v>-160.73959107806692</c:v>
                      </c:pt>
                      <c:pt idx="72" formatCode="General">
                        <c:v>-161.51480793060719</c:v>
                      </c:pt>
                      <c:pt idx="73" formatCode="General">
                        <c:v>-162.29002478314746</c:v>
                      </c:pt>
                      <c:pt idx="74" formatCode="General">
                        <c:v>-163.06524163568773</c:v>
                      </c:pt>
                      <c:pt idx="75" formatCode="General">
                        <c:v>-163.84045848822802</c:v>
                      </c:pt>
                      <c:pt idx="76" formatCode="General">
                        <c:v>-164.61567534076829</c:v>
                      </c:pt>
                      <c:pt idx="77" formatCode="General">
                        <c:v>-165.39089219330856</c:v>
                      </c:pt>
                      <c:pt idx="78" formatCode="General">
                        <c:v>-166.16610904584883</c:v>
                      </c:pt>
                      <c:pt idx="79" formatCode="General">
                        <c:v>-166.91707920792081</c:v>
                      </c:pt>
                      <c:pt idx="80" formatCode="General">
                        <c:v>-167.62301980198021</c:v>
                      </c:pt>
                      <c:pt idx="81" formatCode="General">
                        <c:v>-168.32896039603961</c:v>
                      </c:pt>
                      <c:pt idx="82" formatCode="General">
                        <c:v>-169.03490099009903</c:v>
                      </c:pt>
                      <c:pt idx="83" formatCode="General">
                        <c:v>-169.74084158415843</c:v>
                      </c:pt>
                      <c:pt idx="84" formatCode="General">
                        <c:v>-170.44678217821783</c:v>
                      </c:pt>
                      <c:pt idx="85" formatCode="General">
                        <c:v>-171.15272277227723</c:v>
                      </c:pt>
                      <c:pt idx="86" formatCode="General">
                        <c:v>-171.85866336633666</c:v>
                      </c:pt>
                      <c:pt idx="87" formatCode="General">
                        <c:v>-172.56460396039606</c:v>
                      </c:pt>
                      <c:pt idx="88" formatCode="General">
                        <c:v>-173.27054455445545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72AA-428F-BF67-55FEE88886DD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72AA-428F-BF67-55FEE88886DD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72AA-428F-BF67-55FEE88886DD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72AA-428F-BF67-55FEE88886D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72AA-428F-BF67-55FEE88886DD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72AA-428F-BF67-55FEE88886DD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72AA-428F-BF67-55FEE88886D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72AA-428F-BF67-55FEE88886D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72AA-428F-BF67-55FEE88886D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72AA-428F-BF67-55FEE88886D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72AA-428F-BF67-55FEE88886DD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72AA-428F-BF67-55FEE88886D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72AA-428F-BF67-55FEE88886D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72AA-428F-BF67-55FEE88886DD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72AA-428F-BF67-55FEE88886D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72AA-428F-BF67-55FEE88886DD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"/>
          <c:order val="3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[1]EVALUATION!$B$100:$CP$100</c:f>
              <c:numCache>
                <c:formatCode>General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[1]EVALUATION!$B$104:$CP$104</c:f>
              <c:numCache>
                <c:formatCode>General</c:formatCode>
                <c:ptCount val="93"/>
                <c:pt idx="0">
                  <c:v>-59.678288288288286</c:v>
                </c:pt>
                <c:pt idx="1">
                  <c:v>-58.332942942942942</c:v>
                </c:pt>
                <c:pt idx="2">
                  <c:v>-56.987597597597599</c:v>
                </c:pt>
                <c:pt idx="3">
                  <c:v>-55.642252252252256</c:v>
                </c:pt>
                <c:pt idx="4">
                  <c:v>-54.130868263473054</c:v>
                </c:pt>
                <c:pt idx="5">
                  <c:v>-52.581167664670659</c:v>
                </c:pt>
                <c:pt idx="6">
                  <c:v>-51.031467065868263</c:v>
                </c:pt>
                <c:pt idx="7">
                  <c:v>-49.481766467065867</c:v>
                </c:pt>
                <c:pt idx="8">
                  <c:v>-47.964131736526944</c:v>
                </c:pt>
                <c:pt idx="9">
                  <c:v>-46.464730538922154</c:v>
                </c:pt>
                <c:pt idx="10">
                  <c:v>-44.965329341317364</c:v>
                </c:pt>
                <c:pt idx="11">
                  <c:v>-43.465928143712574</c:v>
                </c:pt>
                <c:pt idx="12">
                  <c:v>-42.064011976047901</c:v>
                </c:pt>
                <c:pt idx="13">
                  <c:v>-40.775389221556885</c:v>
                </c:pt>
                <c:pt idx="14">
                  <c:v>-39.48676646706587</c:v>
                </c:pt>
                <c:pt idx="15">
                  <c:v>-38.198143712574847</c:v>
                </c:pt>
                <c:pt idx="16">
                  <c:v>-36.957724550898206</c:v>
                </c:pt>
                <c:pt idx="17">
                  <c:v>-35.836766467065871</c:v>
                </c:pt>
                <c:pt idx="18">
                  <c:v>-34.715808383233536</c:v>
                </c:pt>
                <c:pt idx="19">
                  <c:v>-33.594850299401202</c:v>
                </c:pt>
                <c:pt idx="20">
                  <c:v>-32.488982035928146</c:v>
                </c:pt>
                <c:pt idx="21">
                  <c:v>-31.502155688622757</c:v>
                </c:pt>
                <c:pt idx="22">
                  <c:v>-30.515329341317369</c:v>
                </c:pt>
                <c:pt idx="23">
                  <c:v>-29.528502994011976</c:v>
                </c:pt>
                <c:pt idx="24">
                  <c:v>-28.541676646706588</c:v>
                </c:pt>
                <c:pt idx="25">
                  <c:v>-27.788558558558559</c:v>
                </c:pt>
                <c:pt idx="26">
                  <c:v>-27.051021021021018</c:v>
                </c:pt>
                <c:pt idx="27">
                  <c:v>-26.313483483483481</c:v>
                </c:pt>
                <c:pt idx="28">
                  <c:v>-25.575945945945943</c:v>
                </c:pt>
                <c:pt idx="29">
                  <c:v>-25.655029940119761</c:v>
                </c:pt>
                <c:pt idx="30">
                  <c:v>-25.971197604790419</c:v>
                </c:pt>
                <c:pt idx="31">
                  <c:v>-26.287365269461077</c:v>
                </c:pt>
                <c:pt idx="32">
                  <c:v>-26.603532934131735</c:v>
                </c:pt>
                <c:pt idx="33">
                  <c:v>-26.911437125748503</c:v>
                </c:pt>
                <c:pt idx="34">
                  <c:v>-27.213832335329339</c:v>
                </c:pt>
                <c:pt idx="35">
                  <c:v>-27.51622754491018</c:v>
                </c:pt>
                <c:pt idx="36">
                  <c:v>-27.818622754491017</c:v>
                </c:pt>
                <c:pt idx="37">
                  <c:v>-28.121017964071857</c:v>
                </c:pt>
                <c:pt idx="38">
                  <c:v>-28.423413173652694</c:v>
                </c:pt>
                <c:pt idx="39">
                  <c:v>-28.725808383233534</c:v>
                </c:pt>
                <c:pt idx="40">
                  <c:v>-29.028203592814371</c:v>
                </c:pt>
                <c:pt idx="41">
                  <c:v>-29.330598802395212</c:v>
                </c:pt>
                <c:pt idx="42">
                  <c:v>-29.632994011976049</c:v>
                </c:pt>
                <c:pt idx="43">
                  <c:v>-29.935389221556889</c:v>
                </c:pt>
                <c:pt idx="44">
                  <c:v>-30.237784431137726</c:v>
                </c:pt>
                <c:pt idx="45">
                  <c:v>-30.540179640718566</c:v>
                </c:pt>
                <c:pt idx="46">
                  <c:v>-30.842574850299403</c:v>
                </c:pt>
                <c:pt idx="47">
                  <c:v>-31.144970059880244</c:v>
                </c:pt>
                <c:pt idx="48">
                  <c:v>-31.447365269461081</c:v>
                </c:pt>
                <c:pt idx="49">
                  <c:v>-31.749760479041917</c:v>
                </c:pt>
                <c:pt idx="50">
                  <c:v>-32.022696629213485</c:v>
                </c:pt>
                <c:pt idx="51">
                  <c:v>-32.292359550561798</c:v>
                </c:pt>
                <c:pt idx="52">
                  <c:v>-32.562022471910112</c:v>
                </c:pt>
                <c:pt idx="53">
                  <c:v>-32.831685393258432</c:v>
                </c:pt>
                <c:pt idx="54">
                  <c:v>-33.101348314606746</c:v>
                </c:pt>
                <c:pt idx="55">
                  <c:v>-33.371011235955059</c:v>
                </c:pt>
                <c:pt idx="56">
                  <c:v>-33.640674157303373</c:v>
                </c:pt>
                <c:pt idx="57">
                  <c:v>-33.910337078651686</c:v>
                </c:pt>
                <c:pt idx="58">
                  <c:v>-34.18</c:v>
                </c:pt>
                <c:pt idx="59">
                  <c:v>-34.44966292134832</c:v>
                </c:pt>
                <c:pt idx="60">
                  <c:v>-34.719325842696634</c:v>
                </c:pt>
                <c:pt idx="61">
                  <c:v>-34.988988764044947</c:v>
                </c:pt>
                <c:pt idx="62">
                  <c:v>-35.258651685393261</c:v>
                </c:pt>
                <c:pt idx="63">
                  <c:v>-35.528314606741574</c:v>
                </c:pt>
                <c:pt idx="64">
                  <c:v>-35.797977528089888</c:v>
                </c:pt>
                <c:pt idx="65">
                  <c:v>-36.067640449438201</c:v>
                </c:pt>
                <c:pt idx="66">
                  <c:v>-36.328007490636708</c:v>
                </c:pt>
                <c:pt idx="67">
                  <c:v>-36.553925093632962</c:v>
                </c:pt>
                <c:pt idx="68">
                  <c:v>-36.779842696629217</c:v>
                </c:pt>
                <c:pt idx="69">
                  <c:v>-37.005760299625472</c:v>
                </c:pt>
                <c:pt idx="70">
                  <c:v>-37.231677902621726</c:v>
                </c:pt>
                <c:pt idx="71">
                  <c:v>-37.457595505617981</c:v>
                </c:pt>
                <c:pt idx="72">
                  <c:v>-37.683513108614235</c:v>
                </c:pt>
                <c:pt idx="73">
                  <c:v>-37.90943071161049</c:v>
                </c:pt>
                <c:pt idx="74">
                  <c:v>-38.135348314606745</c:v>
                </c:pt>
                <c:pt idx="75">
                  <c:v>-38.361265917602999</c:v>
                </c:pt>
                <c:pt idx="76">
                  <c:v>-38.587183520599254</c:v>
                </c:pt>
                <c:pt idx="77">
                  <c:v>-38.813101123595509</c:v>
                </c:pt>
                <c:pt idx="78">
                  <c:v>-39.039018726591763</c:v>
                </c:pt>
                <c:pt idx="79">
                  <c:v>-39.264936329588011</c:v>
                </c:pt>
                <c:pt idx="80">
                  <c:v>-39.490853932584265</c:v>
                </c:pt>
                <c:pt idx="81">
                  <c:v>-39.71677153558052</c:v>
                </c:pt>
                <c:pt idx="82">
                  <c:v>-39.942689138576775</c:v>
                </c:pt>
                <c:pt idx="83">
                  <c:v>-40.151856287425147</c:v>
                </c:pt>
                <c:pt idx="84">
                  <c:v>-40.345868263473051</c:v>
                </c:pt>
                <c:pt idx="85">
                  <c:v>-40.539880239520954</c:v>
                </c:pt>
                <c:pt idx="86">
                  <c:v>-40.733892215568858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3D-4876-A6EA-FACE45BB2F19}"/>
            </c:ext>
          </c:extLst>
        </c:ser>
        <c:ser>
          <c:idx val="38"/>
          <c:order val="40"/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[1]EVALUATION!$B$100:$CP$100</c:f>
              <c:numCache>
                <c:formatCode>General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</c:numRef>
          </c:xVal>
          <c:yVal>
            <c:numRef>
              <c:f>[1]EVALUATION!$B$141:$CP$141</c:f>
              <c:numCache>
                <c:formatCode>General</c:formatCode>
                <c:ptCount val="93"/>
                <c:pt idx="0">
                  <c:v>-59.157387387387388</c:v>
                </c:pt>
                <c:pt idx="1">
                  <c:v>-57.482912912912909</c:v>
                </c:pt>
                <c:pt idx="2">
                  <c:v>-55.808438438438436</c:v>
                </c:pt>
                <c:pt idx="3">
                  <c:v>-54.133963963963964</c:v>
                </c:pt>
                <c:pt idx="4">
                  <c:v>-52.494700598802396</c:v>
                </c:pt>
                <c:pt idx="5">
                  <c:v>-50.863562874251492</c:v>
                </c:pt>
                <c:pt idx="6">
                  <c:v>-49.232425149700596</c:v>
                </c:pt>
                <c:pt idx="7">
                  <c:v>-47.601287425149692</c:v>
                </c:pt>
                <c:pt idx="8">
                  <c:v>-46.077035928143708</c:v>
                </c:pt>
                <c:pt idx="9">
                  <c:v>-44.613562874251492</c:v>
                </c:pt>
                <c:pt idx="10">
                  <c:v>-43.150089820359277</c:v>
                </c:pt>
                <c:pt idx="11">
                  <c:v>-41.686616766467068</c:v>
                </c:pt>
                <c:pt idx="12">
                  <c:v>-40.325059880239522</c:v>
                </c:pt>
                <c:pt idx="13">
                  <c:v>-39.081946107784432</c:v>
                </c:pt>
                <c:pt idx="14">
                  <c:v>-37.838832335329343</c:v>
                </c:pt>
                <c:pt idx="15">
                  <c:v>-36.595718562874254</c:v>
                </c:pt>
                <c:pt idx="16">
                  <c:v>-35.412514970059881</c:v>
                </c:pt>
                <c:pt idx="17">
                  <c:v>-34.377784431137727</c:v>
                </c:pt>
                <c:pt idx="18">
                  <c:v>-33.343053892215572</c:v>
                </c:pt>
                <c:pt idx="19">
                  <c:v>-32.308323353293417</c:v>
                </c:pt>
                <c:pt idx="20">
                  <c:v>-31.289491017964075</c:v>
                </c:pt>
                <c:pt idx="21">
                  <c:v>-30.396077844311378</c:v>
                </c:pt>
                <c:pt idx="22">
                  <c:v>-29.502664670658685</c:v>
                </c:pt>
                <c:pt idx="23">
                  <c:v>-28.609251497005989</c:v>
                </c:pt>
                <c:pt idx="24">
                  <c:v>-27.715838323353292</c:v>
                </c:pt>
                <c:pt idx="25">
                  <c:v>-27.464054054054053</c:v>
                </c:pt>
                <c:pt idx="26">
                  <c:v>-27.255045045045044</c:v>
                </c:pt>
                <c:pt idx="27">
                  <c:v>-27.046036036036035</c:v>
                </c:pt>
                <c:pt idx="28">
                  <c:v>-26.837027027027027</c:v>
                </c:pt>
                <c:pt idx="29">
                  <c:v>-27.03502994011976</c:v>
                </c:pt>
                <c:pt idx="30">
                  <c:v>-27.351197604790418</c:v>
                </c:pt>
                <c:pt idx="31">
                  <c:v>-27.667365269461076</c:v>
                </c:pt>
                <c:pt idx="32">
                  <c:v>-27.983532934131734</c:v>
                </c:pt>
                <c:pt idx="33">
                  <c:v>-28.296826347305387</c:v>
                </c:pt>
                <c:pt idx="34">
                  <c:v>-28.60820359281437</c:v>
                </c:pt>
                <c:pt idx="35">
                  <c:v>-28.919580838323352</c:v>
                </c:pt>
                <c:pt idx="36">
                  <c:v>-29.230958083832334</c:v>
                </c:pt>
                <c:pt idx="37">
                  <c:v>-29.540299401197604</c:v>
                </c:pt>
                <c:pt idx="38">
                  <c:v>-29.84688622754491</c:v>
                </c:pt>
                <c:pt idx="39">
                  <c:v>-30.153473053892217</c:v>
                </c:pt>
                <c:pt idx="40">
                  <c:v>-30.460059880239523</c:v>
                </c:pt>
                <c:pt idx="41">
                  <c:v>-30.7648502994012</c:v>
                </c:pt>
                <c:pt idx="42">
                  <c:v>-31.064251497005991</c:v>
                </c:pt>
                <c:pt idx="43">
                  <c:v>-31.363652694610781</c:v>
                </c:pt>
                <c:pt idx="44">
                  <c:v>-31.663053892215572</c:v>
                </c:pt>
                <c:pt idx="45">
                  <c:v>-31.961916167664672</c:v>
                </c:pt>
                <c:pt idx="46">
                  <c:v>-32.254131736526951</c:v>
                </c:pt>
                <c:pt idx="47">
                  <c:v>-32.546347305389219</c:v>
                </c:pt>
                <c:pt idx="48">
                  <c:v>-32.838562874251494</c:v>
                </c:pt>
                <c:pt idx="49">
                  <c:v>-33.130778443113769</c:v>
                </c:pt>
                <c:pt idx="50">
                  <c:v>-33.403235955056175</c:v>
                </c:pt>
                <c:pt idx="51">
                  <c:v>-33.673498127340821</c:v>
                </c:pt>
                <c:pt idx="52">
                  <c:v>-33.943760299625467</c:v>
                </c:pt>
                <c:pt idx="53">
                  <c:v>-34.214022471910113</c:v>
                </c:pt>
                <c:pt idx="54">
                  <c:v>-34.484284644194759</c:v>
                </c:pt>
                <c:pt idx="55">
                  <c:v>-34.754546816479397</c:v>
                </c:pt>
                <c:pt idx="56">
                  <c:v>-35.024808988764043</c:v>
                </c:pt>
                <c:pt idx="57">
                  <c:v>-35.295071161048689</c:v>
                </c:pt>
                <c:pt idx="58">
                  <c:v>-35.565333333333335</c:v>
                </c:pt>
                <c:pt idx="59">
                  <c:v>-35.835595505617981</c:v>
                </c:pt>
                <c:pt idx="60">
                  <c:v>-36.10585767790262</c:v>
                </c:pt>
                <c:pt idx="61">
                  <c:v>-36.376119850187266</c:v>
                </c:pt>
                <c:pt idx="62">
                  <c:v>-36.646382022471911</c:v>
                </c:pt>
                <c:pt idx="63">
                  <c:v>-36.916644194756557</c:v>
                </c:pt>
                <c:pt idx="64">
                  <c:v>-37.186906367041203</c:v>
                </c:pt>
                <c:pt idx="65">
                  <c:v>-37.457168539325849</c:v>
                </c:pt>
                <c:pt idx="66">
                  <c:v>-37.717880149812736</c:v>
                </c:pt>
                <c:pt idx="67">
                  <c:v>-37.943198501872665</c:v>
                </c:pt>
                <c:pt idx="68">
                  <c:v>-38.168516853932587</c:v>
                </c:pt>
                <c:pt idx="69">
                  <c:v>-38.393835205992509</c:v>
                </c:pt>
                <c:pt idx="70">
                  <c:v>-38.619153558052439</c:v>
                </c:pt>
                <c:pt idx="71">
                  <c:v>-38.844471910112361</c:v>
                </c:pt>
                <c:pt idx="72">
                  <c:v>-39.06979026217229</c:v>
                </c:pt>
                <c:pt idx="73">
                  <c:v>-39.295108614232213</c:v>
                </c:pt>
                <c:pt idx="74">
                  <c:v>-39.520426966292135</c:v>
                </c:pt>
                <c:pt idx="75">
                  <c:v>-39.745745318352064</c:v>
                </c:pt>
                <c:pt idx="76">
                  <c:v>-39.971063670411986</c:v>
                </c:pt>
                <c:pt idx="77">
                  <c:v>-40.196382022471909</c:v>
                </c:pt>
                <c:pt idx="78">
                  <c:v>-40.421700374531838</c:v>
                </c:pt>
                <c:pt idx="79">
                  <c:v>-40.64701872659176</c:v>
                </c:pt>
                <c:pt idx="80">
                  <c:v>-40.87233707865169</c:v>
                </c:pt>
                <c:pt idx="81">
                  <c:v>-41.097655430711612</c:v>
                </c:pt>
                <c:pt idx="82">
                  <c:v>-41.322973782771534</c:v>
                </c:pt>
                <c:pt idx="83">
                  <c:v>-41.521441441441439</c:v>
                </c:pt>
                <c:pt idx="84">
                  <c:v>-41.695615615615615</c:v>
                </c:pt>
                <c:pt idx="85">
                  <c:v>-41.869789789789792</c:v>
                </c:pt>
                <c:pt idx="86">
                  <c:v>-42.043963963963961</c:v>
                </c:pt>
                <c:pt idx="87">
                  <c:v>-36.080475247524753</c:v>
                </c:pt>
                <c:pt idx="88">
                  <c:v>-36.193346534653465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3D-4876-A6EA-FACE45BB2F19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873D-4876-A6EA-FACE45BB2F19}"/>
              </c:ext>
            </c:extLst>
          </c:dPt>
          <c:xVal>
            <c:numRef>
              <c:f>[1]EVALUATION!$A$98:$A$99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[1]EVALUATION!$B$98:$B$99</c:f>
              <c:numCache>
                <c:formatCode>General</c:formatCode>
                <c:ptCount val="2"/>
                <c:pt idx="0">
                  <c:v>-184.14450450450451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73D-4876-A6EA-FACE45BB2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[1]EVALUATION!$B$101:$CP$101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>
                        <c:v>-13.959101796407184</c:v>
                      </c:pt>
                      <c:pt idx="5">
                        <c:v>-13.46568862275449</c:v>
                      </c:pt>
                      <c:pt idx="6">
                        <c:v>-12.972275449101796</c:v>
                      </c:pt>
                      <c:pt idx="7">
                        <c:v>-12.478862275449101</c:v>
                      </c:pt>
                      <c:pt idx="8">
                        <c:v>-11.950329341317365</c:v>
                      </c:pt>
                      <c:pt idx="9">
                        <c:v>-11.40182634730539</c:v>
                      </c:pt>
                      <c:pt idx="10">
                        <c:v>-10.853323353293414</c:v>
                      </c:pt>
                      <c:pt idx="11">
                        <c:v>-10.304820359281438</c:v>
                      </c:pt>
                      <c:pt idx="12">
                        <c:v>-9.7896616766467073</c:v>
                      </c:pt>
                      <c:pt idx="13">
                        <c:v>-9.3132544910179647</c:v>
                      </c:pt>
                      <c:pt idx="14">
                        <c:v>-8.836847305389222</c:v>
                      </c:pt>
                      <c:pt idx="15">
                        <c:v>-8.3604401197604794</c:v>
                      </c:pt>
                      <c:pt idx="16">
                        <c:v>-7.9011107784431145</c:v>
                      </c:pt>
                      <c:pt idx="17">
                        <c:v>-7.4841047904191624</c:v>
                      </c:pt>
                      <c:pt idx="18">
                        <c:v>-7.0670988023952104</c:v>
                      </c:pt>
                      <c:pt idx="19">
                        <c:v>-6.6500928143712592</c:v>
                      </c:pt>
                      <c:pt idx="20">
                        <c:v>-6.2383952095808395</c:v>
                      </c:pt>
                      <c:pt idx="21">
                        <c:v>-5.8685748502994022</c:v>
                      </c:pt>
                      <c:pt idx="22">
                        <c:v>-5.4987544910179649</c:v>
                      </c:pt>
                      <c:pt idx="23">
                        <c:v>-5.1289341317365267</c:v>
                      </c:pt>
                      <c:pt idx="24">
                        <c:v>-4.7591137724550894</c:v>
                      </c:pt>
                      <c:pt idx="25">
                        <c:v>-4.6019909909909904</c:v>
                      </c:pt>
                      <c:pt idx="26">
                        <c:v>-4.4590480480480474</c:v>
                      </c:pt>
                      <c:pt idx="27">
                        <c:v>-4.3161051051051045</c:v>
                      </c:pt>
                      <c:pt idx="28">
                        <c:v>-4.1731621621621615</c:v>
                      </c:pt>
                      <c:pt idx="29">
                        <c:v>-4.1562215568862273</c:v>
                      </c:pt>
                      <c:pt idx="30">
                        <c:v>-4.1758622754491022</c:v>
                      </c:pt>
                      <c:pt idx="31">
                        <c:v>-4.1955029940119761</c:v>
                      </c:pt>
                      <c:pt idx="32">
                        <c:v>-4.2151437125748501</c:v>
                      </c:pt>
                      <c:pt idx="33">
                        <c:v>-4.2348562874251492</c:v>
                      </c:pt>
                      <c:pt idx="34">
                        <c:v>-4.2546167664670653</c:v>
                      </c:pt>
                      <c:pt idx="35">
                        <c:v>-4.2743772455089815</c:v>
                      </c:pt>
                      <c:pt idx="36">
                        <c:v>-4.2941377245508976</c:v>
                      </c:pt>
                      <c:pt idx="37">
                        <c:v>-4.3138982035928146</c:v>
                      </c:pt>
                      <c:pt idx="38">
                        <c:v>-4.3336586826347308</c:v>
                      </c:pt>
                      <c:pt idx="39">
                        <c:v>-4.3534191616766469</c:v>
                      </c:pt>
                      <c:pt idx="40">
                        <c:v>-4.373179640718563</c:v>
                      </c:pt>
                      <c:pt idx="41">
                        <c:v>-4.3929401197604792</c:v>
                      </c:pt>
                      <c:pt idx="42">
                        <c:v>-4.4127005988023953</c:v>
                      </c:pt>
                      <c:pt idx="43">
                        <c:v>-4.4324610778443114</c:v>
                      </c:pt>
                      <c:pt idx="44">
                        <c:v>-4.4522215568862276</c:v>
                      </c:pt>
                      <c:pt idx="45">
                        <c:v>-4.4719820359281437</c:v>
                      </c:pt>
                      <c:pt idx="46">
                        <c:v>-4.4917425149700598</c:v>
                      </c:pt>
                      <c:pt idx="47">
                        <c:v>-4.511502994011976</c:v>
                      </c:pt>
                      <c:pt idx="48">
                        <c:v>-4.5312634730538921</c:v>
                      </c:pt>
                      <c:pt idx="49">
                        <c:v>-4.5510239520958082</c:v>
                      </c:pt>
                      <c:pt idx="50">
                        <c:v>-4.5702584269662925</c:v>
                      </c:pt>
                      <c:pt idx="51">
                        <c:v>-4.5894344569288394</c:v>
                      </c:pt>
                      <c:pt idx="52">
                        <c:v>-4.6086104868913855</c:v>
                      </c:pt>
                      <c:pt idx="53">
                        <c:v>-4.6277865168539325</c:v>
                      </c:pt>
                      <c:pt idx="54">
                        <c:v>-4.6469625468164795</c:v>
                      </c:pt>
                      <c:pt idx="55">
                        <c:v>-4.6661385767790264</c:v>
                      </c:pt>
                      <c:pt idx="56">
                        <c:v>-4.6853146067415734</c:v>
                      </c:pt>
                      <c:pt idx="57">
                        <c:v>-4.7044906367041204</c:v>
                      </c:pt>
                      <c:pt idx="58">
                        <c:v>-4.7236666666666665</c:v>
                      </c:pt>
                      <c:pt idx="59">
                        <c:v>-4.7428426966292134</c:v>
                      </c:pt>
                      <c:pt idx="60">
                        <c:v>-4.7620187265917604</c:v>
                      </c:pt>
                      <c:pt idx="61">
                        <c:v>-4.7811947565543074</c:v>
                      </c:pt>
                      <c:pt idx="62">
                        <c:v>-4.8003707865168543</c:v>
                      </c:pt>
                      <c:pt idx="63">
                        <c:v>-4.8195468164794013</c:v>
                      </c:pt>
                      <c:pt idx="64">
                        <c:v>-4.8387228464419483</c:v>
                      </c:pt>
                      <c:pt idx="65">
                        <c:v>-4.8578988764044944</c:v>
                      </c:pt>
                      <c:pt idx="66">
                        <c:v>-4.8768456928838955</c:v>
                      </c:pt>
                      <c:pt idx="67">
                        <c:v>-4.8949430711610491</c:v>
                      </c:pt>
                      <c:pt idx="68">
                        <c:v>-4.9130404494382027</c:v>
                      </c:pt>
                      <c:pt idx="69">
                        <c:v>-4.9311378277153564</c:v>
                      </c:pt>
                      <c:pt idx="70">
                        <c:v>-4.94923520599251</c:v>
                      </c:pt>
                      <c:pt idx="71">
                        <c:v>-4.9673325842696627</c:v>
                      </c:pt>
                      <c:pt idx="72">
                        <c:v>-4.9854299625468164</c:v>
                      </c:pt>
                      <c:pt idx="73">
                        <c:v>-5.00352734082397</c:v>
                      </c:pt>
                      <c:pt idx="74">
                        <c:v>-5.0216247191011236</c:v>
                      </c:pt>
                      <c:pt idx="75">
                        <c:v>-5.0397220973782773</c:v>
                      </c:pt>
                      <c:pt idx="76">
                        <c:v>-5.0578194756554309</c:v>
                      </c:pt>
                      <c:pt idx="77">
                        <c:v>-5.0759168539325845</c:v>
                      </c:pt>
                      <c:pt idx="78">
                        <c:v>-5.0940142322097381</c:v>
                      </c:pt>
                      <c:pt idx="79">
                        <c:v>-5.1121116104868918</c:v>
                      </c:pt>
                      <c:pt idx="80">
                        <c:v>-5.1302089887640445</c:v>
                      </c:pt>
                      <c:pt idx="81">
                        <c:v>-5.1483063670411982</c:v>
                      </c:pt>
                      <c:pt idx="82">
                        <c:v>-5.1664037453183518</c:v>
                      </c:pt>
                      <c:pt idx="83">
                        <c:v>-5.1840538922155686</c:v>
                      </c:pt>
                      <c:pt idx="84">
                        <c:v>-5.2012994011976046</c:v>
                      </c:pt>
                      <c:pt idx="85">
                        <c:v>-5.2185449101796406</c:v>
                      </c:pt>
                      <c:pt idx="86">
                        <c:v>-5.2357904191616766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873D-4876-A6EA-FACE45BB2F19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73D-4876-A6EA-FACE45BB2F19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873D-4876-A6EA-FACE45BB2F19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[1]EVALUATION!$B$103:$CP$103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-36.591171171171169</c:v>
                      </c:pt>
                      <c:pt idx="1">
                        <c:v>-35.925705705705703</c:v>
                      </c:pt>
                      <c:pt idx="2">
                        <c:v>-35.260240240240236</c:v>
                      </c:pt>
                      <c:pt idx="3">
                        <c:v>-34.594774774774777</c:v>
                      </c:pt>
                      <c:pt idx="4">
                        <c:v>-34.041856287425148</c:v>
                      </c:pt>
                      <c:pt idx="5">
                        <c:v>-33.514910179640715</c:v>
                      </c:pt>
                      <c:pt idx="6">
                        <c:v>-32.987964071856283</c:v>
                      </c:pt>
                      <c:pt idx="7">
                        <c:v>-32.46101796407185</c:v>
                      </c:pt>
                      <c:pt idx="8">
                        <c:v>-31.996676646706582</c:v>
                      </c:pt>
                      <c:pt idx="9">
                        <c:v>-31.567934131736521</c:v>
                      </c:pt>
                      <c:pt idx="10">
                        <c:v>-31.139191616766464</c:v>
                      </c:pt>
                      <c:pt idx="11">
                        <c:v>-30.710449101796403</c:v>
                      </c:pt>
                      <c:pt idx="12">
                        <c:v>-30.316158682634729</c:v>
                      </c:pt>
                      <c:pt idx="13">
                        <c:v>-29.961907185628743</c:v>
                      </c:pt>
                      <c:pt idx="14">
                        <c:v>-29.607655688622753</c:v>
                      </c:pt>
                      <c:pt idx="15">
                        <c:v>-29.253404191616767</c:v>
                      </c:pt>
                      <c:pt idx="16">
                        <c:v>-28.916230538922157</c:v>
                      </c:pt>
                      <c:pt idx="17">
                        <c:v>-28.62138023952096</c:v>
                      </c:pt>
                      <c:pt idx="18">
                        <c:v>-28.326529940119762</c:v>
                      </c:pt>
                      <c:pt idx="19">
                        <c:v>-28.031679640718565</c:v>
                      </c:pt>
                      <c:pt idx="20">
                        <c:v>-27.742407185628743</c:v>
                      </c:pt>
                      <c:pt idx="21">
                        <c:v>-27.4971377245509</c:v>
                      </c:pt>
                      <c:pt idx="22">
                        <c:v>-27.251868263473057</c:v>
                      </c:pt>
                      <c:pt idx="23">
                        <c:v>-27.00659880239521</c:v>
                      </c:pt>
                      <c:pt idx="24">
                        <c:v>-26.761329341317367</c:v>
                      </c:pt>
                      <c:pt idx="25">
                        <c:v>-26.724603603603605</c:v>
                      </c:pt>
                      <c:pt idx="26">
                        <c:v>-26.701780780780783</c:v>
                      </c:pt>
                      <c:pt idx="27">
                        <c:v>-26.678957957957962</c:v>
                      </c:pt>
                      <c:pt idx="28">
                        <c:v>-26.656135135135138</c:v>
                      </c:pt>
                      <c:pt idx="29">
                        <c:v>-26.760892215568866</c:v>
                      </c:pt>
                      <c:pt idx="30">
                        <c:v>-26.902688622754493</c:v>
                      </c:pt>
                      <c:pt idx="31">
                        <c:v>-27.04448502994012</c:v>
                      </c:pt>
                      <c:pt idx="32">
                        <c:v>-27.186281437125746</c:v>
                      </c:pt>
                      <c:pt idx="33">
                        <c:v>-27.324556886227544</c:v>
                      </c:pt>
                      <c:pt idx="34">
                        <c:v>-27.460485029940116</c:v>
                      </c:pt>
                      <c:pt idx="35">
                        <c:v>-27.596413173652692</c:v>
                      </c:pt>
                      <c:pt idx="36">
                        <c:v>-27.732341317365268</c:v>
                      </c:pt>
                      <c:pt idx="37">
                        <c:v>-27.868269461077844</c:v>
                      </c:pt>
                      <c:pt idx="38">
                        <c:v>-28.00419760479042</c:v>
                      </c:pt>
                      <c:pt idx="39">
                        <c:v>-28.140125748502992</c:v>
                      </c:pt>
                      <c:pt idx="40">
                        <c:v>-28.276053892215568</c:v>
                      </c:pt>
                      <c:pt idx="41">
                        <c:v>-28.411982035928144</c:v>
                      </c:pt>
                      <c:pt idx="42">
                        <c:v>-28.54791017964072</c:v>
                      </c:pt>
                      <c:pt idx="43">
                        <c:v>-28.683838323353296</c:v>
                      </c:pt>
                      <c:pt idx="44">
                        <c:v>-28.819766467065868</c:v>
                      </c:pt>
                      <c:pt idx="45">
                        <c:v>-28.955694610778444</c:v>
                      </c:pt>
                      <c:pt idx="46">
                        <c:v>-29.09162275449102</c:v>
                      </c:pt>
                      <c:pt idx="47">
                        <c:v>-29.227550898203596</c:v>
                      </c:pt>
                      <c:pt idx="48">
                        <c:v>-29.363479041916172</c:v>
                      </c:pt>
                      <c:pt idx="49">
                        <c:v>-29.499407185628744</c:v>
                      </c:pt>
                      <c:pt idx="50">
                        <c:v>-29.627876404494383</c:v>
                      </c:pt>
                      <c:pt idx="51">
                        <c:v>-29.755516853932587</c:v>
                      </c:pt>
                      <c:pt idx="52">
                        <c:v>-29.88315730337079</c:v>
                      </c:pt>
                      <c:pt idx="53">
                        <c:v>-30.01079775280899</c:v>
                      </c:pt>
                      <c:pt idx="54">
                        <c:v>-30.138438202247194</c:v>
                      </c:pt>
                      <c:pt idx="55">
                        <c:v>-30.266078651685394</c:v>
                      </c:pt>
                      <c:pt idx="56">
                        <c:v>-30.393719101123597</c:v>
                      </c:pt>
                      <c:pt idx="57">
                        <c:v>-30.521359550561801</c:v>
                      </c:pt>
                      <c:pt idx="58">
                        <c:v>-30.649000000000001</c:v>
                      </c:pt>
                      <c:pt idx="59">
                        <c:v>-30.776640449438204</c:v>
                      </c:pt>
                      <c:pt idx="60">
                        <c:v>-30.904280898876408</c:v>
                      </c:pt>
                      <c:pt idx="61">
                        <c:v>-31.031921348314608</c:v>
                      </c:pt>
                      <c:pt idx="62">
                        <c:v>-31.159561797752811</c:v>
                      </c:pt>
                      <c:pt idx="63">
                        <c:v>-31.287202247191011</c:v>
                      </c:pt>
                      <c:pt idx="64">
                        <c:v>-31.414842696629215</c:v>
                      </c:pt>
                      <c:pt idx="65">
                        <c:v>-31.542483146067418</c:v>
                      </c:pt>
                      <c:pt idx="66">
                        <c:v>-31.668748314606741</c:v>
                      </c:pt>
                      <c:pt idx="67">
                        <c:v>-31.789916853932585</c:v>
                      </c:pt>
                      <c:pt idx="68">
                        <c:v>-31.911085393258428</c:v>
                      </c:pt>
                      <c:pt idx="69">
                        <c:v>-32.032253932584268</c:v>
                      </c:pt>
                      <c:pt idx="70">
                        <c:v>-32.153422471910112</c:v>
                      </c:pt>
                      <c:pt idx="71">
                        <c:v>-32.274591011235955</c:v>
                      </c:pt>
                      <c:pt idx="72">
                        <c:v>-32.395759550561799</c:v>
                      </c:pt>
                      <c:pt idx="73">
                        <c:v>-32.516928089887642</c:v>
                      </c:pt>
                      <c:pt idx="74">
                        <c:v>-32.638096629213486</c:v>
                      </c:pt>
                      <c:pt idx="75">
                        <c:v>-32.759265168539329</c:v>
                      </c:pt>
                      <c:pt idx="76">
                        <c:v>-32.880433707865166</c:v>
                      </c:pt>
                      <c:pt idx="77">
                        <c:v>-33.001602247191009</c:v>
                      </c:pt>
                      <c:pt idx="78">
                        <c:v>-33.122770786516853</c:v>
                      </c:pt>
                      <c:pt idx="79">
                        <c:v>-33.243939325842696</c:v>
                      </c:pt>
                      <c:pt idx="80">
                        <c:v>-33.36510786516854</c:v>
                      </c:pt>
                      <c:pt idx="81">
                        <c:v>-33.486276404494383</c:v>
                      </c:pt>
                      <c:pt idx="82">
                        <c:v>-33.607444943820227</c:v>
                      </c:pt>
                      <c:pt idx="83">
                        <c:v>-33.725610778443112</c:v>
                      </c:pt>
                      <c:pt idx="84">
                        <c:v>-33.84105988023952</c:v>
                      </c:pt>
                      <c:pt idx="85">
                        <c:v>-33.956508982035928</c:v>
                      </c:pt>
                      <c:pt idx="86">
                        <c:v>-34.071958083832335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73D-4876-A6EA-FACE45BB2F19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[1]EVALUATION!$B$105:$CP$105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>
                        <c:v>-13.959101796407184</c:v>
                      </c:pt>
                      <c:pt idx="5">
                        <c:v>-13.46568862275449</c:v>
                      </c:pt>
                      <c:pt idx="6">
                        <c:v>-12.972275449101796</c:v>
                      </c:pt>
                      <c:pt idx="7">
                        <c:v>-12.478862275449101</c:v>
                      </c:pt>
                      <c:pt idx="8">
                        <c:v>-11.950329341317365</c:v>
                      </c:pt>
                      <c:pt idx="9">
                        <c:v>-11.40182634730539</c:v>
                      </c:pt>
                      <c:pt idx="10">
                        <c:v>-10.853323353293414</c:v>
                      </c:pt>
                      <c:pt idx="11">
                        <c:v>-10.304820359281438</c:v>
                      </c:pt>
                      <c:pt idx="12">
                        <c:v>-9.7896616766467073</c:v>
                      </c:pt>
                      <c:pt idx="13">
                        <c:v>-9.3132544910179647</c:v>
                      </c:pt>
                      <c:pt idx="14">
                        <c:v>-8.836847305389222</c:v>
                      </c:pt>
                      <c:pt idx="15">
                        <c:v>-8.3604401197604794</c:v>
                      </c:pt>
                      <c:pt idx="16">
                        <c:v>-7.9011107784431145</c:v>
                      </c:pt>
                      <c:pt idx="17">
                        <c:v>-7.4841047904191624</c:v>
                      </c:pt>
                      <c:pt idx="18">
                        <c:v>-7.0670988023952104</c:v>
                      </c:pt>
                      <c:pt idx="19">
                        <c:v>-6.6500928143712592</c:v>
                      </c:pt>
                      <c:pt idx="20">
                        <c:v>-6.2383952095808395</c:v>
                      </c:pt>
                      <c:pt idx="21">
                        <c:v>-5.8685748502994022</c:v>
                      </c:pt>
                      <c:pt idx="22">
                        <c:v>-5.4987544910179649</c:v>
                      </c:pt>
                      <c:pt idx="23">
                        <c:v>-5.1289341317365267</c:v>
                      </c:pt>
                      <c:pt idx="24">
                        <c:v>-4.7591137724550894</c:v>
                      </c:pt>
                      <c:pt idx="25">
                        <c:v>-4.6019909909909904</c:v>
                      </c:pt>
                      <c:pt idx="26">
                        <c:v>-4.4590480480480474</c:v>
                      </c:pt>
                      <c:pt idx="27">
                        <c:v>-4.3161051051051045</c:v>
                      </c:pt>
                      <c:pt idx="28">
                        <c:v>-4.1731621621621615</c:v>
                      </c:pt>
                      <c:pt idx="29">
                        <c:v>-4.1562215568862273</c:v>
                      </c:pt>
                      <c:pt idx="30">
                        <c:v>-4.1758622754491022</c:v>
                      </c:pt>
                      <c:pt idx="31">
                        <c:v>-4.1955029940119761</c:v>
                      </c:pt>
                      <c:pt idx="32">
                        <c:v>-4.2151437125748501</c:v>
                      </c:pt>
                      <c:pt idx="33">
                        <c:v>-4.2348562874251492</c:v>
                      </c:pt>
                      <c:pt idx="34">
                        <c:v>-4.2546167664670653</c:v>
                      </c:pt>
                      <c:pt idx="35">
                        <c:v>-4.2743772455089815</c:v>
                      </c:pt>
                      <c:pt idx="36">
                        <c:v>-4.2941377245508976</c:v>
                      </c:pt>
                      <c:pt idx="37">
                        <c:v>-4.3138982035928146</c:v>
                      </c:pt>
                      <c:pt idx="38">
                        <c:v>-4.3336586826347308</c:v>
                      </c:pt>
                      <c:pt idx="39">
                        <c:v>-4.3534191616766469</c:v>
                      </c:pt>
                      <c:pt idx="40">
                        <c:v>-4.373179640718563</c:v>
                      </c:pt>
                      <c:pt idx="41">
                        <c:v>-4.3929401197604792</c:v>
                      </c:pt>
                      <c:pt idx="42">
                        <c:v>-4.4127005988023953</c:v>
                      </c:pt>
                      <c:pt idx="43">
                        <c:v>-4.4324610778443114</c:v>
                      </c:pt>
                      <c:pt idx="44">
                        <c:v>-4.4522215568862276</c:v>
                      </c:pt>
                      <c:pt idx="45">
                        <c:v>-4.4719820359281437</c:v>
                      </c:pt>
                      <c:pt idx="46">
                        <c:v>-4.4917425149700598</c:v>
                      </c:pt>
                      <c:pt idx="47">
                        <c:v>-4.511502994011976</c:v>
                      </c:pt>
                      <c:pt idx="48">
                        <c:v>-4.5312634730538921</c:v>
                      </c:pt>
                      <c:pt idx="49">
                        <c:v>-4.5510239520958082</c:v>
                      </c:pt>
                      <c:pt idx="50">
                        <c:v>-4.5702584269662925</c:v>
                      </c:pt>
                      <c:pt idx="51">
                        <c:v>-4.5894344569288394</c:v>
                      </c:pt>
                      <c:pt idx="52">
                        <c:v>-4.6086104868913855</c:v>
                      </c:pt>
                      <c:pt idx="53">
                        <c:v>-4.6277865168539325</c:v>
                      </c:pt>
                      <c:pt idx="54">
                        <c:v>-4.6469625468164795</c:v>
                      </c:pt>
                      <c:pt idx="55">
                        <c:v>-4.6661385767790264</c:v>
                      </c:pt>
                      <c:pt idx="56">
                        <c:v>-4.6853146067415734</c:v>
                      </c:pt>
                      <c:pt idx="57">
                        <c:v>-4.7044906367041204</c:v>
                      </c:pt>
                      <c:pt idx="58">
                        <c:v>-4.7236666666666665</c:v>
                      </c:pt>
                      <c:pt idx="59">
                        <c:v>-4.7428426966292134</c:v>
                      </c:pt>
                      <c:pt idx="60">
                        <c:v>-4.7620187265917604</c:v>
                      </c:pt>
                      <c:pt idx="61">
                        <c:v>-4.7811947565543074</c:v>
                      </c:pt>
                      <c:pt idx="62">
                        <c:v>-4.8003707865168543</c:v>
                      </c:pt>
                      <c:pt idx="63">
                        <c:v>-4.8195468164794013</c:v>
                      </c:pt>
                      <c:pt idx="64">
                        <c:v>-4.8387228464419483</c:v>
                      </c:pt>
                      <c:pt idx="65">
                        <c:v>-4.8578988764044944</c:v>
                      </c:pt>
                      <c:pt idx="66">
                        <c:v>-4.8768456928838955</c:v>
                      </c:pt>
                      <c:pt idx="67">
                        <c:v>-4.8949430711610491</c:v>
                      </c:pt>
                      <c:pt idx="68">
                        <c:v>-4.9130404494382027</c:v>
                      </c:pt>
                      <c:pt idx="69">
                        <c:v>-4.9311378277153564</c:v>
                      </c:pt>
                      <c:pt idx="70">
                        <c:v>-4.94923520599251</c:v>
                      </c:pt>
                      <c:pt idx="71">
                        <c:v>-4.9673325842696627</c:v>
                      </c:pt>
                      <c:pt idx="72">
                        <c:v>-4.9854299625468164</c:v>
                      </c:pt>
                      <c:pt idx="73">
                        <c:v>-5.00352734082397</c:v>
                      </c:pt>
                      <c:pt idx="74">
                        <c:v>-5.0216247191011236</c:v>
                      </c:pt>
                      <c:pt idx="75">
                        <c:v>-5.0397220973782773</c:v>
                      </c:pt>
                      <c:pt idx="76">
                        <c:v>-5.0578194756554309</c:v>
                      </c:pt>
                      <c:pt idx="77">
                        <c:v>-5.0759168539325845</c:v>
                      </c:pt>
                      <c:pt idx="78">
                        <c:v>-5.0940142322097381</c:v>
                      </c:pt>
                      <c:pt idx="79">
                        <c:v>-5.1121116104868918</c:v>
                      </c:pt>
                      <c:pt idx="80">
                        <c:v>-5.1302089887640445</c:v>
                      </c:pt>
                      <c:pt idx="81">
                        <c:v>-5.1483063670411982</c:v>
                      </c:pt>
                      <c:pt idx="82">
                        <c:v>-5.1664037453183518</c:v>
                      </c:pt>
                      <c:pt idx="83">
                        <c:v>-5.1840538922155686</c:v>
                      </c:pt>
                      <c:pt idx="84">
                        <c:v>-5.2012994011976046</c:v>
                      </c:pt>
                      <c:pt idx="85">
                        <c:v>-5.2185449101796406</c:v>
                      </c:pt>
                      <c:pt idx="86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73D-4876-A6EA-FACE45BB2F19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[1]EVALUATION!$B$106:$CP$106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-21.473063063063062</c:v>
                      </c:pt>
                      <c:pt idx="1">
                        <c:v>-21.045435435435436</c:v>
                      </c:pt>
                      <c:pt idx="2">
                        <c:v>-20.617807807807807</c:v>
                      </c:pt>
                      <c:pt idx="3">
                        <c:v>-20.190180180180178</c:v>
                      </c:pt>
                      <c:pt idx="4">
                        <c:v>-20.082754491017962</c:v>
                      </c:pt>
                      <c:pt idx="5">
                        <c:v>-20.049221556886227</c:v>
                      </c:pt>
                      <c:pt idx="6">
                        <c:v>-20.015688622754489</c:v>
                      </c:pt>
                      <c:pt idx="7">
                        <c:v>-19.982155688622754</c:v>
                      </c:pt>
                      <c:pt idx="8">
                        <c:v>-20.046347305389222</c:v>
                      </c:pt>
                      <c:pt idx="9">
                        <c:v>-20.166107784431137</c:v>
                      </c:pt>
                      <c:pt idx="10">
                        <c:v>-20.285868263473052</c:v>
                      </c:pt>
                      <c:pt idx="11">
                        <c:v>-20.40562874251497</c:v>
                      </c:pt>
                      <c:pt idx="12">
                        <c:v>-20.526497005988023</c:v>
                      </c:pt>
                      <c:pt idx="13">
                        <c:v>-20.648652694610778</c:v>
                      </c:pt>
                      <c:pt idx="14">
                        <c:v>-20.770808383233533</c:v>
                      </c:pt>
                      <c:pt idx="15">
                        <c:v>-20.892964071856287</c:v>
                      </c:pt>
                      <c:pt idx="16">
                        <c:v>-21.015119760479042</c:v>
                      </c:pt>
                      <c:pt idx="17">
                        <c:v>-21.137275449101796</c:v>
                      </c:pt>
                      <c:pt idx="18">
                        <c:v>-21.259431137724551</c:v>
                      </c:pt>
                      <c:pt idx="19">
                        <c:v>-21.381586826347306</c:v>
                      </c:pt>
                      <c:pt idx="20">
                        <c:v>-21.504011976047902</c:v>
                      </c:pt>
                      <c:pt idx="21">
                        <c:v>-21.628562874251497</c:v>
                      </c:pt>
                      <c:pt idx="22">
                        <c:v>-21.753113772455091</c:v>
                      </c:pt>
                      <c:pt idx="23">
                        <c:v>-21.877664670658682</c:v>
                      </c:pt>
                      <c:pt idx="24">
                        <c:v>-22.002215568862276</c:v>
                      </c:pt>
                      <c:pt idx="25">
                        <c:v>-22.122612612612613</c:v>
                      </c:pt>
                      <c:pt idx="26">
                        <c:v>-22.242732732732733</c:v>
                      </c:pt>
                      <c:pt idx="27">
                        <c:v>-22.362852852852853</c:v>
                      </c:pt>
                      <c:pt idx="28">
                        <c:v>-22.482972972972973</c:v>
                      </c:pt>
                      <c:pt idx="29">
                        <c:v>-22.604670658682636</c:v>
                      </c:pt>
                      <c:pt idx="30">
                        <c:v>-22.726826347305391</c:v>
                      </c:pt>
                      <c:pt idx="31">
                        <c:v>-22.848982035928145</c:v>
                      </c:pt>
                      <c:pt idx="32">
                        <c:v>-22.971137724550896</c:v>
                      </c:pt>
                      <c:pt idx="33">
                        <c:v>-23.089700598802395</c:v>
                      </c:pt>
                      <c:pt idx="34">
                        <c:v>-23.205868263473054</c:v>
                      </c:pt>
                      <c:pt idx="35">
                        <c:v>-23.322035928143713</c:v>
                      </c:pt>
                      <c:pt idx="36">
                        <c:v>-23.438203592814371</c:v>
                      </c:pt>
                      <c:pt idx="37">
                        <c:v>-23.55437125748503</c:v>
                      </c:pt>
                      <c:pt idx="38">
                        <c:v>-23.670538922155689</c:v>
                      </c:pt>
                      <c:pt idx="39">
                        <c:v>-23.786706586826348</c:v>
                      </c:pt>
                      <c:pt idx="40">
                        <c:v>-23.902874251497007</c:v>
                      </c:pt>
                      <c:pt idx="41">
                        <c:v>-24.019041916167666</c:v>
                      </c:pt>
                      <c:pt idx="42">
                        <c:v>-24.135209580838325</c:v>
                      </c:pt>
                      <c:pt idx="43">
                        <c:v>-24.251377245508984</c:v>
                      </c:pt>
                      <c:pt idx="44">
                        <c:v>-24.367544910179642</c:v>
                      </c:pt>
                      <c:pt idx="45">
                        <c:v>-24.483712574850301</c:v>
                      </c:pt>
                      <c:pt idx="46">
                        <c:v>-24.59988023952096</c:v>
                      </c:pt>
                      <c:pt idx="47">
                        <c:v>-24.716047904191619</c:v>
                      </c:pt>
                      <c:pt idx="48">
                        <c:v>-24.832215568862278</c:v>
                      </c:pt>
                      <c:pt idx="49">
                        <c:v>-24.948383233532937</c:v>
                      </c:pt>
                      <c:pt idx="50">
                        <c:v>-25.057617977528093</c:v>
                      </c:pt>
                      <c:pt idx="51">
                        <c:v>-25.166082397003748</c:v>
                      </c:pt>
                      <c:pt idx="52">
                        <c:v>-25.2745468164794</c:v>
                      </c:pt>
                      <c:pt idx="53">
                        <c:v>-25.383011235955056</c:v>
                      </c:pt>
                      <c:pt idx="54">
                        <c:v>-25.491475655430712</c:v>
                      </c:pt>
                      <c:pt idx="55">
                        <c:v>-25.599940074906367</c:v>
                      </c:pt>
                      <c:pt idx="56">
                        <c:v>-25.708404494382023</c:v>
                      </c:pt>
                      <c:pt idx="57">
                        <c:v>-25.816868913857679</c:v>
                      </c:pt>
                      <c:pt idx="58">
                        <c:v>-25.925333333333334</c:v>
                      </c:pt>
                      <c:pt idx="59">
                        <c:v>-26.03379775280899</c:v>
                      </c:pt>
                      <c:pt idx="60">
                        <c:v>-26.142262172284646</c:v>
                      </c:pt>
                      <c:pt idx="61">
                        <c:v>-26.250726591760301</c:v>
                      </c:pt>
                      <c:pt idx="62">
                        <c:v>-26.359191011235957</c:v>
                      </c:pt>
                      <c:pt idx="63">
                        <c:v>-26.467655430711609</c:v>
                      </c:pt>
                      <c:pt idx="64">
                        <c:v>-26.576119850187265</c:v>
                      </c:pt>
                      <c:pt idx="65">
                        <c:v>-26.684584269662921</c:v>
                      </c:pt>
                      <c:pt idx="66">
                        <c:v>-26.791902621722848</c:v>
                      </c:pt>
                      <c:pt idx="67">
                        <c:v>-26.894973782771537</c:v>
                      </c:pt>
                      <c:pt idx="68">
                        <c:v>-26.998044943820226</c:v>
                      </c:pt>
                      <c:pt idx="69">
                        <c:v>-27.101116104868915</c:v>
                      </c:pt>
                      <c:pt idx="70">
                        <c:v>-27.204187265917604</c:v>
                      </c:pt>
                      <c:pt idx="71">
                        <c:v>-27.307258426966293</c:v>
                      </c:pt>
                      <c:pt idx="72">
                        <c:v>-27.410329588014982</c:v>
                      </c:pt>
                      <c:pt idx="73">
                        <c:v>-27.513400749063671</c:v>
                      </c:pt>
                      <c:pt idx="74">
                        <c:v>-27.616471910112359</c:v>
                      </c:pt>
                      <c:pt idx="75">
                        <c:v>-27.719543071161048</c:v>
                      </c:pt>
                      <c:pt idx="76">
                        <c:v>-27.822614232209737</c:v>
                      </c:pt>
                      <c:pt idx="77">
                        <c:v>-27.925685393258426</c:v>
                      </c:pt>
                      <c:pt idx="78">
                        <c:v>-28.028756554307115</c:v>
                      </c:pt>
                      <c:pt idx="79">
                        <c:v>-28.131827715355804</c:v>
                      </c:pt>
                      <c:pt idx="80">
                        <c:v>-28.234898876404493</c:v>
                      </c:pt>
                      <c:pt idx="81">
                        <c:v>-28.337970037453182</c:v>
                      </c:pt>
                      <c:pt idx="82">
                        <c:v>-28.441041198501871</c:v>
                      </c:pt>
                      <c:pt idx="83">
                        <c:v>-28.541556886227543</c:v>
                      </c:pt>
                      <c:pt idx="84">
                        <c:v>-28.639760479041914</c:v>
                      </c:pt>
                      <c:pt idx="85">
                        <c:v>-28.737964071856286</c:v>
                      </c:pt>
                      <c:pt idx="86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73D-4876-A6EA-FACE45BB2F19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[1]EVALUATION!$B$107:$CP$107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-58.064234234234235</c:v>
                      </c:pt>
                      <c:pt idx="1">
                        <c:v>-56.971141141141139</c:v>
                      </c:pt>
                      <c:pt idx="2">
                        <c:v>-55.878048048048043</c:v>
                      </c:pt>
                      <c:pt idx="3">
                        <c:v>-54.784954954954955</c:v>
                      </c:pt>
                      <c:pt idx="4">
                        <c:v>-54.124610778443113</c:v>
                      </c:pt>
                      <c:pt idx="5">
                        <c:v>-53.564131736526946</c:v>
                      </c:pt>
                      <c:pt idx="6">
                        <c:v>-53.003652694610771</c:v>
                      </c:pt>
                      <c:pt idx="7">
                        <c:v>-52.443173652694604</c:v>
                      </c:pt>
                      <c:pt idx="8">
                        <c:v>-52.043023952095801</c:v>
                      </c:pt>
                      <c:pt idx="9">
                        <c:v>-51.734041916167662</c:v>
                      </c:pt>
                      <c:pt idx="10">
                        <c:v>-51.425059880239516</c:v>
                      </c:pt>
                      <c:pt idx="11">
                        <c:v>-51.11607784431137</c:v>
                      </c:pt>
                      <c:pt idx="12">
                        <c:v>-50.842655688622749</c:v>
                      </c:pt>
                      <c:pt idx="13">
                        <c:v>-50.610559880239521</c:v>
                      </c:pt>
                      <c:pt idx="14">
                        <c:v>-50.378464071856285</c:v>
                      </c:pt>
                      <c:pt idx="15">
                        <c:v>-50.146368263473057</c:v>
                      </c:pt>
                      <c:pt idx="16">
                        <c:v>-49.931350299401196</c:v>
                      </c:pt>
                      <c:pt idx="17">
                        <c:v>-49.758655688622753</c:v>
                      </c:pt>
                      <c:pt idx="18">
                        <c:v>-49.58596107784431</c:v>
                      </c:pt>
                      <c:pt idx="19">
                        <c:v>-49.413266467065867</c:v>
                      </c:pt>
                      <c:pt idx="20">
                        <c:v>-49.246419161676648</c:v>
                      </c:pt>
                      <c:pt idx="21">
                        <c:v>-49.125700598802396</c:v>
                      </c:pt>
                      <c:pt idx="22">
                        <c:v>-49.004982035928144</c:v>
                      </c:pt>
                      <c:pt idx="23">
                        <c:v>-48.884263473053892</c:v>
                      </c:pt>
                      <c:pt idx="24">
                        <c:v>-48.76354491017964</c:v>
                      </c:pt>
                      <c:pt idx="25">
                        <c:v>-48.847216216216218</c:v>
                      </c:pt>
                      <c:pt idx="26">
                        <c:v>-48.944513513513513</c:v>
                      </c:pt>
                      <c:pt idx="27">
                        <c:v>-49.041810810810816</c:v>
                      </c:pt>
                      <c:pt idx="28">
                        <c:v>-49.139108108108111</c:v>
                      </c:pt>
                      <c:pt idx="29">
                        <c:v>-49.365562874251502</c:v>
                      </c:pt>
                      <c:pt idx="30">
                        <c:v>-49.62951497005988</c:v>
                      </c:pt>
                      <c:pt idx="31">
                        <c:v>-49.893467065868265</c:v>
                      </c:pt>
                      <c:pt idx="32">
                        <c:v>-50.157419161676643</c:v>
                      </c:pt>
                      <c:pt idx="33">
                        <c:v>-50.414257485029935</c:v>
                      </c:pt>
                      <c:pt idx="34">
                        <c:v>-50.666353293413174</c:v>
                      </c:pt>
                      <c:pt idx="35">
                        <c:v>-50.918449101796405</c:v>
                      </c:pt>
                      <c:pt idx="36">
                        <c:v>-51.170544910179636</c:v>
                      </c:pt>
                      <c:pt idx="37">
                        <c:v>-51.422640718562874</c:v>
                      </c:pt>
                      <c:pt idx="38">
                        <c:v>-51.674736526946106</c:v>
                      </c:pt>
                      <c:pt idx="39">
                        <c:v>-51.926832335329337</c:v>
                      </c:pt>
                      <c:pt idx="40">
                        <c:v>-52.178928143712575</c:v>
                      </c:pt>
                      <c:pt idx="41">
                        <c:v>-52.431023952095806</c:v>
                      </c:pt>
                      <c:pt idx="42">
                        <c:v>-52.683119760479038</c:v>
                      </c:pt>
                      <c:pt idx="43">
                        <c:v>-52.935215568862276</c:v>
                      </c:pt>
                      <c:pt idx="44">
                        <c:v>-53.187311377245507</c:v>
                      </c:pt>
                      <c:pt idx="45">
                        <c:v>-53.439407185628738</c:v>
                      </c:pt>
                      <c:pt idx="46">
                        <c:v>-53.691502994011977</c:v>
                      </c:pt>
                      <c:pt idx="47">
                        <c:v>-53.943598802395208</c:v>
                      </c:pt>
                      <c:pt idx="48">
                        <c:v>-54.195694610778446</c:v>
                      </c:pt>
                      <c:pt idx="49">
                        <c:v>-54.447790419161677</c:v>
                      </c:pt>
                      <c:pt idx="50">
                        <c:v>-54.685494382022469</c:v>
                      </c:pt>
                      <c:pt idx="51">
                        <c:v>-54.921599250936332</c:v>
                      </c:pt>
                      <c:pt idx="52">
                        <c:v>-55.157704119850187</c:v>
                      </c:pt>
                      <c:pt idx="53">
                        <c:v>-55.393808988764043</c:v>
                      </c:pt>
                      <c:pt idx="54">
                        <c:v>-55.629913857677906</c:v>
                      </c:pt>
                      <c:pt idx="55">
                        <c:v>-55.866018726591761</c:v>
                      </c:pt>
                      <c:pt idx="56">
                        <c:v>-56.102123595505617</c:v>
                      </c:pt>
                      <c:pt idx="57">
                        <c:v>-56.338228464419473</c:v>
                      </c:pt>
                      <c:pt idx="58">
                        <c:v>-56.574333333333335</c:v>
                      </c:pt>
                      <c:pt idx="59">
                        <c:v>-56.810438202247191</c:v>
                      </c:pt>
                      <c:pt idx="60">
                        <c:v>-57.046543071161047</c:v>
                      </c:pt>
                      <c:pt idx="61">
                        <c:v>-57.282647940074902</c:v>
                      </c:pt>
                      <c:pt idx="62">
                        <c:v>-57.518752808988765</c:v>
                      </c:pt>
                      <c:pt idx="63">
                        <c:v>-57.754857677902621</c:v>
                      </c:pt>
                      <c:pt idx="64">
                        <c:v>-57.990962546816476</c:v>
                      </c:pt>
                      <c:pt idx="65">
                        <c:v>-58.227067415730332</c:v>
                      </c:pt>
                      <c:pt idx="66">
                        <c:v>-58.460650936329586</c:v>
                      </c:pt>
                      <c:pt idx="67">
                        <c:v>-58.684890636704118</c:v>
                      </c:pt>
                      <c:pt idx="68">
                        <c:v>-58.909130337078651</c:v>
                      </c:pt>
                      <c:pt idx="69">
                        <c:v>-59.133370037453183</c:v>
                      </c:pt>
                      <c:pt idx="70">
                        <c:v>-59.357609737827715</c:v>
                      </c:pt>
                      <c:pt idx="71">
                        <c:v>-59.581849438202241</c:v>
                      </c:pt>
                      <c:pt idx="72">
                        <c:v>-59.806089138576773</c:v>
                      </c:pt>
                      <c:pt idx="73">
                        <c:v>-60.030328838951306</c:v>
                      </c:pt>
                      <c:pt idx="74">
                        <c:v>-60.254568539325838</c:v>
                      </c:pt>
                      <c:pt idx="75">
                        <c:v>-60.478808239700371</c:v>
                      </c:pt>
                      <c:pt idx="76">
                        <c:v>-60.703047940074903</c:v>
                      </c:pt>
                      <c:pt idx="77">
                        <c:v>-60.927287640449435</c:v>
                      </c:pt>
                      <c:pt idx="78">
                        <c:v>-61.151527340823968</c:v>
                      </c:pt>
                      <c:pt idx="79">
                        <c:v>-61.3757670411985</c:v>
                      </c:pt>
                      <c:pt idx="80">
                        <c:v>-61.600006741573026</c:v>
                      </c:pt>
                      <c:pt idx="81">
                        <c:v>-61.824246441947558</c:v>
                      </c:pt>
                      <c:pt idx="82">
                        <c:v>-62.048486142322091</c:v>
                      </c:pt>
                      <c:pt idx="83">
                        <c:v>-62.267167664670652</c:v>
                      </c:pt>
                      <c:pt idx="84">
                        <c:v>-62.480820359281431</c:v>
                      </c:pt>
                      <c:pt idx="85">
                        <c:v>-62.69447305389221</c:v>
                      </c:pt>
                      <c:pt idx="86">
                        <c:v>-62.908125748502989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73D-4876-A6EA-FACE45BB2F19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[1]EVALUATION!$B$108:$CP$108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-183.77576576576575</c:v>
                      </c:pt>
                      <c:pt idx="1">
                        <c:v>-179.80219219219219</c:v>
                      </c:pt>
                      <c:pt idx="2">
                        <c:v>-175.82861861861863</c:v>
                      </c:pt>
                      <c:pt idx="3">
                        <c:v>-171.85504504504505</c:v>
                      </c:pt>
                      <c:pt idx="4">
                        <c:v>-168.51000000000002</c:v>
                      </c:pt>
                      <c:pt idx="5">
                        <c:v>-165.31</c:v>
                      </c:pt>
                      <c:pt idx="6">
                        <c:v>-162.10999999999999</c:v>
                      </c:pt>
                      <c:pt idx="7">
                        <c:v>-158.91</c:v>
                      </c:pt>
                      <c:pt idx="8">
                        <c:v>-156.06730538922156</c:v>
                      </c:pt>
                      <c:pt idx="9">
                        <c:v>-153.42778443113772</c:v>
                      </c:pt>
                      <c:pt idx="10">
                        <c:v>-150.78826347305389</c:v>
                      </c:pt>
                      <c:pt idx="11">
                        <c:v>-148.14874251497005</c:v>
                      </c:pt>
                      <c:pt idx="12">
                        <c:v>-145.70751497005986</c:v>
                      </c:pt>
                      <c:pt idx="13">
                        <c:v>-143.49673652694611</c:v>
                      </c:pt>
                      <c:pt idx="14">
                        <c:v>-141.28595808383233</c:v>
                      </c:pt>
                      <c:pt idx="15">
                        <c:v>-139.07517964071855</c:v>
                      </c:pt>
                      <c:pt idx="16">
                        <c:v>-136.96080838323354</c:v>
                      </c:pt>
                      <c:pt idx="17">
                        <c:v>-135.08535928143712</c:v>
                      </c:pt>
                      <c:pt idx="18">
                        <c:v>-133.20991017964073</c:v>
                      </c:pt>
                      <c:pt idx="19">
                        <c:v>-131.33446107784434</c:v>
                      </c:pt>
                      <c:pt idx="20">
                        <c:v>-129.49</c:v>
                      </c:pt>
                      <c:pt idx="21">
                        <c:v>-127.89000000000001</c:v>
                      </c:pt>
                      <c:pt idx="22">
                        <c:v>-126.29000000000002</c:v>
                      </c:pt>
                      <c:pt idx="23">
                        <c:v>-124.69000000000001</c:v>
                      </c:pt>
                      <c:pt idx="24">
                        <c:v>-123.09</c:v>
                      </c:pt>
                      <c:pt idx="25">
                        <c:v>-121.94495495495497</c:v>
                      </c:pt>
                      <c:pt idx="26">
                        <c:v>-120.83024024024024</c:v>
                      </c:pt>
                      <c:pt idx="27">
                        <c:v>-119.71552552552552</c:v>
                      </c:pt>
                      <c:pt idx="28">
                        <c:v>-118.6008108108108</c:v>
                      </c:pt>
                      <c:pt idx="29">
                        <c:v>-119.12407185628743</c:v>
                      </c:pt>
                      <c:pt idx="30">
                        <c:v>-120.12287425149701</c:v>
                      </c:pt>
                      <c:pt idx="31">
                        <c:v>-121.12167664670659</c:v>
                      </c:pt>
                      <c:pt idx="32">
                        <c:v>-122.12047904191617</c:v>
                      </c:pt>
                      <c:pt idx="33">
                        <c:v>-123.0919760479042</c:v>
                      </c:pt>
                      <c:pt idx="34">
                        <c:v>-124.04526946107785</c:v>
                      </c:pt>
                      <c:pt idx="35">
                        <c:v>-124.9985628742515</c:v>
                      </c:pt>
                      <c:pt idx="36">
                        <c:v>-125.95185628742516</c:v>
                      </c:pt>
                      <c:pt idx="37">
                        <c:v>-126.90514970059881</c:v>
                      </c:pt>
                      <c:pt idx="38">
                        <c:v>-127.85844311377247</c:v>
                      </c:pt>
                      <c:pt idx="39">
                        <c:v>-128.81173652694611</c:v>
                      </c:pt>
                      <c:pt idx="40">
                        <c:v>-129.76502994011977</c:v>
                      </c:pt>
                      <c:pt idx="41">
                        <c:v>-130.71832335329341</c:v>
                      </c:pt>
                      <c:pt idx="42">
                        <c:v>-131.67161676646708</c:v>
                      </c:pt>
                      <c:pt idx="43">
                        <c:v>-132.62491017964072</c:v>
                      </c:pt>
                      <c:pt idx="44">
                        <c:v>-133.57820359281436</c:v>
                      </c:pt>
                      <c:pt idx="45">
                        <c:v>-134.53149700598803</c:v>
                      </c:pt>
                      <c:pt idx="46">
                        <c:v>-135.48479041916167</c:v>
                      </c:pt>
                      <c:pt idx="47">
                        <c:v>-136.43808383233534</c:v>
                      </c:pt>
                      <c:pt idx="48">
                        <c:v>-137.39137724550898</c:v>
                      </c:pt>
                      <c:pt idx="49">
                        <c:v>-138.34467065868265</c:v>
                      </c:pt>
                      <c:pt idx="50">
                        <c:v>-139.21824719101124</c:v>
                      </c:pt>
                      <c:pt idx="51">
                        <c:v>-140.08296629213484</c:v>
                      </c:pt>
                      <c:pt idx="52">
                        <c:v>-140.94768539325844</c:v>
                      </c:pt>
                      <c:pt idx="53">
                        <c:v>-141.81240449438204</c:v>
                      </c:pt>
                      <c:pt idx="54">
                        <c:v>-142.67712359550563</c:v>
                      </c:pt>
                      <c:pt idx="55">
                        <c:v>-143.54184269662923</c:v>
                      </c:pt>
                      <c:pt idx="56">
                        <c:v>-144.40656179775283</c:v>
                      </c:pt>
                      <c:pt idx="57">
                        <c:v>-145.2712808988764</c:v>
                      </c:pt>
                      <c:pt idx="58">
                        <c:v>-146.136</c:v>
                      </c:pt>
                      <c:pt idx="59">
                        <c:v>-147.00071910112359</c:v>
                      </c:pt>
                      <c:pt idx="60">
                        <c:v>-147.86543820224719</c:v>
                      </c:pt>
                      <c:pt idx="61">
                        <c:v>-148.73015730337079</c:v>
                      </c:pt>
                      <c:pt idx="62">
                        <c:v>-149.59487640449439</c:v>
                      </c:pt>
                      <c:pt idx="63">
                        <c:v>-150.45959550561798</c:v>
                      </c:pt>
                      <c:pt idx="64">
                        <c:v>-151.32431460674158</c:v>
                      </c:pt>
                      <c:pt idx="65">
                        <c:v>-152.18903370786518</c:v>
                      </c:pt>
                      <c:pt idx="66">
                        <c:v>-153.03172284644197</c:v>
                      </c:pt>
                      <c:pt idx="67">
                        <c:v>-153.79277153558053</c:v>
                      </c:pt>
                      <c:pt idx="68">
                        <c:v>-154.55382022471912</c:v>
                      </c:pt>
                      <c:pt idx="69">
                        <c:v>-155.31486891385768</c:v>
                      </c:pt>
                      <c:pt idx="70">
                        <c:v>-156.07591760299627</c:v>
                      </c:pt>
                      <c:pt idx="71">
                        <c:v>-156.83696629213483</c:v>
                      </c:pt>
                      <c:pt idx="72">
                        <c:v>-157.59801498127342</c:v>
                      </c:pt>
                      <c:pt idx="73">
                        <c:v>-158.35906367041198</c:v>
                      </c:pt>
                      <c:pt idx="74">
                        <c:v>-159.12011235955057</c:v>
                      </c:pt>
                      <c:pt idx="75">
                        <c:v>-159.88116104868914</c:v>
                      </c:pt>
                      <c:pt idx="76">
                        <c:v>-160.64220973782773</c:v>
                      </c:pt>
                      <c:pt idx="77">
                        <c:v>-161.40325842696629</c:v>
                      </c:pt>
                      <c:pt idx="78">
                        <c:v>-162.16430711610488</c:v>
                      </c:pt>
                      <c:pt idx="79">
                        <c:v>-162.92535580524344</c:v>
                      </c:pt>
                      <c:pt idx="80">
                        <c:v>-163.68640449438203</c:v>
                      </c:pt>
                      <c:pt idx="81">
                        <c:v>-164.44745318352059</c:v>
                      </c:pt>
                      <c:pt idx="82">
                        <c:v>-165.20850187265918</c:v>
                      </c:pt>
                      <c:pt idx="83">
                        <c:v>-165.92838323353294</c:v>
                      </c:pt>
                      <c:pt idx="84">
                        <c:v>-166.61101796407183</c:v>
                      </c:pt>
                      <c:pt idx="85">
                        <c:v>-167.29365269461076</c:v>
                      </c:pt>
                      <c:pt idx="86">
                        <c:v>-167.97628742514968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73D-4876-A6EA-FACE45BB2F19}"/>
                  </c:ext>
                </c:extLst>
              </c15:ser>
            </c15:filteredScatterSeries>
            <c15:filteredScatterSeries>
              <c15:ser>
                <c:idx val="6"/>
                <c:order val="8"/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[1]EVALUATION!$B$109:$CP$109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-30.236216216216214</c:v>
                      </c:pt>
                      <c:pt idx="1">
                        <c:v>-29.760540540540539</c:v>
                      </c:pt>
                      <c:pt idx="2">
                        <c:v>-29.284864864864865</c:v>
                      </c:pt>
                      <c:pt idx="3">
                        <c:v>-28.809189189189187</c:v>
                      </c:pt>
                      <c:pt idx="4">
                        <c:v>-27.918203592814368</c:v>
                      </c:pt>
                      <c:pt idx="5">
                        <c:v>-26.93137724550898</c:v>
                      </c:pt>
                      <c:pt idx="6">
                        <c:v>-25.944550898203591</c:v>
                      </c:pt>
                      <c:pt idx="7">
                        <c:v>-24.957724550898202</c:v>
                      </c:pt>
                      <c:pt idx="8">
                        <c:v>-23.900658682634731</c:v>
                      </c:pt>
                      <c:pt idx="9">
                        <c:v>-22.803652694610779</c:v>
                      </c:pt>
                      <c:pt idx="10">
                        <c:v>-21.706646706586827</c:v>
                      </c:pt>
                      <c:pt idx="11">
                        <c:v>-20.609640718562876</c:v>
                      </c:pt>
                      <c:pt idx="12">
                        <c:v>-19.579323353293415</c:v>
                      </c:pt>
                      <c:pt idx="13">
                        <c:v>-18.626508982035929</c:v>
                      </c:pt>
                      <c:pt idx="14">
                        <c:v>-17.673694610778444</c:v>
                      </c:pt>
                      <c:pt idx="15">
                        <c:v>-16.720880239520959</c:v>
                      </c:pt>
                      <c:pt idx="16">
                        <c:v>-15.802221556886229</c:v>
                      </c:pt>
                      <c:pt idx="17">
                        <c:v>-14.968209580838325</c:v>
                      </c:pt>
                      <c:pt idx="18">
                        <c:v>-14.134197604790421</c:v>
                      </c:pt>
                      <c:pt idx="19">
                        <c:v>-13.300185628742518</c:v>
                      </c:pt>
                      <c:pt idx="20">
                        <c:v>-12.476790419161679</c:v>
                      </c:pt>
                      <c:pt idx="21">
                        <c:v>-11.737149700598804</c:v>
                      </c:pt>
                      <c:pt idx="22">
                        <c:v>-10.99750898203593</c:v>
                      </c:pt>
                      <c:pt idx="23">
                        <c:v>-10.257868263473053</c:v>
                      </c:pt>
                      <c:pt idx="24">
                        <c:v>-9.5182275449101788</c:v>
                      </c:pt>
                      <c:pt idx="25">
                        <c:v>-9.2039819819819808</c:v>
                      </c:pt>
                      <c:pt idx="26">
                        <c:v>-8.9180960960960949</c:v>
                      </c:pt>
                      <c:pt idx="27">
                        <c:v>-8.632210210210209</c:v>
                      </c:pt>
                      <c:pt idx="28">
                        <c:v>-8.346324324324323</c:v>
                      </c:pt>
                      <c:pt idx="29">
                        <c:v>-8.3124431137724546</c:v>
                      </c:pt>
                      <c:pt idx="30">
                        <c:v>-8.3517245508982043</c:v>
                      </c:pt>
                      <c:pt idx="31">
                        <c:v>-8.3910059880239523</c:v>
                      </c:pt>
                      <c:pt idx="32">
                        <c:v>-8.4302874251497002</c:v>
                      </c:pt>
                      <c:pt idx="33">
                        <c:v>-8.4697125748502984</c:v>
                      </c:pt>
                      <c:pt idx="34">
                        <c:v>-8.5092335329341307</c:v>
                      </c:pt>
                      <c:pt idx="35">
                        <c:v>-8.5487544910179629</c:v>
                      </c:pt>
                      <c:pt idx="36">
                        <c:v>-8.5882754491017952</c:v>
                      </c:pt>
                      <c:pt idx="37">
                        <c:v>-8.6277964071856292</c:v>
                      </c:pt>
                      <c:pt idx="38">
                        <c:v>-8.6673173652694615</c:v>
                      </c:pt>
                      <c:pt idx="39">
                        <c:v>-8.7068383233532938</c:v>
                      </c:pt>
                      <c:pt idx="40">
                        <c:v>-8.746359281437126</c:v>
                      </c:pt>
                      <c:pt idx="41">
                        <c:v>-8.7858802395209583</c:v>
                      </c:pt>
                      <c:pt idx="42">
                        <c:v>-8.8254011976047906</c:v>
                      </c:pt>
                      <c:pt idx="43">
                        <c:v>-8.8649221556886229</c:v>
                      </c:pt>
                      <c:pt idx="44">
                        <c:v>-8.9044431137724551</c:v>
                      </c:pt>
                      <c:pt idx="45">
                        <c:v>-8.9439640718562874</c:v>
                      </c:pt>
                      <c:pt idx="46">
                        <c:v>-8.9834850299401197</c:v>
                      </c:pt>
                      <c:pt idx="47">
                        <c:v>-9.0230059880239519</c:v>
                      </c:pt>
                      <c:pt idx="48">
                        <c:v>-9.0625269461077842</c:v>
                      </c:pt>
                      <c:pt idx="49">
                        <c:v>-9.1020479041916165</c:v>
                      </c:pt>
                      <c:pt idx="50">
                        <c:v>-9.140516853932585</c:v>
                      </c:pt>
                      <c:pt idx="51">
                        <c:v>-9.1788689138576789</c:v>
                      </c:pt>
                      <c:pt idx="52">
                        <c:v>-9.2172209737827711</c:v>
                      </c:pt>
                      <c:pt idx="53">
                        <c:v>-9.255573033707865</c:v>
                      </c:pt>
                      <c:pt idx="54">
                        <c:v>-9.2939250936329589</c:v>
                      </c:pt>
                      <c:pt idx="55">
                        <c:v>-9.3322771535580529</c:v>
                      </c:pt>
                      <c:pt idx="56">
                        <c:v>-9.3706292134831468</c:v>
                      </c:pt>
                      <c:pt idx="57">
                        <c:v>-9.4089812734082408</c:v>
                      </c:pt>
                      <c:pt idx="58">
                        <c:v>-9.4473333333333329</c:v>
                      </c:pt>
                      <c:pt idx="59">
                        <c:v>-9.4856853932584269</c:v>
                      </c:pt>
                      <c:pt idx="60">
                        <c:v>-9.5240374531835208</c:v>
                      </c:pt>
                      <c:pt idx="61">
                        <c:v>-9.5623895131086147</c:v>
                      </c:pt>
                      <c:pt idx="62">
                        <c:v>-9.6007415730337087</c:v>
                      </c:pt>
                      <c:pt idx="63">
                        <c:v>-9.6390936329588026</c:v>
                      </c:pt>
                      <c:pt idx="64">
                        <c:v>-9.6774456928838966</c:v>
                      </c:pt>
                      <c:pt idx="65">
                        <c:v>-9.7157977528089887</c:v>
                      </c:pt>
                      <c:pt idx="66">
                        <c:v>-9.7536913857677909</c:v>
                      </c:pt>
                      <c:pt idx="67">
                        <c:v>-9.7898861423220982</c:v>
                      </c:pt>
                      <c:pt idx="68">
                        <c:v>-9.8260808988764055</c:v>
                      </c:pt>
                      <c:pt idx="69">
                        <c:v>-9.8622756554307127</c:v>
                      </c:pt>
                      <c:pt idx="70">
                        <c:v>-9.89847041198502</c:v>
                      </c:pt>
                      <c:pt idx="71">
                        <c:v>-9.9346651685393255</c:v>
                      </c:pt>
                      <c:pt idx="72">
                        <c:v>-9.9708599250936327</c:v>
                      </c:pt>
                      <c:pt idx="73">
                        <c:v>-10.00705468164794</c:v>
                      </c:pt>
                      <c:pt idx="74">
                        <c:v>-10.043249438202247</c:v>
                      </c:pt>
                      <c:pt idx="75">
                        <c:v>-10.079444194756555</c:v>
                      </c:pt>
                      <c:pt idx="76">
                        <c:v>-10.115638951310862</c:v>
                      </c:pt>
                      <c:pt idx="77">
                        <c:v>-10.151833707865169</c:v>
                      </c:pt>
                      <c:pt idx="78">
                        <c:v>-10.188028464419476</c:v>
                      </c:pt>
                      <c:pt idx="79">
                        <c:v>-10.224223220973784</c:v>
                      </c:pt>
                      <c:pt idx="80">
                        <c:v>-10.260417977528089</c:v>
                      </c:pt>
                      <c:pt idx="81">
                        <c:v>-10.296612734082396</c:v>
                      </c:pt>
                      <c:pt idx="82">
                        <c:v>-10.332807490636704</c:v>
                      </c:pt>
                      <c:pt idx="83">
                        <c:v>-10.368107784431137</c:v>
                      </c:pt>
                      <c:pt idx="84">
                        <c:v>-10.402598802395209</c:v>
                      </c:pt>
                      <c:pt idx="85">
                        <c:v>-10.437089820359281</c:v>
                      </c:pt>
                      <c:pt idx="86">
                        <c:v>-10.471580838323353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73D-4876-A6EA-FACE45BB2F19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[1]EVALUATION!$B$110:$CP$110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>
                        <c:v>-13.959101796407184</c:v>
                      </c:pt>
                      <c:pt idx="5">
                        <c:v>-13.46568862275449</c:v>
                      </c:pt>
                      <c:pt idx="6">
                        <c:v>-12.972275449101796</c:v>
                      </c:pt>
                      <c:pt idx="7">
                        <c:v>-12.478862275449101</c:v>
                      </c:pt>
                      <c:pt idx="8">
                        <c:v>-11.950329341317365</c:v>
                      </c:pt>
                      <c:pt idx="9">
                        <c:v>-11.40182634730539</c:v>
                      </c:pt>
                      <c:pt idx="10">
                        <c:v>-10.853323353293414</c:v>
                      </c:pt>
                      <c:pt idx="11">
                        <c:v>-10.304820359281438</c:v>
                      </c:pt>
                      <c:pt idx="12">
                        <c:v>-9.7896616766467073</c:v>
                      </c:pt>
                      <c:pt idx="13">
                        <c:v>-9.3132544910179647</c:v>
                      </c:pt>
                      <c:pt idx="14">
                        <c:v>-8.836847305389222</c:v>
                      </c:pt>
                      <c:pt idx="15">
                        <c:v>-8.3604401197604794</c:v>
                      </c:pt>
                      <c:pt idx="16">
                        <c:v>-7.9011107784431145</c:v>
                      </c:pt>
                      <c:pt idx="17">
                        <c:v>-7.4841047904191624</c:v>
                      </c:pt>
                      <c:pt idx="18">
                        <c:v>-7.0670988023952104</c:v>
                      </c:pt>
                      <c:pt idx="19">
                        <c:v>-6.6500928143712592</c:v>
                      </c:pt>
                      <c:pt idx="20">
                        <c:v>-6.2383952095808395</c:v>
                      </c:pt>
                      <c:pt idx="21">
                        <c:v>-5.8685748502994022</c:v>
                      </c:pt>
                      <c:pt idx="22">
                        <c:v>-5.4987544910179649</c:v>
                      </c:pt>
                      <c:pt idx="23">
                        <c:v>-5.1289341317365267</c:v>
                      </c:pt>
                      <c:pt idx="24">
                        <c:v>-4.7591137724550894</c:v>
                      </c:pt>
                      <c:pt idx="25">
                        <c:v>-4.6019909909909904</c:v>
                      </c:pt>
                      <c:pt idx="26">
                        <c:v>-4.4590480480480474</c:v>
                      </c:pt>
                      <c:pt idx="27">
                        <c:v>-4.3161051051051045</c:v>
                      </c:pt>
                      <c:pt idx="28">
                        <c:v>-4.1731621621621615</c:v>
                      </c:pt>
                      <c:pt idx="29">
                        <c:v>-4.1562215568862273</c:v>
                      </c:pt>
                      <c:pt idx="30">
                        <c:v>-4.1758622754491022</c:v>
                      </c:pt>
                      <c:pt idx="31">
                        <c:v>-4.1955029940119761</c:v>
                      </c:pt>
                      <c:pt idx="32">
                        <c:v>-4.2151437125748501</c:v>
                      </c:pt>
                      <c:pt idx="33">
                        <c:v>-4.2348562874251492</c:v>
                      </c:pt>
                      <c:pt idx="34">
                        <c:v>-4.2546167664670653</c:v>
                      </c:pt>
                      <c:pt idx="35">
                        <c:v>-4.2743772455089815</c:v>
                      </c:pt>
                      <c:pt idx="36">
                        <c:v>-4.2941377245508976</c:v>
                      </c:pt>
                      <c:pt idx="37">
                        <c:v>-4.3138982035928146</c:v>
                      </c:pt>
                      <c:pt idx="38">
                        <c:v>-4.3336586826347308</c:v>
                      </c:pt>
                      <c:pt idx="39">
                        <c:v>-4.3534191616766469</c:v>
                      </c:pt>
                      <c:pt idx="40">
                        <c:v>-4.373179640718563</c:v>
                      </c:pt>
                      <c:pt idx="41">
                        <c:v>-4.3929401197604792</c:v>
                      </c:pt>
                      <c:pt idx="42">
                        <c:v>-4.4127005988023953</c:v>
                      </c:pt>
                      <c:pt idx="43">
                        <c:v>-4.4324610778443114</c:v>
                      </c:pt>
                      <c:pt idx="44">
                        <c:v>-4.4522215568862276</c:v>
                      </c:pt>
                      <c:pt idx="45">
                        <c:v>-4.4719820359281437</c:v>
                      </c:pt>
                      <c:pt idx="46">
                        <c:v>-4.4917425149700598</c:v>
                      </c:pt>
                      <c:pt idx="47">
                        <c:v>-4.511502994011976</c:v>
                      </c:pt>
                      <c:pt idx="48">
                        <c:v>-4.5312634730538921</c:v>
                      </c:pt>
                      <c:pt idx="49">
                        <c:v>-4.5510239520958082</c:v>
                      </c:pt>
                      <c:pt idx="50">
                        <c:v>-4.5702584269662925</c:v>
                      </c:pt>
                      <c:pt idx="51">
                        <c:v>-4.5894344569288394</c:v>
                      </c:pt>
                      <c:pt idx="52">
                        <c:v>-4.6086104868913855</c:v>
                      </c:pt>
                      <c:pt idx="53">
                        <c:v>-4.6277865168539325</c:v>
                      </c:pt>
                      <c:pt idx="54">
                        <c:v>-4.6469625468164795</c:v>
                      </c:pt>
                      <c:pt idx="55">
                        <c:v>-4.6661385767790264</c:v>
                      </c:pt>
                      <c:pt idx="56">
                        <c:v>-4.6853146067415734</c:v>
                      </c:pt>
                      <c:pt idx="57">
                        <c:v>-4.7044906367041204</c:v>
                      </c:pt>
                      <c:pt idx="58">
                        <c:v>-4.7236666666666665</c:v>
                      </c:pt>
                      <c:pt idx="59">
                        <c:v>-4.7428426966292134</c:v>
                      </c:pt>
                      <c:pt idx="60">
                        <c:v>-4.7620187265917604</c:v>
                      </c:pt>
                      <c:pt idx="61">
                        <c:v>-4.7811947565543074</c:v>
                      </c:pt>
                      <c:pt idx="62">
                        <c:v>-4.8003707865168543</c:v>
                      </c:pt>
                      <c:pt idx="63">
                        <c:v>-4.8195468164794013</c:v>
                      </c:pt>
                      <c:pt idx="64">
                        <c:v>-4.8387228464419483</c:v>
                      </c:pt>
                      <c:pt idx="65">
                        <c:v>-4.8578988764044944</c:v>
                      </c:pt>
                      <c:pt idx="66">
                        <c:v>-4.8768456928838955</c:v>
                      </c:pt>
                      <c:pt idx="67">
                        <c:v>-4.8949430711610491</c:v>
                      </c:pt>
                      <c:pt idx="68">
                        <c:v>-4.9130404494382027</c:v>
                      </c:pt>
                      <c:pt idx="69">
                        <c:v>-4.9311378277153564</c:v>
                      </c:pt>
                      <c:pt idx="70">
                        <c:v>-4.94923520599251</c:v>
                      </c:pt>
                      <c:pt idx="71">
                        <c:v>-4.9673325842696627</c:v>
                      </c:pt>
                      <c:pt idx="72">
                        <c:v>-4.9854299625468164</c:v>
                      </c:pt>
                      <c:pt idx="73">
                        <c:v>-5.00352734082397</c:v>
                      </c:pt>
                      <c:pt idx="74">
                        <c:v>-5.0216247191011236</c:v>
                      </c:pt>
                      <c:pt idx="75">
                        <c:v>-5.0397220973782773</c:v>
                      </c:pt>
                      <c:pt idx="76">
                        <c:v>-5.0578194756554309</c:v>
                      </c:pt>
                      <c:pt idx="77">
                        <c:v>-5.0759168539325845</c:v>
                      </c:pt>
                      <c:pt idx="78">
                        <c:v>-5.0940142322097381</c:v>
                      </c:pt>
                      <c:pt idx="79">
                        <c:v>-5.1121116104868918</c:v>
                      </c:pt>
                      <c:pt idx="80">
                        <c:v>-5.1302089887640445</c:v>
                      </c:pt>
                      <c:pt idx="81">
                        <c:v>-5.1483063670411982</c:v>
                      </c:pt>
                      <c:pt idx="82">
                        <c:v>-5.1664037453183518</c:v>
                      </c:pt>
                      <c:pt idx="83">
                        <c:v>-5.1840538922155686</c:v>
                      </c:pt>
                      <c:pt idx="84">
                        <c:v>-5.2012994011976046</c:v>
                      </c:pt>
                      <c:pt idx="85">
                        <c:v>-5.2185449101796406</c:v>
                      </c:pt>
                      <c:pt idx="86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73D-4876-A6EA-FACE45BB2F19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[1]EVALUATION!$B$111:$CP$111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-19.022342342342341</c:v>
                      </c:pt>
                      <c:pt idx="1">
                        <c:v>-19.024744744744744</c:v>
                      </c:pt>
                      <c:pt idx="2">
                        <c:v>-19.027147147147147</c:v>
                      </c:pt>
                      <c:pt idx="3">
                        <c:v>-19.02954954954955</c:v>
                      </c:pt>
                      <c:pt idx="4">
                        <c:v>-19.035838323353293</c:v>
                      </c:pt>
                      <c:pt idx="5">
                        <c:v>-19.043023952095808</c:v>
                      </c:pt>
                      <c:pt idx="6">
                        <c:v>-19.050209580838324</c:v>
                      </c:pt>
                      <c:pt idx="7">
                        <c:v>-19.057395209580836</c:v>
                      </c:pt>
                      <c:pt idx="8">
                        <c:v>-19.06763473053892</c:v>
                      </c:pt>
                      <c:pt idx="9">
                        <c:v>-19.079610778443111</c:v>
                      </c:pt>
                      <c:pt idx="10">
                        <c:v>-19.091586826347303</c:v>
                      </c:pt>
                      <c:pt idx="11">
                        <c:v>-19.103562874251498</c:v>
                      </c:pt>
                      <c:pt idx="12">
                        <c:v>-19.116646706586828</c:v>
                      </c:pt>
                      <c:pt idx="13">
                        <c:v>-19.131017964071855</c:v>
                      </c:pt>
                      <c:pt idx="14">
                        <c:v>-19.145389221556886</c:v>
                      </c:pt>
                      <c:pt idx="15">
                        <c:v>-19.159760479041918</c:v>
                      </c:pt>
                      <c:pt idx="16">
                        <c:v>-19.174131736526949</c:v>
                      </c:pt>
                      <c:pt idx="17">
                        <c:v>-19.188502994011976</c:v>
                      </c:pt>
                      <c:pt idx="18">
                        <c:v>-19.202874251497008</c:v>
                      </c:pt>
                      <c:pt idx="19">
                        <c:v>-19.217245508982035</c:v>
                      </c:pt>
                      <c:pt idx="20">
                        <c:v>-19.231886227544912</c:v>
                      </c:pt>
                      <c:pt idx="21">
                        <c:v>-19.248652694610779</c:v>
                      </c:pt>
                      <c:pt idx="22">
                        <c:v>-19.265419161676647</c:v>
                      </c:pt>
                      <c:pt idx="23">
                        <c:v>-19.282185628742514</c:v>
                      </c:pt>
                      <c:pt idx="24">
                        <c:v>-19.298952095808385</c:v>
                      </c:pt>
                      <c:pt idx="25">
                        <c:v>-19.2481981981982</c:v>
                      </c:pt>
                      <c:pt idx="26">
                        <c:v>-19.192942942942942</c:v>
                      </c:pt>
                      <c:pt idx="27">
                        <c:v>-19.137687687687688</c:v>
                      </c:pt>
                      <c:pt idx="28">
                        <c:v>-19.082432432432434</c:v>
                      </c:pt>
                      <c:pt idx="29">
                        <c:v>-19.062574850299402</c:v>
                      </c:pt>
                      <c:pt idx="30">
                        <c:v>-19.052994011976047</c:v>
                      </c:pt>
                      <c:pt idx="31">
                        <c:v>-19.043413173652695</c:v>
                      </c:pt>
                      <c:pt idx="32">
                        <c:v>-19.033832335329343</c:v>
                      </c:pt>
                      <c:pt idx="33">
                        <c:v>-19.040059880239522</c:v>
                      </c:pt>
                      <c:pt idx="34">
                        <c:v>-19.056826347305389</c:v>
                      </c:pt>
                      <c:pt idx="35">
                        <c:v>-19.07359281437126</c:v>
                      </c:pt>
                      <c:pt idx="36">
                        <c:v>-19.090359281437127</c:v>
                      </c:pt>
                      <c:pt idx="37">
                        <c:v>-19.107125748502995</c:v>
                      </c:pt>
                      <c:pt idx="38">
                        <c:v>-19.123892215568862</c:v>
                      </c:pt>
                      <c:pt idx="39">
                        <c:v>-19.140658682634729</c:v>
                      </c:pt>
                      <c:pt idx="40">
                        <c:v>-19.1574251497006</c:v>
                      </c:pt>
                      <c:pt idx="41">
                        <c:v>-19.174191616766468</c:v>
                      </c:pt>
                      <c:pt idx="42">
                        <c:v>-19.190958083832335</c:v>
                      </c:pt>
                      <c:pt idx="43">
                        <c:v>-19.207724550898202</c:v>
                      </c:pt>
                      <c:pt idx="44">
                        <c:v>-19.22449101796407</c:v>
                      </c:pt>
                      <c:pt idx="45">
                        <c:v>-19.241257485029941</c:v>
                      </c:pt>
                      <c:pt idx="46">
                        <c:v>-19.258023952095808</c:v>
                      </c:pt>
                      <c:pt idx="47">
                        <c:v>-19.274790419161675</c:v>
                      </c:pt>
                      <c:pt idx="48">
                        <c:v>-19.291556886227543</c:v>
                      </c:pt>
                      <c:pt idx="49">
                        <c:v>-19.30832335329341</c:v>
                      </c:pt>
                      <c:pt idx="50">
                        <c:v>-19.324022471910112</c:v>
                      </c:pt>
                      <c:pt idx="51">
                        <c:v>-19.33960299625468</c:v>
                      </c:pt>
                      <c:pt idx="52">
                        <c:v>-19.355183520599251</c:v>
                      </c:pt>
                      <c:pt idx="53">
                        <c:v>-19.370764044943819</c:v>
                      </c:pt>
                      <c:pt idx="54">
                        <c:v>-19.38634456928839</c:v>
                      </c:pt>
                      <c:pt idx="55">
                        <c:v>-19.401925093632958</c:v>
                      </c:pt>
                      <c:pt idx="56">
                        <c:v>-19.417505617977529</c:v>
                      </c:pt>
                      <c:pt idx="57">
                        <c:v>-19.433086142322097</c:v>
                      </c:pt>
                      <c:pt idx="58">
                        <c:v>-19.448666666666668</c:v>
                      </c:pt>
                      <c:pt idx="59">
                        <c:v>-19.464247191011236</c:v>
                      </c:pt>
                      <c:pt idx="60">
                        <c:v>-19.479827715355807</c:v>
                      </c:pt>
                      <c:pt idx="61">
                        <c:v>-19.495408239700375</c:v>
                      </c:pt>
                      <c:pt idx="62">
                        <c:v>-19.510988764044942</c:v>
                      </c:pt>
                      <c:pt idx="63">
                        <c:v>-19.526569288389513</c:v>
                      </c:pt>
                      <c:pt idx="64">
                        <c:v>-19.542149812734081</c:v>
                      </c:pt>
                      <c:pt idx="65">
                        <c:v>-19.557730337078652</c:v>
                      </c:pt>
                      <c:pt idx="66">
                        <c:v>-19.573183520599251</c:v>
                      </c:pt>
                      <c:pt idx="67">
                        <c:v>-19.58816479400749</c:v>
                      </c:pt>
                      <c:pt idx="68">
                        <c:v>-19.603146067415732</c:v>
                      </c:pt>
                      <c:pt idx="69">
                        <c:v>-19.618127340823971</c:v>
                      </c:pt>
                      <c:pt idx="70">
                        <c:v>-19.63310861423221</c:v>
                      </c:pt>
                      <c:pt idx="71">
                        <c:v>-19.648089887640449</c:v>
                      </c:pt>
                      <c:pt idx="72">
                        <c:v>-19.663071161048691</c:v>
                      </c:pt>
                      <c:pt idx="73">
                        <c:v>-19.67805243445693</c:v>
                      </c:pt>
                      <c:pt idx="74">
                        <c:v>-19.693033707865169</c:v>
                      </c:pt>
                      <c:pt idx="75">
                        <c:v>-19.708014981273408</c:v>
                      </c:pt>
                      <c:pt idx="76">
                        <c:v>-19.722996254681647</c:v>
                      </c:pt>
                      <c:pt idx="77">
                        <c:v>-19.737977528089889</c:v>
                      </c:pt>
                      <c:pt idx="78">
                        <c:v>-19.752958801498128</c:v>
                      </c:pt>
                      <c:pt idx="79">
                        <c:v>-19.767940074906367</c:v>
                      </c:pt>
                      <c:pt idx="80">
                        <c:v>-19.782921348314606</c:v>
                      </c:pt>
                      <c:pt idx="81">
                        <c:v>-19.797902621722848</c:v>
                      </c:pt>
                      <c:pt idx="82">
                        <c:v>-19.812883895131087</c:v>
                      </c:pt>
                      <c:pt idx="83">
                        <c:v>-19.82754491017964</c:v>
                      </c:pt>
                      <c:pt idx="84">
                        <c:v>-19.841916167664671</c:v>
                      </c:pt>
                      <c:pt idx="85">
                        <c:v>-19.856287425149699</c:v>
                      </c:pt>
                      <c:pt idx="86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73D-4876-A6EA-FACE45BB2F19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[1]EVALUATION!$B$112:$CP$112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>
                        <c:v>-13.959101796407184</c:v>
                      </c:pt>
                      <c:pt idx="5">
                        <c:v>-13.46568862275449</c:v>
                      </c:pt>
                      <c:pt idx="6">
                        <c:v>-12.972275449101796</c:v>
                      </c:pt>
                      <c:pt idx="7">
                        <c:v>-12.478862275449101</c:v>
                      </c:pt>
                      <c:pt idx="8">
                        <c:v>-11.950329341317365</c:v>
                      </c:pt>
                      <c:pt idx="9">
                        <c:v>-11.40182634730539</c:v>
                      </c:pt>
                      <c:pt idx="10">
                        <c:v>-10.853323353293414</c:v>
                      </c:pt>
                      <c:pt idx="11">
                        <c:v>-10.304820359281438</c:v>
                      </c:pt>
                      <c:pt idx="12">
                        <c:v>-9.7896616766467073</c:v>
                      </c:pt>
                      <c:pt idx="13">
                        <c:v>-9.3132544910179647</c:v>
                      </c:pt>
                      <c:pt idx="14">
                        <c:v>-8.836847305389222</c:v>
                      </c:pt>
                      <c:pt idx="15">
                        <c:v>-8.3604401197604794</c:v>
                      </c:pt>
                      <c:pt idx="16">
                        <c:v>-7.9011107784431145</c:v>
                      </c:pt>
                      <c:pt idx="17">
                        <c:v>-7.4841047904191624</c:v>
                      </c:pt>
                      <c:pt idx="18">
                        <c:v>-7.0670988023952104</c:v>
                      </c:pt>
                      <c:pt idx="19">
                        <c:v>-6.6500928143712592</c:v>
                      </c:pt>
                      <c:pt idx="20">
                        <c:v>-6.2383952095808395</c:v>
                      </c:pt>
                      <c:pt idx="21">
                        <c:v>-5.8685748502994022</c:v>
                      </c:pt>
                      <c:pt idx="22">
                        <c:v>-5.4987544910179649</c:v>
                      </c:pt>
                      <c:pt idx="23">
                        <c:v>-5.1289341317365267</c:v>
                      </c:pt>
                      <c:pt idx="24">
                        <c:v>-4.7591137724550894</c:v>
                      </c:pt>
                      <c:pt idx="25">
                        <c:v>-4.6019909909909904</c:v>
                      </c:pt>
                      <c:pt idx="26">
                        <c:v>-4.4590480480480474</c:v>
                      </c:pt>
                      <c:pt idx="27">
                        <c:v>-4.3161051051051045</c:v>
                      </c:pt>
                      <c:pt idx="28">
                        <c:v>-4.1731621621621615</c:v>
                      </c:pt>
                      <c:pt idx="29">
                        <c:v>-4.1562215568862273</c:v>
                      </c:pt>
                      <c:pt idx="30">
                        <c:v>-4.1758622754491022</c:v>
                      </c:pt>
                      <c:pt idx="31">
                        <c:v>-4.1955029940119761</c:v>
                      </c:pt>
                      <c:pt idx="32">
                        <c:v>-4.2151437125748501</c:v>
                      </c:pt>
                      <c:pt idx="33">
                        <c:v>-4.2348562874251492</c:v>
                      </c:pt>
                      <c:pt idx="34">
                        <c:v>-4.2546167664670653</c:v>
                      </c:pt>
                      <c:pt idx="35">
                        <c:v>-4.2743772455089815</c:v>
                      </c:pt>
                      <c:pt idx="36">
                        <c:v>-4.2941377245508976</c:v>
                      </c:pt>
                      <c:pt idx="37">
                        <c:v>-4.3138982035928146</c:v>
                      </c:pt>
                      <c:pt idx="38">
                        <c:v>-4.3336586826347308</c:v>
                      </c:pt>
                      <c:pt idx="39">
                        <c:v>-4.3534191616766469</c:v>
                      </c:pt>
                      <c:pt idx="40">
                        <c:v>-4.373179640718563</c:v>
                      </c:pt>
                      <c:pt idx="41">
                        <c:v>-4.3929401197604792</c:v>
                      </c:pt>
                      <c:pt idx="42">
                        <c:v>-4.4127005988023953</c:v>
                      </c:pt>
                      <c:pt idx="43">
                        <c:v>-4.4324610778443114</c:v>
                      </c:pt>
                      <c:pt idx="44">
                        <c:v>-4.4522215568862276</c:v>
                      </c:pt>
                      <c:pt idx="45">
                        <c:v>-4.4719820359281437</c:v>
                      </c:pt>
                      <c:pt idx="46">
                        <c:v>-4.4917425149700598</c:v>
                      </c:pt>
                      <c:pt idx="47">
                        <c:v>-4.511502994011976</c:v>
                      </c:pt>
                      <c:pt idx="48">
                        <c:v>-4.5312634730538921</c:v>
                      </c:pt>
                      <c:pt idx="49">
                        <c:v>-4.5510239520958082</c:v>
                      </c:pt>
                      <c:pt idx="50">
                        <c:v>-4.5702584269662925</c:v>
                      </c:pt>
                      <c:pt idx="51">
                        <c:v>-4.5894344569288394</c:v>
                      </c:pt>
                      <c:pt idx="52">
                        <c:v>-4.6086104868913855</c:v>
                      </c:pt>
                      <c:pt idx="53">
                        <c:v>-4.6277865168539325</c:v>
                      </c:pt>
                      <c:pt idx="54">
                        <c:v>-4.6469625468164795</c:v>
                      </c:pt>
                      <c:pt idx="55">
                        <c:v>-4.6661385767790264</c:v>
                      </c:pt>
                      <c:pt idx="56">
                        <c:v>-4.6853146067415734</c:v>
                      </c:pt>
                      <c:pt idx="57">
                        <c:v>-4.7044906367041204</c:v>
                      </c:pt>
                      <c:pt idx="58">
                        <c:v>-4.7236666666666665</c:v>
                      </c:pt>
                      <c:pt idx="59">
                        <c:v>-4.7428426966292134</c:v>
                      </c:pt>
                      <c:pt idx="60">
                        <c:v>-4.7620187265917604</c:v>
                      </c:pt>
                      <c:pt idx="61">
                        <c:v>-4.7811947565543074</c:v>
                      </c:pt>
                      <c:pt idx="62">
                        <c:v>-4.8003707865168543</c:v>
                      </c:pt>
                      <c:pt idx="63">
                        <c:v>-4.8195468164794013</c:v>
                      </c:pt>
                      <c:pt idx="64">
                        <c:v>-4.8387228464419483</c:v>
                      </c:pt>
                      <c:pt idx="65">
                        <c:v>-4.8578988764044944</c:v>
                      </c:pt>
                      <c:pt idx="66">
                        <c:v>-4.8768456928838955</c:v>
                      </c:pt>
                      <c:pt idx="67">
                        <c:v>-4.8949430711610491</c:v>
                      </c:pt>
                      <c:pt idx="68">
                        <c:v>-4.9130404494382027</c:v>
                      </c:pt>
                      <c:pt idx="69">
                        <c:v>-4.9311378277153564</c:v>
                      </c:pt>
                      <c:pt idx="70">
                        <c:v>-4.94923520599251</c:v>
                      </c:pt>
                      <c:pt idx="71">
                        <c:v>-4.9673325842696627</c:v>
                      </c:pt>
                      <c:pt idx="72">
                        <c:v>-4.9854299625468164</c:v>
                      </c:pt>
                      <c:pt idx="73">
                        <c:v>-5.00352734082397</c:v>
                      </c:pt>
                      <c:pt idx="74">
                        <c:v>-5.0216247191011236</c:v>
                      </c:pt>
                      <c:pt idx="75">
                        <c:v>-5.0397220973782773</c:v>
                      </c:pt>
                      <c:pt idx="76">
                        <c:v>-5.0578194756554309</c:v>
                      </c:pt>
                      <c:pt idx="77">
                        <c:v>-5.0759168539325845</c:v>
                      </c:pt>
                      <c:pt idx="78">
                        <c:v>-5.0940142322097381</c:v>
                      </c:pt>
                      <c:pt idx="79">
                        <c:v>-5.1121116104868918</c:v>
                      </c:pt>
                      <c:pt idx="80">
                        <c:v>-5.1302089887640445</c:v>
                      </c:pt>
                      <c:pt idx="81">
                        <c:v>-5.1483063670411982</c:v>
                      </c:pt>
                      <c:pt idx="82">
                        <c:v>-5.1664037453183518</c:v>
                      </c:pt>
                      <c:pt idx="83">
                        <c:v>-5.1840538922155686</c:v>
                      </c:pt>
                      <c:pt idx="84">
                        <c:v>-5.2012994011976046</c:v>
                      </c:pt>
                      <c:pt idx="85">
                        <c:v>-5.2185449101796406</c:v>
                      </c:pt>
                      <c:pt idx="86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73D-4876-A6EA-FACE45BB2F19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[1]EVALUATION!$B$113:$CP$113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-19.022342342342341</c:v>
                      </c:pt>
                      <c:pt idx="1">
                        <c:v>-19.024744744744744</c:v>
                      </c:pt>
                      <c:pt idx="2">
                        <c:v>-19.027147147147147</c:v>
                      </c:pt>
                      <c:pt idx="3">
                        <c:v>-19.02954954954955</c:v>
                      </c:pt>
                      <c:pt idx="4">
                        <c:v>-19.035838323353293</c:v>
                      </c:pt>
                      <c:pt idx="5">
                        <c:v>-19.043023952095808</c:v>
                      </c:pt>
                      <c:pt idx="6">
                        <c:v>-19.050209580838324</c:v>
                      </c:pt>
                      <c:pt idx="7">
                        <c:v>-19.057395209580836</c:v>
                      </c:pt>
                      <c:pt idx="8">
                        <c:v>-19.06763473053892</c:v>
                      </c:pt>
                      <c:pt idx="9">
                        <c:v>-19.079610778443111</c:v>
                      </c:pt>
                      <c:pt idx="10">
                        <c:v>-19.091586826347303</c:v>
                      </c:pt>
                      <c:pt idx="11">
                        <c:v>-19.103562874251498</c:v>
                      </c:pt>
                      <c:pt idx="12">
                        <c:v>-19.116646706586828</c:v>
                      </c:pt>
                      <c:pt idx="13">
                        <c:v>-19.131017964071855</c:v>
                      </c:pt>
                      <c:pt idx="14">
                        <c:v>-19.145389221556886</c:v>
                      </c:pt>
                      <c:pt idx="15">
                        <c:v>-19.159760479041918</c:v>
                      </c:pt>
                      <c:pt idx="16">
                        <c:v>-19.174131736526949</c:v>
                      </c:pt>
                      <c:pt idx="17">
                        <c:v>-19.188502994011976</c:v>
                      </c:pt>
                      <c:pt idx="18">
                        <c:v>-19.202874251497008</c:v>
                      </c:pt>
                      <c:pt idx="19">
                        <c:v>-19.217245508982035</c:v>
                      </c:pt>
                      <c:pt idx="20">
                        <c:v>-19.231886227544912</c:v>
                      </c:pt>
                      <c:pt idx="21">
                        <c:v>-19.248652694610779</c:v>
                      </c:pt>
                      <c:pt idx="22">
                        <c:v>-19.265419161676647</c:v>
                      </c:pt>
                      <c:pt idx="23">
                        <c:v>-19.282185628742514</c:v>
                      </c:pt>
                      <c:pt idx="24">
                        <c:v>-19.298952095808385</c:v>
                      </c:pt>
                      <c:pt idx="25">
                        <c:v>-19.2481981981982</c:v>
                      </c:pt>
                      <c:pt idx="26">
                        <c:v>-19.192942942942942</c:v>
                      </c:pt>
                      <c:pt idx="27">
                        <c:v>-19.137687687687688</c:v>
                      </c:pt>
                      <c:pt idx="28">
                        <c:v>-19.082432432432434</c:v>
                      </c:pt>
                      <c:pt idx="29">
                        <c:v>-19.062574850299402</c:v>
                      </c:pt>
                      <c:pt idx="30">
                        <c:v>-19.052994011976047</c:v>
                      </c:pt>
                      <c:pt idx="31">
                        <c:v>-19.043413173652695</c:v>
                      </c:pt>
                      <c:pt idx="32">
                        <c:v>-19.033832335329343</c:v>
                      </c:pt>
                      <c:pt idx="33">
                        <c:v>-19.040059880239522</c:v>
                      </c:pt>
                      <c:pt idx="34">
                        <c:v>-19.056826347305389</c:v>
                      </c:pt>
                      <c:pt idx="35">
                        <c:v>-19.07359281437126</c:v>
                      </c:pt>
                      <c:pt idx="36">
                        <c:v>-19.090359281437127</c:v>
                      </c:pt>
                      <c:pt idx="37">
                        <c:v>-19.107125748502995</c:v>
                      </c:pt>
                      <c:pt idx="38">
                        <c:v>-19.123892215568862</c:v>
                      </c:pt>
                      <c:pt idx="39">
                        <c:v>-19.140658682634729</c:v>
                      </c:pt>
                      <c:pt idx="40">
                        <c:v>-19.1574251497006</c:v>
                      </c:pt>
                      <c:pt idx="41">
                        <c:v>-19.174191616766468</c:v>
                      </c:pt>
                      <c:pt idx="42">
                        <c:v>-19.190958083832335</c:v>
                      </c:pt>
                      <c:pt idx="43">
                        <c:v>-19.207724550898202</c:v>
                      </c:pt>
                      <c:pt idx="44">
                        <c:v>-19.22449101796407</c:v>
                      </c:pt>
                      <c:pt idx="45">
                        <c:v>-19.241257485029941</c:v>
                      </c:pt>
                      <c:pt idx="46">
                        <c:v>-19.258023952095808</c:v>
                      </c:pt>
                      <c:pt idx="47">
                        <c:v>-19.274790419161675</c:v>
                      </c:pt>
                      <c:pt idx="48">
                        <c:v>-19.291556886227543</c:v>
                      </c:pt>
                      <c:pt idx="49">
                        <c:v>-19.30832335329341</c:v>
                      </c:pt>
                      <c:pt idx="50">
                        <c:v>-19.324022471910112</c:v>
                      </c:pt>
                      <c:pt idx="51">
                        <c:v>-19.33960299625468</c:v>
                      </c:pt>
                      <c:pt idx="52">
                        <c:v>-19.355183520599251</c:v>
                      </c:pt>
                      <c:pt idx="53">
                        <c:v>-19.370764044943819</c:v>
                      </c:pt>
                      <c:pt idx="54">
                        <c:v>-19.38634456928839</c:v>
                      </c:pt>
                      <c:pt idx="55">
                        <c:v>-19.401925093632958</c:v>
                      </c:pt>
                      <c:pt idx="56">
                        <c:v>-19.417505617977529</c:v>
                      </c:pt>
                      <c:pt idx="57">
                        <c:v>-19.433086142322097</c:v>
                      </c:pt>
                      <c:pt idx="58">
                        <c:v>-19.448666666666668</c:v>
                      </c:pt>
                      <c:pt idx="59">
                        <c:v>-19.464247191011236</c:v>
                      </c:pt>
                      <c:pt idx="60">
                        <c:v>-19.479827715355807</c:v>
                      </c:pt>
                      <c:pt idx="61">
                        <c:v>-19.495408239700375</c:v>
                      </c:pt>
                      <c:pt idx="62">
                        <c:v>-19.510988764044942</c:v>
                      </c:pt>
                      <c:pt idx="63">
                        <c:v>-19.526569288389513</c:v>
                      </c:pt>
                      <c:pt idx="64">
                        <c:v>-19.542149812734081</c:v>
                      </c:pt>
                      <c:pt idx="65">
                        <c:v>-19.557730337078652</c:v>
                      </c:pt>
                      <c:pt idx="66">
                        <c:v>-19.573183520599251</c:v>
                      </c:pt>
                      <c:pt idx="67">
                        <c:v>-19.58816479400749</c:v>
                      </c:pt>
                      <c:pt idx="68">
                        <c:v>-19.603146067415732</c:v>
                      </c:pt>
                      <c:pt idx="69">
                        <c:v>-19.618127340823971</c:v>
                      </c:pt>
                      <c:pt idx="70">
                        <c:v>-19.63310861423221</c:v>
                      </c:pt>
                      <c:pt idx="71">
                        <c:v>-19.648089887640449</c:v>
                      </c:pt>
                      <c:pt idx="72">
                        <c:v>-19.663071161048691</c:v>
                      </c:pt>
                      <c:pt idx="73">
                        <c:v>-19.67805243445693</c:v>
                      </c:pt>
                      <c:pt idx="74">
                        <c:v>-19.693033707865169</c:v>
                      </c:pt>
                      <c:pt idx="75">
                        <c:v>-19.708014981273408</c:v>
                      </c:pt>
                      <c:pt idx="76">
                        <c:v>-19.722996254681647</c:v>
                      </c:pt>
                      <c:pt idx="77">
                        <c:v>-19.737977528089889</c:v>
                      </c:pt>
                      <c:pt idx="78">
                        <c:v>-19.752958801498128</c:v>
                      </c:pt>
                      <c:pt idx="79">
                        <c:v>-19.767940074906367</c:v>
                      </c:pt>
                      <c:pt idx="80">
                        <c:v>-19.782921348314606</c:v>
                      </c:pt>
                      <c:pt idx="81">
                        <c:v>-19.797902621722848</c:v>
                      </c:pt>
                      <c:pt idx="82">
                        <c:v>-19.812883895131087</c:v>
                      </c:pt>
                      <c:pt idx="83">
                        <c:v>-19.82754491017964</c:v>
                      </c:pt>
                      <c:pt idx="84">
                        <c:v>-19.841916167664671</c:v>
                      </c:pt>
                      <c:pt idx="85">
                        <c:v>-19.856287425149699</c:v>
                      </c:pt>
                      <c:pt idx="86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73D-4876-A6EA-FACE45BB2F19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[1]EVALUATION!$B$114:$CP$114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-59.678288288288286</c:v>
                      </c:pt>
                      <c:pt idx="1">
                        <c:v>-58.332942942942942</c:v>
                      </c:pt>
                      <c:pt idx="2">
                        <c:v>-56.987597597597599</c:v>
                      </c:pt>
                      <c:pt idx="3">
                        <c:v>-55.642252252252256</c:v>
                      </c:pt>
                      <c:pt idx="4">
                        <c:v>-54.130868263473054</c:v>
                      </c:pt>
                      <c:pt idx="5">
                        <c:v>-52.581167664670659</c:v>
                      </c:pt>
                      <c:pt idx="6">
                        <c:v>-51.031467065868263</c:v>
                      </c:pt>
                      <c:pt idx="7">
                        <c:v>-49.481766467065867</c:v>
                      </c:pt>
                      <c:pt idx="8">
                        <c:v>-47.964131736526944</c:v>
                      </c:pt>
                      <c:pt idx="9">
                        <c:v>-46.464730538922154</c:v>
                      </c:pt>
                      <c:pt idx="10">
                        <c:v>-44.965329341317364</c:v>
                      </c:pt>
                      <c:pt idx="11">
                        <c:v>-43.465928143712574</c:v>
                      </c:pt>
                      <c:pt idx="12">
                        <c:v>-42.064011976047901</c:v>
                      </c:pt>
                      <c:pt idx="13">
                        <c:v>-40.775389221556885</c:v>
                      </c:pt>
                      <c:pt idx="14">
                        <c:v>-39.48676646706587</c:v>
                      </c:pt>
                      <c:pt idx="15">
                        <c:v>-38.198143712574847</c:v>
                      </c:pt>
                      <c:pt idx="16">
                        <c:v>-36.957724550898206</c:v>
                      </c:pt>
                      <c:pt idx="17">
                        <c:v>-35.836766467065871</c:v>
                      </c:pt>
                      <c:pt idx="18">
                        <c:v>-34.715808383233536</c:v>
                      </c:pt>
                      <c:pt idx="19">
                        <c:v>-33.594850299401202</c:v>
                      </c:pt>
                      <c:pt idx="20">
                        <c:v>-32.488982035928146</c:v>
                      </c:pt>
                      <c:pt idx="21">
                        <c:v>-31.502155688622757</c:v>
                      </c:pt>
                      <c:pt idx="22">
                        <c:v>-30.515329341317369</c:v>
                      </c:pt>
                      <c:pt idx="23">
                        <c:v>-29.528502994011976</c:v>
                      </c:pt>
                      <c:pt idx="24">
                        <c:v>-28.541676646706588</c:v>
                      </c:pt>
                      <c:pt idx="25">
                        <c:v>-27.788558558558559</c:v>
                      </c:pt>
                      <c:pt idx="26">
                        <c:v>-27.051021021021018</c:v>
                      </c:pt>
                      <c:pt idx="27">
                        <c:v>-26.313483483483481</c:v>
                      </c:pt>
                      <c:pt idx="28">
                        <c:v>-25.575945945945943</c:v>
                      </c:pt>
                      <c:pt idx="29">
                        <c:v>-25.655029940119761</c:v>
                      </c:pt>
                      <c:pt idx="30">
                        <c:v>-25.971197604790419</c:v>
                      </c:pt>
                      <c:pt idx="31">
                        <c:v>-26.287365269461077</c:v>
                      </c:pt>
                      <c:pt idx="32">
                        <c:v>-26.603532934131735</c:v>
                      </c:pt>
                      <c:pt idx="33">
                        <c:v>-26.911437125748503</c:v>
                      </c:pt>
                      <c:pt idx="34">
                        <c:v>-27.213832335329339</c:v>
                      </c:pt>
                      <c:pt idx="35">
                        <c:v>-27.51622754491018</c:v>
                      </c:pt>
                      <c:pt idx="36">
                        <c:v>-27.818622754491017</c:v>
                      </c:pt>
                      <c:pt idx="37">
                        <c:v>-28.121017964071857</c:v>
                      </c:pt>
                      <c:pt idx="38">
                        <c:v>-28.423413173652694</c:v>
                      </c:pt>
                      <c:pt idx="39">
                        <c:v>-28.725808383233534</c:v>
                      </c:pt>
                      <c:pt idx="40">
                        <c:v>-29.028203592814371</c:v>
                      </c:pt>
                      <c:pt idx="41">
                        <c:v>-29.330598802395212</c:v>
                      </c:pt>
                      <c:pt idx="42">
                        <c:v>-29.632994011976049</c:v>
                      </c:pt>
                      <c:pt idx="43">
                        <c:v>-29.935389221556889</c:v>
                      </c:pt>
                      <c:pt idx="44">
                        <c:v>-30.237784431137726</c:v>
                      </c:pt>
                      <c:pt idx="45">
                        <c:v>-30.540179640718566</c:v>
                      </c:pt>
                      <c:pt idx="46">
                        <c:v>-30.842574850299403</c:v>
                      </c:pt>
                      <c:pt idx="47">
                        <c:v>-31.144970059880244</c:v>
                      </c:pt>
                      <c:pt idx="48">
                        <c:v>-31.447365269461081</c:v>
                      </c:pt>
                      <c:pt idx="49">
                        <c:v>-31.749760479041917</c:v>
                      </c:pt>
                      <c:pt idx="50">
                        <c:v>-32.022696629213485</c:v>
                      </c:pt>
                      <c:pt idx="51">
                        <c:v>-32.292359550561798</c:v>
                      </c:pt>
                      <c:pt idx="52">
                        <c:v>-32.562022471910112</c:v>
                      </c:pt>
                      <c:pt idx="53">
                        <c:v>-32.831685393258432</c:v>
                      </c:pt>
                      <c:pt idx="54">
                        <c:v>-33.101348314606746</c:v>
                      </c:pt>
                      <c:pt idx="55">
                        <c:v>-33.371011235955059</c:v>
                      </c:pt>
                      <c:pt idx="56">
                        <c:v>-33.640674157303373</c:v>
                      </c:pt>
                      <c:pt idx="57">
                        <c:v>-33.910337078651686</c:v>
                      </c:pt>
                      <c:pt idx="58">
                        <c:v>-34.18</c:v>
                      </c:pt>
                      <c:pt idx="59">
                        <c:v>-34.44966292134832</c:v>
                      </c:pt>
                      <c:pt idx="60">
                        <c:v>-34.719325842696634</c:v>
                      </c:pt>
                      <c:pt idx="61">
                        <c:v>-34.988988764044947</c:v>
                      </c:pt>
                      <c:pt idx="62">
                        <c:v>-35.258651685393261</c:v>
                      </c:pt>
                      <c:pt idx="63">
                        <c:v>-35.528314606741574</c:v>
                      </c:pt>
                      <c:pt idx="64">
                        <c:v>-35.797977528089888</c:v>
                      </c:pt>
                      <c:pt idx="65">
                        <c:v>-36.067640449438201</c:v>
                      </c:pt>
                      <c:pt idx="66">
                        <c:v>-36.328007490636708</c:v>
                      </c:pt>
                      <c:pt idx="67">
                        <c:v>-36.553925093632962</c:v>
                      </c:pt>
                      <c:pt idx="68">
                        <c:v>-36.779842696629217</c:v>
                      </c:pt>
                      <c:pt idx="69">
                        <c:v>-37.005760299625472</c:v>
                      </c:pt>
                      <c:pt idx="70">
                        <c:v>-37.231677902621726</c:v>
                      </c:pt>
                      <c:pt idx="71">
                        <c:v>-37.457595505617981</c:v>
                      </c:pt>
                      <c:pt idx="72">
                        <c:v>-37.683513108614235</c:v>
                      </c:pt>
                      <c:pt idx="73">
                        <c:v>-37.90943071161049</c:v>
                      </c:pt>
                      <c:pt idx="74">
                        <c:v>-38.135348314606745</c:v>
                      </c:pt>
                      <c:pt idx="75">
                        <c:v>-38.361265917602999</c:v>
                      </c:pt>
                      <c:pt idx="76">
                        <c:v>-38.587183520599254</c:v>
                      </c:pt>
                      <c:pt idx="77">
                        <c:v>-38.813101123595509</c:v>
                      </c:pt>
                      <c:pt idx="78">
                        <c:v>-39.039018726591763</c:v>
                      </c:pt>
                      <c:pt idx="79">
                        <c:v>-39.264936329588011</c:v>
                      </c:pt>
                      <c:pt idx="80">
                        <c:v>-39.490853932584265</c:v>
                      </c:pt>
                      <c:pt idx="81">
                        <c:v>-39.71677153558052</c:v>
                      </c:pt>
                      <c:pt idx="82">
                        <c:v>-39.942689138576775</c:v>
                      </c:pt>
                      <c:pt idx="83">
                        <c:v>-40.151856287425147</c:v>
                      </c:pt>
                      <c:pt idx="84">
                        <c:v>-40.345868263473051</c:v>
                      </c:pt>
                      <c:pt idx="85">
                        <c:v>-40.539880239520954</c:v>
                      </c:pt>
                      <c:pt idx="86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73D-4876-A6EA-FACE45BB2F19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[1]EVALUATION!$B$115:$CP$115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-15.118108108108107</c:v>
                      </c:pt>
                      <c:pt idx="1">
                        <c:v>-14.88027027027027</c:v>
                      </c:pt>
                      <c:pt idx="2">
                        <c:v>-14.642432432432432</c:v>
                      </c:pt>
                      <c:pt idx="3">
                        <c:v>-14.404594594594593</c:v>
                      </c:pt>
                      <c:pt idx="4">
                        <c:v>-13.959101796407184</c:v>
                      </c:pt>
                      <c:pt idx="5">
                        <c:v>-13.46568862275449</c:v>
                      </c:pt>
                      <c:pt idx="6">
                        <c:v>-12.972275449101796</c:v>
                      </c:pt>
                      <c:pt idx="7">
                        <c:v>-12.478862275449101</c:v>
                      </c:pt>
                      <c:pt idx="8">
                        <c:v>-11.950329341317365</c:v>
                      </c:pt>
                      <c:pt idx="9">
                        <c:v>-11.40182634730539</c:v>
                      </c:pt>
                      <c:pt idx="10">
                        <c:v>-10.853323353293414</c:v>
                      </c:pt>
                      <c:pt idx="11">
                        <c:v>-10.304820359281438</c:v>
                      </c:pt>
                      <c:pt idx="12">
                        <c:v>-9.7896616766467073</c:v>
                      </c:pt>
                      <c:pt idx="13">
                        <c:v>-9.3132544910179647</c:v>
                      </c:pt>
                      <c:pt idx="14">
                        <c:v>-8.836847305389222</c:v>
                      </c:pt>
                      <c:pt idx="15">
                        <c:v>-8.3604401197604794</c:v>
                      </c:pt>
                      <c:pt idx="16">
                        <c:v>-7.9011107784431145</c:v>
                      </c:pt>
                      <c:pt idx="17">
                        <c:v>-7.4841047904191624</c:v>
                      </c:pt>
                      <c:pt idx="18">
                        <c:v>-7.0670988023952104</c:v>
                      </c:pt>
                      <c:pt idx="19">
                        <c:v>-6.6500928143712592</c:v>
                      </c:pt>
                      <c:pt idx="20">
                        <c:v>-6.2383952095808395</c:v>
                      </c:pt>
                      <c:pt idx="21">
                        <c:v>-5.8685748502994022</c:v>
                      </c:pt>
                      <c:pt idx="22">
                        <c:v>-5.4987544910179649</c:v>
                      </c:pt>
                      <c:pt idx="23">
                        <c:v>-5.1289341317365267</c:v>
                      </c:pt>
                      <c:pt idx="24">
                        <c:v>-4.7591137724550894</c:v>
                      </c:pt>
                      <c:pt idx="25">
                        <c:v>-4.6019909909909904</c:v>
                      </c:pt>
                      <c:pt idx="26">
                        <c:v>-4.4590480480480474</c:v>
                      </c:pt>
                      <c:pt idx="27">
                        <c:v>-4.3161051051051045</c:v>
                      </c:pt>
                      <c:pt idx="28">
                        <c:v>-4.1731621621621615</c:v>
                      </c:pt>
                      <c:pt idx="29">
                        <c:v>-4.1562215568862273</c:v>
                      </c:pt>
                      <c:pt idx="30">
                        <c:v>-4.1758622754491022</c:v>
                      </c:pt>
                      <c:pt idx="31">
                        <c:v>-4.1955029940119761</c:v>
                      </c:pt>
                      <c:pt idx="32">
                        <c:v>-4.2151437125748501</c:v>
                      </c:pt>
                      <c:pt idx="33">
                        <c:v>-4.2348562874251492</c:v>
                      </c:pt>
                      <c:pt idx="34">
                        <c:v>-4.2546167664670653</c:v>
                      </c:pt>
                      <c:pt idx="35">
                        <c:v>-4.2743772455089815</c:v>
                      </c:pt>
                      <c:pt idx="36">
                        <c:v>-4.2941377245508976</c:v>
                      </c:pt>
                      <c:pt idx="37">
                        <c:v>-4.3138982035928146</c:v>
                      </c:pt>
                      <c:pt idx="38">
                        <c:v>-4.3336586826347308</c:v>
                      </c:pt>
                      <c:pt idx="39">
                        <c:v>-4.3534191616766469</c:v>
                      </c:pt>
                      <c:pt idx="40">
                        <c:v>-4.373179640718563</c:v>
                      </c:pt>
                      <c:pt idx="41">
                        <c:v>-4.3929401197604792</c:v>
                      </c:pt>
                      <c:pt idx="42">
                        <c:v>-4.4127005988023953</c:v>
                      </c:pt>
                      <c:pt idx="43">
                        <c:v>-4.4324610778443114</c:v>
                      </c:pt>
                      <c:pt idx="44">
                        <c:v>-4.4522215568862276</c:v>
                      </c:pt>
                      <c:pt idx="45">
                        <c:v>-4.4719820359281437</c:v>
                      </c:pt>
                      <c:pt idx="46">
                        <c:v>-4.4917425149700598</c:v>
                      </c:pt>
                      <c:pt idx="47">
                        <c:v>-4.511502994011976</c:v>
                      </c:pt>
                      <c:pt idx="48">
                        <c:v>-4.5312634730538921</c:v>
                      </c:pt>
                      <c:pt idx="49">
                        <c:v>-4.5510239520958082</c:v>
                      </c:pt>
                      <c:pt idx="50">
                        <c:v>-4.5702584269662925</c:v>
                      </c:pt>
                      <c:pt idx="51">
                        <c:v>-4.5894344569288394</c:v>
                      </c:pt>
                      <c:pt idx="52">
                        <c:v>-4.6086104868913855</c:v>
                      </c:pt>
                      <c:pt idx="53">
                        <c:v>-4.6277865168539325</c:v>
                      </c:pt>
                      <c:pt idx="54">
                        <c:v>-4.6469625468164795</c:v>
                      </c:pt>
                      <c:pt idx="55">
                        <c:v>-4.6661385767790264</c:v>
                      </c:pt>
                      <c:pt idx="56">
                        <c:v>-4.6853146067415734</c:v>
                      </c:pt>
                      <c:pt idx="57">
                        <c:v>-4.7044906367041204</c:v>
                      </c:pt>
                      <c:pt idx="58">
                        <c:v>-4.7236666666666665</c:v>
                      </c:pt>
                      <c:pt idx="59">
                        <c:v>-4.7428426966292134</c:v>
                      </c:pt>
                      <c:pt idx="60">
                        <c:v>-4.7620187265917604</c:v>
                      </c:pt>
                      <c:pt idx="61">
                        <c:v>-4.7811947565543074</c:v>
                      </c:pt>
                      <c:pt idx="62">
                        <c:v>-4.8003707865168543</c:v>
                      </c:pt>
                      <c:pt idx="63">
                        <c:v>-4.8195468164794013</c:v>
                      </c:pt>
                      <c:pt idx="64">
                        <c:v>-4.8387228464419483</c:v>
                      </c:pt>
                      <c:pt idx="65">
                        <c:v>-4.8578988764044944</c:v>
                      </c:pt>
                      <c:pt idx="66">
                        <c:v>-4.8768456928838955</c:v>
                      </c:pt>
                      <c:pt idx="67">
                        <c:v>-4.8949430711610491</c:v>
                      </c:pt>
                      <c:pt idx="68">
                        <c:v>-4.9130404494382027</c:v>
                      </c:pt>
                      <c:pt idx="69">
                        <c:v>-4.9311378277153564</c:v>
                      </c:pt>
                      <c:pt idx="70">
                        <c:v>-4.94923520599251</c:v>
                      </c:pt>
                      <c:pt idx="71">
                        <c:v>-4.9673325842696627</c:v>
                      </c:pt>
                      <c:pt idx="72">
                        <c:v>-4.9854299625468164</c:v>
                      </c:pt>
                      <c:pt idx="73">
                        <c:v>-5.00352734082397</c:v>
                      </c:pt>
                      <c:pt idx="74">
                        <c:v>-5.0216247191011236</c:v>
                      </c:pt>
                      <c:pt idx="75">
                        <c:v>-5.0397220973782773</c:v>
                      </c:pt>
                      <c:pt idx="76">
                        <c:v>-5.0578194756554309</c:v>
                      </c:pt>
                      <c:pt idx="77">
                        <c:v>-5.0759168539325845</c:v>
                      </c:pt>
                      <c:pt idx="78">
                        <c:v>-5.0940142322097381</c:v>
                      </c:pt>
                      <c:pt idx="79">
                        <c:v>-5.1121116104868918</c:v>
                      </c:pt>
                      <c:pt idx="80">
                        <c:v>-5.1302089887640445</c:v>
                      </c:pt>
                      <c:pt idx="81">
                        <c:v>-5.1483063670411982</c:v>
                      </c:pt>
                      <c:pt idx="82">
                        <c:v>-5.1664037453183518</c:v>
                      </c:pt>
                      <c:pt idx="83">
                        <c:v>-5.1840538922155686</c:v>
                      </c:pt>
                      <c:pt idx="84">
                        <c:v>-5.2012994011976046</c:v>
                      </c:pt>
                      <c:pt idx="85">
                        <c:v>-5.2185449101796406</c:v>
                      </c:pt>
                      <c:pt idx="86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73D-4876-A6EA-FACE45BB2F19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[1]EVALUATION!$B$116:$CP$116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-21.473063063063062</c:v>
                      </c:pt>
                      <c:pt idx="1">
                        <c:v>-21.045435435435436</c:v>
                      </c:pt>
                      <c:pt idx="2">
                        <c:v>-20.617807807807807</c:v>
                      </c:pt>
                      <c:pt idx="3">
                        <c:v>-20.190180180180178</c:v>
                      </c:pt>
                      <c:pt idx="4">
                        <c:v>-20.082754491017962</c:v>
                      </c:pt>
                      <c:pt idx="5">
                        <c:v>-20.049221556886227</c:v>
                      </c:pt>
                      <c:pt idx="6">
                        <c:v>-20.015688622754489</c:v>
                      </c:pt>
                      <c:pt idx="7">
                        <c:v>-19.982155688622754</c:v>
                      </c:pt>
                      <c:pt idx="8">
                        <c:v>-20.046347305389222</c:v>
                      </c:pt>
                      <c:pt idx="9">
                        <c:v>-20.166107784431137</c:v>
                      </c:pt>
                      <c:pt idx="10">
                        <c:v>-20.285868263473052</c:v>
                      </c:pt>
                      <c:pt idx="11">
                        <c:v>-20.40562874251497</c:v>
                      </c:pt>
                      <c:pt idx="12">
                        <c:v>-20.526497005988023</c:v>
                      </c:pt>
                      <c:pt idx="13">
                        <c:v>-20.648652694610778</c:v>
                      </c:pt>
                      <c:pt idx="14">
                        <c:v>-20.770808383233533</c:v>
                      </c:pt>
                      <c:pt idx="15">
                        <c:v>-20.892964071856287</c:v>
                      </c:pt>
                      <c:pt idx="16">
                        <c:v>-21.015119760479042</c:v>
                      </c:pt>
                      <c:pt idx="17">
                        <c:v>-21.137275449101796</c:v>
                      </c:pt>
                      <c:pt idx="18">
                        <c:v>-21.259431137724551</c:v>
                      </c:pt>
                      <c:pt idx="19">
                        <c:v>-21.381586826347306</c:v>
                      </c:pt>
                      <c:pt idx="20">
                        <c:v>-21.504011976047902</c:v>
                      </c:pt>
                      <c:pt idx="21">
                        <c:v>-21.628562874251497</c:v>
                      </c:pt>
                      <c:pt idx="22">
                        <c:v>-21.753113772455091</c:v>
                      </c:pt>
                      <c:pt idx="23">
                        <c:v>-21.877664670658682</c:v>
                      </c:pt>
                      <c:pt idx="24">
                        <c:v>-22.002215568862276</c:v>
                      </c:pt>
                      <c:pt idx="25">
                        <c:v>-22.122612612612613</c:v>
                      </c:pt>
                      <c:pt idx="26">
                        <c:v>-22.242732732732733</c:v>
                      </c:pt>
                      <c:pt idx="27">
                        <c:v>-22.362852852852853</c:v>
                      </c:pt>
                      <c:pt idx="28">
                        <c:v>-22.482972972972973</c:v>
                      </c:pt>
                      <c:pt idx="29">
                        <c:v>-22.604670658682636</c:v>
                      </c:pt>
                      <c:pt idx="30">
                        <c:v>-22.726826347305391</c:v>
                      </c:pt>
                      <c:pt idx="31">
                        <c:v>-22.848982035928145</c:v>
                      </c:pt>
                      <c:pt idx="32">
                        <c:v>-22.971137724550896</c:v>
                      </c:pt>
                      <c:pt idx="33">
                        <c:v>-23.089700598802395</c:v>
                      </c:pt>
                      <c:pt idx="34">
                        <c:v>-23.205868263473054</c:v>
                      </c:pt>
                      <c:pt idx="35">
                        <c:v>-23.322035928143713</c:v>
                      </c:pt>
                      <c:pt idx="36">
                        <c:v>-23.438203592814371</c:v>
                      </c:pt>
                      <c:pt idx="37">
                        <c:v>-23.55437125748503</c:v>
                      </c:pt>
                      <c:pt idx="38">
                        <c:v>-23.670538922155689</c:v>
                      </c:pt>
                      <c:pt idx="39">
                        <c:v>-23.786706586826348</c:v>
                      </c:pt>
                      <c:pt idx="40">
                        <c:v>-23.902874251497007</c:v>
                      </c:pt>
                      <c:pt idx="41">
                        <c:v>-24.019041916167666</c:v>
                      </c:pt>
                      <c:pt idx="42">
                        <c:v>-24.135209580838325</c:v>
                      </c:pt>
                      <c:pt idx="43">
                        <c:v>-24.251377245508984</c:v>
                      </c:pt>
                      <c:pt idx="44">
                        <c:v>-24.367544910179642</c:v>
                      </c:pt>
                      <c:pt idx="45">
                        <c:v>-24.483712574850301</c:v>
                      </c:pt>
                      <c:pt idx="46">
                        <c:v>-24.59988023952096</c:v>
                      </c:pt>
                      <c:pt idx="47">
                        <c:v>-24.716047904191619</c:v>
                      </c:pt>
                      <c:pt idx="48">
                        <c:v>-24.832215568862278</c:v>
                      </c:pt>
                      <c:pt idx="49">
                        <c:v>-24.948383233532937</c:v>
                      </c:pt>
                      <c:pt idx="50">
                        <c:v>-25.057617977528093</c:v>
                      </c:pt>
                      <c:pt idx="51">
                        <c:v>-25.166082397003748</c:v>
                      </c:pt>
                      <c:pt idx="52">
                        <c:v>-25.2745468164794</c:v>
                      </c:pt>
                      <c:pt idx="53">
                        <c:v>-25.383011235955056</c:v>
                      </c:pt>
                      <c:pt idx="54">
                        <c:v>-25.491475655430712</c:v>
                      </c:pt>
                      <c:pt idx="55">
                        <c:v>-25.599940074906367</c:v>
                      </c:pt>
                      <c:pt idx="56">
                        <c:v>-25.708404494382023</c:v>
                      </c:pt>
                      <c:pt idx="57">
                        <c:v>-25.816868913857679</c:v>
                      </c:pt>
                      <c:pt idx="58">
                        <c:v>-25.925333333333334</c:v>
                      </c:pt>
                      <c:pt idx="59">
                        <c:v>-26.03379775280899</c:v>
                      </c:pt>
                      <c:pt idx="60">
                        <c:v>-26.142262172284646</c:v>
                      </c:pt>
                      <c:pt idx="61">
                        <c:v>-26.250726591760301</c:v>
                      </c:pt>
                      <c:pt idx="62">
                        <c:v>-26.359191011235957</c:v>
                      </c:pt>
                      <c:pt idx="63">
                        <c:v>-26.467655430711609</c:v>
                      </c:pt>
                      <c:pt idx="64">
                        <c:v>-26.576119850187265</c:v>
                      </c:pt>
                      <c:pt idx="65">
                        <c:v>-26.684584269662921</c:v>
                      </c:pt>
                      <c:pt idx="66">
                        <c:v>-26.791902621722848</c:v>
                      </c:pt>
                      <c:pt idx="67">
                        <c:v>-26.894973782771537</c:v>
                      </c:pt>
                      <c:pt idx="68">
                        <c:v>-26.998044943820226</c:v>
                      </c:pt>
                      <c:pt idx="69">
                        <c:v>-27.101116104868915</c:v>
                      </c:pt>
                      <c:pt idx="70">
                        <c:v>-27.204187265917604</c:v>
                      </c:pt>
                      <c:pt idx="71">
                        <c:v>-27.307258426966293</c:v>
                      </c:pt>
                      <c:pt idx="72">
                        <c:v>-27.410329588014982</c:v>
                      </c:pt>
                      <c:pt idx="73">
                        <c:v>-27.513400749063671</c:v>
                      </c:pt>
                      <c:pt idx="74">
                        <c:v>-27.616471910112359</c:v>
                      </c:pt>
                      <c:pt idx="75">
                        <c:v>-27.719543071161048</c:v>
                      </c:pt>
                      <c:pt idx="76">
                        <c:v>-27.822614232209737</c:v>
                      </c:pt>
                      <c:pt idx="77">
                        <c:v>-27.925685393258426</c:v>
                      </c:pt>
                      <c:pt idx="78">
                        <c:v>-28.028756554307115</c:v>
                      </c:pt>
                      <c:pt idx="79">
                        <c:v>-28.131827715355804</c:v>
                      </c:pt>
                      <c:pt idx="80">
                        <c:v>-28.234898876404493</c:v>
                      </c:pt>
                      <c:pt idx="81">
                        <c:v>-28.337970037453182</c:v>
                      </c:pt>
                      <c:pt idx="82">
                        <c:v>-28.441041198501871</c:v>
                      </c:pt>
                      <c:pt idx="83">
                        <c:v>-28.541556886227543</c:v>
                      </c:pt>
                      <c:pt idx="84">
                        <c:v>-28.639760479041914</c:v>
                      </c:pt>
                      <c:pt idx="85">
                        <c:v>-28.737964071856286</c:v>
                      </c:pt>
                      <c:pt idx="86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73D-4876-A6EA-FACE45BB2F19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[1]EVALUATION!$B$117:$CP$117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73D-4876-A6EA-FACE45BB2F19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[1]EVALUATION!$B$118:$CP$118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73D-4876-A6EA-FACE45BB2F19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[1]EVALUATION!$B$119:$CP$119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73D-4876-A6EA-FACE45BB2F19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[1]EVALUATION!$B$120:$CP$120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73D-4876-A6EA-FACE45BB2F19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[1]EVALUATION!$B$121:$CP$121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73D-4876-A6EA-FACE45BB2F19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[1]EVALUATION!$B$122:$CP$122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73D-4876-A6EA-FACE45BB2F19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[1]EVALUATION!$B$123:$CP$123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73D-4876-A6EA-FACE45BB2F19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[1]EVALUATION!$B$124:$CP$124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73D-4876-A6EA-FACE45BB2F19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[1]EVALUATION!$B$125:$CP$125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73D-4876-A6EA-FACE45BB2F19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[1]EVALUATION!$B$126:$CP$126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73D-4876-A6EA-FACE45BB2F19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[1]EVALUATION!$B$127:$CP$127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73D-4876-A6EA-FACE45BB2F19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[1]EVALUATION!$B$128:$CP$128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73D-4876-A6EA-FACE45BB2F19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[1]EVALUATION!$B$129:$CP$129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73D-4876-A6EA-FACE45BB2F19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[1]EVALUATION!$B$130:$CP$130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873D-4876-A6EA-FACE45BB2F19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[1]EVALUATION!$B$131:$CP$131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873D-4876-A6EA-FACE45BB2F19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[1]EVALUATION!$B$132:$CP$132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-37.456036036036032</c:v>
                      </c:pt>
                      <c:pt idx="1">
                        <c:v>-36.754534534534535</c:v>
                      </c:pt>
                      <c:pt idx="2">
                        <c:v>-36.053033033033032</c:v>
                      </c:pt>
                      <c:pt idx="3">
                        <c:v>-35.351531531531528</c:v>
                      </c:pt>
                      <c:pt idx="4">
                        <c:v>-34.77434131736527</c:v>
                      </c:pt>
                      <c:pt idx="5">
                        <c:v>-34.225838323353294</c:v>
                      </c:pt>
                      <c:pt idx="6">
                        <c:v>-33.677335329341318</c:v>
                      </c:pt>
                      <c:pt idx="7">
                        <c:v>-33.128832335329342</c:v>
                      </c:pt>
                      <c:pt idx="8">
                        <c:v>-32.657592814371256</c:v>
                      </c:pt>
                      <c:pt idx="9">
                        <c:v>-32.230287425149697</c:v>
                      </c:pt>
                      <c:pt idx="10">
                        <c:v>-31.802982035928146</c:v>
                      </c:pt>
                      <c:pt idx="11">
                        <c:v>-31.375676646706587</c:v>
                      </c:pt>
                      <c:pt idx="12">
                        <c:v>-30.997113772455091</c:v>
                      </c:pt>
                      <c:pt idx="13">
                        <c:v>-30.675197604790419</c:v>
                      </c:pt>
                      <c:pt idx="14">
                        <c:v>-30.353281437125748</c:v>
                      </c:pt>
                      <c:pt idx="15">
                        <c:v>-30.031365269461077</c:v>
                      </c:pt>
                      <c:pt idx="16">
                        <c:v>-29.749044910179641</c:v>
                      </c:pt>
                      <c:pt idx="17">
                        <c:v>-29.564853293413172</c:v>
                      </c:pt>
                      <c:pt idx="18">
                        <c:v>-29.380661676646707</c:v>
                      </c:pt>
                      <c:pt idx="19">
                        <c:v>-29.196470059880241</c:v>
                      </c:pt>
                      <c:pt idx="20">
                        <c:v>-29.031194610778446</c:v>
                      </c:pt>
                      <c:pt idx="21">
                        <c:v>-29.015146706586826</c:v>
                      </c:pt>
                      <c:pt idx="22">
                        <c:v>-28.99909880239521</c:v>
                      </c:pt>
                      <c:pt idx="23">
                        <c:v>-28.983050898203594</c:v>
                      </c:pt>
                      <c:pt idx="24">
                        <c:v>-28.967002994011978</c:v>
                      </c:pt>
                      <c:pt idx="25">
                        <c:v>-29.170279279279281</c:v>
                      </c:pt>
                      <c:pt idx="26">
                        <c:v>-29.388177177177177</c:v>
                      </c:pt>
                      <c:pt idx="27">
                        <c:v>-29.606075075075076</c:v>
                      </c:pt>
                      <c:pt idx="28">
                        <c:v>-29.823972972972971</c:v>
                      </c:pt>
                      <c:pt idx="29">
                        <c:v>-29.965814371257483</c:v>
                      </c:pt>
                      <c:pt idx="30">
                        <c:v>-30.085574850299402</c:v>
                      </c:pt>
                      <c:pt idx="31">
                        <c:v>-30.205335329341317</c:v>
                      </c:pt>
                      <c:pt idx="32">
                        <c:v>-30.325095808383235</c:v>
                      </c:pt>
                      <c:pt idx="33">
                        <c:v>-30.453622754491018</c:v>
                      </c:pt>
                      <c:pt idx="34">
                        <c:v>-30.587994011976047</c:v>
                      </c:pt>
                      <c:pt idx="35">
                        <c:v>-30.722365269461079</c:v>
                      </c:pt>
                      <c:pt idx="36">
                        <c:v>-30.856736526946108</c:v>
                      </c:pt>
                      <c:pt idx="37">
                        <c:v>-30.990700598802395</c:v>
                      </c:pt>
                      <c:pt idx="38">
                        <c:v>-31.12411377245509</c:v>
                      </c:pt>
                      <c:pt idx="39">
                        <c:v>-31.257526946107784</c:v>
                      </c:pt>
                      <c:pt idx="40">
                        <c:v>-31.390940119760479</c:v>
                      </c:pt>
                      <c:pt idx="41">
                        <c:v>-31.524592814371257</c:v>
                      </c:pt>
                      <c:pt idx="42">
                        <c:v>-31.658964071856285</c:v>
                      </c:pt>
                      <c:pt idx="43">
                        <c:v>-31.793335329341318</c:v>
                      </c:pt>
                      <c:pt idx="44">
                        <c:v>-31.927706586826346</c:v>
                      </c:pt>
                      <c:pt idx="45">
                        <c:v>-32.062077844311375</c:v>
                      </c:pt>
                      <c:pt idx="46">
                        <c:v>-32.196449101796411</c:v>
                      </c:pt>
                      <c:pt idx="47">
                        <c:v>-32.330820359281439</c:v>
                      </c:pt>
                      <c:pt idx="48">
                        <c:v>-32.465191616766468</c:v>
                      </c:pt>
                      <c:pt idx="49">
                        <c:v>-32.599562874251497</c:v>
                      </c:pt>
                      <c:pt idx="50">
                        <c:v>-32.727876404494381</c:v>
                      </c:pt>
                      <c:pt idx="51">
                        <c:v>-32.855516853932585</c:v>
                      </c:pt>
                      <c:pt idx="52">
                        <c:v>-32.983157303370788</c:v>
                      </c:pt>
                      <c:pt idx="53">
                        <c:v>-33.110797752808992</c:v>
                      </c:pt>
                      <c:pt idx="54">
                        <c:v>-33.238438202247195</c:v>
                      </c:pt>
                      <c:pt idx="55">
                        <c:v>-33.366078651685392</c:v>
                      </c:pt>
                      <c:pt idx="56">
                        <c:v>-33.493719101123595</c:v>
                      </c:pt>
                      <c:pt idx="57">
                        <c:v>-33.621359550561799</c:v>
                      </c:pt>
                      <c:pt idx="58">
                        <c:v>-33.749000000000002</c:v>
                      </c:pt>
                      <c:pt idx="59">
                        <c:v>-33.876640449438206</c:v>
                      </c:pt>
                      <c:pt idx="60">
                        <c:v>-34.004280898876409</c:v>
                      </c:pt>
                      <c:pt idx="61">
                        <c:v>-34.131921348314606</c:v>
                      </c:pt>
                      <c:pt idx="62">
                        <c:v>-34.259561797752809</c:v>
                      </c:pt>
                      <c:pt idx="63">
                        <c:v>-34.387202247191013</c:v>
                      </c:pt>
                      <c:pt idx="64">
                        <c:v>-34.514842696629216</c:v>
                      </c:pt>
                      <c:pt idx="65">
                        <c:v>-34.64248314606742</c:v>
                      </c:pt>
                      <c:pt idx="66">
                        <c:v>-34.768748314606746</c:v>
                      </c:pt>
                      <c:pt idx="67">
                        <c:v>-34.88991685393259</c:v>
                      </c:pt>
                      <c:pt idx="68">
                        <c:v>-35.011085393258426</c:v>
                      </c:pt>
                      <c:pt idx="69">
                        <c:v>-35.13225393258427</c:v>
                      </c:pt>
                      <c:pt idx="70">
                        <c:v>-35.253422471910113</c:v>
                      </c:pt>
                      <c:pt idx="71">
                        <c:v>-35.374591011235957</c:v>
                      </c:pt>
                      <c:pt idx="72">
                        <c:v>-35.4957595505618</c:v>
                      </c:pt>
                      <c:pt idx="73">
                        <c:v>-35.616928089887644</c:v>
                      </c:pt>
                      <c:pt idx="74">
                        <c:v>-35.738096629213487</c:v>
                      </c:pt>
                      <c:pt idx="75">
                        <c:v>-35.859265168539331</c:v>
                      </c:pt>
                      <c:pt idx="76">
                        <c:v>-35.980433707865167</c:v>
                      </c:pt>
                      <c:pt idx="77">
                        <c:v>-36.101602247191011</c:v>
                      </c:pt>
                      <c:pt idx="78">
                        <c:v>-36.222770786516854</c:v>
                      </c:pt>
                      <c:pt idx="79">
                        <c:v>-36.343939325842697</c:v>
                      </c:pt>
                      <c:pt idx="80">
                        <c:v>-36.465107865168541</c:v>
                      </c:pt>
                      <c:pt idx="81">
                        <c:v>-36.586276404494384</c:v>
                      </c:pt>
                      <c:pt idx="82">
                        <c:v>-36.707444943820228</c:v>
                      </c:pt>
                      <c:pt idx="83">
                        <c:v>-36.825319819819818</c:v>
                      </c:pt>
                      <c:pt idx="84">
                        <c:v>-36.940214714714713</c:v>
                      </c:pt>
                      <c:pt idx="85">
                        <c:v>-37.055109609609609</c:v>
                      </c:pt>
                      <c:pt idx="86">
                        <c:v>-37.170004504504504</c:v>
                      </c:pt>
                      <c:pt idx="87">
                        <c:v>-36.080475247524753</c:v>
                      </c:pt>
                      <c:pt idx="88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873D-4876-A6EA-FACE45BB2F19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[1]EVALUATION!$B$133:$CP$133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>
                        <c:v>-21.317514970059882</c:v>
                      </c:pt>
                      <c:pt idx="5">
                        <c:v>-21.339071856287426</c:v>
                      </c:pt>
                      <c:pt idx="6">
                        <c:v>-21.360628742514972</c:v>
                      </c:pt>
                      <c:pt idx="7">
                        <c:v>-21.382185628742516</c:v>
                      </c:pt>
                      <c:pt idx="8">
                        <c:v>-21.452604790419162</c:v>
                      </c:pt>
                      <c:pt idx="9">
                        <c:v>-21.550808383233534</c:v>
                      </c:pt>
                      <c:pt idx="10">
                        <c:v>-21.649011976047905</c:v>
                      </c:pt>
                      <c:pt idx="11">
                        <c:v>-21.747215568862277</c:v>
                      </c:pt>
                      <c:pt idx="12">
                        <c:v>-21.843203592814373</c:v>
                      </c:pt>
                      <c:pt idx="13">
                        <c:v>-21.936616766467068</c:v>
                      </c:pt>
                      <c:pt idx="14">
                        <c:v>-22.030029940119761</c:v>
                      </c:pt>
                      <c:pt idx="15">
                        <c:v>-22.123443113772456</c:v>
                      </c:pt>
                      <c:pt idx="16">
                        <c:v>-22.209970059880241</c:v>
                      </c:pt>
                      <c:pt idx="17">
                        <c:v>-22.279431137724551</c:v>
                      </c:pt>
                      <c:pt idx="18">
                        <c:v>-22.348892215568863</c:v>
                      </c:pt>
                      <c:pt idx="19">
                        <c:v>-22.418353293413173</c:v>
                      </c:pt>
                      <c:pt idx="20">
                        <c:v>-22.488353293413173</c:v>
                      </c:pt>
                      <c:pt idx="21">
                        <c:v>-22.562604790419162</c:v>
                      </c:pt>
                      <c:pt idx="22">
                        <c:v>-22.63685628742515</c:v>
                      </c:pt>
                      <c:pt idx="23">
                        <c:v>-22.711107784431139</c:v>
                      </c:pt>
                      <c:pt idx="24">
                        <c:v>-22.785359281437124</c:v>
                      </c:pt>
                      <c:pt idx="25">
                        <c:v>-22.846306306306307</c:v>
                      </c:pt>
                      <c:pt idx="26">
                        <c:v>-22.906366366366367</c:v>
                      </c:pt>
                      <c:pt idx="27">
                        <c:v>-22.966426426426427</c:v>
                      </c:pt>
                      <c:pt idx="28">
                        <c:v>-23.026486486486487</c:v>
                      </c:pt>
                      <c:pt idx="29">
                        <c:v>-23.130958083832336</c:v>
                      </c:pt>
                      <c:pt idx="30">
                        <c:v>-23.248323353293415</c:v>
                      </c:pt>
                      <c:pt idx="31">
                        <c:v>-23.36568862275449</c:v>
                      </c:pt>
                      <c:pt idx="32">
                        <c:v>-23.483053892215569</c:v>
                      </c:pt>
                      <c:pt idx="33">
                        <c:v>-23.60185628742515</c:v>
                      </c:pt>
                      <c:pt idx="34">
                        <c:v>-23.721616766467065</c:v>
                      </c:pt>
                      <c:pt idx="35">
                        <c:v>-23.841377245508983</c:v>
                      </c:pt>
                      <c:pt idx="36">
                        <c:v>-23.961137724550898</c:v>
                      </c:pt>
                      <c:pt idx="37">
                        <c:v>-24.078862275449104</c:v>
                      </c:pt>
                      <c:pt idx="38">
                        <c:v>-24.193832335329343</c:v>
                      </c:pt>
                      <c:pt idx="39">
                        <c:v>-24.308802395209582</c:v>
                      </c:pt>
                      <c:pt idx="40">
                        <c:v>-24.423772455089821</c:v>
                      </c:pt>
                      <c:pt idx="41">
                        <c:v>-24.53874251497006</c:v>
                      </c:pt>
                      <c:pt idx="42">
                        <c:v>-24.653712574850299</c:v>
                      </c:pt>
                      <c:pt idx="43">
                        <c:v>-24.768682634730538</c:v>
                      </c:pt>
                      <c:pt idx="44">
                        <c:v>-24.883652694610777</c:v>
                      </c:pt>
                      <c:pt idx="45">
                        <c:v>-24.998622754491016</c:v>
                      </c:pt>
                      <c:pt idx="46">
                        <c:v>-25.113592814371255</c:v>
                      </c:pt>
                      <c:pt idx="47">
                        <c:v>-25.228562874251494</c:v>
                      </c:pt>
                      <c:pt idx="48">
                        <c:v>-25.343532934131737</c:v>
                      </c:pt>
                      <c:pt idx="49">
                        <c:v>-25.458502994011976</c:v>
                      </c:pt>
                      <c:pt idx="50">
                        <c:v>-25.567617977528091</c:v>
                      </c:pt>
                      <c:pt idx="51">
                        <c:v>-25.676082397003746</c:v>
                      </c:pt>
                      <c:pt idx="52">
                        <c:v>-25.784546816479402</c:v>
                      </c:pt>
                      <c:pt idx="53">
                        <c:v>-25.893011235955058</c:v>
                      </c:pt>
                      <c:pt idx="54">
                        <c:v>-26.001475655430713</c:v>
                      </c:pt>
                      <c:pt idx="55">
                        <c:v>-26.109940074906369</c:v>
                      </c:pt>
                      <c:pt idx="56">
                        <c:v>-26.218404494382021</c:v>
                      </c:pt>
                      <c:pt idx="57">
                        <c:v>-26.326868913857677</c:v>
                      </c:pt>
                      <c:pt idx="58">
                        <c:v>-26.435333333333332</c:v>
                      </c:pt>
                      <c:pt idx="59">
                        <c:v>-26.543797752808988</c:v>
                      </c:pt>
                      <c:pt idx="60">
                        <c:v>-26.652262172284644</c:v>
                      </c:pt>
                      <c:pt idx="61">
                        <c:v>-26.760726591760299</c:v>
                      </c:pt>
                      <c:pt idx="62">
                        <c:v>-26.869191011235955</c:v>
                      </c:pt>
                      <c:pt idx="63">
                        <c:v>-26.977655430711611</c:v>
                      </c:pt>
                      <c:pt idx="64">
                        <c:v>-27.086119850187266</c:v>
                      </c:pt>
                      <c:pt idx="65">
                        <c:v>-27.194584269662922</c:v>
                      </c:pt>
                      <c:pt idx="66">
                        <c:v>-27.301902621722849</c:v>
                      </c:pt>
                      <c:pt idx="67">
                        <c:v>-27.404973782771538</c:v>
                      </c:pt>
                      <c:pt idx="68">
                        <c:v>-27.508044943820227</c:v>
                      </c:pt>
                      <c:pt idx="69">
                        <c:v>-27.611116104868916</c:v>
                      </c:pt>
                      <c:pt idx="70">
                        <c:v>-27.714187265917605</c:v>
                      </c:pt>
                      <c:pt idx="71">
                        <c:v>-27.817258426966294</c:v>
                      </c:pt>
                      <c:pt idx="72">
                        <c:v>-27.920329588014983</c:v>
                      </c:pt>
                      <c:pt idx="73">
                        <c:v>-28.023400749063672</c:v>
                      </c:pt>
                      <c:pt idx="74">
                        <c:v>-28.126471910112361</c:v>
                      </c:pt>
                      <c:pt idx="75">
                        <c:v>-28.22954307116105</c:v>
                      </c:pt>
                      <c:pt idx="76">
                        <c:v>-28.332614232209739</c:v>
                      </c:pt>
                      <c:pt idx="77">
                        <c:v>-28.435685393258428</c:v>
                      </c:pt>
                      <c:pt idx="78">
                        <c:v>-28.538756554307117</c:v>
                      </c:pt>
                      <c:pt idx="79">
                        <c:v>-28.641827715355806</c:v>
                      </c:pt>
                      <c:pt idx="80">
                        <c:v>-28.744898876404495</c:v>
                      </c:pt>
                      <c:pt idx="81">
                        <c:v>-28.847970037453184</c:v>
                      </c:pt>
                      <c:pt idx="82">
                        <c:v>-28.951041198501873</c:v>
                      </c:pt>
                      <c:pt idx="83">
                        <c:v>-29.051396396396395</c:v>
                      </c:pt>
                      <c:pt idx="84">
                        <c:v>-29.149294294294293</c:v>
                      </c:pt>
                      <c:pt idx="85">
                        <c:v>-29.247192192192191</c:v>
                      </c:pt>
                      <c:pt idx="86">
                        <c:v>-29.345090090090089</c:v>
                      </c:pt>
                      <c:pt idx="87">
                        <c:v>-8.1209504950495059</c:v>
                      </c:pt>
                      <c:pt idx="88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73D-4876-A6EA-FACE45BB2F19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[1]EVALUATION!$B$134:$CP$134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-184.14450450450451</c:v>
                      </c:pt>
                      <c:pt idx="1">
                        <c:v>-180.19015015015015</c:v>
                      </c:pt>
                      <c:pt idx="2">
                        <c:v>-176.23579579579581</c:v>
                      </c:pt>
                      <c:pt idx="3">
                        <c:v>-172.28144144144147</c:v>
                      </c:pt>
                      <c:pt idx="4">
                        <c:v>-168.94194610778445</c:v>
                      </c:pt>
                      <c:pt idx="5">
                        <c:v>-165.74434131736527</c:v>
                      </c:pt>
                      <c:pt idx="6">
                        <c:v>-162.54673652694612</c:v>
                      </c:pt>
                      <c:pt idx="7">
                        <c:v>-159.34913173652694</c:v>
                      </c:pt>
                      <c:pt idx="8">
                        <c:v>-156.51188622754489</c:v>
                      </c:pt>
                      <c:pt idx="9">
                        <c:v>-153.87955089820358</c:v>
                      </c:pt>
                      <c:pt idx="10">
                        <c:v>-151.24721556886226</c:v>
                      </c:pt>
                      <c:pt idx="11">
                        <c:v>-148.61488023952094</c:v>
                      </c:pt>
                      <c:pt idx="12">
                        <c:v>-146.17973053892214</c:v>
                      </c:pt>
                      <c:pt idx="13">
                        <c:v>-143.97374251497007</c:v>
                      </c:pt>
                      <c:pt idx="14">
                        <c:v>-141.76775449101797</c:v>
                      </c:pt>
                      <c:pt idx="15">
                        <c:v>-139.56176646706587</c:v>
                      </c:pt>
                      <c:pt idx="16">
                        <c:v>-137.45494011976049</c:v>
                      </c:pt>
                      <c:pt idx="17">
                        <c:v>-135.59386227544911</c:v>
                      </c:pt>
                      <c:pt idx="18">
                        <c:v>-133.73278443113773</c:v>
                      </c:pt>
                      <c:pt idx="19">
                        <c:v>-131.87170658682635</c:v>
                      </c:pt>
                      <c:pt idx="20">
                        <c:v>-130.04404191616766</c:v>
                      </c:pt>
                      <c:pt idx="21">
                        <c:v>-128.47997005988023</c:v>
                      </c:pt>
                      <c:pt idx="22">
                        <c:v>-126.91589820359282</c:v>
                      </c:pt>
                      <c:pt idx="23">
                        <c:v>-125.35182634730539</c:v>
                      </c:pt>
                      <c:pt idx="24">
                        <c:v>-123.78775449101796</c:v>
                      </c:pt>
                      <c:pt idx="25">
                        <c:v>-123.46702702702703</c:v>
                      </c:pt>
                      <c:pt idx="26">
                        <c:v>-123.22918918918919</c:v>
                      </c:pt>
                      <c:pt idx="27">
                        <c:v>-122.99135135135135</c:v>
                      </c:pt>
                      <c:pt idx="28">
                        <c:v>-122.75351351351351</c:v>
                      </c:pt>
                      <c:pt idx="29">
                        <c:v>-123.46293413173653</c:v>
                      </c:pt>
                      <c:pt idx="30">
                        <c:v>-124.44736526946109</c:v>
                      </c:pt>
                      <c:pt idx="31">
                        <c:v>-125.43179640718563</c:v>
                      </c:pt>
                      <c:pt idx="32">
                        <c:v>-126.41622754491017</c:v>
                      </c:pt>
                      <c:pt idx="33">
                        <c:v>-127.39922155688622</c:v>
                      </c:pt>
                      <c:pt idx="34">
                        <c:v>-128.38125748502995</c:v>
                      </c:pt>
                      <c:pt idx="35">
                        <c:v>-129.36329341317364</c:v>
                      </c:pt>
                      <c:pt idx="36">
                        <c:v>-130.34532934131735</c:v>
                      </c:pt>
                      <c:pt idx="37">
                        <c:v>-131.31718562874252</c:v>
                      </c:pt>
                      <c:pt idx="38">
                        <c:v>-132.27526946107784</c:v>
                      </c:pt>
                      <c:pt idx="39">
                        <c:v>-133.23335329341316</c:v>
                      </c:pt>
                      <c:pt idx="40">
                        <c:v>-134.19143712574851</c:v>
                      </c:pt>
                      <c:pt idx="41">
                        <c:v>-135.14592814371258</c:v>
                      </c:pt>
                      <c:pt idx="42">
                        <c:v>-136.08964071856286</c:v>
                      </c:pt>
                      <c:pt idx="43">
                        <c:v>-137.03335329341317</c:v>
                      </c:pt>
                      <c:pt idx="44">
                        <c:v>-137.97706586826348</c:v>
                      </c:pt>
                      <c:pt idx="45">
                        <c:v>-138.91970059880239</c:v>
                      </c:pt>
                      <c:pt idx="46">
                        <c:v>-139.84904191616766</c:v>
                      </c:pt>
                      <c:pt idx="47">
                        <c:v>-140.77838323353294</c:v>
                      </c:pt>
                      <c:pt idx="48">
                        <c:v>-141.70772455089821</c:v>
                      </c:pt>
                      <c:pt idx="49">
                        <c:v>-142.63706586826348</c:v>
                      </c:pt>
                      <c:pt idx="50">
                        <c:v>-143.50932584269663</c:v>
                      </c:pt>
                      <c:pt idx="51">
                        <c:v>-144.37524344569289</c:v>
                      </c:pt>
                      <c:pt idx="52">
                        <c:v>-145.24116104868915</c:v>
                      </c:pt>
                      <c:pt idx="53">
                        <c:v>-146.10707865168538</c:v>
                      </c:pt>
                      <c:pt idx="54">
                        <c:v>-146.97299625468165</c:v>
                      </c:pt>
                      <c:pt idx="55">
                        <c:v>-147.83891385767791</c:v>
                      </c:pt>
                      <c:pt idx="56">
                        <c:v>-148.70483146067417</c:v>
                      </c:pt>
                      <c:pt idx="57">
                        <c:v>-149.57074906367041</c:v>
                      </c:pt>
                      <c:pt idx="58">
                        <c:v>-150.43666666666667</c:v>
                      </c:pt>
                      <c:pt idx="59">
                        <c:v>-151.30258426966293</c:v>
                      </c:pt>
                      <c:pt idx="60">
                        <c:v>-152.16850187265919</c:v>
                      </c:pt>
                      <c:pt idx="61">
                        <c:v>-153.03441947565543</c:v>
                      </c:pt>
                      <c:pt idx="62">
                        <c:v>-153.90033707865169</c:v>
                      </c:pt>
                      <c:pt idx="63">
                        <c:v>-154.76625468164795</c:v>
                      </c:pt>
                      <c:pt idx="64">
                        <c:v>-155.63217228464421</c:v>
                      </c:pt>
                      <c:pt idx="65">
                        <c:v>-156.49808988764045</c:v>
                      </c:pt>
                      <c:pt idx="66">
                        <c:v>-157.34146816479401</c:v>
                      </c:pt>
                      <c:pt idx="67">
                        <c:v>-158.10131835205993</c:v>
                      </c:pt>
                      <c:pt idx="68">
                        <c:v>-158.86116853932586</c:v>
                      </c:pt>
                      <c:pt idx="69">
                        <c:v>-159.62101872659179</c:v>
                      </c:pt>
                      <c:pt idx="70">
                        <c:v>-160.38086891385768</c:v>
                      </c:pt>
                      <c:pt idx="71">
                        <c:v>-161.14071910112361</c:v>
                      </c:pt>
                      <c:pt idx="72">
                        <c:v>-161.90056928838953</c:v>
                      </c:pt>
                      <c:pt idx="73">
                        <c:v>-162.66041947565543</c:v>
                      </c:pt>
                      <c:pt idx="74">
                        <c:v>-163.42026966292136</c:v>
                      </c:pt>
                      <c:pt idx="75">
                        <c:v>-164.18011985018728</c:v>
                      </c:pt>
                      <c:pt idx="76">
                        <c:v>-164.93997003745321</c:v>
                      </c:pt>
                      <c:pt idx="77">
                        <c:v>-165.6998202247191</c:v>
                      </c:pt>
                      <c:pt idx="78">
                        <c:v>-166.45967041198503</c:v>
                      </c:pt>
                      <c:pt idx="79">
                        <c:v>-167.21952059925096</c:v>
                      </c:pt>
                      <c:pt idx="80">
                        <c:v>-167.97937078651688</c:v>
                      </c:pt>
                      <c:pt idx="81">
                        <c:v>-168.73922097378278</c:v>
                      </c:pt>
                      <c:pt idx="82">
                        <c:v>-169.4990711610487</c:v>
                      </c:pt>
                      <c:pt idx="83">
                        <c:v>-170.1970720720721</c:v>
                      </c:pt>
                      <c:pt idx="84">
                        <c:v>-170.83911411411412</c:v>
                      </c:pt>
                      <c:pt idx="85">
                        <c:v>-171.48115615615617</c:v>
                      </c:pt>
                      <c:pt idx="86">
                        <c:v>-172.12319819819822</c:v>
                      </c:pt>
                      <c:pt idx="87">
                        <c:v>-28.733663366336632</c:v>
                      </c:pt>
                      <c:pt idx="88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73D-4876-A6EA-FACE45BB2F19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[1]EVALUATION!$B$135:$CP$135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>
                        <c:v>-13.456826347305389</c:v>
                      </c:pt>
                      <c:pt idx="5">
                        <c:v>-12.886766467065867</c:v>
                      </c:pt>
                      <c:pt idx="6">
                        <c:v>-12.316706586826346</c:v>
                      </c:pt>
                      <c:pt idx="7">
                        <c:v>-11.746646706586823</c:v>
                      </c:pt>
                      <c:pt idx="8">
                        <c:v>-11.204988023952094</c:v>
                      </c:pt>
                      <c:pt idx="9">
                        <c:v>-10.679479041916167</c:v>
                      </c:pt>
                      <c:pt idx="10">
                        <c:v>-10.153970059880239</c:v>
                      </c:pt>
                      <c:pt idx="11">
                        <c:v>-9.628461077844312</c:v>
                      </c:pt>
                      <c:pt idx="12">
                        <c:v>-9.1539101796407198</c:v>
                      </c:pt>
                      <c:pt idx="13">
                        <c:v>-8.7385808383233528</c:v>
                      </c:pt>
                      <c:pt idx="14">
                        <c:v>-8.3232514970059874</c:v>
                      </c:pt>
                      <c:pt idx="15">
                        <c:v>-7.9079221556886221</c:v>
                      </c:pt>
                      <c:pt idx="16">
                        <c:v>-7.5390748502994009</c:v>
                      </c:pt>
                      <c:pt idx="17">
                        <c:v>-7.2854221556886225</c:v>
                      </c:pt>
                      <c:pt idx="18">
                        <c:v>-7.031769461077845</c:v>
                      </c:pt>
                      <c:pt idx="19">
                        <c:v>-6.7781167664670665</c:v>
                      </c:pt>
                      <c:pt idx="20">
                        <c:v>-6.5428413173652693</c:v>
                      </c:pt>
                      <c:pt idx="21">
                        <c:v>-6.4525419161676645</c:v>
                      </c:pt>
                      <c:pt idx="22">
                        <c:v>-6.3622425149700597</c:v>
                      </c:pt>
                      <c:pt idx="23">
                        <c:v>-6.2719431137724548</c:v>
                      </c:pt>
                      <c:pt idx="24">
                        <c:v>-6.18164371257485</c:v>
                      </c:pt>
                      <c:pt idx="25">
                        <c:v>-6.3239729729729737</c:v>
                      </c:pt>
                      <c:pt idx="26">
                        <c:v>-6.4818108108108117</c:v>
                      </c:pt>
                      <c:pt idx="27">
                        <c:v>-6.6396486486486497</c:v>
                      </c:pt>
                      <c:pt idx="28">
                        <c:v>-6.7974864864864877</c:v>
                      </c:pt>
                      <c:pt idx="29">
                        <c:v>-6.8348562874251497</c:v>
                      </c:pt>
                      <c:pt idx="30">
                        <c:v>-6.8372514970059886</c:v>
                      </c:pt>
                      <c:pt idx="31">
                        <c:v>-6.8396467065868265</c:v>
                      </c:pt>
                      <c:pt idx="32">
                        <c:v>-6.8420419161676644</c:v>
                      </c:pt>
                      <c:pt idx="33">
                        <c:v>-6.8517664670658682</c:v>
                      </c:pt>
                      <c:pt idx="34">
                        <c:v>-6.866377245508982</c:v>
                      </c:pt>
                      <c:pt idx="35">
                        <c:v>-6.8809880239520957</c:v>
                      </c:pt>
                      <c:pt idx="36">
                        <c:v>-6.8955988023952095</c:v>
                      </c:pt>
                      <c:pt idx="37">
                        <c:v>-6.911838323353293</c:v>
                      </c:pt>
                      <c:pt idx="38">
                        <c:v>-6.930281437125748</c:v>
                      </c:pt>
                      <c:pt idx="39">
                        <c:v>-6.9487245508982038</c:v>
                      </c:pt>
                      <c:pt idx="40">
                        <c:v>-6.9671676646706588</c:v>
                      </c:pt>
                      <c:pt idx="41">
                        <c:v>-6.9858502994011973</c:v>
                      </c:pt>
                      <c:pt idx="42">
                        <c:v>-7.0052514970059878</c:v>
                      </c:pt>
                      <c:pt idx="43">
                        <c:v>-7.0246526946107783</c:v>
                      </c:pt>
                      <c:pt idx="44">
                        <c:v>-7.0440538922155689</c:v>
                      </c:pt>
                      <c:pt idx="45">
                        <c:v>-7.0634550898203594</c:v>
                      </c:pt>
                      <c:pt idx="46">
                        <c:v>-7.0828562874251499</c:v>
                      </c:pt>
                      <c:pt idx="47">
                        <c:v>-7.1022574850299405</c:v>
                      </c:pt>
                      <c:pt idx="48">
                        <c:v>-7.1216586826347301</c:v>
                      </c:pt>
                      <c:pt idx="49">
                        <c:v>-7.1410598802395207</c:v>
                      </c:pt>
                      <c:pt idx="50">
                        <c:v>-7.1602584269662923</c:v>
                      </c:pt>
                      <c:pt idx="51">
                        <c:v>-7.1794344569288393</c:v>
                      </c:pt>
                      <c:pt idx="52">
                        <c:v>-7.1986104868913854</c:v>
                      </c:pt>
                      <c:pt idx="53">
                        <c:v>-7.2177865168539324</c:v>
                      </c:pt>
                      <c:pt idx="54">
                        <c:v>-7.2369625468164793</c:v>
                      </c:pt>
                      <c:pt idx="55">
                        <c:v>-7.2561385767790263</c:v>
                      </c:pt>
                      <c:pt idx="56">
                        <c:v>-7.2753146067415733</c:v>
                      </c:pt>
                      <c:pt idx="57">
                        <c:v>-7.2944906367041202</c:v>
                      </c:pt>
                      <c:pt idx="58">
                        <c:v>-7.3136666666666663</c:v>
                      </c:pt>
                      <c:pt idx="59">
                        <c:v>-7.3328426966292133</c:v>
                      </c:pt>
                      <c:pt idx="60">
                        <c:v>-7.3520187265917603</c:v>
                      </c:pt>
                      <c:pt idx="61">
                        <c:v>-7.3711947565543072</c:v>
                      </c:pt>
                      <c:pt idx="62">
                        <c:v>-7.3903707865168542</c:v>
                      </c:pt>
                      <c:pt idx="63">
                        <c:v>-7.4095468164794012</c:v>
                      </c:pt>
                      <c:pt idx="64">
                        <c:v>-7.4287228464419481</c:v>
                      </c:pt>
                      <c:pt idx="65">
                        <c:v>-7.4478988764044942</c:v>
                      </c:pt>
                      <c:pt idx="66">
                        <c:v>-7.4668456928838953</c:v>
                      </c:pt>
                      <c:pt idx="67">
                        <c:v>-7.484943071161049</c:v>
                      </c:pt>
                      <c:pt idx="68">
                        <c:v>-7.5030404494382026</c:v>
                      </c:pt>
                      <c:pt idx="69">
                        <c:v>-7.5211378277153562</c:v>
                      </c:pt>
                      <c:pt idx="70">
                        <c:v>-7.5392352059925098</c:v>
                      </c:pt>
                      <c:pt idx="71">
                        <c:v>-7.5573325842696626</c:v>
                      </c:pt>
                      <c:pt idx="72">
                        <c:v>-7.5754299625468162</c:v>
                      </c:pt>
                      <c:pt idx="73">
                        <c:v>-7.5935273408239699</c:v>
                      </c:pt>
                      <c:pt idx="74">
                        <c:v>-7.6116247191011235</c:v>
                      </c:pt>
                      <c:pt idx="75">
                        <c:v>-7.6297220973782771</c:v>
                      </c:pt>
                      <c:pt idx="76">
                        <c:v>-7.6478194756554307</c:v>
                      </c:pt>
                      <c:pt idx="77">
                        <c:v>-7.6659168539325844</c:v>
                      </c:pt>
                      <c:pt idx="78">
                        <c:v>-7.684014232209738</c:v>
                      </c:pt>
                      <c:pt idx="79">
                        <c:v>-7.7021116104868916</c:v>
                      </c:pt>
                      <c:pt idx="80">
                        <c:v>-7.7202089887640444</c:v>
                      </c:pt>
                      <c:pt idx="81">
                        <c:v>-7.738306367041198</c:v>
                      </c:pt>
                      <c:pt idx="82">
                        <c:v>-7.7564037453183516</c:v>
                      </c:pt>
                      <c:pt idx="83">
                        <c:v>-7.7739234234234234</c:v>
                      </c:pt>
                      <c:pt idx="84">
                        <c:v>-7.7909204204204201</c:v>
                      </c:pt>
                      <c:pt idx="85">
                        <c:v>-7.8079174174174168</c:v>
                      </c:pt>
                      <c:pt idx="86">
                        <c:v>-7.8249144144144145</c:v>
                      </c:pt>
                      <c:pt idx="87">
                        <c:v>-64.814138613861388</c:v>
                      </c:pt>
                      <c:pt idx="88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73D-4876-A6EA-FACE45BB2F19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[1]EVALUATION!$B$136:$CP$136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>
                        <c:v>-18.875838323353292</c:v>
                      </c:pt>
                      <c:pt idx="5">
                        <c:v>-18.883023952095808</c:v>
                      </c:pt>
                      <c:pt idx="6">
                        <c:v>-18.890209580838324</c:v>
                      </c:pt>
                      <c:pt idx="7">
                        <c:v>-18.897395209580836</c:v>
                      </c:pt>
                      <c:pt idx="8">
                        <c:v>-18.906107784431136</c:v>
                      </c:pt>
                      <c:pt idx="9">
                        <c:v>-18.915688622754491</c:v>
                      </c:pt>
                      <c:pt idx="10">
                        <c:v>-18.925269461077846</c:v>
                      </c:pt>
                      <c:pt idx="11">
                        <c:v>-18.934850299401198</c:v>
                      </c:pt>
                      <c:pt idx="12">
                        <c:v>-18.945538922155688</c:v>
                      </c:pt>
                      <c:pt idx="13">
                        <c:v>-18.957514970059879</c:v>
                      </c:pt>
                      <c:pt idx="14">
                        <c:v>-18.969491017964071</c:v>
                      </c:pt>
                      <c:pt idx="15">
                        <c:v>-18.981467065868262</c:v>
                      </c:pt>
                      <c:pt idx="16">
                        <c:v>-18.993443113772454</c:v>
                      </c:pt>
                      <c:pt idx="17">
                        <c:v>-19.005419161676645</c:v>
                      </c:pt>
                      <c:pt idx="18">
                        <c:v>-19.017395209580837</c:v>
                      </c:pt>
                      <c:pt idx="19">
                        <c:v>-19.029371257485028</c:v>
                      </c:pt>
                      <c:pt idx="20">
                        <c:v>-19.040808383233532</c:v>
                      </c:pt>
                      <c:pt idx="21">
                        <c:v>-19.047994011976048</c:v>
                      </c:pt>
                      <c:pt idx="22">
                        <c:v>-19.055179640718563</c:v>
                      </c:pt>
                      <c:pt idx="23">
                        <c:v>-19.062365269461079</c:v>
                      </c:pt>
                      <c:pt idx="24">
                        <c:v>-19.069550898203595</c:v>
                      </c:pt>
                      <c:pt idx="25">
                        <c:v>-19.045225225225227</c:v>
                      </c:pt>
                      <c:pt idx="26">
                        <c:v>-19.018798798798798</c:v>
                      </c:pt>
                      <c:pt idx="27">
                        <c:v>-18.992372372372373</c:v>
                      </c:pt>
                      <c:pt idx="28">
                        <c:v>-18.965945945945947</c:v>
                      </c:pt>
                      <c:pt idx="29">
                        <c:v>-18.972994011976049</c:v>
                      </c:pt>
                      <c:pt idx="30">
                        <c:v>-18.989760479041916</c:v>
                      </c:pt>
                      <c:pt idx="31">
                        <c:v>-19.006526946107787</c:v>
                      </c:pt>
                      <c:pt idx="32">
                        <c:v>-19.023293413173654</c:v>
                      </c:pt>
                      <c:pt idx="33">
                        <c:v>-19.040059880239522</c:v>
                      </c:pt>
                      <c:pt idx="34">
                        <c:v>-19.056826347305389</c:v>
                      </c:pt>
                      <c:pt idx="35">
                        <c:v>-19.07359281437126</c:v>
                      </c:pt>
                      <c:pt idx="36">
                        <c:v>-19.090359281437127</c:v>
                      </c:pt>
                      <c:pt idx="37">
                        <c:v>-19.107125748502995</c:v>
                      </c:pt>
                      <c:pt idx="38">
                        <c:v>-19.123892215568866</c:v>
                      </c:pt>
                      <c:pt idx="39">
                        <c:v>-19.140658682634733</c:v>
                      </c:pt>
                      <c:pt idx="40">
                        <c:v>-19.1574251497006</c:v>
                      </c:pt>
                      <c:pt idx="41">
                        <c:v>-19.174191616766468</c:v>
                      </c:pt>
                      <c:pt idx="42">
                        <c:v>-19.190958083832335</c:v>
                      </c:pt>
                      <c:pt idx="43">
                        <c:v>-19.207724550898202</c:v>
                      </c:pt>
                      <c:pt idx="44">
                        <c:v>-19.22449101796407</c:v>
                      </c:pt>
                      <c:pt idx="45">
                        <c:v>-19.241257485029937</c:v>
                      </c:pt>
                      <c:pt idx="46">
                        <c:v>-19.258023952095808</c:v>
                      </c:pt>
                      <c:pt idx="47">
                        <c:v>-19.274790419161675</c:v>
                      </c:pt>
                      <c:pt idx="48">
                        <c:v>-19.291556886227543</c:v>
                      </c:pt>
                      <c:pt idx="49">
                        <c:v>-19.30832335329341</c:v>
                      </c:pt>
                      <c:pt idx="50">
                        <c:v>-19.324022471910112</c:v>
                      </c:pt>
                      <c:pt idx="51">
                        <c:v>-19.33960299625468</c:v>
                      </c:pt>
                      <c:pt idx="52">
                        <c:v>-19.355183520599251</c:v>
                      </c:pt>
                      <c:pt idx="53">
                        <c:v>-19.370764044943819</c:v>
                      </c:pt>
                      <c:pt idx="54">
                        <c:v>-19.38634456928839</c:v>
                      </c:pt>
                      <c:pt idx="55">
                        <c:v>-19.401925093632958</c:v>
                      </c:pt>
                      <c:pt idx="56">
                        <c:v>-19.417505617977529</c:v>
                      </c:pt>
                      <c:pt idx="57">
                        <c:v>-19.433086142322097</c:v>
                      </c:pt>
                      <c:pt idx="58">
                        <c:v>-19.448666666666668</c:v>
                      </c:pt>
                      <c:pt idx="59">
                        <c:v>-19.464247191011236</c:v>
                      </c:pt>
                      <c:pt idx="60">
                        <c:v>-19.479827715355807</c:v>
                      </c:pt>
                      <c:pt idx="61">
                        <c:v>-19.495408239700375</c:v>
                      </c:pt>
                      <c:pt idx="62">
                        <c:v>-19.510988764044942</c:v>
                      </c:pt>
                      <c:pt idx="63">
                        <c:v>-19.526569288389513</c:v>
                      </c:pt>
                      <c:pt idx="64">
                        <c:v>-19.542149812734081</c:v>
                      </c:pt>
                      <c:pt idx="65">
                        <c:v>-19.557730337078652</c:v>
                      </c:pt>
                      <c:pt idx="66">
                        <c:v>-19.573183520599251</c:v>
                      </c:pt>
                      <c:pt idx="67">
                        <c:v>-19.58816479400749</c:v>
                      </c:pt>
                      <c:pt idx="68">
                        <c:v>-19.603146067415732</c:v>
                      </c:pt>
                      <c:pt idx="69">
                        <c:v>-19.618127340823971</c:v>
                      </c:pt>
                      <c:pt idx="70">
                        <c:v>-19.63310861423221</c:v>
                      </c:pt>
                      <c:pt idx="71">
                        <c:v>-19.648089887640449</c:v>
                      </c:pt>
                      <c:pt idx="72">
                        <c:v>-19.663071161048691</c:v>
                      </c:pt>
                      <c:pt idx="73">
                        <c:v>-19.67805243445693</c:v>
                      </c:pt>
                      <c:pt idx="74">
                        <c:v>-19.693033707865169</c:v>
                      </c:pt>
                      <c:pt idx="75">
                        <c:v>-19.708014981273408</c:v>
                      </c:pt>
                      <c:pt idx="76">
                        <c:v>-19.722996254681647</c:v>
                      </c:pt>
                      <c:pt idx="77">
                        <c:v>-19.737977528089889</c:v>
                      </c:pt>
                      <c:pt idx="78">
                        <c:v>-19.752958801498128</c:v>
                      </c:pt>
                      <c:pt idx="79">
                        <c:v>-19.767940074906367</c:v>
                      </c:pt>
                      <c:pt idx="80">
                        <c:v>-19.782921348314606</c:v>
                      </c:pt>
                      <c:pt idx="81">
                        <c:v>-19.797902621722848</c:v>
                      </c:pt>
                      <c:pt idx="82">
                        <c:v>-19.812883895131087</c:v>
                      </c:pt>
                      <c:pt idx="83">
                        <c:v>-19.827252252252254</c:v>
                      </c:pt>
                      <c:pt idx="84">
                        <c:v>-19.841066066066066</c:v>
                      </c:pt>
                      <c:pt idx="85">
                        <c:v>-19.854879879879881</c:v>
                      </c:pt>
                      <c:pt idx="86">
                        <c:v>-19.868693693693693</c:v>
                      </c:pt>
                      <c:pt idx="87">
                        <c:v>-102.44289108910891</c:v>
                      </c:pt>
                      <c:pt idx="88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73D-4876-A6EA-FACE45BB2F19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[1]EVALUATION!$B$137:$CP$137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-59.399279279279277</c:v>
                      </c:pt>
                      <c:pt idx="1">
                        <c:v>-58.495975975975981</c:v>
                      </c:pt>
                      <c:pt idx="2">
                        <c:v>-57.592672672672677</c:v>
                      </c:pt>
                      <c:pt idx="3">
                        <c:v>-56.689369369369373</c:v>
                      </c:pt>
                      <c:pt idx="4">
                        <c:v>-56.091856287425152</c:v>
                      </c:pt>
                      <c:pt idx="5">
                        <c:v>-55.564910179640719</c:v>
                      </c:pt>
                      <c:pt idx="6">
                        <c:v>-55.037964071856287</c:v>
                      </c:pt>
                      <c:pt idx="7">
                        <c:v>-54.511017964071854</c:v>
                      </c:pt>
                      <c:pt idx="8">
                        <c:v>-54.110197604790422</c:v>
                      </c:pt>
                      <c:pt idx="9">
                        <c:v>-53.781095808383235</c:v>
                      </c:pt>
                      <c:pt idx="10">
                        <c:v>-53.451994011976048</c:v>
                      </c:pt>
                      <c:pt idx="11">
                        <c:v>-53.122892215568861</c:v>
                      </c:pt>
                      <c:pt idx="12">
                        <c:v>-52.840317365269463</c:v>
                      </c:pt>
                      <c:pt idx="13">
                        <c:v>-52.611814371257488</c:v>
                      </c:pt>
                      <c:pt idx="14">
                        <c:v>-52.383311377245512</c:v>
                      </c:pt>
                      <c:pt idx="15">
                        <c:v>-52.154808383233537</c:v>
                      </c:pt>
                      <c:pt idx="16">
                        <c:v>-51.959014970059883</c:v>
                      </c:pt>
                      <c:pt idx="17">
                        <c:v>-51.84428443113773</c:v>
                      </c:pt>
                      <c:pt idx="18">
                        <c:v>-51.72955389221557</c:v>
                      </c:pt>
                      <c:pt idx="19">
                        <c:v>-51.61482335329341</c:v>
                      </c:pt>
                      <c:pt idx="20">
                        <c:v>-51.519547904191612</c:v>
                      </c:pt>
                      <c:pt idx="21">
                        <c:v>-51.577751497005984</c:v>
                      </c:pt>
                      <c:pt idx="22">
                        <c:v>-51.635955089820357</c:v>
                      </c:pt>
                      <c:pt idx="23">
                        <c:v>-51.694158682634729</c:v>
                      </c:pt>
                      <c:pt idx="24">
                        <c:v>-51.752362275449102</c:v>
                      </c:pt>
                      <c:pt idx="25">
                        <c:v>-52.016585585585588</c:v>
                      </c:pt>
                      <c:pt idx="26">
                        <c:v>-52.29454354354354</c:v>
                      </c:pt>
                      <c:pt idx="27">
                        <c:v>-52.572501501501499</c:v>
                      </c:pt>
                      <c:pt idx="28">
                        <c:v>-52.850459459459458</c:v>
                      </c:pt>
                      <c:pt idx="29">
                        <c:v>-53.09677245508982</c:v>
                      </c:pt>
                      <c:pt idx="30">
                        <c:v>-53.333898203592817</c:v>
                      </c:pt>
                      <c:pt idx="31">
                        <c:v>-53.571023952095814</c:v>
                      </c:pt>
                      <c:pt idx="32">
                        <c:v>-53.808149700598804</c:v>
                      </c:pt>
                      <c:pt idx="33">
                        <c:v>-54.055479041916172</c:v>
                      </c:pt>
                      <c:pt idx="34">
                        <c:v>-54.309610778443115</c:v>
                      </c:pt>
                      <c:pt idx="35">
                        <c:v>-54.563742514970059</c:v>
                      </c:pt>
                      <c:pt idx="36">
                        <c:v>-54.817874251497003</c:v>
                      </c:pt>
                      <c:pt idx="37">
                        <c:v>-55.069562874251496</c:v>
                      </c:pt>
                      <c:pt idx="38">
                        <c:v>-55.317946107784429</c:v>
                      </c:pt>
                      <c:pt idx="39">
                        <c:v>-55.56632934131737</c:v>
                      </c:pt>
                      <c:pt idx="40">
                        <c:v>-55.814712574850304</c:v>
                      </c:pt>
                      <c:pt idx="41">
                        <c:v>-56.063335329341321</c:v>
                      </c:pt>
                      <c:pt idx="42">
                        <c:v>-56.312676646706592</c:v>
                      </c:pt>
                      <c:pt idx="43">
                        <c:v>-56.562017964071856</c:v>
                      </c:pt>
                      <c:pt idx="44">
                        <c:v>-56.81135928143712</c:v>
                      </c:pt>
                      <c:pt idx="45">
                        <c:v>-57.060700598802391</c:v>
                      </c:pt>
                      <c:pt idx="46">
                        <c:v>-57.310041916167663</c:v>
                      </c:pt>
                      <c:pt idx="47">
                        <c:v>-57.559383233532934</c:v>
                      </c:pt>
                      <c:pt idx="48">
                        <c:v>-57.808724550898205</c:v>
                      </c:pt>
                      <c:pt idx="49">
                        <c:v>-58.058065868263469</c:v>
                      </c:pt>
                      <c:pt idx="50">
                        <c:v>-58.295494382022468</c:v>
                      </c:pt>
                      <c:pt idx="51">
                        <c:v>-58.531599250936331</c:v>
                      </c:pt>
                      <c:pt idx="52">
                        <c:v>-58.767704119850187</c:v>
                      </c:pt>
                      <c:pt idx="53">
                        <c:v>-59.003808988764042</c:v>
                      </c:pt>
                      <c:pt idx="54">
                        <c:v>-59.239913857677905</c:v>
                      </c:pt>
                      <c:pt idx="55">
                        <c:v>-59.476018726591761</c:v>
                      </c:pt>
                      <c:pt idx="56">
                        <c:v>-59.712123595505616</c:v>
                      </c:pt>
                      <c:pt idx="57">
                        <c:v>-59.948228464419479</c:v>
                      </c:pt>
                      <c:pt idx="58">
                        <c:v>-60.184333333333335</c:v>
                      </c:pt>
                      <c:pt idx="59">
                        <c:v>-60.42043820224719</c:v>
                      </c:pt>
                      <c:pt idx="60">
                        <c:v>-60.656543071161053</c:v>
                      </c:pt>
                      <c:pt idx="61">
                        <c:v>-60.892647940074909</c:v>
                      </c:pt>
                      <c:pt idx="62">
                        <c:v>-61.128752808988764</c:v>
                      </c:pt>
                      <c:pt idx="63">
                        <c:v>-61.364857677902627</c:v>
                      </c:pt>
                      <c:pt idx="64">
                        <c:v>-61.600962546816483</c:v>
                      </c:pt>
                      <c:pt idx="65">
                        <c:v>-61.837067415730338</c:v>
                      </c:pt>
                      <c:pt idx="66">
                        <c:v>-62.070650936329592</c:v>
                      </c:pt>
                      <c:pt idx="67">
                        <c:v>-62.294890636704125</c:v>
                      </c:pt>
                      <c:pt idx="68">
                        <c:v>-62.519130337078657</c:v>
                      </c:pt>
                      <c:pt idx="69">
                        <c:v>-62.74337003745319</c:v>
                      </c:pt>
                      <c:pt idx="70">
                        <c:v>-62.967609737827722</c:v>
                      </c:pt>
                      <c:pt idx="71">
                        <c:v>-63.191849438202254</c:v>
                      </c:pt>
                      <c:pt idx="72">
                        <c:v>-63.41608913857678</c:v>
                      </c:pt>
                      <c:pt idx="73">
                        <c:v>-63.640328838951312</c:v>
                      </c:pt>
                      <c:pt idx="74">
                        <c:v>-63.864568539325845</c:v>
                      </c:pt>
                      <c:pt idx="75">
                        <c:v>-64.088808239700384</c:v>
                      </c:pt>
                      <c:pt idx="76">
                        <c:v>-64.31304794007491</c:v>
                      </c:pt>
                      <c:pt idx="77">
                        <c:v>-64.537287640449435</c:v>
                      </c:pt>
                      <c:pt idx="78">
                        <c:v>-64.761527340823974</c:v>
                      </c:pt>
                      <c:pt idx="79">
                        <c:v>-64.9857670411985</c:v>
                      </c:pt>
                      <c:pt idx="80">
                        <c:v>-65.210006741573039</c:v>
                      </c:pt>
                      <c:pt idx="81">
                        <c:v>-65.434246441947565</c:v>
                      </c:pt>
                      <c:pt idx="82">
                        <c:v>-65.658486142322104</c:v>
                      </c:pt>
                      <c:pt idx="83">
                        <c:v>-65.876716216216224</c:v>
                      </c:pt>
                      <c:pt idx="84">
                        <c:v>-66.089509009009006</c:v>
                      </c:pt>
                      <c:pt idx="85">
                        <c:v>-66.302301801801804</c:v>
                      </c:pt>
                      <c:pt idx="86">
                        <c:v>-66.515094594594601</c:v>
                      </c:pt>
                      <c:pt idx="87">
                        <c:v>-44.975564356435648</c:v>
                      </c:pt>
                      <c:pt idx="88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73D-4876-A6EA-FACE45BB2F19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[1]EVALUATION!$B$138:$CP$138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-37.456036036036032</c:v>
                      </c:pt>
                      <c:pt idx="1">
                        <c:v>-36.754534534534535</c:v>
                      </c:pt>
                      <c:pt idx="2">
                        <c:v>-36.053033033033032</c:v>
                      </c:pt>
                      <c:pt idx="3">
                        <c:v>-35.351531531531528</c:v>
                      </c:pt>
                      <c:pt idx="4">
                        <c:v>-34.77434131736527</c:v>
                      </c:pt>
                      <c:pt idx="5">
                        <c:v>-34.225838323353294</c:v>
                      </c:pt>
                      <c:pt idx="6">
                        <c:v>-33.677335329341318</c:v>
                      </c:pt>
                      <c:pt idx="7">
                        <c:v>-33.128832335329342</c:v>
                      </c:pt>
                      <c:pt idx="8">
                        <c:v>-32.657592814371256</c:v>
                      </c:pt>
                      <c:pt idx="9">
                        <c:v>-32.230287425149697</c:v>
                      </c:pt>
                      <c:pt idx="10">
                        <c:v>-31.802982035928146</c:v>
                      </c:pt>
                      <c:pt idx="11">
                        <c:v>-31.375676646706587</c:v>
                      </c:pt>
                      <c:pt idx="12">
                        <c:v>-30.997113772455091</c:v>
                      </c:pt>
                      <c:pt idx="13">
                        <c:v>-30.675197604790419</c:v>
                      </c:pt>
                      <c:pt idx="14">
                        <c:v>-30.353281437125748</c:v>
                      </c:pt>
                      <c:pt idx="15">
                        <c:v>-30.031365269461077</c:v>
                      </c:pt>
                      <c:pt idx="16">
                        <c:v>-29.749044910179641</c:v>
                      </c:pt>
                      <c:pt idx="17">
                        <c:v>-29.564853293413172</c:v>
                      </c:pt>
                      <c:pt idx="18">
                        <c:v>-29.380661676646707</c:v>
                      </c:pt>
                      <c:pt idx="19">
                        <c:v>-29.196470059880241</c:v>
                      </c:pt>
                      <c:pt idx="20">
                        <c:v>-29.031194610778446</c:v>
                      </c:pt>
                      <c:pt idx="21">
                        <c:v>-29.015146706586826</c:v>
                      </c:pt>
                      <c:pt idx="22">
                        <c:v>-28.99909880239521</c:v>
                      </c:pt>
                      <c:pt idx="23">
                        <c:v>-28.983050898203594</c:v>
                      </c:pt>
                      <c:pt idx="24">
                        <c:v>-28.967002994011978</c:v>
                      </c:pt>
                      <c:pt idx="25">
                        <c:v>-29.170279279279281</c:v>
                      </c:pt>
                      <c:pt idx="26">
                        <c:v>-29.388177177177177</c:v>
                      </c:pt>
                      <c:pt idx="27">
                        <c:v>-29.606075075075076</c:v>
                      </c:pt>
                      <c:pt idx="28">
                        <c:v>-29.823972972972971</c:v>
                      </c:pt>
                      <c:pt idx="29">
                        <c:v>-29.965814371257483</c:v>
                      </c:pt>
                      <c:pt idx="30">
                        <c:v>-30.085574850299402</c:v>
                      </c:pt>
                      <c:pt idx="31">
                        <c:v>-30.205335329341317</c:v>
                      </c:pt>
                      <c:pt idx="32">
                        <c:v>-30.325095808383235</c:v>
                      </c:pt>
                      <c:pt idx="33">
                        <c:v>-30.453622754491018</c:v>
                      </c:pt>
                      <c:pt idx="34">
                        <c:v>-30.587994011976047</c:v>
                      </c:pt>
                      <c:pt idx="35">
                        <c:v>-30.722365269461079</c:v>
                      </c:pt>
                      <c:pt idx="36">
                        <c:v>-30.856736526946108</c:v>
                      </c:pt>
                      <c:pt idx="37">
                        <c:v>-30.990700598802395</c:v>
                      </c:pt>
                      <c:pt idx="38">
                        <c:v>-31.12411377245509</c:v>
                      </c:pt>
                      <c:pt idx="39">
                        <c:v>-31.257526946107784</c:v>
                      </c:pt>
                      <c:pt idx="40">
                        <c:v>-31.390940119760479</c:v>
                      </c:pt>
                      <c:pt idx="41">
                        <c:v>-31.524592814371257</c:v>
                      </c:pt>
                      <c:pt idx="42">
                        <c:v>-31.658964071856285</c:v>
                      </c:pt>
                      <c:pt idx="43">
                        <c:v>-31.793335329341318</c:v>
                      </c:pt>
                      <c:pt idx="44">
                        <c:v>-31.927706586826346</c:v>
                      </c:pt>
                      <c:pt idx="45">
                        <c:v>-32.062077844311375</c:v>
                      </c:pt>
                      <c:pt idx="46">
                        <c:v>-32.196449101796411</c:v>
                      </c:pt>
                      <c:pt idx="47">
                        <c:v>-32.330820359281439</c:v>
                      </c:pt>
                      <c:pt idx="48">
                        <c:v>-32.465191616766468</c:v>
                      </c:pt>
                      <c:pt idx="49">
                        <c:v>-32.599562874251497</c:v>
                      </c:pt>
                      <c:pt idx="50">
                        <c:v>-32.727876404494381</c:v>
                      </c:pt>
                      <c:pt idx="51">
                        <c:v>-32.855516853932585</c:v>
                      </c:pt>
                      <c:pt idx="52">
                        <c:v>-32.983157303370788</c:v>
                      </c:pt>
                      <c:pt idx="53">
                        <c:v>-33.110797752808992</c:v>
                      </c:pt>
                      <c:pt idx="54">
                        <c:v>-33.238438202247195</c:v>
                      </c:pt>
                      <c:pt idx="55">
                        <c:v>-33.366078651685392</c:v>
                      </c:pt>
                      <c:pt idx="56">
                        <c:v>-33.493719101123595</c:v>
                      </c:pt>
                      <c:pt idx="57">
                        <c:v>-33.621359550561799</c:v>
                      </c:pt>
                      <c:pt idx="58">
                        <c:v>-33.749000000000002</c:v>
                      </c:pt>
                      <c:pt idx="59">
                        <c:v>-33.876640449438206</c:v>
                      </c:pt>
                      <c:pt idx="60">
                        <c:v>-34.004280898876409</c:v>
                      </c:pt>
                      <c:pt idx="61">
                        <c:v>-34.131921348314606</c:v>
                      </c:pt>
                      <c:pt idx="62">
                        <c:v>-34.259561797752809</c:v>
                      </c:pt>
                      <c:pt idx="63">
                        <c:v>-34.387202247191013</c:v>
                      </c:pt>
                      <c:pt idx="64">
                        <c:v>-34.514842696629216</c:v>
                      </c:pt>
                      <c:pt idx="65">
                        <c:v>-34.64248314606742</c:v>
                      </c:pt>
                      <c:pt idx="66">
                        <c:v>-34.768748314606746</c:v>
                      </c:pt>
                      <c:pt idx="67">
                        <c:v>-34.88991685393259</c:v>
                      </c:pt>
                      <c:pt idx="68">
                        <c:v>-35.011085393258426</c:v>
                      </c:pt>
                      <c:pt idx="69">
                        <c:v>-35.13225393258427</c:v>
                      </c:pt>
                      <c:pt idx="70">
                        <c:v>-35.253422471910113</c:v>
                      </c:pt>
                      <c:pt idx="71">
                        <c:v>-35.374591011235957</c:v>
                      </c:pt>
                      <c:pt idx="72">
                        <c:v>-35.4957595505618</c:v>
                      </c:pt>
                      <c:pt idx="73">
                        <c:v>-35.616928089887644</c:v>
                      </c:pt>
                      <c:pt idx="74">
                        <c:v>-35.738096629213487</c:v>
                      </c:pt>
                      <c:pt idx="75">
                        <c:v>-35.859265168539331</c:v>
                      </c:pt>
                      <c:pt idx="76">
                        <c:v>-35.980433707865167</c:v>
                      </c:pt>
                      <c:pt idx="77">
                        <c:v>-36.101602247191011</c:v>
                      </c:pt>
                      <c:pt idx="78">
                        <c:v>-36.222770786516854</c:v>
                      </c:pt>
                      <c:pt idx="79">
                        <c:v>-36.343939325842697</c:v>
                      </c:pt>
                      <c:pt idx="80">
                        <c:v>-36.465107865168541</c:v>
                      </c:pt>
                      <c:pt idx="81">
                        <c:v>-36.586276404494384</c:v>
                      </c:pt>
                      <c:pt idx="82">
                        <c:v>-36.707444943820228</c:v>
                      </c:pt>
                      <c:pt idx="83">
                        <c:v>-36.825319819819818</c:v>
                      </c:pt>
                      <c:pt idx="84">
                        <c:v>-36.940214714714713</c:v>
                      </c:pt>
                      <c:pt idx="85">
                        <c:v>-37.055109609609609</c:v>
                      </c:pt>
                      <c:pt idx="86">
                        <c:v>-37.170004504504504</c:v>
                      </c:pt>
                      <c:pt idx="87">
                        <c:v>-8.1209504950495059</c:v>
                      </c:pt>
                      <c:pt idx="88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73D-4876-A6EA-FACE45BB2F19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[1]EVALUATION!$B$139:$CP$139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-184.14450450450451</c:v>
                      </c:pt>
                      <c:pt idx="1">
                        <c:v>-180.19015015015015</c:v>
                      </c:pt>
                      <c:pt idx="2">
                        <c:v>-176.23579579579581</c:v>
                      </c:pt>
                      <c:pt idx="3">
                        <c:v>-172.28144144144147</c:v>
                      </c:pt>
                      <c:pt idx="4">
                        <c:v>-168.94194610778445</c:v>
                      </c:pt>
                      <c:pt idx="5">
                        <c:v>-165.74434131736527</c:v>
                      </c:pt>
                      <c:pt idx="6">
                        <c:v>-162.54673652694612</c:v>
                      </c:pt>
                      <c:pt idx="7">
                        <c:v>-159.34913173652694</c:v>
                      </c:pt>
                      <c:pt idx="8">
                        <c:v>-156.51188622754489</c:v>
                      </c:pt>
                      <c:pt idx="9">
                        <c:v>-153.87955089820358</c:v>
                      </c:pt>
                      <c:pt idx="10">
                        <c:v>-151.24721556886226</c:v>
                      </c:pt>
                      <c:pt idx="11">
                        <c:v>-148.61488023952094</c:v>
                      </c:pt>
                      <c:pt idx="12">
                        <c:v>-146.17973053892214</c:v>
                      </c:pt>
                      <c:pt idx="13">
                        <c:v>-143.97374251497007</c:v>
                      </c:pt>
                      <c:pt idx="14">
                        <c:v>-141.76775449101797</c:v>
                      </c:pt>
                      <c:pt idx="15">
                        <c:v>-139.56176646706587</c:v>
                      </c:pt>
                      <c:pt idx="16">
                        <c:v>-137.45494011976049</c:v>
                      </c:pt>
                      <c:pt idx="17">
                        <c:v>-135.59386227544911</c:v>
                      </c:pt>
                      <c:pt idx="18">
                        <c:v>-133.73278443113773</c:v>
                      </c:pt>
                      <c:pt idx="19">
                        <c:v>-131.87170658682635</c:v>
                      </c:pt>
                      <c:pt idx="20">
                        <c:v>-130.04404191616766</c:v>
                      </c:pt>
                      <c:pt idx="21">
                        <c:v>-128.47997005988023</c:v>
                      </c:pt>
                      <c:pt idx="22">
                        <c:v>-126.91589820359282</c:v>
                      </c:pt>
                      <c:pt idx="23">
                        <c:v>-125.35182634730539</c:v>
                      </c:pt>
                      <c:pt idx="24">
                        <c:v>-123.78775449101796</c:v>
                      </c:pt>
                      <c:pt idx="25">
                        <c:v>-123.46702702702703</c:v>
                      </c:pt>
                      <c:pt idx="26">
                        <c:v>-123.22918918918919</c:v>
                      </c:pt>
                      <c:pt idx="27">
                        <c:v>-122.99135135135135</c:v>
                      </c:pt>
                      <c:pt idx="28">
                        <c:v>-122.75351351351351</c:v>
                      </c:pt>
                      <c:pt idx="29">
                        <c:v>-123.46293413173653</c:v>
                      </c:pt>
                      <c:pt idx="30">
                        <c:v>-124.44736526946109</c:v>
                      </c:pt>
                      <c:pt idx="31">
                        <c:v>-125.43179640718563</c:v>
                      </c:pt>
                      <c:pt idx="32">
                        <c:v>-126.41622754491017</c:v>
                      </c:pt>
                      <c:pt idx="33">
                        <c:v>-127.39922155688622</c:v>
                      </c:pt>
                      <c:pt idx="34">
                        <c:v>-128.38125748502995</c:v>
                      </c:pt>
                      <c:pt idx="35">
                        <c:v>-129.36329341317364</c:v>
                      </c:pt>
                      <c:pt idx="36">
                        <c:v>-130.34532934131735</c:v>
                      </c:pt>
                      <c:pt idx="37">
                        <c:v>-131.31718562874252</c:v>
                      </c:pt>
                      <c:pt idx="38">
                        <c:v>-132.27526946107784</c:v>
                      </c:pt>
                      <c:pt idx="39">
                        <c:v>-133.23335329341316</c:v>
                      </c:pt>
                      <c:pt idx="40">
                        <c:v>-134.19143712574851</c:v>
                      </c:pt>
                      <c:pt idx="41">
                        <c:v>-135.14592814371258</c:v>
                      </c:pt>
                      <c:pt idx="42">
                        <c:v>-136.08964071856286</c:v>
                      </c:pt>
                      <c:pt idx="43">
                        <c:v>-137.03335329341317</c:v>
                      </c:pt>
                      <c:pt idx="44">
                        <c:v>-137.97706586826348</c:v>
                      </c:pt>
                      <c:pt idx="45">
                        <c:v>-138.91970059880239</c:v>
                      </c:pt>
                      <c:pt idx="46">
                        <c:v>-139.84904191616766</c:v>
                      </c:pt>
                      <c:pt idx="47">
                        <c:v>-140.77838323353294</c:v>
                      </c:pt>
                      <c:pt idx="48">
                        <c:v>-141.70772455089821</c:v>
                      </c:pt>
                      <c:pt idx="49">
                        <c:v>-142.63706586826348</c:v>
                      </c:pt>
                      <c:pt idx="50">
                        <c:v>-143.50932584269663</c:v>
                      </c:pt>
                      <c:pt idx="51">
                        <c:v>-144.37524344569289</c:v>
                      </c:pt>
                      <c:pt idx="52">
                        <c:v>-145.24116104868915</c:v>
                      </c:pt>
                      <c:pt idx="53">
                        <c:v>-146.10707865168538</c:v>
                      </c:pt>
                      <c:pt idx="54">
                        <c:v>-146.97299625468165</c:v>
                      </c:pt>
                      <c:pt idx="55">
                        <c:v>-147.83891385767791</c:v>
                      </c:pt>
                      <c:pt idx="56">
                        <c:v>-148.70483146067417</c:v>
                      </c:pt>
                      <c:pt idx="57">
                        <c:v>-149.57074906367041</c:v>
                      </c:pt>
                      <c:pt idx="58">
                        <c:v>-150.43666666666667</c:v>
                      </c:pt>
                      <c:pt idx="59">
                        <c:v>-151.30258426966293</c:v>
                      </c:pt>
                      <c:pt idx="60">
                        <c:v>-152.16850187265919</c:v>
                      </c:pt>
                      <c:pt idx="61">
                        <c:v>-153.03441947565543</c:v>
                      </c:pt>
                      <c:pt idx="62">
                        <c:v>-153.90033707865169</c:v>
                      </c:pt>
                      <c:pt idx="63">
                        <c:v>-154.76625468164795</c:v>
                      </c:pt>
                      <c:pt idx="64">
                        <c:v>-155.63217228464421</c:v>
                      </c:pt>
                      <c:pt idx="65">
                        <c:v>-156.49808988764045</c:v>
                      </c:pt>
                      <c:pt idx="66">
                        <c:v>-157.34146816479401</c:v>
                      </c:pt>
                      <c:pt idx="67">
                        <c:v>-158.10131835205993</c:v>
                      </c:pt>
                      <c:pt idx="68">
                        <c:v>-158.86116853932586</c:v>
                      </c:pt>
                      <c:pt idx="69">
                        <c:v>-159.62101872659179</c:v>
                      </c:pt>
                      <c:pt idx="70">
                        <c:v>-160.38086891385768</c:v>
                      </c:pt>
                      <c:pt idx="71">
                        <c:v>-161.14071910112361</c:v>
                      </c:pt>
                      <c:pt idx="72">
                        <c:v>-161.90056928838953</c:v>
                      </c:pt>
                      <c:pt idx="73">
                        <c:v>-162.66041947565543</c:v>
                      </c:pt>
                      <c:pt idx="74">
                        <c:v>-163.42026966292136</c:v>
                      </c:pt>
                      <c:pt idx="75">
                        <c:v>-164.18011985018728</c:v>
                      </c:pt>
                      <c:pt idx="76">
                        <c:v>-164.93997003745321</c:v>
                      </c:pt>
                      <c:pt idx="77">
                        <c:v>-165.6998202247191</c:v>
                      </c:pt>
                      <c:pt idx="78">
                        <c:v>-166.45967041198503</c:v>
                      </c:pt>
                      <c:pt idx="79">
                        <c:v>-167.21952059925096</c:v>
                      </c:pt>
                      <c:pt idx="80">
                        <c:v>-167.97937078651688</c:v>
                      </c:pt>
                      <c:pt idx="81">
                        <c:v>-168.73922097378278</c:v>
                      </c:pt>
                      <c:pt idx="82">
                        <c:v>-169.4990711610487</c:v>
                      </c:pt>
                      <c:pt idx="83">
                        <c:v>-170.1970720720721</c:v>
                      </c:pt>
                      <c:pt idx="84">
                        <c:v>-170.83911411411412</c:v>
                      </c:pt>
                      <c:pt idx="85">
                        <c:v>-171.48115615615617</c:v>
                      </c:pt>
                      <c:pt idx="86">
                        <c:v>-172.12319819819822</c:v>
                      </c:pt>
                      <c:pt idx="87">
                        <c:v>-19.85920792079208</c:v>
                      </c:pt>
                      <c:pt idx="88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73D-4876-A6EA-FACE45BB2F19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[1]EVALUATION!$B$140:$CP$140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>
                        <c:v>-13.456826347305389</c:v>
                      </c:pt>
                      <c:pt idx="5">
                        <c:v>-12.886766467065867</c:v>
                      </c:pt>
                      <c:pt idx="6">
                        <c:v>-12.316706586826346</c:v>
                      </c:pt>
                      <c:pt idx="7">
                        <c:v>-11.746646706586823</c:v>
                      </c:pt>
                      <c:pt idx="8">
                        <c:v>-11.204988023952094</c:v>
                      </c:pt>
                      <c:pt idx="9">
                        <c:v>-10.679479041916167</c:v>
                      </c:pt>
                      <c:pt idx="10">
                        <c:v>-10.153970059880239</c:v>
                      </c:pt>
                      <c:pt idx="11">
                        <c:v>-9.628461077844312</c:v>
                      </c:pt>
                      <c:pt idx="12">
                        <c:v>-9.1539101796407198</c:v>
                      </c:pt>
                      <c:pt idx="13">
                        <c:v>-8.7385808383233528</c:v>
                      </c:pt>
                      <c:pt idx="14">
                        <c:v>-8.3232514970059874</c:v>
                      </c:pt>
                      <c:pt idx="15">
                        <c:v>-7.9079221556886221</c:v>
                      </c:pt>
                      <c:pt idx="16">
                        <c:v>-7.5390748502994009</c:v>
                      </c:pt>
                      <c:pt idx="17">
                        <c:v>-7.2854221556886225</c:v>
                      </c:pt>
                      <c:pt idx="18">
                        <c:v>-7.031769461077845</c:v>
                      </c:pt>
                      <c:pt idx="19">
                        <c:v>-6.7781167664670665</c:v>
                      </c:pt>
                      <c:pt idx="20">
                        <c:v>-6.5428413173652693</c:v>
                      </c:pt>
                      <c:pt idx="21">
                        <c:v>-6.4525419161676645</c:v>
                      </c:pt>
                      <c:pt idx="22">
                        <c:v>-6.3622425149700597</c:v>
                      </c:pt>
                      <c:pt idx="23">
                        <c:v>-6.2719431137724548</c:v>
                      </c:pt>
                      <c:pt idx="24">
                        <c:v>-6.18164371257485</c:v>
                      </c:pt>
                      <c:pt idx="25">
                        <c:v>-6.3239729729729737</c:v>
                      </c:pt>
                      <c:pt idx="26">
                        <c:v>-6.4818108108108117</c:v>
                      </c:pt>
                      <c:pt idx="27">
                        <c:v>-6.6396486486486497</c:v>
                      </c:pt>
                      <c:pt idx="28">
                        <c:v>-6.7974864864864877</c:v>
                      </c:pt>
                      <c:pt idx="29">
                        <c:v>-6.8348562874251497</c:v>
                      </c:pt>
                      <c:pt idx="30">
                        <c:v>-6.8372514970059886</c:v>
                      </c:pt>
                      <c:pt idx="31">
                        <c:v>-6.8396467065868265</c:v>
                      </c:pt>
                      <c:pt idx="32">
                        <c:v>-6.8420419161676644</c:v>
                      </c:pt>
                      <c:pt idx="33">
                        <c:v>-6.8517664670658682</c:v>
                      </c:pt>
                      <c:pt idx="34">
                        <c:v>-6.866377245508982</c:v>
                      </c:pt>
                      <c:pt idx="35">
                        <c:v>-6.8809880239520957</c:v>
                      </c:pt>
                      <c:pt idx="36">
                        <c:v>-6.8955988023952095</c:v>
                      </c:pt>
                      <c:pt idx="37">
                        <c:v>-6.911838323353293</c:v>
                      </c:pt>
                      <c:pt idx="38">
                        <c:v>-6.930281437125748</c:v>
                      </c:pt>
                      <c:pt idx="39">
                        <c:v>-6.9487245508982038</c:v>
                      </c:pt>
                      <c:pt idx="40">
                        <c:v>-6.9671676646706588</c:v>
                      </c:pt>
                      <c:pt idx="41">
                        <c:v>-6.9858502994011973</c:v>
                      </c:pt>
                      <c:pt idx="42">
                        <c:v>-7.0052514970059878</c:v>
                      </c:pt>
                      <c:pt idx="43">
                        <c:v>-7.0246526946107783</c:v>
                      </c:pt>
                      <c:pt idx="44">
                        <c:v>-7.0440538922155689</c:v>
                      </c:pt>
                      <c:pt idx="45">
                        <c:v>-7.0634550898203594</c:v>
                      </c:pt>
                      <c:pt idx="46">
                        <c:v>-7.0828562874251499</c:v>
                      </c:pt>
                      <c:pt idx="47">
                        <c:v>-7.1022574850299405</c:v>
                      </c:pt>
                      <c:pt idx="48">
                        <c:v>-7.1216586826347301</c:v>
                      </c:pt>
                      <c:pt idx="49">
                        <c:v>-7.1410598802395207</c:v>
                      </c:pt>
                      <c:pt idx="50">
                        <c:v>-7.1602584269662923</c:v>
                      </c:pt>
                      <c:pt idx="51">
                        <c:v>-7.1794344569288393</c:v>
                      </c:pt>
                      <c:pt idx="52">
                        <c:v>-7.1986104868913854</c:v>
                      </c:pt>
                      <c:pt idx="53">
                        <c:v>-7.2177865168539324</c:v>
                      </c:pt>
                      <c:pt idx="54">
                        <c:v>-7.2369625468164793</c:v>
                      </c:pt>
                      <c:pt idx="55">
                        <c:v>-7.2561385767790263</c:v>
                      </c:pt>
                      <c:pt idx="56">
                        <c:v>-7.2753146067415733</c:v>
                      </c:pt>
                      <c:pt idx="57">
                        <c:v>-7.2944906367041202</c:v>
                      </c:pt>
                      <c:pt idx="58">
                        <c:v>-7.3136666666666663</c:v>
                      </c:pt>
                      <c:pt idx="59">
                        <c:v>-7.3328426966292133</c:v>
                      </c:pt>
                      <c:pt idx="60">
                        <c:v>-7.3520187265917603</c:v>
                      </c:pt>
                      <c:pt idx="61">
                        <c:v>-7.3711947565543072</c:v>
                      </c:pt>
                      <c:pt idx="62">
                        <c:v>-7.3903707865168542</c:v>
                      </c:pt>
                      <c:pt idx="63">
                        <c:v>-7.4095468164794012</c:v>
                      </c:pt>
                      <c:pt idx="64">
                        <c:v>-7.4287228464419481</c:v>
                      </c:pt>
                      <c:pt idx="65">
                        <c:v>-7.4478988764044942</c:v>
                      </c:pt>
                      <c:pt idx="66">
                        <c:v>-7.4668456928838953</c:v>
                      </c:pt>
                      <c:pt idx="67">
                        <c:v>-7.484943071161049</c:v>
                      </c:pt>
                      <c:pt idx="68">
                        <c:v>-7.5030404494382026</c:v>
                      </c:pt>
                      <c:pt idx="69">
                        <c:v>-7.5211378277153562</c:v>
                      </c:pt>
                      <c:pt idx="70">
                        <c:v>-7.5392352059925098</c:v>
                      </c:pt>
                      <c:pt idx="71">
                        <c:v>-7.5573325842696626</c:v>
                      </c:pt>
                      <c:pt idx="72">
                        <c:v>-7.5754299625468162</c:v>
                      </c:pt>
                      <c:pt idx="73">
                        <c:v>-7.5935273408239699</c:v>
                      </c:pt>
                      <c:pt idx="74">
                        <c:v>-7.6116247191011235</c:v>
                      </c:pt>
                      <c:pt idx="75">
                        <c:v>-7.6297220973782771</c:v>
                      </c:pt>
                      <c:pt idx="76">
                        <c:v>-7.6478194756554307</c:v>
                      </c:pt>
                      <c:pt idx="77">
                        <c:v>-7.6659168539325844</c:v>
                      </c:pt>
                      <c:pt idx="78">
                        <c:v>-7.684014232209738</c:v>
                      </c:pt>
                      <c:pt idx="79">
                        <c:v>-7.7021116104868916</c:v>
                      </c:pt>
                      <c:pt idx="80">
                        <c:v>-7.7202089887640444</c:v>
                      </c:pt>
                      <c:pt idx="81">
                        <c:v>-7.738306367041198</c:v>
                      </c:pt>
                      <c:pt idx="82">
                        <c:v>-7.7564037453183516</c:v>
                      </c:pt>
                      <c:pt idx="83">
                        <c:v>-7.7739234234234234</c:v>
                      </c:pt>
                      <c:pt idx="84">
                        <c:v>-7.7909204204204201</c:v>
                      </c:pt>
                      <c:pt idx="85">
                        <c:v>-7.8079174174174168</c:v>
                      </c:pt>
                      <c:pt idx="86">
                        <c:v>-7.8249144144144145</c:v>
                      </c:pt>
                      <c:pt idx="87">
                        <c:v>-64.814138613861388</c:v>
                      </c:pt>
                      <c:pt idx="88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73D-4876-A6EA-FACE45BB2F19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[1]EVALUATION!$B$142:$CP$142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>
                        <c:v>-21.317514970059882</c:v>
                      </c:pt>
                      <c:pt idx="5">
                        <c:v>-21.339071856287426</c:v>
                      </c:pt>
                      <c:pt idx="6">
                        <c:v>-21.360628742514972</c:v>
                      </c:pt>
                      <c:pt idx="7">
                        <c:v>-21.382185628742516</c:v>
                      </c:pt>
                      <c:pt idx="8">
                        <c:v>-21.452604790419162</c:v>
                      </c:pt>
                      <c:pt idx="9">
                        <c:v>-21.550808383233534</c:v>
                      </c:pt>
                      <c:pt idx="10">
                        <c:v>-21.649011976047905</c:v>
                      </c:pt>
                      <c:pt idx="11">
                        <c:v>-21.747215568862277</c:v>
                      </c:pt>
                      <c:pt idx="12">
                        <c:v>-21.843203592814373</c:v>
                      </c:pt>
                      <c:pt idx="13">
                        <c:v>-21.936616766467068</c:v>
                      </c:pt>
                      <c:pt idx="14">
                        <c:v>-22.030029940119761</c:v>
                      </c:pt>
                      <c:pt idx="15">
                        <c:v>-22.123443113772456</c:v>
                      </c:pt>
                      <c:pt idx="16">
                        <c:v>-22.209970059880241</c:v>
                      </c:pt>
                      <c:pt idx="17">
                        <c:v>-22.279431137724551</c:v>
                      </c:pt>
                      <c:pt idx="18">
                        <c:v>-22.348892215568863</c:v>
                      </c:pt>
                      <c:pt idx="19">
                        <c:v>-22.418353293413173</c:v>
                      </c:pt>
                      <c:pt idx="20">
                        <c:v>-22.488353293413173</c:v>
                      </c:pt>
                      <c:pt idx="21">
                        <c:v>-22.562604790419162</c:v>
                      </c:pt>
                      <c:pt idx="22">
                        <c:v>-22.63685628742515</c:v>
                      </c:pt>
                      <c:pt idx="23">
                        <c:v>-22.711107784431139</c:v>
                      </c:pt>
                      <c:pt idx="24">
                        <c:v>-22.785359281437124</c:v>
                      </c:pt>
                      <c:pt idx="25">
                        <c:v>-22.846306306306307</c:v>
                      </c:pt>
                      <c:pt idx="26">
                        <c:v>-22.906366366366367</c:v>
                      </c:pt>
                      <c:pt idx="27">
                        <c:v>-22.966426426426427</c:v>
                      </c:pt>
                      <c:pt idx="28">
                        <c:v>-23.026486486486487</c:v>
                      </c:pt>
                      <c:pt idx="29">
                        <c:v>-23.130958083832336</c:v>
                      </c:pt>
                      <c:pt idx="30">
                        <c:v>-23.248323353293415</c:v>
                      </c:pt>
                      <c:pt idx="31">
                        <c:v>-23.36568862275449</c:v>
                      </c:pt>
                      <c:pt idx="32">
                        <c:v>-23.483053892215569</c:v>
                      </c:pt>
                      <c:pt idx="33">
                        <c:v>-23.60185628742515</c:v>
                      </c:pt>
                      <c:pt idx="34">
                        <c:v>-23.721616766467065</c:v>
                      </c:pt>
                      <c:pt idx="35">
                        <c:v>-23.841377245508983</c:v>
                      </c:pt>
                      <c:pt idx="36">
                        <c:v>-23.961137724550898</c:v>
                      </c:pt>
                      <c:pt idx="37">
                        <c:v>-24.078862275449104</c:v>
                      </c:pt>
                      <c:pt idx="38">
                        <c:v>-24.193832335329343</c:v>
                      </c:pt>
                      <c:pt idx="39">
                        <c:v>-24.308802395209582</c:v>
                      </c:pt>
                      <c:pt idx="40">
                        <c:v>-24.423772455089821</c:v>
                      </c:pt>
                      <c:pt idx="41">
                        <c:v>-24.53874251497006</c:v>
                      </c:pt>
                      <c:pt idx="42">
                        <c:v>-24.653712574850299</c:v>
                      </c:pt>
                      <c:pt idx="43">
                        <c:v>-24.768682634730538</c:v>
                      </c:pt>
                      <c:pt idx="44">
                        <c:v>-24.883652694610777</c:v>
                      </c:pt>
                      <c:pt idx="45">
                        <c:v>-24.998622754491016</c:v>
                      </c:pt>
                      <c:pt idx="46">
                        <c:v>-25.113592814371255</c:v>
                      </c:pt>
                      <c:pt idx="47">
                        <c:v>-25.228562874251494</c:v>
                      </c:pt>
                      <c:pt idx="48">
                        <c:v>-25.343532934131737</c:v>
                      </c:pt>
                      <c:pt idx="49">
                        <c:v>-25.458502994011976</c:v>
                      </c:pt>
                      <c:pt idx="50">
                        <c:v>-25.567617977528091</c:v>
                      </c:pt>
                      <c:pt idx="51">
                        <c:v>-25.676082397003746</c:v>
                      </c:pt>
                      <c:pt idx="52">
                        <c:v>-25.784546816479402</c:v>
                      </c:pt>
                      <c:pt idx="53">
                        <c:v>-25.893011235955058</c:v>
                      </c:pt>
                      <c:pt idx="54">
                        <c:v>-26.001475655430713</c:v>
                      </c:pt>
                      <c:pt idx="55">
                        <c:v>-26.109940074906369</c:v>
                      </c:pt>
                      <c:pt idx="56">
                        <c:v>-26.218404494382021</c:v>
                      </c:pt>
                      <c:pt idx="57">
                        <c:v>-26.326868913857677</c:v>
                      </c:pt>
                      <c:pt idx="58">
                        <c:v>-26.435333333333332</c:v>
                      </c:pt>
                      <c:pt idx="59">
                        <c:v>-26.543797752808988</c:v>
                      </c:pt>
                      <c:pt idx="60">
                        <c:v>-26.652262172284644</c:v>
                      </c:pt>
                      <c:pt idx="61">
                        <c:v>-26.760726591760299</c:v>
                      </c:pt>
                      <c:pt idx="62">
                        <c:v>-26.869191011235955</c:v>
                      </c:pt>
                      <c:pt idx="63">
                        <c:v>-26.977655430711611</c:v>
                      </c:pt>
                      <c:pt idx="64">
                        <c:v>-27.086119850187266</c:v>
                      </c:pt>
                      <c:pt idx="65">
                        <c:v>-27.194584269662922</c:v>
                      </c:pt>
                      <c:pt idx="66">
                        <c:v>-27.301902621722849</c:v>
                      </c:pt>
                      <c:pt idx="67">
                        <c:v>-27.404973782771538</c:v>
                      </c:pt>
                      <c:pt idx="68">
                        <c:v>-27.508044943820227</c:v>
                      </c:pt>
                      <c:pt idx="69">
                        <c:v>-27.611116104868916</c:v>
                      </c:pt>
                      <c:pt idx="70">
                        <c:v>-27.714187265917605</c:v>
                      </c:pt>
                      <c:pt idx="71">
                        <c:v>-27.817258426966294</c:v>
                      </c:pt>
                      <c:pt idx="72">
                        <c:v>-27.920329588014983</c:v>
                      </c:pt>
                      <c:pt idx="73">
                        <c:v>-28.023400749063672</c:v>
                      </c:pt>
                      <c:pt idx="74">
                        <c:v>-28.126471910112361</c:v>
                      </c:pt>
                      <c:pt idx="75">
                        <c:v>-28.22954307116105</c:v>
                      </c:pt>
                      <c:pt idx="76">
                        <c:v>-28.332614232209739</c:v>
                      </c:pt>
                      <c:pt idx="77">
                        <c:v>-28.435685393258428</c:v>
                      </c:pt>
                      <c:pt idx="78">
                        <c:v>-28.538756554307117</c:v>
                      </c:pt>
                      <c:pt idx="79">
                        <c:v>-28.641827715355806</c:v>
                      </c:pt>
                      <c:pt idx="80">
                        <c:v>-28.744898876404495</c:v>
                      </c:pt>
                      <c:pt idx="81">
                        <c:v>-28.847970037453184</c:v>
                      </c:pt>
                      <c:pt idx="82">
                        <c:v>-28.951041198501873</c:v>
                      </c:pt>
                      <c:pt idx="83">
                        <c:v>-29.051396396396395</c:v>
                      </c:pt>
                      <c:pt idx="84">
                        <c:v>-29.149294294294293</c:v>
                      </c:pt>
                      <c:pt idx="85">
                        <c:v>-29.247192192192191</c:v>
                      </c:pt>
                      <c:pt idx="86">
                        <c:v>-29.345090090090089</c:v>
                      </c:pt>
                      <c:pt idx="87">
                        <c:v>-102.44289108910891</c:v>
                      </c:pt>
                      <c:pt idx="88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73D-4876-A6EA-FACE45BB2F19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[1]EVALUATION!$B$143:$CP$143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>
                        <c:v>-21.317514970059882</c:v>
                      </c:pt>
                      <c:pt idx="5">
                        <c:v>-21.339071856287426</c:v>
                      </c:pt>
                      <c:pt idx="6">
                        <c:v>-21.360628742514972</c:v>
                      </c:pt>
                      <c:pt idx="7">
                        <c:v>-21.382185628742516</c:v>
                      </c:pt>
                      <c:pt idx="8">
                        <c:v>-21.452604790419162</c:v>
                      </c:pt>
                      <c:pt idx="9">
                        <c:v>-21.550808383233534</c:v>
                      </c:pt>
                      <c:pt idx="10">
                        <c:v>-21.649011976047905</c:v>
                      </c:pt>
                      <c:pt idx="11">
                        <c:v>-21.747215568862277</c:v>
                      </c:pt>
                      <c:pt idx="12">
                        <c:v>-21.843203592814373</c:v>
                      </c:pt>
                      <c:pt idx="13">
                        <c:v>-21.936616766467068</c:v>
                      </c:pt>
                      <c:pt idx="14">
                        <c:v>-22.030029940119761</c:v>
                      </c:pt>
                      <c:pt idx="15">
                        <c:v>-22.123443113772456</c:v>
                      </c:pt>
                      <c:pt idx="16">
                        <c:v>-22.209970059880241</c:v>
                      </c:pt>
                      <c:pt idx="17">
                        <c:v>-22.279431137724551</c:v>
                      </c:pt>
                      <c:pt idx="18">
                        <c:v>-22.348892215568863</c:v>
                      </c:pt>
                      <c:pt idx="19">
                        <c:v>-22.418353293413173</c:v>
                      </c:pt>
                      <c:pt idx="20">
                        <c:v>-22.488353293413173</c:v>
                      </c:pt>
                      <c:pt idx="21">
                        <c:v>-22.562604790419162</c:v>
                      </c:pt>
                      <c:pt idx="22">
                        <c:v>-22.63685628742515</c:v>
                      </c:pt>
                      <c:pt idx="23">
                        <c:v>-22.711107784431139</c:v>
                      </c:pt>
                      <c:pt idx="24">
                        <c:v>-22.785359281437124</c:v>
                      </c:pt>
                      <c:pt idx="25">
                        <c:v>-22.846306306306307</c:v>
                      </c:pt>
                      <c:pt idx="26">
                        <c:v>-22.906366366366367</c:v>
                      </c:pt>
                      <c:pt idx="27">
                        <c:v>-22.966426426426427</c:v>
                      </c:pt>
                      <c:pt idx="28">
                        <c:v>-23.026486486486487</c:v>
                      </c:pt>
                      <c:pt idx="29">
                        <c:v>-23.130958083832336</c:v>
                      </c:pt>
                      <c:pt idx="30">
                        <c:v>-23.248323353293415</c:v>
                      </c:pt>
                      <c:pt idx="31">
                        <c:v>-23.36568862275449</c:v>
                      </c:pt>
                      <c:pt idx="32">
                        <c:v>-23.483053892215569</c:v>
                      </c:pt>
                      <c:pt idx="33">
                        <c:v>-23.60185628742515</c:v>
                      </c:pt>
                      <c:pt idx="34">
                        <c:v>-23.721616766467065</c:v>
                      </c:pt>
                      <c:pt idx="35">
                        <c:v>-23.841377245508983</c:v>
                      </c:pt>
                      <c:pt idx="36">
                        <c:v>-23.961137724550898</c:v>
                      </c:pt>
                      <c:pt idx="37">
                        <c:v>-24.078862275449104</c:v>
                      </c:pt>
                      <c:pt idx="38">
                        <c:v>-24.193832335329343</c:v>
                      </c:pt>
                      <c:pt idx="39">
                        <c:v>-24.308802395209582</c:v>
                      </c:pt>
                      <c:pt idx="40">
                        <c:v>-24.423772455089821</c:v>
                      </c:pt>
                      <c:pt idx="41">
                        <c:v>-24.53874251497006</c:v>
                      </c:pt>
                      <c:pt idx="42">
                        <c:v>-24.653712574850299</c:v>
                      </c:pt>
                      <c:pt idx="43">
                        <c:v>-24.768682634730538</c:v>
                      </c:pt>
                      <c:pt idx="44">
                        <c:v>-24.883652694610777</c:v>
                      </c:pt>
                      <c:pt idx="45">
                        <c:v>-24.998622754491016</c:v>
                      </c:pt>
                      <c:pt idx="46">
                        <c:v>-25.113592814371255</c:v>
                      </c:pt>
                      <c:pt idx="47">
                        <c:v>-25.228562874251494</c:v>
                      </c:pt>
                      <c:pt idx="48">
                        <c:v>-25.343532934131737</c:v>
                      </c:pt>
                      <c:pt idx="49">
                        <c:v>-25.458502994011976</c:v>
                      </c:pt>
                      <c:pt idx="50">
                        <c:v>-25.567617977528091</c:v>
                      </c:pt>
                      <c:pt idx="51">
                        <c:v>-25.676082397003746</c:v>
                      </c:pt>
                      <c:pt idx="52">
                        <c:v>-25.784546816479402</c:v>
                      </c:pt>
                      <c:pt idx="53">
                        <c:v>-25.893011235955058</c:v>
                      </c:pt>
                      <c:pt idx="54">
                        <c:v>-26.001475655430713</c:v>
                      </c:pt>
                      <c:pt idx="55">
                        <c:v>-26.109940074906369</c:v>
                      </c:pt>
                      <c:pt idx="56">
                        <c:v>-26.218404494382021</c:v>
                      </c:pt>
                      <c:pt idx="57">
                        <c:v>-26.326868913857677</c:v>
                      </c:pt>
                      <c:pt idx="58">
                        <c:v>-26.435333333333332</c:v>
                      </c:pt>
                      <c:pt idx="59">
                        <c:v>-26.543797752808988</c:v>
                      </c:pt>
                      <c:pt idx="60">
                        <c:v>-26.652262172284644</c:v>
                      </c:pt>
                      <c:pt idx="61">
                        <c:v>-26.760726591760299</c:v>
                      </c:pt>
                      <c:pt idx="62">
                        <c:v>-26.869191011235955</c:v>
                      </c:pt>
                      <c:pt idx="63">
                        <c:v>-26.977655430711611</c:v>
                      </c:pt>
                      <c:pt idx="64">
                        <c:v>-27.086119850187266</c:v>
                      </c:pt>
                      <c:pt idx="65">
                        <c:v>-27.194584269662922</c:v>
                      </c:pt>
                      <c:pt idx="66">
                        <c:v>-27.301902621722849</c:v>
                      </c:pt>
                      <c:pt idx="67">
                        <c:v>-27.404973782771538</c:v>
                      </c:pt>
                      <c:pt idx="68">
                        <c:v>-27.508044943820227</c:v>
                      </c:pt>
                      <c:pt idx="69">
                        <c:v>-27.611116104868916</c:v>
                      </c:pt>
                      <c:pt idx="70">
                        <c:v>-27.714187265917605</c:v>
                      </c:pt>
                      <c:pt idx="71">
                        <c:v>-27.817258426966294</c:v>
                      </c:pt>
                      <c:pt idx="72">
                        <c:v>-27.920329588014983</c:v>
                      </c:pt>
                      <c:pt idx="73">
                        <c:v>-28.023400749063672</c:v>
                      </c:pt>
                      <c:pt idx="74">
                        <c:v>-28.126471910112361</c:v>
                      </c:pt>
                      <c:pt idx="75">
                        <c:v>-28.22954307116105</c:v>
                      </c:pt>
                      <c:pt idx="76">
                        <c:v>-28.332614232209739</c:v>
                      </c:pt>
                      <c:pt idx="77">
                        <c:v>-28.435685393258428</c:v>
                      </c:pt>
                      <c:pt idx="78">
                        <c:v>-28.538756554307117</c:v>
                      </c:pt>
                      <c:pt idx="79">
                        <c:v>-28.641827715355806</c:v>
                      </c:pt>
                      <c:pt idx="80">
                        <c:v>-28.744898876404495</c:v>
                      </c:pt>
                      <c:pt idx="81">
                        <c:v>-28.847970037453184</c:v>
                      </c:pt>
                      <c:pt idx="82">
                        <c:v>-28.951041198501873</c:v>
                      </c:pt>
                      <c:pt idx="83">
                        <c:v>-29.051396396396395</c:v>
                      </c:pt>
                      <c:pt idx="84">
                        <c:v>-29.149294294294293</c:v>
                      </c:pt>
                      <c:pt idx="85">
                        <c:v>-29.247192192192191</c:v>
                      </c:pt>
                      <c:pt idx="86">
                        <c:v>-29.345090090090089</c:v>
                      </c:pt>
                      <c:pt idx="87">
                        <c:v>-44.975564356435648</c:v>
                      </c:pt>
                      <c:pt idx="88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73D-4876-A6EA-FACE45BB2F19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[1]EVALUATION!$B$144:$CP$144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>
                        <c:v>-21.317514970059882</c:v>
                      </c:pt>
                      <c:pt idx="5">
                        <c:v>-21.339071856287426</c:v>
                      </c:pt>
                      <c:pt idx="6">
                        <c:v>-21.360628742514972</c:v>
                      </c:pt>
                      <c:pt idx="7">
                        <c:v>-21.382185628742516</c:v>
                      </c:pt>
                      <c:pt idx="8">
                        <c:v>-21.452604790419162</c:v>
                      </c:pt>
                      <c:pt idx="9">
                        <c:v>-21.550808383233534</c:v>
                      </c:pt>
                      <c:pt idx="10">
                        <c:v>-21.649011976047905</c:v>
                      </c:pt>
                      <c:pt idx="11">
                        <c:v>-21.747215568862277</c:v>
                      </c:pt>
                      <c:pt idx="12">
                        <c:v>-21.843203592814373</c:v>
                      </c:pt>
                      <c:pt idx="13">
                        <c:v>-21.936616766467068</c:v>
                      </c:pt>
                      <c:pt idx="14">
                        <c:v>-22.030029940119761</c:v>
                      </c:pt>
                      <c:pt idx="15">
                        <c:v>-22.123443113772456</c:v>
                      </c:pt>
                      <c:pt idx="16">
                        <c:v>-22.209970059880241</c:v>
                      </c:pt>
                      <c:pt idx="17">
                        <c:v>-22.279431137724551</c:v>
                      </c:pt>
                      <c:pt idx="18">
                        <c:v>-22.348892215568863</c:v>
                      </c:pt>
                      <c:pt idx="19">
                        <c:v>-22.418353293413173</c:v>
                      </c:pt>
                      <c:pt idx="20">
                        <c:v>-22.488353293413173</c:v>
                      </c:pt>
                      <c:pt idx="21">
                        <c:v>-22.562604790419162</c:v>
                      </c:pt>
                      <c:pt idx="22">
                        <c:v>-22.63685628742515</c:v>
                      </c:pt>
                      <c:pt idx="23">
                        <c:v>-22.711107784431139</c:v>
                      </c:pt>
                      <c:pt idx="24">
                        <c:v>-22.785359281437124</c:v>
                      </c:pt>
                      <c:pt idx="25">
                        <c:v>-22.846306306306307</c:v>
                      </c:pt>
                      <c:pt idx="26">
                        <c:v>-22.906366366366367</c:v>
                      </c:pt>
                      <c:pt idx="27">
                        <c:v>-22.966426426426427</c:v>
                      </c:pt>
                      <c:pt idx="28">
                        <c:v>-23.026486486486487</c:v>
                      </c:pt>
                      <c:pt idx="29">
                        <c:v>-23.130958083832336</c:v>
                      </c:pt>
                      <c:pt idx="30">
                        <c:v>-23.248323353293415</c:v>
                      </c:pt>
                      <c:pt idx="31">
                        <c:v>-23.36568862275449</c:v>
                      </c:pt>
                      <c:pt idx="32">
                        <c:v>-23.483053892215569</c:v>
                      </c:pt>
                      <c:pt idx="33">
                        <c:v>-23.60185628742515</c:v>
                      </c:pt>
                      <c:pt idx="34">
                        <c:v>-23.721616766467065</c:v>
                      </c:pt>
                      <c:pt idx="35">
                        <c:v>-23.841377245508983</c:v>
                      </c:pt>
                      <c:pt idx="36">
                        <c:v>-23.961137724550898</c:v>
                      </c:pt>
                      <c:pt idx="37">
                        <c:v>-24.078862275449104</c:v>
                      </c:pt>
                      <c:pt idx="38">
                        <c:v>-24.193832335329343</c:v>
                      </c:pt>
                      <c:pt idx="39">
                        <c:v>-24.308802395209582</c:v>
                      </c:pt>
                      <c:pt idx="40">
                        <c:v>-24.423772455089821</c:v>
                      </c:pt>
                      <c:pt idx="41">
                        <c:v>-24.53874251497006</c:v>
                      </c:pt>
                      <c:pt idx="42">
                        <c:v>-24.653712574850299</c:v>
                      </c:pt>
                      <c:pt idx="43">
                        <c:v>-24.768682634730538</c:v>
                      </c:pt>
                      <c:pt idx="44">
                        <c:v>-24.883652694610777</c:v>
                      </c:pt>
                      <c:pt idx="45">
                        <c:v>-24.998622754491016</c:v>
                      </c:pt>
                      <c:pt idx="46">
                        <c:v>-25.113592814371255</c:v>
                      </c:pt>
                      <c:pt idx="47">
                        <c:v>-25.228562874251494</c:v>
                      </c:pt>
                      <c:pt idx="48">
                        <c:v>-25.343532934131737</c:v>
                      </c:pt>
                      <c:pt idx="49">
                        <c:v>-25.458502994011976</c:v>
                      </c:pt>
                      <c:pt idx="50">
                        <c:v>-25.567617977528091</c:v>
                      </c:pt>
                      <c:pt idx="51">
                        <c:v>-25.676082397003746</c:v>
                      </c:pt>
                      <c:pt idx="52">
                        <c:v>-25.784546816479402</c:v>
                      </c:pt>
                      <c:pt idx="53">
                        <c:v>-25.893011235955058</c:v>
                      </c:pt>
                      <c:pt idx="54">
                        <c:v>-26.001475655430713</c:v>
                      </c:pt>
                      <c:pt idx="55">
                        <c:v>-26.109940074906369</c:v>
                      </c:pt>
                      <c:pt idx="56">
                        <c:v>-26.218404494382021</c:v>
                      </c:pt>
                      <c:pt idx="57">
                        <c:v>-26.326868913857677</c:v>
                      </c:pt>
                      <c:pt idx="58">
                        <c:v>-26.435333333333332</c:v>
                      </c:pt>
                      <c:pt idx="59">
                        <c:v>-26.543797752808988</c:v>
                      </c:pt>
                      <c:pt idx="60">
                        <c:v>-26.652262172284644</c:v>
                      </c:pt>
                      <c:pt idx="61">
                        <c:v>-26.760726591760299</c:v>
                      </c:pt>
                      <c:pt idx="62">
                        <c:v>-26.869191011235955</c:v>
                      </c:pt>
                      <c:pt idx="63">
                        <c:v>-26.977655430711611</c:v>
                      </c:pt>
                      <c:pt idx="64">
                        <c:v>-27.086119850187266</c:v>
                      </c:pt>
                      <c:pt idx="65">
                        <c:v>-27.194584269662922</c:v>
                      </c:pt>
                      <c:pt idx="66">
                        <c:v>-27.301902621722849</c:v>
                      </c:pt>
                      <c:pt idx="67">
                        <c:v>-27.404973782771538</c:v>
                      </c:pt>
                      <c:pt idx="68">
                        <c:v>-27.508044943820227</c:v>
                      </c:pt>
                      <c:pt idx="69">
                        <c:v>-27.611116104868916</c:v>
                      </c:pt>
                      <c:pt idx="70">
                        <c:v>-27.714187265917605</c:v>
                      </c:pt>
                      <c:pt idx="71">
                        <c:v>-27.817258426966294</c:v>
                      </c:pt>
                      <c:pt idx="72">
                        <c:v>-27.920329588014983</c:v>
                      </c:pt>
                      <c:pt idx="73">
                        <c:v>-28.023400749063672</c:v>
                      </c:pt>
                      <c:pt idx="74">
                        <c:v>-28.126471910112361</c:v>
                      </c:pt>
                      <c:pt idx="75">
                        <c:v>-28.22954307116105</c:v>
                      </c:pt>
                      <c:pt idx="76">
                        <c:v>-28.332614232209739</c:v>
                      </c:pt>
                      <c:pt idx="77">
                        <c:v>-28.435685393258428</c:v>
                      </c:pt>
                      <c:pt idx="78">
                        <c:v>-28.538756554307117</c:v>
                      </c:pt>
                      <c:pt idx="79">
                        <c:v>-28.641827715355806</c:v>
                      </c:pt>
                      <c:pt idx="80">
                        <c:v>-28.744898876404495</c:v>
                      </c:pt>
                      <c:pt idx="81">
                        <c:v>-28.847970037453184</c:v>
                      </c:pt>
                      <c:pt idx="82">
                        <c:v>-28.951041198501873</c:v>
                      </c:pt>
                      <c:pt idx="83">
                        <c:v>-29.051396396396395</c:v>
                      </c:pt>
                      <c:pt idx="84">
                        <c:v>-29.149294294294293</c:v>
                      </c:pt>
                      <c:pt idx="85">
                        <c:v>-29.247192192192191</c:v>
                      </c:pt>
                      <c:pt idx="86">
                        <c:v>-29.345090090090089</c:v>
                      </c:pt>
                      <c:pt idx="87">
                        <c:v>-7.3468118811881187</c:v>
                      </c:pt>
                      <c:pt idx="88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73D-4876-A6EA-FACE45BB2F19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[1]EVALUATION!$B$145:$CP$145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>
                        <c:v>-21.317514970059882</c:v>
                      </c:pt>
                      <c:pt idx="5">
                        <c:v>-21.339071856287426</c:v>
                      </c:pt>
                      <c:pt idx="6">
                        <c:v>-21.360628742514972</c:v>
                      </c:pt>
                      <c:pt idx="7">
                        <c:v>-21.382185628742516</c:v>
                      </c:pt>
                      <c:pt idx="8">
                        <c:v>-21.452604790419162</c:v>
                      </c:pt>
                      <c:pt idx="9">
                        <c:v>-21.550808383233534</c:v>
                      </c:pt>
                      <c:pt idx="10">
                        <c:v>-21.649011976047905</c:v>
                      </c:pt>
                      <c:pt idx="11">
                        <c:v>-21.747215568862277</c:v>
                      </c:pt>
                      <c:pt idx="12">
                        <c:v>-21.843203592814373</c:v>
                      </c:pt>
                      <c:pt idx="13">
                        <c:v>-21.936616766467068</c:v>
                      </c:pt>
                      <c:pt idx="14">
                        <c:v>-22.030029940119761</c:v>
                      </c:pt>
                      <c:pt idx="15">
                        <c:v>-22.123443113772456</c:v>
                      </c:pt>
                      <c:pt idx="16">
                        <c:v>-22.209970059880241</c:v>
                      </c:pt>
                      <c:pt idx="17">
                        <c:v>-22.279431137724551</c:v>
                      </c:pt>
                      <c:pt idx="18">
                        <c:v>-22.348892215568863</c:v>
                      </c:pt>
                      <c:pt idx="19">
                        <c:v>-22.418353293413173</c:v>
                      </c:pt>
                      <c:pt idx="20">
                        <c:v>-22.488353293413173</c:v>
                      </c:pt>
                      <c:pt idx="21">
                        <c:v>-22.562604790419162</c:v>
                      </c:pt>
                      <c:pt idx="22">
                        <c:v>-22.63685628742515</c:v>
                      </c:pt>
                      <c:pt idx="23">
                        <c:v>-22.711107784431139</c:v>
                      </c:pt>
                      <c:pt idx="24">
                        <c:v>-22.785359281437124</c:v>
                      </c:pt>
                      <c:pt idx="25">
                        <c:v>-22.846306306306307</c:v>
                      </c:pt>
                      <c:pt idx="26">
                        <c:v>-22.906366366366367</c:v>
                      </c:pt>
                      <c:pt idx="27">
                        <c:v>-22.966426426426427</c:v>
                      </c:pt>
                      <c:pt idx="28">
                        <c:v>-23.026486486486487</c:v>
                      </c:pt>
                      <c:pt idx="29">
                        <c:v>-23.130958083832336</c:v>
                      </c:pt>
                      <c:pt idx="30">
                        <c:v>-23.248323353293415</c:v>
                      </c:pt>
                      <c:pt idx="31">
                        <c:v>-23.36568862275449</c:v>
                      </c:pt>
                      <c:pt idx="32">
                        <c:v>-23.483053892215569</c:v>
                      </c:pt>
                      <c:pt idx="33">
                        <c:v>-23.60185628742515</c:v>
                      </c:pt>
                      <c:pt idx="34">
                        <c:v>-23.721616766467065</c:v>
                      </c:pt>
                      <c:pt idx="35">
                        <c:v>-23.841377245508983</c:v>
                      </c:pt>
                      <c:pt idx="36">
                        <c:v>-23.961137724550898</c:v>
                      </c:pt>
                      <c:pt idx="37">
                        <c:v>-24.078862275449104</c:v>
                      </c:pt>
                      <c:pt idx="38">
                        <c:v>-24.193832335329343</c:v>
                      </c:pt>
                      <c:pt idx="39">
                        <c:v>-24.308802395209582</c:v>
                      </c:pt>
                      <c:pt idx="40">
                        <c:v>-24.423772455089821</c:v>
                      </c:pt>
                      <c:pt idx="41">
                        <c:v>-24.53874251497006</c:v>
                      </c:pt>
                      <c:pt idx="42">
                        <c:v>-24.653712574850299</c:v>
                      </c:pt>
                      <c:pt idx="43">
                        <c:v>-24.768682634730538</c:v>
                      </c:pt>
                      <c:pt idx="44">
                        <c:v>-24.883652694610777</c:v>
                      </c:pt>
                      <c:pt idx="45">
                        <c:v>-24.998622754491016</c:v>
                      </c:pt>
                      <c:pt idx="46">
                        <c:v>-25.113592814371255</c:v>
                      </c:pt>
                      <c:pt idx="47">
                        <c:v>-25.228562874251494</c:v>
                      </c:pt>
                      <c:pt idx="48">
                        <c:v>-25.343532934131737</c:v>
                      </c:pt>
                      <c:pt idx="49">
                        <c:v>-25.458502994011976</c:v>
                      </c:pt>
                      <c:pt idx="50">
                        <c:v>-25.567617977528091</c:v>
                      </c:pt>
                      <c:pt idx="51">
                        <c:v>-25.676082397003746</c:v>
                      </c:pt>
                      <c:pt idx="52">
                        <c:v>-25.784546816479402</c:v>
                      </c:pt>
                      <c:pt idx="53">
                        <c:v>-25.893011235955058</c:v>
                      </c:pt>
                      <c:pt idx="54">
                        <c:v>-26.001475655430713</c:v>
                      </c:pt>
                      <c:pt idx="55">
                        <c:v>-26.109940074906369</c:v>
                      </c:pt>
                      <c:pt idx="56">
                        <c:v>-26.218404494382021</c:v>
                      </c:pt>
                      <c:pt idx="57">
                        <c:v>-26.326868913857677</c:v>
                      </c:pt>
                      <c:pt idx="58">
                        <c:v>-26.435333333333332</c:v>
                      </c:pt>
                      <c:pt idx="59">
                        <c:v>-26.543797752808988</c:v>
                      </c:pt>
                      <c:pt idx="60">
                        <c:v>-26.652262172284644</c:v>
                      </c:pt>
                      <c:pt idx="61">
                        <c:v>-26.760726591760299</c:v>
                      </c:pt>
                      <c:pt idx="62">
                        <c:v>-26.869191011235955</c:v>
                      </c:pt>
                      <c:pt idx="63">
                        <c:v>-26.977655430711611</c:v>
                      </c:pt>
                      <c:pt idx="64">
                        <c:v>-27.086119850187266</c:v>
                      </c:pt>
                      <c:pt idx="65">
                        <c:v>-27.194584269662922</c:v>
                      </c:pt>
                      <c:pt idx="66">
                        <c:v>-27.301902621722849</c:v>
                      </c:pt>
                      <c:pt idx="67">
                        <c:v>-27.404973782771538</c:v>
                      </c:pt>
                      <c:pt idx="68">
                        <c:v>-27.508044943820227</c:v>
                      </c:pt>
                      <c:pt idx="69">
                        <c:v>-27.611116104868916</c:v>
                      </c:pt>
                      <c:pt idx="70">
                        <c:v>-27.714187265917605</c:v>
                      </c:pt>
                      <c:pt idx="71">
                        <c:v>-27.817258426966294</c:v>
                      </c:pt>
                      <c:pt idx="72">
                        <c:v>-27.920329588014983</c:v>
                      </c:pt>
                      <c:pt idx="73">
                        <c:v>-28.023400749063672</c:v>
                      </c:pt>
                      <c:pt idx="74">
                        <c:v>-28.126471910112361</c:v>
                      </c:pt>
                      <c:pt idx="75">
                        <c:v>-28.22954307116105</c:v>
                      </c:pt>
                      <c:pt idx="76">
                        <c:v>-28.332614232209739</c:v>
                      </c:pt>
                      <c:pt idx="77">
                        <c:v>-28.435685393258428</c:v>
                      </c:pt>
                      <c:pt idx="78">
                        <c:v>-28.538756554307117</c:v>
                      </c:pt>
                      <c:pt idx="79">
                        <c:v>-28.641827715355806</c:v>
                      </c:pt>
                      <c:pt idx="80">
                        <c:v>-28.744898876404495</c:v>
                      </c:pt>
                      <c:pt idx="81">
                        <c:v>-28.847970037453184</c:v>
                      </c:pt>
                      <c:pt idx="82">
                        <c:v>-28.951041198501873</c:v>
                      </c:pt>
                      <c:pt idx="83">
                        <c:v>-29.051396396396395</c:v>
                      </c:pt>
                      <c:pt idx="84">
                        <c:v>-29.149294294294293</c:v>
                      </c:pt>
                      <c:pt idx="85">
                        <c:v>-29.247192192192191</c:v>
                      </c:pt>
                      <c:pt idx="86">
                        <c:v>-29.345090090090089</c:v>
                      </c:pt>
                      <c:pt idx="87">
                        <c:v>-8.1209504950495059</c:v>
                      </c:pt>
                      <c:pt idx="88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73D-4876-A6EA-FACE45BB2F19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[1]EVALUATION!$B$146:$CP$146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>
                        <c:v>-13.456826347305389</c:v>
                      </c:pt>
                      <c:pt idx="5">
                        <c:v>-12.886766467065867</c:v>
                      </c:pt>
                      <c:pt idx="6">
                        <c:v>-12.316706586826346</c:v>
                      </c:pt>
                      <c:pt idx="7">
                        <c:v>-11.746646706586823</c:v>
                      </c:pt>
                      <c:pt idx="8">
                        <c:v>-11.204988023952094</c:v>
                      </c:pt>
                      <c:pt idx="9">
                        <c:v>-10.679479041916167</c:v>
                      </c:pt>
                      <c:pt idx="10">
                        <c:v>-10.153970059880239</c:v>
                      </c:pt>
                      <c:pt idx="11">
                        <c:v>-9.628461077844312</c:v>
                      </c:pt>
                      <c:pt idx="12">
                        <c:v>-9.1539101796407198</c:v>
                      </c:pt>
                      <c:pt idx="13">
                        <c:v>-8.7385808383233528</c:v>
                      </c:pt>
                      <c:pt idx="14">
                        <c:v>-8.3232514970059874</c:v>
                      </c:pt>
                      <c:pt idx="15">
                        <c:v>-7.9079221556886221</c:v>
                      </c:pt>
                      <c:pt idx="16">
                        <c:v>-7.5390748502994009</c:v>
                      </c:pt>
                      <c:pt idx="17">
                        <c:v>-7.2854221556886225</c:v>
                      </c:pt>
                      <c:pt idx="18">
                        <c:v>-7.031769461077845</c:v>
                      </c:pt>
                      <c:pt idx="19">
                        <c:v>-6.7781167664670665</c:v>
                      </c:pt>
                      <c:pt idx="20">
                        <c:v>-6.5428413173652693</c:v>
                      </c:pt>
                      <c:pt idx="21">
                        <c:v>-6.4525419161676645</c:v>
                      </c:pt>
                      <c:pt idx="22">
                        <c:v>-6.3622425149700597</c:v>
                      </c:pt>
                      <c:pt idx="23">
                        <c:v>-6.2719431137724548</c:v>
                      </c:pt>
                      <c:pt idx="24">
                        <c:v>-6.18164371257485</c:v>
                      </c:pt>
                      <c:pt idx="25">
                        <c:v>-6.3239729729729737</c:v>
                      </c:pt>
                      <c:pt idx="26">
                        <c:v>-6.4818108108108117</c:v>
                      </c:pt>
                      <c:pt idx="27">
                        <c:v>-6.6396486486486497</c:v>
                      </c:pt>
                      <c:pt idx="28">
                        <c:v>-6.7974864864864877</c:v>
                      </c:pt>
                      <c:pt idx="29">
                        <c:v>-6.8348562874251497</c:v>
                      </c:pt>
                      <c:pt idx="30">
                        <c:v>-6.8372514970059886</c:v>
                      </c:pt>
                      <c:pt idx="31">
                        <c:v>-6.8396467065868265</c:v>
                      </c:pt>
                      <c:pt idx="32">
                        <c:v>-6.8420419161676644</c:v>
                      </c:pt>
                      <c:pt idx="33">
                        <c:v>-6.8517664670658682</c:v>
                      </c:pt>
                      <c:pt idx="34">
                        <c:v>-6.866377245508982</c:v>
                      </c:pt>
                      <c:pt idx="35">
                        <c:v>-6.8809880239520957</c:v>
                      </c:pt>
                      <c:pt idx="36">
                        <c:v>-6.8955988023952095</c:v>
                      </c:pt>
                      <c:pt idx="37">
                        <c:v>-6.911838323353293</c:v>
                      </c:pt>
                      <c:pt idx="38">
                        <c:v>-6.930281437125748</c:v>
                      </c:pt>
                      <c:pt idx="39">
                        <c:v>-6.9487245508982038</c:v>
                      </c:pt>
                      <c:pt idx="40">
                        <c:v>-6.9671676646706588</c:v>
                      </c:pt>
                      <c:pt idx="41">
                        <c:v>-6.9858502994011973</c:v>
                      </c:pt>
                      <c:pt idx="42">
                        <c:v>-7.0052514970059878</c:v>
                      </c:pt>
                      <c:pt idx="43">
                        <c:v>-7.0246526946107783</c:v>
                      </c:pt>
                      <c:pt idx="44">
                        <c:v>-7.0440538922155689</c:v>
                      </c:pt>
                      <c:pt idx="45">
                        <c:v>-7.0634550898203594</c:v>
                      </c:pt>
                      <c:pt idx="46">
                        <c:v>-7.0828562874251499</c:v>
                      </c:pt>
                      <c:pt idx="47">
                        <c:v>-7.1022574850299405</c:v>
                      </c:pt>
                      <c:pt idx="48">
                        <c:v>-7.1216586826347301</c:v>
                      </c:pt>
                      <c:pt idx="49">
                        <c:v>-7.1410598802395207</c:v>
                      </c:pt>
                      <c:pt idx="50">
                        <c:v>-7.1602584269662923</c:v>
                      </c:pt>
                      <c:pt idx="51">
                        <c:v>-7.1794344569288393</c:v>
                      </c:pt>
                      <c:pt idx="52">
                        <c:v>-7.1986104868913854</c:v>
                      </c:pt>
                      <c:pt idx="53">
                        <c:v>-7.2177865168539324</c:v>
                      </c:pt>
                      <c:pt idx="54">
                        <c:v>-7.2369625468164793</c:v>
                      </c:pt>
                      <c:pt idx="55">
                        <c:v>-7.2561385767790263</c:v>
                      </c:pt>
                      <c:pt idx="56">
                        <c:v>-7.2753146067415733</c:v>
                      </c:pt>
                      <c:pt idx="57">
                        <c:v>-7.2944906367041202</c:v>
                      </c:pt>
                      <c:pt idx="58">
                        <c:v>-7.3136666666666663</c:v>
                      </c:pt>
                      <c:pt idx="59">
                        <c:v>-7.3328426966292133</c:v>
                      </c:pt>
                      <c:pt idx="60">
                        <c:v>-7.3520187265917603</c:v>
                      </c:pt>
                      <c:pt idx="61">
                        <c:v>-7.3711947565543072</c:v>
                      </c:pt>
                      <c:pt idx="62">
                        <c:v>-7.3903707865168542</c:v>
                      </c:pt>
                      <c:pt idx="63">
                        <c:v>-7.4095468164794012</c:v>
                      </c:pt>
                      <c:pt idx="64">
                        <c:v>-7.4287228464419481</c:v>
                      </c:pt>
                      <c:pt idx="65">
                        <c:v>-7.4478988764044942</c:v>
                      </c:pt>
                      <c:pt idx="66">
                        <c:v>-7.4668456928838953</c:v>
                      </c:pt>
                      <c:pt idx="67">
                        <c:v>-7.484943071161049</c:v>
                      </c:pt>
                      <c:pt idx="68">
                        <c:v>-7.5030404494382026</c:v>
                      </c:pt>
                      <c:pt idx="69">
                        <c:v>-7.5211378277153562</c:v>
                      </c:pt>
                      <c:pt idx="70">
                        <c:v>-7.5392352059925098</c:v>
                      </c:pt>
                      <c:pt idx="71">
                        <c:v>-7.5573325842696626</c:v>
                      </c:pt>
                      <c:pt idx="72">
                        <c:v>-7.5754299625468162</c:v>
                      </c:pt>
                      <c:pt idx="73">
                        <c:v>-7.5935273408239699</c:v>
                      </c:pt>
                      <c:pt idx="74">
                        <c:v>-7.6116247191011235</c:v>
                      </c:pt>
                      <c:pt idx="75">
                        <c:v>-7.6297220973782771</c:v>
                      </c:pt>
                      <c:pt idx="76">
                        <c:v>-7.6478194756554307</c:v>
                      </c:pt>
                      <c:pt idx="77">
                        <c:v>-7.6659168539325844</c:v>
                      </c:pt>
                      <c:pt idx="78">
                        <c:v>-7.684014232209738</c:v>
                      </c:pt>
                      <c:pt idx="79">
                        <c:v>-7.7021116104868916</c:v>
                      </c:pt>
                      <c:pt idx="80">
                        <c:v>-7.7202089887640444</c:v>
                      </c:pt>
                      <c:pt idx="81">
                        <c:v>-7.738306367041198</c:v>
                      </c:pt>
                      <c:pt idx="82">
                        <c:v>-7.7564037453183516</c:v>
                      </c:pt>
                      <c:pt idx="83">
                        <c:v>-7.7739234234234234</c:v>
                      </c:pt>
                      <c:pt idx="84">
                        <c:v>-7.7909204204204201</c:v>
                      </c:pt>
                      <c:pt idx="85">
                        <c:v>-7.8079174174174168</c:v>
                      </c:pt>
                      <c:pt idx="86">
                        <c:v>-7.8249144144144145</c:v>
                      </c:pt>
                      <c:pt idx="87">
                        <c:v>-28.733663366336632</c:v>
                      </c:pt>
                      <c:pt idx="88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73D-4876-A6EA-FACE45BB2F19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[1]EVALUATION!$B$147:$CP$147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-18.877657657657657</c:v>
                      </c:pt>
                      <c:pt idx="1">
                        <c:v>-18.875255255255254</c:v>
                      </c:pt>
                      <c:pt idx="2">
                        <c:v>-18.872852852852855</c:v>
                      </c:pt>
                      <c:pt idx="3">
                        <c:v>-18.870450450450452</c:v>
                      </c:pt>
                      <c:pt idx="4">
                        <c:v>-18.875838323353292</c:v>
                      </c:pt>
                      <c:pt idx="5">
                        <c:v>-18.883023952095808</c:v>
                      </c:pt>
                      <c:pt idx="6">
                        <c:v>-18.890209580838324</c:v>
                      </c:pt>
                      <c:pt idx="7">
                        <c:v>-18.897395209580836</c:v>
                      </c:pt>
                      <c:pt idx="8">
                        <c:v>-18.906107784431136</c:v>
                      </c:pt>
                      <c:pt idx="9">
                        <c:v>-18.915688622754491</c:v>
                      </c:pt>
                      <c:pt idx="10">
                        <c:v>-18.925269461077846</c:v>
                      </c:pt>
                      <c:pt idx="11">
                        <c:v>-18.934850299401198</c:v>
                      </c:pt>
                      <c:pt idx="12">
                        <c:v>-18.945538922155688</c:v>
                      </c:pt>
                      <c:pt idx="13">
                        <c:v>-18.957514970059879</c:v>
                      </c:pt>
                      <c:pt idx="14">
                        <c:v>-18.969491017964071</c:v>
                      </c:pt>
                      <c:pt idx="15">
                        <c:v>-18.981467065868262</c:v>
                      </c:pt>
                      <c:pt idx="16">
                        <c:v>-18.993443113772454</c:v>
                      </c:pt>
                      <c:pt idx="17">
                        <c:v>-19.005419161676645</c:v>
                      </c:pt>
                      <c:pt idx="18">
                        <c:v>-19.017395209580837</c:v>
                      </c:pt>
                      <c:pt idx="19">
                        <c:v>-19.029371257485028</c:v>
                      </c:pt>
                      <c:pt idx="20">
                        <c:v>-19.040808383233532</c:v>
                      </c:pt>
                      <c:pt idx="21">
                        <c:v>-19.047994011976048</c:v>
                      </c:pt>
                      <c:pt idx="22">
                        <c:v>-19.055179640718563</c:v>
                      </c:pt>
                      <c:pt idx="23">
                        <c:v>-19.062365269461079</c:v>
                      </c:pt>
                      <c:pt idx="24">
                        <c:v>-19.069550898203595</c:v>
                      </c:pt>
                      <c:pt idx="25">
                        <c:v>-19.045225225225227</c:v>
                      </c:pt>
                      <c:pt idx="26">
                        <c:v>-19.018798798798798</c:v>
                      </c:pt>
                      <c:pt idx="27">
                        <c:v>-18.992372372372373</c:v>
                      </c:pt>
                      <c:pt idx="28">
                        <c:v>-18.965945945945947</c:v>
                      </c:pt>
                      <c:pt idx="29">
                        <c:v>-18.972994011976049</c:v>
                      </c:pt>
                      <c:pt idx="30">
                        <c:v>-18.989760479041916</c:v>
                      </c:pt>
                      <c:pt idx="31">
                        <c:v>-19.006526946107787</c:v>
                      </c:pt>
                      <c:pt idx="32">
                        <c:v>-19.023293413173654</c:v>
                      </c:pt>
                      <c:pt idx="33">
                        <c:v>-19.040059880239522</c:v>
                      </c:pt>
                      <c:pt idx="34">
                        <c:v>-19.056826347305389</c:v>
                      </c:pt>
                      <c:pt idx="35">
                        <c:v>-19.07359281437126</c:v>
                      </c:pt>
                      <c:pt idx="36">
                        <c:v>-19.090359281437127</c:v>
                      </c:pt>
                      <c:pt idx="37">
                        <c:v>-19.107125748502995</c:v>
                      </c:pt>
                      <c:pt idx="38">
                        <c:v>-19.123892215568866</c:v>
                      </c:pt>
                      <c:pt idx="39">
                        <c:v>-19.140658682634733</c:v>
                      </c:pt>
                      <c:pt idx="40">
                        <c:v>-19.1574251497006</c:v>
                      </c:pt>
                      <c:pt idx="41">
                        <c:v>-19.174191616766468</c:v>
                      </c:pt>
                      <c:pt idx="42">
                        <c:v>-19.190958083832335</c:v>
                      </c:pt>
                      <c:pt idx="43">
                        <c:v>-19.207724550898202</c:v>
                      </c:pt>
                      <c:pt idx="44">
                        <c:v>-19.22449101796407</c:v>
                      </c:pt>
                      <c:pt idx="45">
                        <c:v>-19.241257485029937</c:v>
                      </c:pt>
                      <c:pt idx="46">
                        <c:v>-19.258023952095808</c:v>
                      </c:pt>
                      <c:pt idx="47">
                        <c:v>-19.274790419161675</c:v>
                      </c:pt>
                      <c:pt idx="48">
                        <c:v>-19.291556886227543</c:v>
                      </c:pt>
                      <c:pt idx="49">
                        <c:v>-19.30832335329341</c:v>
                      </c:pt>
                      <c:pt idx="50">
                        <c:v>-19.324022471910112</c:v>
                      </c:pt>
                      <c:pt idx="51">
                        <c:v>-19.33960299625468</c:v>
                      </c:pt>
                      <c:pt idx="52">
                        <c:v>-19.355183520599251</c:v>
                      </c:pt>
                      <c:pt idx="53">
                        <c:v>-19.370764044943819</c:v>
                      </c:pt>
                      <c:pt idx="54">
                        <c:v>-19.38634456928839</c:v>
                      </c:pt>
                      <c:pt idx="55">
                        <c:v>-19.401925093632958</c:v>
                      </c:pt>
                      <c:pt idx="56">
                        <c:v>-19.417505617977529</c:v>
                      </c:pt>
                      <c:pt idx="57">
                        <c:v>-19.433086142322097</c:v>
                      </c:pt>
                      <c:pt idx="58">
                        <c:v>-19.448666666666668</c:v>
                      </c:pt>
                      <c:pt idx="59">
                        <c:v>-19.464247191011236</c:v>
                      </c:pt>
                      <c:pt idx="60">
                        <c:v>-19.479827715355807</c:v>
                      </c:pt>
                      <c:pt idx="61">
                        <c:v>-19.495408239700375</c:v>
                      </c:pt>
                      <c:pt idx="62">
                        <c:v>-19.510988764044942</c:v>
                      </c:pt>
                      <c:pt idx="63">
                        <c:v>-19.526569288389513</c:v>
                      </c:pt>
                      <c:pt idx="64">
                        <c:v>-19.542149812734081</c:v>
                      </c:pt>
                      <c:pt idx="65">
                        <c:v>-19.557730337078652</c:v>
                      </c:pt>
                      <c:pt idx="66">
                        <c:v>-19.573183520599251</c:v>
                      </c:pt>
                      <c:pt idx="67">
                        <c:v>-19.58816479400749</c:v>
                      </c:pt>
                      <c:pt idx="68">
                        <c:v>-19.603146067415732</c:v>
                      </c:pt>
                      <c:pt idx="69">
                        <c:v>-19.618127340823971</c:v>
                      </c:pt>
                      <c:pt idx="70">
                        <c:v>-19.63310861423221</c:v>
                      </c:pt>
                      <c:pt idx="71">
                        <c:v>-19.648089887640449</c:v>
                      </c:pt>
                      <c:pt idx="72">
                        <c:v>-19.663071161048691</c:v>
                      </c:pt>
                      <c:pt idx="73">
                        <c:v>-19.67805243445693</c:v>
                      </c:pt>
                      <c:pt idx="74">
                        <c:v>-19.693033707865169</c:v>
                      </c:pt>
                      <c:pt idx="75">
                        <c:v>-19.708014981273408</c:v>
                      </c:pt>
                      <c:pt idx="76">
                        <c:v>-19.722996254681647</c:v>
                      </c:pt>
                      <c:pt idx="77">
                        <c:v>-19.737977528089889</c:v>
                      </c:pt>
                      <c:pt idx="78">
                        <c:v>-19.752958801498128</c:v>
                      </c:pt>
                      <c:pt idx="79">
                        <c:v>-19.767940074906367</c:v>
                      </c:pt>
                      <c:pt idx="80">
                        <c:v>-19.782921348314606</c:v>
                      </c:pt>
                      <c:pt idx="81">
                        <c:v>-19.797902621722848</c:v>
                      </c:pt>
                      <c:pt idx="82">
                        <c:v>-19.812883895131087</c:v>
                      </c:pt>
                      <c:pt idx="83">
                        <c:v>-19.827252252252254</c:v>
                      </c:pt>
                      <c:pt idx="84">
                        <c:v>-19.841066066066066</c:v>
                      </c:pt>
                      <c:pt idx="85">
                        <c:v>-19.854879879879881</c:v>
                      </c:pt>
                      <c:pt idx="86">
                        <c:v>-19.868693693693693</c:v>
                      </c:pt>
                      <c:pt idx="87">
                        <c:v>-28.733663366336632</c:v>
                      </c:pt>
                      <c:pt idx="88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73D-4876-A6EA-FACE45BB2F19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[1]EVALUATION!$B$148:$CP$148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-59.157387387387388</c:v>
                      </c:pt>
                      <c:pt idx="1">
                        <c:v>-57.482912912912909</c:v>
                      </c:pt>
                      <c:pt idx="2">
                        <c:v>-55.808438438438436</c:v>
                      </c:pt>
                      <c:pt idx="3">
                        <c:v>-54.133963963963964</c:v>
                      </c:pt>
                      <c:pt idx="4">
                        <c:v>-52.494700598802396</c:v>
                      </c:pt>
                      <c:pt idx="5">
                        <c:v>-50.863562874251492</c:v>
                      </c:pt>
                      <c:pt idx="6">
                        <c:v>-49.232425149700596</c:v>
                      </c:pt>
                      <c:pt idx="7">
                        <c:v>-47.601287425149692</c:v>
                      </c:pt>
                      <c:pt idx="8">
                        <c:v>-46.077035928143708</c:v>
                      </c:pt>
                      <c:pt idx="9">
                        <c:v>-44.613562874251492</c:v>
                      </c:pt>
                      <c:pt idx="10">
                        <c:v>-43.150089820359277</c:v>
                      </c:pt>
                      <c:pt idx="11">
                        <c:v>-41.686616766467068</c:v>
                      </c:pt>
                      <c:pt idx="12">
                        <c:v>-40.325059880239522</c:v>
                      </c:pt>
                      <c:pt idx="13">
                        <c:v>-39.081946107784432</c:v>
                      </c:pt>
                      <c:pt idx="14">
                        <c:v>-37.838832335329343</c:v>
                      </c:pt>
                      <c:pt idx="15">
                        <c:v>-36.595718562874254</c:v>
                      </c:pt>
                      <c:pt idx="16">
                        <c:v>-35.412514970059881</c:v>
                      </c:pt>
                      <c:pt idx="17">
                        <c:v>-34.377784431137727</c:v>
                      </c:pt>
                      <c:pt idx="18">
                        <c:v>-33.343053892215572</c:v>
                      </c:pt>
                      <c:pt idx="19">
                        <c:v>-32.308323353293417</c:v>
                      </c:pt>
                      <c:pt idx="20">
                        <c:v>-31.289491017964075</c:v>
                      </c:pt>
                      <c:pt idx="21">
                        <c:v>-30.396077844311378</c:v>
                      </c:pt>
                      <c:pt idx="22">
                        <c:v>-29.502664670658685</c:v>
                      </c:pt>
                      <c:pt idx="23">
                        <c:v>-28.609251497005989</c:v>
                      </c:pt>
                      <c:pt idx="24">
                        <c:v>-27.715838323353292</c:v>
                      </c:pt>
                      <c:pt idx="25">
                        <c:v>-27.464054054054053</c:v>
                      </c:pt>
                      <c:pt idx="26">
                        <c:v>-27.255045045045044</c:v>
                      </c:pt>
                      <c:pt idx="27">
                        <c:v>-27.046036036036035</c:v>
                      </c:pt>
                      <c:pt idx="28">
                        <c:v>-26.837027027027027</c:v>
                      </c:pt>
                      <c:pt idx="29">
                        <c:v>-27.03502994011976</c:v>
                      </c:pt>
                      <c:pt idx="30">
                        <c:v>-27.351197604790418</c:v>
                      </c:pt>
                      <c:pt idx="31">
                        <c:v>-27.667365269461076</c:v>
                      </c:pt>
                      <c:pt idx="32">
                        <c:v>-27.983532934131734</c:v>
                      </c:pt>
                      <c:pt idx="33">
                        <c:v>-28.296826347305387</c:v>
                      </c:pt>
                      <c:pt idx="34">
                        <c:v>-28.60820359281437</c:v>
                      </c:pt>
                      <c:pt idx="35">
                        <c:v>-28.919580838323352</c:v>
                      </c:pt>
                      <c:pt idx="36">
                        <c:v>-29.230958083832334</c:v>
                      </c:pt>
                      <c:pt idx="37">
                        <c:v>-29.540299401197604</c:v>
                      </c:pt>
                      <c:pt idx="38">
                        <c:v>-29.84688622754491</c:v>
                      </c:pt>
                      <c:pt idx="39">
                        <c:v>-30.153473053892217</c:v>
                      </c:pt>
                      <c:pt idx="40">
                        <c:v>-30.460059880239523</c:v>
                      </c:pt>
                      <c:pt idx="41">
                        <c:v>-30.7648502994012</c:v>
                      </c:pt>
                      <c:pt idx="42">
                        <c:v>-31.064251497005991</c:v>
                      </c:pt>
                      <c:pt idx="43">
                        <c:v>-31.363652694610781</c:v>
                      </c:pt>
                      <c:pt idx="44">
                        <c:v>-31.663053892215572</c:v>
                      </c:pt>
                      <c:pt idx="45">
                        <c:v>-31.961916167664672</c:v>
                      </c:pt>
                      <c:pt idx="46">
                        <c:v>-32.254131736526951</c:v>
                      </c:pt>
                      <c:pt idx="47">
                        <c:v>-32.546347305389219</c:v>
                      </c:pt>
                      <c:pt idx="48">
                        <c:v>-32.838562874251494</c:v>
                      </c:pt>
                      <c:pt idx="49">
                        <c:v>-33.130778443113769</c:v>
                      </c:pt>
                      <c:pt idx="50">
                        <c:v>-33.403235955056175</c:v>
                      </c:pt>
                      <c:pt idx="51">
                        <c:v>-33.673498127340821</c:v>
                      </c:pt>
                      <c:pt idx="52">
                        <c:v>-33.943760299625467</c:v>
                      </c:pt>
                      <c:pt idx="53">
                        <c:v>-34.214022471910113</c:v>
                      </c:pt>
                      <c:pt idx="54">
                        <c:v>-34.484284644194759</c:v>
                      </c:pt>
                      <c:pt idx="55">
                        <c:v>-34.754546816479397</c:v>
                      </c:pt>
                      <c:pt idx="56">
                        <c:v>-35.024808988764043</c:v>
                      </c:pt>
                      <c:pt idx="57">
                        <c:v>-35.295071161048689</c:v>
                      </c:pt>
                      <c:pt idx="58">
                        <c:v>-35.565333333333335</c:v>
                      </c:pt>
                      <c:pt idx="59">
                        <c:v>-35.835595505617981</c:v>
                      </c:pt>
                      <c:pt idx="60">
                        <c:v>-36.10585767790262</c:v>
                      </c:pt>
                      <c:pt idx="61">
                        <c:v>-36.376119850187266</c:v>
                      </c:pt>
                      <c:pt idx="62">
                        <c:v>-36.646382022471911</c:v>
                      </c:pt>
                      <c:pt idx="63">
                        <c:v>-36.916644194756557</c:v>
                      </c:pt>
                      <c:pt idx="64">
                        <c:v>-37.186906367041203</c:v>
                      </c:pt>
                      <c:pt idx="65">
                        <c:v>-37.457168539325849</c:v>
                      </c:pt>
                      <c:pt idx="66">
                        <c:v>-37.717880149812736</c:v>
                      </c:pt>
                      <c:pt idx="67">
                        <c:v>-37.943198501872665</c:v>
                      </c:pt>
                      <c:pt idx="68">
                        <c:v>-38.168516853932587</c:v>
                      </c:pt>
                      <c:pt idx="69">
                        <c:v>-38.393835205992509</c:v>
                      </c:pt>
                      <c:pt idx="70">
                        <c:v>-38.619153558052439</c:v>
                      </c:pt>
                      <c:pt idx="71">
                        <c:v>-38.844471910112361</c:v>
                      </c:pt>
                      <c:pt idx="72">
                        <c:v>-39.06979026217229</c:v>
                      </c:pt>
                      <c:pt idx="73">
                        <c:v>-39.295108614232213</c:v>
                      </c:pt>
                      <c:pt idx="74">
                        <c:v>-39.520426966292135</c:v>
                      </c:pt>
                      <c:pt idx="75">
                        <c:v>-39.745745318352064</c:v>
                      </c:pt>
                      <c:pt idx="76">
                        <c:v>-39.971063670411986</c:v>
                      </c:pt>
                      <c:pt idx="77">
                        <c:v>-40.196382022471909</c:v>
                      </c:pt>
                      <c:pt idx="78">
                        <c:v>-40.421700374531838</c:v>
                      </c:pt>
                      <c:pt idx="79">
                        <c:v>-40.64701872659176</c:v>
                      </c:pt>
                      <c:pt idx="80">
                        <c:v>-40.87233707865169</c:v>
                      </c:pt>
                      <c:pt idx="81">
                        <c:v>-41.097655430711612</c:v>
                      </c:pt>
                      <c:pt idx="82">
                        <c:v>-41.322973782771534</c:v>
                      </c:pt>
                      <c:pt idx="83">
                        <c:v>-41.521441441441439</c:v>
                      </c:pt>
                      <c:pt idx="84">
                        <c:v>-41.695615615615615</c:v>
                      </c:pt>
                      <c:pt idx="85">
                        <c:v>-41.869789789789792</c:v>
                      </c:pt>
                      <c:pt idx="86">
                        <c:v>-42.043963963963961</c:v>
                      </c:pt>
                      <c:pt idx="87">
                        <c:v>-28.733663366336632</c:v>
                      </c:pt>
                      <c:pt idx="88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73D-4876-A6EA-FACE45BB2F19}"/>
                  </c:ext>
                </c:extLst>
              </c15:ser>
            </c15:filteredScatterSeries>
            <c15:filteredScatterSeries>
              <c15:ser>
                <c:idx val="47"/>
                <c:order val="48"/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[1]EVALUATION!$B$149:$CP$149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-15.512792792792792</c:v>
                      </c:pt>
                      <c:pt idx="1">
                        <c:v>-15.013093093093092</c:v>
                      </c:pt>
                      <c:pt idx="2">
                        <c:v>-14.513393393393393</c:v>
                      </c:pt>
                      <c:pt idx="3">
                        <c:v>-14.013693693693693</c:v>
                      </c:pt>
                      <c:pt idx="4">
                        <c:v>-13.456826347305389</c:v>
                      </c:pt>
                      <c:pt idx="5">
                        <c:v>-12.886766467065867</c:v>
                      </c:pt>
                      <c:pt idx="6">
                        <c:v>-12.316706586826346</c:v>
                      </c:pt>
                      <c:pt idx="7">
                        <c:v>-11.746646706586823</c:v>
                      </c:pt>
                      <c:pt idx="8">
                        <c:v>-11.204988023952094</c:v>
                      </c:pt>
                      <c:pt idx="9">
                        <c:v>-10.679479041916167</c:v>
                      </c:pt>
                      <c:pt idx="10">
                        <c:v>-10.153970059880239</c:v>
                      </c:pt>
                      <c:pt idx="11">
                        <c:v>-9.628461077844312</c:v>
                      </c:pt>
                      <c:pt idx="12">
                        <c:v>-9.1539101796407198</c:v>
                      </c:pt>
                      <c:pt idx="13">
                        <c:v>-8.7385808383233528</c:v>
                      </c:pt>
                      <c:pt idx="14">
                        <c:v>-8.3232514970059874</c:v>
                      </c:pt>
                      <c:pt idx="15">
                        <c:v>-7.9079221556886221</c:v>
                      </c:pt>
                      <c:pt idx="16">
                        <c:v>-7.5390748502994009</c:v>
                      </c:pt>
                      <c:pt idx="17">
                        <c:v>-7.2854221556886225</c:v>
                      </c:pt>
                      <c:pt idx="18">
                        <c:v>-7.031769461077845</c:v>
                      </c:pt>
                      <c:pt idx="19">
                        <c:v>-6.7781167664670665</c:v>
                      </c:pt>
                      <c:pt idx="20">
                        <c:v>-6.5428413173652693</c:v>
                      </c:pt>
                      <c:pt idx="21">
                        <c:v>-6.4525419161676645</c:v>
                      </c:pt>
                      <c:pt idx="22">
                        <c:v>-6.3622425149700597</c:v>
                      </c:pt>
                      <c:pt idx="23">
                        <c:v>-6.2719431137724548</c:v>
                      </c:pt>
                      <c:pt idx="24">
                        <c:v>-6.18164371257485</c:v>
                      </c:pt>
                      <c:pt idx="25">
                        <c:v>-6.3239729729729737</c:v>
                      </c:pt>
                      <c:pt idx="26">
                        <c:v>-6.4818108108108117</c:v>
                      </c:pt>
                      <c:pt idx="27">
                        <c:v>-6.6396486486486497</c:v>
                      </c:pt>
                      <c:pt idx="28">
                        <c:v>-6.7974864864864877</c:v>
                      </c:pt>
                      <c:pt idx="29">
                        <c:v>-6.8348562874251497</c:v>
                      </c:pt>
                      <c:pt idx="30">
                        <c:v>-6.8372514970059886</c:v>
                      </c:pt>
                      <c:pt idx="31">
                        <c:v>-6.8396467065868265</c:v>
                      </c:pt>
                      <c:pt idx="32">
                        <c:v>-6.8420419161676644</c:v>
                      </c:pt>
                      <c:pt idx="33">
                        <c:v>-6.8517664670658682</c:v>
                      </c:pt>
                      <c:pt idx="34">
                        <c:v>-6.866377245508982</c:v>
                      </c:pt>
                      <c:pt idx="35">
                        <c:v>-6.8809880239520957</c:v>
                      </c:pt>
                      <c:pt idx="36">
                        <c:v>-6.8955988023952095</c:v>
                      </c:pt>
                      <c:pt idx="37">
                        <c:v>-6.911838323353293</c:v>
                      </c:pt>
                      <c:pt idx="38">
                        <c:v>-6.930281437125748</c:v>
                      </c:pt>
                      <c:pt idx="39">
                        <c:v>-6.9487245508982038</c:v>
                      </c:pt>
                      <c:pt idx="40">
                        <c:v>-6.9671676646706588</c:v>
                      </c:pt>
                      <c:pt idx="41">
                        <c:v>-6.9858502994011973</c:v>
                      </c:pt>
                      <c:pt idx="42">
                        <c:v>-7.0052514970059878</c:v>
                      </c:pt>
                      <c:pt idx="43">
                        <c:v>-7.0246526946107783</c:v>
                      </c:pt>
                      <c:pt idx="44">
                        <c:v>-7.0440538922155689</c:v>
                      </c:pt>
                      <c:pt idx="45">
                        <c:v>-7.0634550898203594</c:v>
                      </c:pt>
                      <c:pt idx="46">
                        <c:v>-7.0828562874251499</c:v>
                      </c:pt>
                      <c:pt idx="47">
                        <c:v>-7.1022574850299405</c:v>
                      </c:pt>
                      <c:pt idx="48">
                        <c:v>-7.1216586826347301</c:v>
                      </c:pt>
                      <c:pt idx="49">
                        <c:v>-7.1410598802395207</c:v>
                      </c:pt>
                      <c:pt idx="50">
                        <c:v>-7.1602584269662923</c:v>
                      </c:pt>
                      <c:pt idx="51">
                        <c:v>-7.1794344569288393</c:v>
                      </c:pt>
                      <c:pt idx="52">
                        <c:v>-7.1986104868913854</c:v>
                      </c:pt>
                      <c:pt idx="53">
                        <c:v>-7.2177865168539324</c:v>
                      </c:pt>
                      <c:pt idx="54">
                        <c:v>-7.2369625468164793</c:v>
                      </c:pt>
                      <c:pt idx="55">
                        <c:v>-7.2561385767790263</c:v>
                      </c:pt>
                      <c:pt idx="56">
                        <c:v>-7.2753146067415733</c:v>
                      </c:pt>
                      <c:pt idx="57">
                        <c:v>-7.2944906367041202</c:v>
                      </c:pt>
                      <c:pt idx="58">
                        <c:v>-7.3136666666666663</c:v>
                      </c:pt>
                      <c:pt idx="59">
                        <c:v>-7.3328426966292133</c:v>
                      </c:pt>
                      <c:pt idx="60">
                        <c:v>-7.3520187265917603</c:v>
                      </c:pt>
                      <c:pt idx="61">
                        <c:v>-7.3711947565543072</c:v>
                      </c:pt>
                      <c:pt idx="62">
                        <c:v>-7.3903707865168542</c:v>
                      </c:pt>
                      <c:pt idx="63">
                        <c:v>-7.4095468164794012</c:v>
                      </c:pt>
                      <c:pt idx="64">
                        <c:v>-7.4287228464419481</c:v>
                      </c:pt>
                      <c:pt idx="65">
                        <c:v>-7.4478988764044942</c:v>
                      </c:pt>
                      <c:pt idx="66">
                        <c:v>-7.4668456928838953</c:v>
                      </c:pt>
                      <c:pt idx="67">
                        <c:v>-7.484943071161049</c:v>
                      </c:pt>
                      <c:pt idx="68">
                        <c:v>-7.5030404494382026</c:v>
                      </c:pt>
                      <c:pt idx="69">
                        <c:v>-7.5211378277153562</c:v>
                      </c:pt>
                      <c:pt idx="70">
                        <c:v>-7.5392352059925098</c:v>
                      </c:pt>
                      <c:pt idx="71">
                        <c:v>-7.5573325842696626</c:v>
                      </c:pt>
                      <c:pt idx="72">
                        <c:v>-7.5754299625468162</c:v>
                      </c:pt>
                      <c:pt idx="73">
                        <c:v>-7.5935273408239699</c:v>
                      </c:pt>
                      <c:pt idx="74">
                        <c:v>-7.6116247191011235</c:v>
                      </c:pt>
                      <c:pt idx="75">
                        <c:v>-7.6297220973782771</c:v>
                      </c:pt>
                      <c:pt idx="76">
                        <c:v>-7.6478194756554307</c:v>
                      </c:pt>
                      <c:pt idx="77">
                        <c:v>-7.6659168539325844</c:v>
                      </c:pt>
                      <c:pt idx="78">
                        <c:v>-7.684014232209738</c:v>
                      </c:pt>
                      <c:pt idx="79">
                        <c:v>-7.7021116104868916</c:v>
                      </c:pt>
                      <c:pt idx="80">
                        <c:v>-7.7202089887640444</c:v>
                      </c:pt>
                      <c:pt idx="81">
                        <c:v>-7.738306367041198</c:v>
                      </c:pt>
                      <c:pt idx="82">
                        <c:v>-7.7564037453183516</c:v>
                      </c:pt>
                      <c:pt idx="83">
                        <c:v>-7.7739234234234234</c:v>
                      </c:pt>
                      <c:pt idx="84">
                        <c:v>-7.7909204204204201</c:v>
                      </c:pt>
                      <c:pt idx="85">
                        <c:v>-7.8079174174174168</c:v>
                      </c:pt>
                      <c:pt idx="86">
                        <c:v>-7.8249144144144145</c:v>
                      </c:pt>
                      <c:pt idx="87">
                        <c:v>-28.733663366336632</c:v>
                      </c:pt>
                      <c:pt idx="88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73D-4876-A6EA-FACE45BB2F19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[1]EVALUATION!$B$150:$CP$150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-21.943243243243245</c:v>
                      </c:pt>
                      <c:pt idx="1">
                        <c:v>-21.741441441441442</c:v>
                      </c:pt>
                      <c:pt idx="2">
                        <c:v>-21.539639639639642</c:v>
                      </c:pt>
                      <c:pt idx="3">
                        <c:v>-21.337837837837839</c:v>
                      </c:pt>
                      <c:pt idx="4">
                        <c:v>-21.317514970059882</c:v>
                      </c:pt>
                      <c:pt idx="5">
                        <c:v>-21.339071856287426</c:v>
                      </c:pt>
                      <c:pt idx="6">
                        <c:v>-21.360628742514972</c:v>
                      </c:pt>
                      <c:pt idx="7">
                        <c:v>-21.382185628742516</c:v>
                      </c:pt>
                      <c:pt idx="8">
                        <c:v>-21.452604790419162</c:v>
                      </c:pt>
                      <c:pt idx="9">
                        <c:v>-21.550808383233534</c:v>
                      </c:pt>
                      <c:pt idx="10">
                        <c:v>-21.649011976047905</c:v>
                      </c:pt>
                      <c:pt idx="11">
                        <c:v>-21.747215568862277</c:v>
                      </c:pt>
                      <c:pt idx="12">
                        <c:v>-21.843203592814373</c:v>
                      </c:pt>
                      <c:pt idx="13">
                        <c:v>-21.936616766467068</c:v>
                      </c:pt>
                      <c:pt idx="14">
                        <c:v>-22.030029940119761</c:v>
                      </c:pt>
                      <c:pt idx="15">
                        <c:v>-22.123443113772456</c:v>
                      </c:pt>
                      <c:pt idx="16">
                        <c:v>-22.209970059880241</c:v>
                      </c:pt>
                      <c:pt idx="17">
                        <c:v>-22.279431137724551</c:v>
                      </c:pt>
                      <c:pt idx="18">
                        <c:v>-22.348892215568863</c:v>
                      </c:pt>
                      <c:pt idx="19">
                        <c:v>-22.418353293413173</c:v>
                      </c:pt>
                      <c:pt idx="20">
                        <c:v>-22.488353293413173</c:v>
                      </c:pt>
                      <c:pt idx="21">
                        <c:v>-22.562604790419162</c:v>
                      </c:pt>
                      <c:pt idx="22">
                        <c:v>-22.63685628742515</c:v>
                      </c:pt>
                      <c:pt idx="23">
                        <c:v>-22.711107784431139</c:v>
                      </c:pt>
                      <c:pt idx="24">
                        <c:v>-22.785359281437124</c:v>
                      </c:pt>
                      <c:pt idx="25">
                        <c:v>-22.846306306306307</c:v>
                      </c:pt>
                      <c:pt idx="26">
                        <c:v>-22.906366366366367</c:v>
                      </c:pt>
                      <c:pt idx="27">
                        <c:v>-22.966426426426427</c:v>
                      </c:pt>
                      <c:pt idx="28">
                        <c:v>-23.026486486486487</c:v>
                      </c:pt>
                      <c:pt idx="29">
                        <c:v>-23.130958083832336</c:v>
                      </c:pt>
                      <c:pt idx="30">
                        <c:v>-23.248323353293415</c:v>
                      </c:pt>
                      <c:pt idx="31">
                        <c:v>-23.36568862275449</c:v>
                      </c:pt>
                      <c:pt idx="32">
                        <c:v>-23.483053892215569</c:v>
                      </c:pt>
                      <c:pt idx="33">
                        <c:v>-23.60185628742515</c:v>
                      </c:pt>
                      <c:pt idx="34">
                        <c:v>-23.721616766467065</c:v>
                      </c:pt>
                      <c:pt idx="35">
                        <c:v>-23.841377245508983</c:v>
                      </c:pt>
                      <c:pt idx="36">
                        <c:v>-23.961137724550898</c:v>
                      </c:pt>
                      <c:pt idx="37">
                        <c:v>-24.078862275449104</c:v>
                      </c:pt>
                      <c:pt idx="38">
                        <c:v>-24.193832335329343</c:v>
                      </c:pt>
                      <c:pt idx="39">
                        <c:v>-24.308802395209582</c:v>
                      </c:pt>
                      <c:pt idx="40">
                        <c:v>-24.423772455089821</c:v>
                      </c:pt>
                      <c:pt idx="41">
                        <c:v>-24.53874251497006</c:v>
                      </c:pt>
                      <c:pt idx="42">
                        <c:v>-24.653712574850299</c:v>
                      </c:pt>
                      <c:pt idx="43">
                        <c:v>-24.768682634730538</c:v>
                      </c:pt>
                      <c:pt idx="44">
                        <c:v>-24.883652694610777</c:v>
                      </c:pt>
                      <c:pt idx="45">
                        <c:v>-24.998622754491016</c:v>
                      </c:pt>
                      <c:pt idx="46">
                        <c:v>-25.113592814371255</c:v>
                      </c:pt>
                      <c:pt idx="47">
                        <c:v>-25.228562874251494</c:v>
                      </c:pt>
                      <c:pt idx="48">
                        <c:v>-25.343532934131737</c:v>
                      </c:pt>
                      <c:pt idx="49">
                        <c:v>-25.458502994011976</c:v>
                      </c:pt>
                      <c:pt idx="50">
                        <c:v>-25.567617977528091</c:v>
                      </c:pt>
                      <c:pt idx="51">
                        <c:v>-25.676082397003746</c:v>
                      </c:pt>
                      <c:pt idx="52">
                        <c:v>-25.784546816479402</c:v>
                      </c:pt>
                      <c:pt idx="53">
                        <c:v>-25.893011235955058</c:v>
                      </c:pt>
                      <c:pt idx="54">
                        <c:v>-26.001475655430713</c:v>
                      </c:pt>
                      <c:pt idx="55">
                        <c:v>-26.109940074906369</c:v>
                      </c:pt>
                      <c:pt idx="56">
                        <c:v>-26.218404494382021</c:v>
                      </c:pt>
                      <c:pt idx="57">
                        <c:v>-26.326868913857677</c:v>
                      </c:pt>
                      <c:pt idx="58">
                        <c:v>-26.435333333333332</c:v>
                      </c:pt>
                      <c:pt idx="59">
                        <c:v>-26.543797752808988</c:v>
                      </c:pt>
                      <c:pt idx="60">
                        <c:v>-26.652262172284644</c:v>
                      </c:pt>
                      <c:pt idx="61">
                        <c:v>-26.760726591760299</c:v>
                      </c:pt>
                      <c:pt idx="62">
                        <c:v>-26.869191011235955</c:v>
                      </c:pt>
                      <c:pt idx="63">
                        <c:v>-26.977655430711611</c:v>
                      </c:pt>
                      <c:pt idx="64">
                        <c:v>-27.086119850187266</c:v>
                      </c:pt>
                      <c:pt idx="65">
                        <c:v>-27.194584269662922</c:v>
                      </c:pt>
                      <c:pt idx="66">
                        <c:v>-27.301902621722849</c:v>
                      </c:pt>
                      <c:pt idx="67">
                        <c:v>-27.404973782771538</c:v>
                      </c:pt>
                      <c:pt idx="68">
                        <c:v>-27.508044943820227</c:v>
                      </c:pt>
                      <c:pt idx="69">
                        <c:v>-27.611116104868916</c:v>
                      </c:pt>
                      <c:pt idx="70">
                        <c:v>-27.714187265917605</c:v>
                      </c:pt>
                      <c:pt idx="71">
                        <c:v>-27.817258426966294</c:v>
                      </c:pt>
                      <c:pt idx="72">
                        <c:v>-27.920329588014983</c:v>
                      </c:pt>
                      <c:pt idx="73">
                        <c:v>-28.023400749063672</c:v>
                      </c:pt>
                      <c:pt idx="74">
                        <c:v>-28.126471910112361</c:v>
                      </c:pt>
                      <c:pt idx="75">
                        <c:v>-28.22954307116105</c:v>
                      </c:pt>
                      <c:pt idx="76">
                        <c:v>-28.332614232209739</c:v>
                      </c:pt>
                      <c:pt idx="77">
                        <c:v>-28.435685393258428</c:v>
                      </c:pt>
                      <c:pt idx="78">
                        <c:v>-28.538756554307117</c:v>
                      </c:pt>
                      <c:pt idx="79">
                        <c:v>-28.641827715355806</c:v>
                      </c:pt>
                      <c:pt idx="80">
                        <c:v>-28.744898876404495</c:v>
                      </c:pt>
                      <c:pt idx="81">
                        <c:v>-28.847970037453184</c:v>
                      </c:pt>
                      <c:pt idx="82">
                        <c:v>-28.951041198501873</c:v>
                      </c:pt>
                      <c:pt idx="83">
                        <c:v>-29.051396396396395</c:v>
                      </c:pt>
                      <c:pt idx="84">
                        <c:v>-29.149294294294293</c:v>
                      </c:pt>
                      <c:pt idx="85">
                        <c:v>-29.247192192192191</c:v>
                      </c:pt>
                      <c:pt idx="86">
                        <c:v>-29.345090090090089</c:v>
                      </c:pt>
                      <c:pt idx="87">
                        <c:v>-7.3468118811881187</c:v>
                      </c:pt>
                      <c:pt idx="88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73D-4876-A6EA-FACE45BB2F19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[1]EVALUATION!$B$151:$CP$151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73D-4876-A6EA-FACE45BB2F19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[1]EVALUATION!$B$152:$CP$152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73D-4876-A6EA-FACE45BB2F19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[1]EVALUATION!$B$153:$CP$153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73D-4876-A6EA-FACE45BB2F19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[1]EVALUATION!$B$100:$CP$100</c15:sqref>
                        </c15:formulaRef>
                      </c:ext>
                    </c:extLst>
                    <c:numCache>
                      <c:formatCode>General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[1]EVALUATION!$B$154:$CP$154</c15:sqref>
                        </c15:formulaRef>
                      </c:ext>
                    </c:extLst>
                    <c:numCache>
                      <c:formatCode>General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73D-4876-A6EA-FACE45BB2F19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EVALUATION!$B$101:$CP$101</c:f>
              <c:numCache>
                <c:formatCode>0</c:formatCode>
                <c:ptCount val="93"/>
                <c:pt idx="0">
                  <c:v>-15.64579207920792</c:v>
                </c:pt>
                <c:pt idx="1">
                  <c:v>-15.366435643564357</c:v>
                </c:pt>
                <c:pt idx="2">
                  <c:v>-15.105049504950495</c:v>
                </c:pt>
                <c:pt idx="3">
                  <c:v>-14.846138613861386</c:v>
                </c:pt>
                <c:pt idx="4" formatCode="General">
                  <c:v>-14.624356435643564</c:v>
                </c:pt>
                <c:pt idx="5" formatCode="General">
                  <c:v>-14.402574257425742</c:v>
                </c:pt>
                <c:pt idx="6" formatCode="General">
                  <c:v>-14.052217821782177</c:v>
                </c:pt>
                <c:pt idx="7" formatCode="General">
                  <c:v>-13.591227722772276</c:v>
                </c:pt>
                <c:pt idx="8" formatCode="General">
                  <c:v>-13.129466584158413</c:v>
                </c:pt>
                <c:pt idx="9" formatCode="General">
                  <c:v>-12.606793316831681</c:v>
                </c:pt>
                <c:pt idx="10" formatCode="General">
                  <c:v>-12.084120049504948</c:v>
                </c:pt>
                <c:pt idx="11" formatCode="General">
                  <c:v>-11.561446782178216</c:v>
                </c:pt>
                <c:pt idx="12" formatCode="General">
                  <c:v>-11.038773514851483</c:v>
                </c:pt>
                <c:pt idx="13" formatCode="General">
                  <c:v>-10.516100247524751</c:v>
                </c:pt>
                <c:pt idx="14" formatCode="General">
                  <c:v>-9.9934269801980182</c:v>
                </c:pt>
                <c:pt idx="15" formatCode="General">
                  <c:v>-9.4707537128712858</c:v>
                </c:pt>
                <c:pt idx="16" formatCode="General">
                  <c:v>-8.9480804455445551</c:v>
                </c:pt>
                <c:pt idx="17" formatCode="General">
                  <c:v>-8.4254071782178208</c:v>
                </c:pt>
                <c:pt idx="18" formatCode="General">
                  <c:v>-7.9027339108910892</c:v>
                </c:pt>
                <c:pt idx="19" formatCode="General">
                  <c:v>-7.471400990099009</c:v>
                </c:pt>
                <c:pt idx="20" formatCode="General">
                  <c:v>-7.0488267326732661</c:v>
                </c:pt>
                <c:pt idx="21" formatCode="General">
                  <c:v>-6.6380693069306922</c:v>
                </c:pt>
                <c:pt idx="22" formatCode="General">
                  <c:v>-6.2459900990099015</c:v>
                </c:pt>
                <c:pt idx="23" formatCode="General">
                  <c:v>-5.85391089108911</c:v>
                </c:pt>
                <c:pt idx="24" formatCode="General">
                  <c:v>-5.4831492537313435</c:v>
                </c:pt>
                <c:pt idx="25" formatCode="General">
                  <c:v>-5.1157860696517412</c:v>
                </c:pt>
                <c:pt idx="26" formatCode="General">
                  <c:v>-4.7695742574257416</c:v>
                </c:pt>
                <c:pt idx="27" formatCode="General">
                  <c:v>-4.4626435643564353</c:v>
                </c:pt>
                <c:pt idx="28" formatCode="General">
                  <c:v>-4.1557128712871281</c:v>
                </c:pt>
                <c:pt idx="29" formatCode="General">
                  <c:v>-4.117683168316832</c:v>
                </c:pt>
                <c:pt idx="30" formatCode="General">
                  <c:v>-4.136693069306931</c:v>
                </c:pt>
                <c:pt idx="31" formatCode="General">
                  <c:v>-4.1559405940594063</c:v>
                </c:pt>
                <c:pt idx="32" formatCode="General">
                  <c:v>-4.1757425742574261</c:v>
                </c:pt>
                <c:pt idx="33" formatCode="General">
                  <c:v>-4.1955445544554459</c:v>
                </c:pt>
                <c:pt idx="34" formatCode="General">
                  <c:v>-4.2150396039603963</c:v>
                </c:pt>
                <c:pt idx="35" formatCode="General">
                  <c:v>-4.2344455445544549</c:v>
                </c:pt>
                <c:pt idx="36" formatCode="General">
                  <c:v>-4.2539504950495051</c:v>
                </c:pt>
                <c:pt idx="37" formatCode="General">
                  <c:v>-4.2737524752475249</c:v>
                </c:pt>
                <c:pt idx="38" formatCode="General">
                  <c:v>-4.2935544554455447</c:v>
                </c:pt>
                <c:pt idx="39" formatCode="General">
                  <c:v>-4.3133564356435645</c:v>
                </c:pt>
                <c:pt idx="40" formatCode="General">
                  <c:v>-4.3331584158415843</c:v>
                </c:pt>
                <c:pt idx="41" formatCode="General">
                  <c:v>-4.3529603960396042</c:v>
                </c:pt>
                <c:pt idx="42" formatCode="General">
                  <c:v>-4.372762376237624</c:v>
                </c:pt>
                <c:pt idx="43" formatCode="General">
                  <c:v>-4.3925643564356438</c:v>
                </c:pt>
                <c:pt idx="44" formatCode="General">
                  <c:v>-4.4123663366336636</c:v>
                </c:pt>
                <c:pt idx="45" formatCode="General">
                  <c:v>-4.4321683168316834</c:v>
                </c:pt>
                <c:pt idx="46" formatCode="General">
                  <c:v>-4.4519702970297024</c:v>
                </c:pt>
                <c:pt idx="47" formatCode="General">
                  <c:v>-4.4717722772277222</c:v>
                </c:pt>
                <c:pt idx="48" formatCode="General">
                  <c:v>-4.491574257425742</c:v>
                </c:pt>
                <c:pt idx="49" formatCode="General">
                  <c:v>-4.5112057001239156</c:v>
                </c:pt>
                <c:pt idx="50" formatCode="General">
                  <c:v>-4.5307348203221807</c:v>
                </c:pt>
                <c:pt idx="51" formatCode="General">
                  <c:v>-4.5502639405204457</c:v>
                </c:pt>
                <c:pt idx="52" formatCode="General">
                  <c:v>-4.5697930607187107</c:v>
                </c:pt>
                <c:pt idx="53" formatCode="General">
                  <c:v>-4.5893221809169757</c:v>
                </c:pt>
                <c:pt idx="54" formatCode="General">
                  <c:v>-4.6088513011152417</c:v>
                </c:pt>
                <c:pt idx="55" formatCode="General">
                  <c:v>-4.6283804213135067</c:v>
                </c:pt>
                <c:pt idx="56" formatCode="General">
                  <c:v>-4.6479095415117717</c:v>
                </c:pt>
                <c:pt idx="57" formatCode="General">
                  <c:v>-4.6674386617100367</c:v>
                </c:pt>
                <c:pt idx="58" formatCode="General">
                  <c:v>-4.6869677819083018</c:v>
                </c:pt>
                <c:pt idx="59" formatCode="General">
                  <c:v>-4.7061646039603957</c:v>
                </c:pt>
                <c:pt idx="60" formatCode="General">
                  <c:v>-4.7250754950495049</c:v>
                </c:pt>
                <c:pt idx="61" formatCode="General">
                  <c:v>-4.7439863861386131</c:v>
                </c:pt>
                <c:pt idx="62" formatCode="General">
                  <c:v>-4.7628972772277223</c:v>
                </c:pt>
                <c:pt idx="63" formatCode="General">
                  <c:v>-4.7818081683168314</c:v>
                </c:pt>
                <c:pt idx="64" formatCode="General">
                  <c:v>-4.8007190594059406</c:v>
                </c:pt>
                <c:pt idx="65" formatCode="General">
                  <c:v>-4.8196299504950488</c:v>
                </c:pt>
                <c:pt idx="66" formatCode="General">
                  <c:v>-4.838540841584158</c:v>
                </c:pt>
                <c:pt idx="67" formatCode="General">
                  <c:v>-4.8574517326732671</c:v>
                </c:pt>
                <c:pt idx="68" formatCode="General">
                  <c:v>-4.8763626237623754</c:v>
                </c:pt>
                <c:pt idx="69" formatCode="General">
                  <c:v>-4.8949801734820317</c:v>
                </c:pt>
                <c:pt idx="70" formatCode="General">
                  <c:v>-4.913220570012391</c:v>
                </c:pt>
                <c:pt idx="71" formatCode="General">
                  <c:v>-4.9314609665427502</c:v>
                </c:pt>
                <c:pt idx="72" formatCode="General">
                  <c:v>-4.9497013630731095</c:v>
                </c:pt>
                <c:pt idx="73" formatCode="General">
                  <c:v>-4.9679417596034696</c:v>
                </c:pt>
                <c:pt idx="74" formatCode="General">
                  <c:v>-4.9861821561338289</c:v>
                </c:pt>
                <c:pt idx="75" formatCode="General">
                  <c:v>-5.0044225526641881</c:v>
                </c:pt>
                <c:pt idx="76" formatCode="General">
                  <c:v>-5.0226629491945474</c:v>
                </c:pt>
                <c:pt idx="77" formatCode="General">
                  <c:v>-5.0409033457249066</c:v>
                </c:pt>
                <c:pt idx="78" formatCode="General">
                  <c:v>-5.0591437422552659</c:v>
                </c:pt>
                <c:pt idx="79" formatCode="General">
                  <c:v>-5.077168316831683</c:v>
                </c:pt>
                <c:pt idx="80" formatCode="General">
                  <c:v>-5.0947920792079202</c:v>
                </c:pt>
                <c:pt idx="81" formatCode="General">
                  <c:v>-5.1124158415841583</c:v>
                </c:pt>
                <c:pt idx="82" formatCode="General">
                  <c:v>-5.1300396039603955</c:v>
                </c:pt>
                <c:pt idx="83" formatCode="General">
                  <c:v>-5.1476633663366336</c:v>
                </c:pt>
                <c:pt idx="84" formatCode="General">
                  <c:v>-5.1652871287128708</c:v>
                </c:pt>
                <c:pt idx="85" formatCode="General">
                  <c:v>-5.1829108910891089</c:v>
                </c:pt>
                <c:pt idx="86" formatCode="General">
                  <c:v>-5.200534653465346</c:v>
                </c:pt>
                <c:pt idx="87" formatCode="General">
                  <c:v>-5.2181584158415841</c:v>
                </c:pt>
                <c:pt idx="88" formatCode="General">
                  <c:v>-5.2357821782178213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A48-4470-A5F4-48DD5FFF2C63}"/>
            </c:ext>
          </c:extLst>
        </c:ser>
        <c:ser>
          <c:idx val="39"/>
          <c:order val="39"/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EVALUATION!$B$140:$CP$140</c:f>
              <c:numCache>
                <c:formatCode>0</c:formatCode>
                <c:ptCount val="93"/>
                <c:pt idx="0">
                  <c:v>-62.848811881188126</c:v>
                </c:pt>
                <c:pt idx="1">
                  <c:v>-61.159752475247529</c:v>
                </c:pt>
                <c:pt idx="2">
                  <c:v>-59.508267326732678</c:v>
                </c:pt>
                <c:pt idx="3">
                  <c:v>-57.857029702970294</c:v>
                </c:pt>
                <c:pt idx="4" formatCode="General">
                  <c:v>-56.209504950495045</c:v>
                </c:pt>
                <c:pt idx="5" formatCode="General">
                  <c:v>-54.561980198019796</c:v>
                </c:pt>
                <c:pt idx="6" formatCode="General">
                  <c:v>-52.9229702970297</c:v>
                </c:pt>
                <c:pt idx="7" formatCode="General">
                  <c:v>-51.291287128712867</c:v>
                </c:pt>
                <c:pt idx="8" formatCode="General">
                  <c:v>-49.660495049504945</c:v>
                </c:pt>
                <c:pt idx="9" formatCode="General">
                  <c:v>-48.100099009900987</c:v>
                </c:pt>
                <c:pt idx="10" formatCode="General">
                  <c:v>-46.539702970297036</c:v>
                </c:pt>
                <c:pt idx="11" formatCode="General">
                  <c:v>-45.035297029702974</c:v>
                </c:pt>
                <c:pt idx="12" formatCode="General">
                  <c:v>-43.589752475247529</c:v>
                </c:pt>
                <c:pt idx="13" formatCode="General">
                  <c:v>-42.144207920792084</c:v>
                </c:pt>
                <c:pt idx="14" formatCode="General">
                  <c:v>-40.824455445544558</c:v>
                </c:pt>
                <c:pt idx="15" formatCode="General">
                  <c:v>-39.509603960396042</c:v>
                </c:pt>
                <c:pt idx="16" formatCode="General">
                  <c:v>-38.251930693069312</c:v>
                </c:pt>
                <c:pt idx="17" formatCode="General">
                  <c:v>-37.067772277227725</c:v>
                </c:pt>
                <c:pt idx="18" formatCode="General">
                  <c:v>-35.883613861386138</c:v>
                </c:pt>
                <c:pt idx="19" formatCode="General">
                  <c:v>-34.822326732673268</c:v>
                </c:pt>
                <c:pt idx="20" formatCode="General">
                  <c:v>-33.77282178217822</c:v>
                </c:pt>
                <c:pt idx="21" formatCode="General">
                  <c:v>-32.758613861386138</c:v>
                </c:pt>
                <c:pt idx="22" formatCode="General">
                  <c:v>-31.800198019801982</c:v>
                </c:pt>
                <c:pt idx="23" formatCode="General">
                  <c:v>-30.841782178217827</c:v>
                </c:pt>
                <c:pt idx="24" formatCode="General">
                  <c:v>-29.947910447761195</c:v>
                </c:pt>
                <c:pt idx="25" formatCode="General">
                  <c:v>-29.064328358208954</c:v>
                </c:pt>
                <c:pt idx="26" formatCode="General">
                  <c:v>-28.276534653465344</c:v>
                </c:pt>
                <c:pt idx="27" formatCode="General">
                  <c:v>-27.666633663366333</c:v>
                </c:pt>
                <c:pt idx="28" formatCode="General">
                  <c:v>-27.056732673267323</c:v>
                </c:pt>
                <c:pt idx="29" formatCode="General">
                  <c:v>-27.110099009900992</c:v>
                </c:pt>
                <c:pt idx="30" formatCode="General">
                  <c:v>-27.304158415841584</c:v>
                </c:pt>
                <c:pt idx="31" formatCode="General">
                  <c:v>-27.535049504950496</c:v>
                </c:pt>
                <c:pt idx="32" formatCode="General">
                  <c:v>-27.851881188118814</c:v>
                </c:pt>
                <c:pt idx="33" formatCode="General">
                  <c:v>-28.168712871287131</c:v>
                </c:pt>
                <c:pt idx="34" formatCode="General">
                  <c:v>-28.485544554455444</c:v>
                </c:pt>
                <c:pt idx="35" formatCode="General">
                  <c:v>-28.802376237623761</c:v>
                </c:pt>
                <c:pt idx="36" formatCode="General">
                  <c:v>-29.118217821782178</c:v>
                </c:pt>
                <c:pt idx="37" formatCode="General">
                  <c:v>-29.431089108910889</c:v>
                </c:pt>
                <c:pt idx="38" formatCode="General">
                  <c:v>-29.743960396039601</c:v>
                </c:pt>
                <c:pt idx="39" formatCode="General">
                  <c:v>-30.053960396039603</c:v>
                </c:pt>
                <c:pt idx="40" formatCode="General">
                  <c:v>-30.362871287128712</c:v>
                </c:pt>
                <c:pt idx="41" formatCode="General">
                  <c:v>-30.670990099009902</c:v>
                </c:pt>
                <c:pt idx="42" formatCode="General">
                  <c:v>-30.975940594059406</c:v>
                </c:pt>
                <c:pt idx="43" formatCode="General">
                  <c:v>-31.280891089108909</c:v>
                </c:pt>
                <c:pt idx="44" formatCode="General">
                  <c:v>-31.58049504950495</c:v>
                </c:pt>
                <c:pt idx="45" formatCode="General">
                  <c:v>-31.877524752475249</c:v>
                </c:pt>
                <c:pt idx="46" formatCode="General">
                  <c:v>-32.174554455445552</c:v>
                </c:pt>
                <c:pt idx="47" formatCode="General">
                  <c:v>-32.471584158415844</c:v>
                </c:pt>
                <c:pt idx="48" formatCode="General">
                  <c:v>-32.768613861386143</c:v>
                </c:pt>
                <c:pt idx="49" formatCode="General">
                  <c:v>-33.057199504337056</c:v>
                </c:pt>
                <c:pt idx="50" formatCode="General">
                  <c:v>-33.340718711276331</c:v>
                </c:pt>
                <c:pt idx="51" formatCode="General">
                  <c:v>-33.624237918215613</c:v>
                </c:pt>
                <c:pt idx="52" formatCode="General">
                  <c:v>-33.907757125154895</c:v>
                </c:pt>
                <c:pt idx="53" formatCode="General">
                  <c:v>-34.191276332094176</c:v>
                </c:pt>
                <c:pt idx="54" formatCode="General">
                  <c:v>-34.474795539033458</c:v>
                </c:pt>
                <c:pt idx="55" formatCode="General">
                  <c:v>-34.75831474597274</c:v>
                </c:pt>
                <c:pt idx="56" formatCode="General">
                  <c:v>-35.041833952912022</c:v>
                </c:pt>
                <c:pt idx="57" formatCode="General">
                  <c:v>-35.325353159851304</c:v>
                </c:pt>
                <c:pt idx="58" formatCode="General">
                  <c:v>-35.608872366790585</c:v>
                </c:pt>
                <c:pt idx="59" formatCode="General">
                  <c:v>-35.879962871287127</c:v>
                </c:pt>
                <c:pt idx="60" formatCode="General">
                  <c:v>-36.140358910891088</c:v>
                </c:pt>
                <c:pt idx="61" formatCode="General">
                  <c:v>-36.400754950495049</c:v>
                </c:pt>
                <c:pt idx="62" formatCode="General">
                  <c:v>-36.66115099009901</c:v>
                </c:pt>
                <c:pt idx="63" formatCode="General">
                  <c:v>-36.921547029702971</c:v>
                </c:pt>
                <c:pt idx="64" formatCode="General">
                  <c:v>-37.181943069306932</c:v>
                </c:pt>
                <c:pt idx="65" formatCode="General">
                  <c:v>-37.442339108910886</c:v>
                </c:pt>
                <c:pt idx="66" formatCode="General">
                  <c:v>-37.702735148514847</c:v>
                </c:pt>
                <c:pt idx="67" formatCode="General">
                  <c:v>-37.963131188118808</c:v>
                </c:pt>
                <c:pt idx="68" formatCode="General">
                  <c:v>-38.223527227722769</c:v>
                </c:pt>
                <c:pt idx="69" formatCode="General">
                  <c:v>-38.471920693928126</c:v>
                </c:pt>
                <c:pt idx="70" formatCode="General">
                  <c:v>-38.704882280049567</c:v>
                </c:pt>
                <c:pt idx="71" formatCode="General">
                  <c:v>-38.937843866171001</c:v>
                </c:pt>
                <c:pt idx="72" formatCode="General">
                  <c:v>-39.170805452292441</c:v>
                </c:pt>
                <c:pt idx="73" formatCode="General">
                  <c:v>-39.403767038413875</c:v>
                </c:pt>
                <c:pt idx="74" formatCode="General">
                  <c:v>-39.636728624535316</c:v>
                </c:pt>
                <c:pt idx="75" formatCode="General">
                  <c:v>-39.869690210656749</c:v>
                </c:pt>
                <c:pt idx="76" formatCode="General">
                  <c:v>-40.10265179677819</c:v>
                </c:pt>
                <c:pt idx="77" formatCode="General">
                  <c:v>-40.335613382899624</c:v>
                </c:pt>
                <c:pt idx="78" formatCode="General">
                  <c:v>-40.568574969021064</c:v>
                </c:pt>
                <c:pt idx="79" formatCode="General">
                  <c:v>-40.791039603960392</c:v>
                </c:pt>
                <c:pt idx="80" formatCode="General">
                  <c:v>-40.9940099009901</c:v>
                </c:pt>
                <c:pt idx="81" formatCode="General">
                  <c:v>-41.196980198019801</c:v>
                </c:pt>
                <c:pt idx="82" formatCode="General">
                  <c:v>-41.399950495049502</c:v>
                </c:pt>
                <c:pt idx="83" formatCode="General">
                  <c:v>-41.60292079207921</c:v>
                </c:pt>
                <c:pt idx="84" formatCode="General">
                  <c:v>-41.805891089108911</c:v>
                </c:pt>
                <c:pt idx="85" formatCode="General">
                  <c:v>-42.008861386138612</c:v>
                </c:pt>
                <c:pt idx="86" formatCode="General">
                  <c:v>-42.21183168316832</c:v>
                </c:pt>
                <c:pt idx="87" formatCode="General">
                  <c:v>-42.414801980198021</c:v>
                </c:pt>
                <c:pt idx="88" formatCode="General">
                  <c:v>-42.617772277227722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A48-4470-A5F4-48DD5FFF2C63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A48-4470-A5F4-48DD5FFF2C63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-193.34064356435644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A48-4470-A5F4-48DD5FFF2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1A48-4470-A5F4-48DD5FFF2C63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-34.01879207920792</c:v>
                      </c:pt>
                      <c:pt idx="7" formatCode="General">
                        <c:v>-33.477009900990097</c:v>
                      </c:pt>
                      <c:pt idx="8" formatCode="General">
                        <c:v>-32.936969059405939</c:v>
                      </c:pt>
                      <c:pt idx="9" formatCode="General">
                        <c:v>-32.534493811881184</c:v>
                      </c:pt>
                      <c:pt idx="10" formatCode="General">
                        <c:v>-32.132018564356436</c:v>
                      </c:pt>
                      <c:pt idx="11" formatCode="General">
                        <c:v>-31.72954331683168</c:v>
                      </c:pt>
                      <c:pt idx="12" formatCode="General">
                        <c:v>-31.327068069306929</c:v>
                      </c:pt>
                      <c:pt idx="13" formatCode="General">
                        <c:v>-30.924592821782177</c:v>
                      </c:pt>
                      <c:pt idx="14" formatCode="General">
                        <c:v>-30.522117574257425</c:v>
                      </c:pt>
                      <c:pt idx="15" formatCode="General">
                        <c:v>-30.119642326732674</c:v>
                      </c:pt>
                      <c:pt idx="16" formatCode="General">
                        <c:v>-29.717167079207918</c:v>
                      </c:pt>
                      <c:pt idx="17" formatCode="General">
                        <c:v>-29.314691831683167</c:v>
                      </c:pt>
                      <c:pt idx="18" formatCode="General">
                        <c:v>-28.912216584158415</c:v>
                      </c:pt>
                      <c:pt idx="19" formatCode="General">
                        <c:v>-28.607044554455445</c:v>
                      </c:pt>
                      <c:pt idx="20" formatCode="General">
                        <c:v>-28.311202970297028</c:v>
                      </c:pt>
                      <c:pt idx="21" formatCode="General">
                        <c:v>-28.025643564356436</c:v>
                      </c:pt>
                      <c:pt idx="22" formatCode="General">
                        <c:v>-27.756336633663366</c:v>
                      </c:pt>
                      <c:pt idx="23" formatCode="General">
                        <c:v>-27.487029702970297</c:v>
                      </c:pt>
                      <c:pt idx="24" formatCode="General">
                        <c:v>-27.239567164179103</c:v>
                      </c:pt>
                      <c:pt idx="25" formatCode="General">
                        <c:v>-26.995587064676617</c:v>
                      </c:pt>
                      <c:pt idx="26" formatCode="General">
                        <c:v>-26.772544554455443</c:v>
                      </c:pt>
                      <c:pt idx="27" formatCode="General">
                        <c:v>-26.58838613861386</c:v>
                      </c:pt>
                      <c:pt idx="28" formatCode="General">
                        <c:v>-26.404227722772276</c:v>
                      </c:pt>
                      <c:pt idx="29" formatCode="General">
                        <c:v>-26.48570297029703</c:v>
                      </c:pt>
                      <c:pt idx="30" formatCode="General">
                        <c:v>-26.623524752475248</c:v>
                      </c:pt>
                      <c:pt idx="31" formatCode="General">
                        <c:v>-26.762772277227722</c:v>
                      </c:pt>
                      <c:pt idx="32" formatCode="General">
                        <c:v>-26.905346534653464</c:v>
                      </c:pt>
                      <c:pt idx="33" formatCode="General">
                        <c:v>-27.047920792079207</c:v>
                      </c:pt>
                      <c:pt idx="34" formatCode="General">
                        <c:v>-27.187118811881188</c:v>
                      </c:pt>
                      <c:pt idx="35" formatCode="General">
                        <c:v>-27.325336633663365</c:v>
                      </c:pt>
                      <c:pt idx="36" formatCode="General">
                        <c:v>-27.463653465346532</c:v>
                      </c:pt>
                      <c:pt idx="37" formatCode="General">
                        <c:v>-27.602267326732672</c:v>
                      </c:pt>
                      <c:pt idx="38" formatCode="General">
                        <c:v>-27.740881188118809</c:v>
                      </c:pt>
                      <c:pt idx="39" formatCode="General">
                        <c:v>-27.877341584158415</c:v>
                      </c:pt>
                      <c:pt idx="40" formatCode="General">
                        <c:v>-28.012985148514851</c:v>
                      </c:pt>
                      <c:pt idx="41" formatCode="General">
                        <c:v>-28.148628712871286</c:v>
                      </c:pt>
                      <c:pt idx="42" formatCode="General">
                        <c:v>-28.284272277227721</c:v>
                      </c:pt>
                      <c:pt idx="43" formatCode="General">
                        <c:v>-28.419915841584157</c:v>
                      </c:pt>
                      <c:pt idx="44" formatCode="General">
                        <c:v>-28.555559405940592</c:v>
                      </c:pt>
                      <c:pt idx="45" formatCode="General">
                        <c:v>-28.691202970297027</c:v>
                      </c:pt>
                      <c:pt idx="46" formatCode="General">
                        <c:v>-28.826846534653463</c:v>
                      </c:pt>
                      <c:pt idx="47" formatCode="General">
                        <c:v>-28.962490099009898</c:v>
                      </c:pt>
                      <c:pt idx="48" formatCode="General">
                        <c:v>-29.098133663366333</c:v>
                      </c:pt>
                      <c:pt idx="49" formatCode="General">
                        <c:v>-29.230598513011149</c:v>
                      </c:pt>
                      <c:pt idx="50" formatCode="General">
                        <c:v>-29.361156133828995</c:v>
                      </c:pt>
                      <c:pt idx="51" formatCode="General">
                        <c:v>-29.491713754646838</c:v>
                      </c:pt>
                      <c:pt idx="52" formatCode="General">
                        <c:v>-29.622271375464681</c:v>
                      </c:pt>
                      <c:pt idx="53" formatCode="General">
                        <c:v>-29.752828996282528</c:v>
                      </c:pt>
                      <c:pt idx="54" formatCode="General">
                        <c:v>-29.883386617100371</c:v>
                      </c:pt>
                      <c:pt idx="55" formatCode="General">
                        <c:v>-30.013944237918214</c:v>
                      </c:pt>
                      <c:pt idx="56" formatCode="General">
                        <c:v>-30.14450185873606</c:v>
                      </c:pt>
                      <c:pt idx="57" formatCode="General">
                        <c:v>-30.275059479553903</c:v>
                      </c:pt>
                      <c:pt idx="58" formatCode="General">
                        <c:v>-30.405617100371746</c:v>
                      </c:pt>
                      <c:pt idx="59" formatCode="General">
                        <c:v>-30.534172029702972</c:v>
                      </c:pt>
                      <c:pt idx="60" formatCode="General">
                        <c:v>-30.661003712871288</c:v>
                      </c:pt>
                      <c:pt idx="61" formatCode="General">
                        <c:v>-30.787835396039604</c:v>
                      </c:pt>
                      <c:pt idx="62" formatCode="General">
                        <c:v>-30.91466707920792</c:v>
                      </c:pt>
                      <c:pt idx="63" formatCode="General">
                        <c:v>-31.041498762376239</c:v>
                      </c:pt>
                      <c:pt idx="64" formatCode="General">
                        <c:v>-31.168330445544555</c:v>
                      </c:pt>
                      <c:pt idx="65" formatCode="General">
                        <c:v>-31.295162128712871</c:v>
                      </c:pt>
                      <c:pt idx="66" formatCode="General">
                        <c:v>-31.421993811881187</c:v>
                      </c:pt>
                      <c:pt idx="67" formatCode="General">
                        <c:v>-31.548825495049506</c:v>
                      </c:pt>
                      <c:pt idx="68" formatCode="General">
                        <c:v>-31.675657178217822</c:v>
                      </c:pt>
                      <c:pt idx="69" formatCode="General">
                        <c:v>-31.800085501858735</c:v>
                      </c:pt>
                      <c:pt idx="70" formatCode="General">
                        <c:v>-31.92142379182156</c:v>
                      </c:pt>
                      <c:pt idx="71" formatCode="General">
                        <c:v>-32.042762081784389</c:v>
                      </c:pt>
                      <c:pt idx="72" formatCode="General">
                        <c:v>-32.16410037174721</c:v>
                      </c:pt>
                      <c:pt idx="73" formatCode="General">
                        <c:v>-32.285438661710032</c:v>
                      </c:pt>
                      <c:pt idx="74" formatCode="General">
                        <c:v>-32.40677695167286</c:v>
                      </c:pt>
                      <c:pt idx="75" formatCode="General">
                        <c:v>-32.528115241635682</c:v>
                      </c:pt>
                      <c:pt idx="76" formatCode="General">
                        <c:v>-32.64945353159851</c:v>
                      </c:pt>
                      <c:pt idx="77" formatCode="General">
                        <c:v>-32.770791821561332</c:v>
                      </c:pt>
                      <c:pt idx="78" formatCode="General">
                        <c:v>-32.89213011152416</c:v>
                      </c:pt>
                      <c:pt idx="79" formatCode="General">
                        <c:v>-33.012168316831676</c:v>
                      </c:pt>
                      <c:pt idx="80" formatCode="General">
                        <c:v>-33.129792079207917</c:v>
                      </c:pt>
                      <c:pt idx="81" formatCode="General">
                        <c:v>-33.247415841584157</c:v>
                      </c:pt>
                      <c:pt idx="82" formatCode="General">
                        <c:v>-33.36503960396039</c:v>
                      </c:pt>
                      <c:pt idx="83" formatCode="General">
                        <c:v>-33.482663366336631</c:v>
                      </c:pt>
                      <c:pt idx="84" formatCode="General">
                        <c:v>-33.600287128712871</c:v>
                      </c:pt>
                      <c:pt idx="85" formatCode="General">
                        <c:v>-33.717910891089105</c:v>
                      </c:pt>
                      <c:pt idx="86" formatCode="General">
                        <c:v>-33.835534653465345</c:v>
                      </c:pt>
                      <c:pt idx="87" formatCode="General">
                        <c:v>-33.953158415841585</c:v>
                      </c:pt>
                      <c:pt idx="88" formatCode="General">
                        <c:v>-34.070782178217819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A48-4470-A5F4-48DD5FFF2C63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A48-4470-A5F4-48DD5FFF2C63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A48-4470-A5F4-48DD5FFF2C63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-19.966574257425744</c:v>
                      </c:pt>
                      <c:pt idx="7" formatCode="General">
                        <c:v>-19.885782178217823</c:v>
                      </c:pt>
                      <c:pt idx="8" formatCode="General">
                        <c:v>-19.807502475247524</c:v>
                      </c:pt>
                      <c:pt idx="9" formatCode="General">
                        <c:v>-19.927700495049507</c:v>
                      </c:pt>
                      <c:pt idx="10" formatCode="General">
                        <c:v>-20.047898514851486</c:v>
                      </c:pt>
                      <c:pt idx="11" formatCode="General">
                        <c:v>-20.168096534653465</c:v>
                      </c:pt>
                      <c:pt idx="12" formatCode="General">
                        <c:v>-20.288294554455447</c:v>
                      </c:pt>
                      <c:pt idx="13" formatCode="General">
                        <c:v>-20.408492574257426</c:v>
                      </c:pt>
                      <c:pt idx="14" formatCode="General">
                        <c:v>-20.528690594059405</c:v>
                      </c:pt>
                      <c:pt idx="15" formatCode="General">
                        <c:v>-20.648888613861388</c:v>
                      </c:pt>
                      <c:pt idx="16" formatCode="General">
                        <c:v>-20.769086633663367</c:v>
                      </c:pt>
                      <c:pt idx="17" formatCode="General">
                        <c:v>-20.889284653465346</c:v>
                      </c:pt>
                      <c:pt idx="18" formatCode="General">
                        <c:v>-21.009482673267328</c:v>
                      </c:pt>
                      <c:pt idx="19" formatCode="General">
                        <c:v>-21.135643564356435</c:v>
                      </c:pt>
                      <c:pt idx="20" formatCode="General">
                        <c:v>-21.262376237623762</c:v>
                      </c:pt>
                      <c:pt idx="21" formatCode="General">
                        <c:v>-21.387574257425744</c:v>
                      </c:pt>
                      <c:pt idx="22" formatCode="General">
                        <c:v>-21.510346534653465</c:v>
                      </c:pt>
                      <c:pt idx="23" formatCode="General">
                        <c:v>-21.633118811881186</c:v>
                      </c:pt>
                      <c:pt idx="24" formatCode="General">
                        <c:v>-21.756417910447759</c:v>
                      </c:pt>
                      <c:pt idx="25" formatCode="General">
                        <c:v>-21.879800995024876</c:v>
                      </c:pt>
                      <c:pt idx="26" formatCode="General">
                        <c:v>-22.002970297029705</c:v>
                      </c:pt>
                      <c:pt idx="27" formatCode="General">
                        <c:v>-22.125742574257426</c:v>
                      </c:pt>
                      <c:pt idx="28" formatCode="General">
                        <c:v>-22.248514851485147</c:v>
                      </c:pt>
                      <c:pt idx="29" formatCode="General">
                        <c:v>-22.368019801980196</c:v>
                      </c:pt>
                      <c:pt idx="30" formatCode="General">
                        <c:v>-22.486831683168315</c:v>
                      </c:pt>
                      <c:pt idx="31" formatCode="General">
                        <c:v>-22.606831683168316</c:v>
                      </c:pt>
                      <c:pt idx="32" formatCode="General">
                        <c:v>-22.729603960396041</c:v>
                      </c:pt>
                      <c:pt idx="33" formatCode="General">
                        <c:v>-22.852376237623762</c:v>
                      </c:pt>
                      <c:pt idx="34" formatCode="General">
                        <c:v>-22.972079207920792</c:v>
                      </c:pt>
                      <c:pt idx="35" formatCode="General">
                        <c:v>-23.090891089108911</c:v>
                      </c:pt>
                      <c:pt idx="36" formatCode="General">
                        <c:v>-23.20970297029703</c:v>
                      </c:pt>
                      <c:pt idx="37" formatCode="General">
                        <c:v>-23.328514851485149</c:v>
                      </c:pt>
                      <c:pt idx="38" formatCode="General">
                        <c:v>-23.447326732673268</c:v>
                      </c:pt>
                      <c:pt idx="39" formatCode="General">
                        <c:v>-23.563985148514853</c:v>
                      </c:pt>
                      <c:pt idx="40" formatCode="General">
                        <c:v>-23.679826732673266</c:v>
                      </c:pt>
                      <c:pt idx="41" formatCode="General">
                        <c:v>-23.795668316831684</c:v>
                      </c:pt>
                      <c:pt idx="42" formatCode="General">
                        <c:v>-23.911509900990097</c:v>
                      </c:pt>
                      <c:pt idx="43" formatCode="General">
                        <c:v>-24.027351485148515</c:v>
                      </c:pt>
                      <c:pt idx="44" formatCode="General">
                        <c:v>-24.143193069306928</c:v>
                      </c:pt>
                      <c:pt idx="45" formatCode="General">
                        <c:v>-24.259034653465346</c:v>
                      </c:pt>
                      <c:pt idx="46" formatCode="General">
                        <c:v>-24.374876237623763</c:v>
                      </c:pt>
                      <c:pt idx="47" formatCode="General">
                        <c:v>-24.490717821782177</c:v>
                      </c:pt>
                      <c:pt idx="48" formatCode="General">
                        <c:v>-24.606559405940594</c:v>
                      </c:pt>
                      <c:pt idx="49" formatCode="General">
                        <c:v>-24.719392812887236</c:v>
                      </c:pt>
                      <c:pt idx="50" formatCode="General">
                        <c:v>-24.830421313506815</c:v>
                      </c:pt>
                      <c:pt idx="51" formatCode="General">
                        <c:v>-24.941449814126393</c:v>
                      </c:pt>
                      <c:pt idx="52" formatCode="General">
                        <c:v>-25.052478314745972</c:v>
                      </c:pt>
                      <c:pt idx="53" formatCode="General">
                        <c:v>-25.163506815365551</c:v>
                      </c:pt>
                      <c:pt idx="54" formatCode="General">
                        <c:v>-25.27453531598513</c:v>
                      </c:pt>
                      <c:pt idx="55" formatCode="General">
                        <c:v>-25.385563816604709</c:v>
                      </c:pt>
                      <c:pt idx="56" formatCode="General">
                        <c:v>-25.496592317224287</c:v>
                      </c:pt>
                      <c:pt idx="57" formatCode="General">
                        <c:v>-25.607620817843866</c:v>
                      </c:pt>
                      <c:pt idx="58" formatCode="General">
                        <c:v>-25.718649318463445</c:v>
                      </c:pt>
                      <c:pt idx="59" formatCode="General">
                        <c:v>-25.828007425742573</c:v>
                      </c:pt>
                      <c:pt idx="60" formatCode="General">
                        <c:v>-25.935928217821782</c:v>
                      </c:pt>
                      <c:pt idx="61" formatCode="General">
                        <c:v>-26.043849009900988</c:v>
                      </c:pt>
                      <c:pt idx="62" formatCode="General">
                        <c:v>-26.151769801980198</c:v>
                      </c:pt>
                      <c:pt idx="63" formatCode="General">
                        <c:v>-26.259690594059403</c:v>
                      </c:pt>
                      <c:pt idx="64" formatCode="General">
                        <c:v>-26.367611386138613</c:v>
                      </c:pt>
                      <c:pt idx="65" formatCode="General">
                        <c:v>-26.475532178217822</c:v>
                      </c:pt>
                      <c:pt idx="66" formatCode="General">
                        <c:v>-26.583452970297028</c:v>
                      </c:pt>
                      <c:pt idx="67" formatCode="General">
                        <c:v>-26.691373762376237</c:v>
                      </c:pt>
                      <c:pt idx="68" formatCode="General">
                        <c:v>-26.799294554455443</c:v>
                      </c:pt>
                      <c:pt idx="69" formatCode="General">
                        <c:v>-26.905105328376703</c:v>
                      </c:pt>
                      <c:pt idx="70" formatCode="General">
                        <c:v>-27.008203221809168</c:v>
                      </c:pt>
                      <c:pt idx="71" formatCode="General">
                        <c:v>-27.111301115241634</c:v>
                      </c:pt>
                      <c:pt idx="72" formatCode="General">
                        <c:v>-27.2143990086741</c:v>
                      </c:pt>
                      <c:pt idx="73" formatCode="General">
                        <c:v>-27.317496902106566</c:v>
                      </c:pt>
                      <c:pt idx="74" formatCode="General">
                        <c:v>-27.420594795539031</c:v>
                      </c:pt>
                      <c:pt idx="75" formatCode="General">
                        <c:v>-27.523692688971497</c:v>
                      </c:pt>
                      <c:pt idx="76" formatCode="General">
                        <c:v>-27.626790582403963</c:v>
                      </c:pt>
                      <c:pt idx="77" formatCode="General">
                        <c:v>-27.729888475836429</c:v>
                      </c:pt>
                      <c:pt idx="78" formatCode="General">
                        <c:v>-27.832986369268895</c:v>
                      </c:pt>
                      <c:pt idx="79" formatCode="General">
                        <c:v>-27.934999999999999</c:v>
                      </c:pt>
                      <c:pt idx="80" formatCode="General">
                        <c:v>-28.034999999999997</c:v>
                      </c:pt>
                      <c:pt idx="81" formatCode="General">
                        <c:v>-28.134999999999998</c:v>
                      </c:pt>
                      <c:pt idx="82" formatCode="General">
                        <c:v>-28.234999999999999</c:v>
                      </c:pt>
                      <c:pt idx="83" formatCode="General">
                        <c:v>-28.334999999999997</c:v>
                      </c:pt>
                      <c:pt idx="84" formatCode="General">
                        <c:v>-28.434999999999999</c:v>
                      </c:pt>
                      <c:pt idx="85" formatCode="General">
                        <c:v>-28.535</c:v>
                      </c:pt>
                      <c:pt idx="86" formatCode="General">
                        <c:v>-28.634999999999998</c:v>
                      </c:pt>
                      <c:pt idx="87" formatCode="General">
                        <c:v>-28.734999999999999</c:v>
                      </c:pt>
                      <c:pt idx="88" formatCode="General">
                        <c:v>-28.835000000000001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A48-4470-A5F4-48DD5FFF2C63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-53.985366336633668</c:v>
                      </c:pt>
                      <c:pt idx="7" formatCode="General">
                        <c:v>-53.362792079207928</c:v>
                      </c:pt>
                      <c:pt idx="8" formatCode="General">
                        <c:v>-52.744471534653471</c:v>
                      </c:pt>
                      <c:pt idx="9" formatCode="General">
                        <c:v>-52.462194306930698</c:v>
                      </c:pt>
                      <c:pt idx="10" formatCode="General">
                        <c:v>-52.179917079207925</c:v>
                      </c:pt>
                      <c:pt idx="11" formatCode="General">
                        <c:v>-51.897639851485152</c:v>
                      </c:pt>
                      <c:pt idx="12" formatCode="General">
                        <c:v>-51.61536262376238</c:v>
                      </c:pt>
                      <c:pt idx="13" formatCode="General">
                        <c:v>-51.333085396039607</c:v>
                      </c:pt>
                      <c:pt idx="14" formatCode="General">
                        <c:v>-51.050808168316834</c:v>
                      </c:pt>
                      <c:pt idx="15" formatCode="General">
                        <c:v>-50.768530940594061</c:v>
                      </c:pt>
                      <c:pt idx="16" formatCode="General">
                        <c:v>-50.486253712871289</c:v>
                      </c:pt>
                      <c:pt idx="17" formatCode="General">
                        <c:v>-50.203976485148516</c:v>
                      </c:pt>
                      <c:pt idx="18" formatCode="General">
                        <c:v>-49.921699257425743</c:v>
                      </c:pt>
                      <c:pt idx="19" formatCode="General">
                        <c:v>-49.742688118811877</c:v>
                      </c:pt>
                      <c:pt idx="20" formatCode="General">
                        <c:v>-49.573579207920787</c:v>
                      </c:pt>
                      <c:pt idx="21" formatCode="General">
                        <c:v>-49.413217821782176</c:v>
                      </c:pt>
                      <c:pt idx="22" formatCode="General">
                        <c:v>-49.266683168316831</c:v>
                      </c:pt>
                      <c:pt idx="23" formatCode="General">
                        <c:v>-49.120148514851479</c:v>
                      </c:pt>
                      <c:pt idx="24" formatCode="General">
                        <c:v>-48.995985074626866</c:v>
                      </c:pt>
                      <c:pt idx="25" formatCode="General">
                        <c:v>-48.875388059701493</c:v>
                      </c:pt>
                      <c:pt idx="26" formatCode="General">
                        <c:v>-48.775514851485148</c:v>
                      </c:pt>
                      <c:pt idx="27" formatCode="General">
                        <c:v>-48.714128712871286</c:v>
                      </c:pt>
                      <c:pt idx="28" formatCode="General">
                        <c:v>-48.652742574257424</c:v>
                      </c:pt>
                      <c:pt idx="29" formatCode="General">
                        <c:v>-48.853722772277223</c:v>
                      </c:pt>
                      <c:pt idx="30" formatCode="General">
                        <c:v>-49.11035643564356</c:v>
                      </c:pt>
                      <c:pt idx="31" formatCode="General">
                        <c:v>-49.369603960396041</c:v>
                      </c:pt>
                      <c:pt idx="32" formatCode="General">
                        <c:v>-49.634950495049509</c:v>
                      </c:pt>
                      <c:pt idx="33" formatCode="General">
                        <c:v>-49.900297029702969</c:v>
                      </c:pt>
                      <c:pt idx="34" formatCode="General">
                        <c:v>-50.159198019801984</c:v>
                      </c:pt>
                      <c:pt idx="35" formatCode="General">
                        <c:v>-50.416227722772277</c:v>
                      </c:pt>
                      <c:pt idx="36" formatCode="General">
                        <c:v>-50.673356435643569</c:v>
                      </c:pt>
                      <c:pt idx="37" formatCode="General">
                        <c:v>-50.930782178217825</c:v>
                      </c:pt>
                      <c:pt idx="38" formatCode="General">
                        <c:v>-51.188207920792081</c:v>
                      </c:pt>
                      <c:pt idx="39" formatCode="General">
                        <c:v>-51.441326732673268</c:v>
                      </c:pt>
                      <c:pt idx="40" formatCode="General">
                        <c:v>-51.692811881188121</c:v>
                      </c:pt>
                      <c:pt idx="41" formatCode="General">
                        <c:v>-51.944297029702966</c:v>
                      </c:pt>
                      <c:pt idx="42" formatCode="General">
                        <c:v>-52.195782178217819</c:v>
                      </c:pt>
                      <c:pt idx="43" formatCode="General">
                        <c:v>-52.447267326732671</c:v>
                      </c:pt>
                      <c:pt idx="44" formatCode="General">
                        <c:v>-52.698752475247524</c:v>
                      </c:pt>
                      <c:pt idx="45" formatCode="General">
                        <c:v>-52.950237623762376</c:v>
                      </c:pt>
                      <c:pt idx="46" formatCode="General">
                        <c:v>-53.201722772277229</c:v>
                      </c:pt>
                      <c:pt idx="47" formatCode="General">
                        <c:v>-53.453207920792082</c:v>
                      </c:pt>
                      <c:pt idx="48" formatCode="General">
                        <c:v>-53.704693069306927</c:v>
                      </c:pt>
                      <c:pt idx="49" formatCode="General">
                        <c:v>-53.949991325898388</c:v>
                      </c:pt>
                      <c:pt idx="50" formatCode="General">
                        <c:v>-54.19157744733581</c:v>
                      </c:pt>
                      <c:pt idx="51" formatCode="General">
                        <c:v>-54.433163568773232</c:v>
                      </c:pt>
                      <c:pt idx="52" formatCode="General">
                        <c:v>-54.674749690210653</c:v>
                      </c:pt>
                      <c:pt idx="53" formatCode="General">
                        <c:v>-54.916335811648075</c:v>
                      </c:pt>
                      <c:pt idx="54" formatCode="General">
                        <c:v>-55.157921933085497</c:v>
                      </c:pt>
                      <c:pt idx="55" formatCode="General">
                        <c:v>-55.399508054522919</c:v>
                      </c:pt>
                      <c:pt idx="56" formatCode="General">
                        <c:v>-55.64109417596034</c:v>
                      </c:pt>
                      <c:pt idx="57" formatCode="General">
                        <c:v>-55.882680297397769</c:v>
                      </c:pt>
                      <c:pt idx="58" formatCode="General">
                        <c:v>-56.124266418835191</c:v>
                      </c:pt>
                      <c:pt idx="59" formatCode="General">
                        <c:v>-56.362179455445542</c:v>
                      </c:pt>
                      <c:pt idx="60" formatCode="General">
                        <c:v>-56.596931930693067</c:v>
                      </c:pt>
                      <c:pt idx="61" formatCode="General">
                        <c:v>-56.831684405940592</c:v>
                      </c:pt>
                      <c:pt idx="62" formatCode="General">
                        <c:v>-57.066436881188118</c:v>
                      </c:pt>
                      <c:pt idx="63" formatCode="General">
                        <c:v>-57.301189356435643</c:v>
                      </c:pt>
                      <c:pt idx="64" formatCode="General">
                        <c:v>-57.535941831683168</c:v>
                      </c:pt>
                      <c:pt idx="65" formatCode="General">
                        <c:v>-57.770694306930693</c:v>
                      </c:pt>
                      <c:pt idx="66" formatCode="General">
                        <c:v>-58.005446782178218</c:v>
                      </c:pt>
                      <c:pt idx="67" formatCode="General">
                        <c:v>-58.240199257425743</c:v>
                      </c:pt>
                      <c:pt idx="68" formatCode="General">
                        <c:v>-58.474951732673269</c:v>
                      </c:pt>
                      <c:pt idx="69" formatCode="General">
                        <c:v>-58.705190830235438</c:v>
                      </c:pt>
                      <c:pt idx="70" formatCode="General">
                        <c:v>-58.929627013630729</c:v>
                      </c:pt>
                      <c:pt idx="71" formatCode="General">
                        <c:v>-59.154063197026019</c:v>
                      </c:pt>
                      <c:pt idx="72" formatCode="General">
                        <c:v>-59.37849938042131</c:v>
                      </c:pt>
                      <c:pt idx="73" formatCode="General">
                        <c:v>-59.602935563816601</c:v>
                      </c:pt>
                      <c:pt idx="74" formatCode="General">
                        <c:v>-59.827371747211892</c:v>
                      </c:pt>
                      <c:pt idx="75" formatCode="General">
                        <c:v>-60.051807930607183</c:v>
                      </c:pt>
                      <c:pt idx="76" formatCode="General">
                        <c:v>-60.276244114002473</c:v>
                      </c:pt>
                      <c:pt idx="77" formatCode="General">
                        <c:v>-60.500680297397764</c:v>
                      </c:pt>
                      <c:pt idx="78" formatCode="General">
                        <c:v>-60.725116480793055</c:v>
                      </c:pt>
                      <c:pt idx="79" formatCode="General">
                        <c:v>-60.947168316831679</c:v>
                      </c:pt>
                      <c:pt idx="80" formatCode="General">
                        <c:v>-61.164792079207913</c:v>
                      </c:pt>
                      <c:pt idx="81" formatCode="General">
                        <c:v>-61.382415841584155</c:v>
                      </c:pt>
                      <c:pt idx="82" formatCode="General">
                        <c:v>-61.60003960396039</c:v>
                      </c:pt>
                      <c:pt idx="83" formatCode="General">
                        <c:v>-61.817663366336632</c:v>
                      </c:pt>
                      <c:pt idx="84" formatCode="General">
                        <c:v>-62.035287128712866</c:v>
                      </c:pt>
                      <c:pt idx="85" formatCode="General">
                        <c:v>-62.252910891089108</c:v>
                      </c:pt>
                      <c:pt idx="86" formatCode="General">
                        <c:v>-62.47053465346535</c:v>
                      </c:pt>
                      <c:pt idx="87" formatCode="General">
                        <c:v>-62.688158415841585</c:v>
                      </c:pt>
                      <c:pt idx="88" formatCode="General">
                        <c:v>-62.905782178217827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A48-4470-A5F4-48DD5FFF2C63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-192.75227722772277</c:v>
                      </c:pt>
                      <c:pt idx="1">
                        <c:v>-188.21178217821782</c:v>
                      </c:pt>
                      <c:pt idx="2">
                        <c:v>-183.94247524752475</c:v>
                      </c:pt>
                      <c:pt idx="3">
                        <c:v>-179.70658415841584</c:v>
                      </c:pt>
                      <c:pt idx="4" formatCode="General">
                        <c:v>-175.97193069306931</c:v>
                      </c:pt>
                      <c:pt idx="5" formatCode="General">
                        <c:v>-172.23727722772276</c:v>
                      </c:pt>
                      <c:pt idx="6" formatCode="General">
                        <c:v>-168.74912871287128</c:v>
                      </c:pt>
                      <c:pt idx="7" formatCode="General">
                        <c:v>-165.47308910891087</c:v>
                      </c:pt>
                      <c:pt idx="8" formatCode="General">
                        <c:v>-162.20688861386137</c:v>
                      </c:pt>
                      <c:pt idx="9" formatCode="General">
                        <c:v>-159.71797772277228</c:v>
                      </c:pt>
                      <c:pt idx="10" formatCode="General">
                        <c:v>-157.22906683168316</c:v>
                      </c:pt>
                      <c:pt idx="11" formatCode="General">
                        <c:v>-154.74015594059406</c:v>
                      </c:pt>
                      <c:pt idx="12" formatCode="General">
                        <c:v>-152.25124504950494</c:v>
                      </c:pt>
                      <c:pt idx="13" formatCode="General">
                        <c:v>-149.76233415841585</c:v>
                      </c:pt>
                      <c:pt idx="14" formatCode="General">
                        <c:v>-147.27342326732673</c:v>
                      </c:pt>
                      <c:pt idx="15" formatCode="General">
                        <c:v>-144.78451237623764</c:v>
                      </c:pt>
                      <c:pt idx="16" formatCode="General">
                        <c:v>-142.29560148514852</c:v>
                      </c:pt>
                      <c:pt idx="17" formatCode="General">
                        <c:v>-139.80669059405943</c:v>
                      </c:pt>
                      <c:pt idx="18" formatCode="General">
                        <c:v>-137.31777970297031</c:v>
                      </c:pt>
                      <c:pt idx="19" formatCode="General">
                        <c:v>-135.37257425742575</c:v>
                      </c:pt>
                      <c:pt idx="20" formatCode="General">
                        <c:v>-133.47950495049506</c:v>
                      </c:pt>
                      <c:pt idx="21" formatCode="General">
                        <c:v>-131.64935643564354</c:v>
                      </c:pt>
                      <c:pt idx="22" formatCode="General">
                        <c:v>-129.91866336633663</c:v>
                      </c:pt>
                      <c:pt idx="23" formatCode="General">
                        <c:v>-128.18797029702969</c:v>
                      </c:pt>
                      <c:pt idx="24" formatCode="General">
                        <c:v>-126.58029850746269</c:v>
                      </c:pt>
                      <c:pt idx="25" formatCode="General">
                        <c:v>-124.99223880597015</c:v>
                      </c:pt>
                      <c:pt idx="26" formatCode="General">
                        <c:v>-123.45405940594058</c:v>
                      </c:pt>
                      <c:pt idx="27" formatCode="General">
                        <c:v>-122.00851485148515</c:v>
                      </c:pt>
                      <c:pt idx="28" formatCode="General">
                        <c:v>-120.56297029702969</c:v>
                      </c:pt>
                      <c:pt idx="29" formatCode="General">
                        <c:v>-119.82643564356437</c:v>
                      </c:pt>
                      <c:pt idx="30" formatCode="General">
                        <c:v>-119.24029702970299</c:v>
                      </c:pt>
                      <c:pt idx="31" formatCode="General">
                        <c:v>-119.13059405940595</c:v>
                      </c:pt>
                      <c:pt idx="32" formatCode="General">
                        <c:v>-120.13257425742574</c:v>
                      </c:pt>
                      <c:pt idx="33" formatCode="General">
                        <c:v>-121.13455445544555</c:v>
                      </c:pt>
                      <c:pt idx="34" formatCode="General">
                        <c:v>-122.12118811881189</c:v>
                      </c:pt>
                      <c:pt idx="35" formatCode="General">
                        <c:v>-123.10336633663366</c:v>
                      </c:pt>
                      <c:pt idx="36" formatCode="General">
                        <c:v>-124.08554455445544</c:v>
                      </c:pt>
                      <c:pt idx="37" formatCode="General">
                        <c:v>-125.06772277227722</c:v>
                      </c:pt>
                      <c:pt idx="38" formatCode="General">
                        <c:v>-126.04990099009899</c:v>
                      </c:pt>
                      <c:pt idx="39" formatCode="General">
                        <c:v>-127.0083910891089</c:v>
                      </c:pt>
                      <c:pt idx="40" formatCode="General">
                        <c:v>-127.95789603960395</c:v>
                      </c:pt>
                      <c:pt idx="41" formatCode="General">
                        <c:v>-128.90740099009901</c:v>
                      </c:pt>
                      <c:pt idx="42" formatCode="General">
                        <c:v>-129.85690594059406</c:v>
                      </c:pt>
                      <c:pt idx="43" formatCode="General">
                        <c:v>-130.80641089108912</c:v>
                      </c:pt>
                      <c:pt idx="44" formatCode="General">
                        <c:v>-131.75591584158414</c:v>
                      </c:pt>
                      <c:pt idx="45" formatCode="General">
                        <c:v>-132.7054207920792</c:v>
                      </c:pt>
                      <c:pt idx="46" formatCode="General">
                        <c:v>-133.65492574257425</c:v>
                      </c:pt>
                      <c:pt idx="47" formatCode="General">
                        <c:v>-134.6044306930693</c:v>
                      </c:pt>
                      <c:pt idx="48" formatCode="General">
                        <c:v>-135.55393564356436</c:v>
                      </c:pt>
                      <c:pt idx="49" formatCode="General">
                        <c:v>-136.47257744733582</c:v>
                      </c:pt>
                      <c:pt idx="50" formatCode="General">
                        <c:v>-137.37270136307311</c:v>
                      </c:pt>
                      <c:pt idx="51" formatCode="General">
                        <c:v>-138.27282527881042</c:v>
                      </c:pt>
                      <c:pt idx="52" formatCode="General">
                        <c:v>-139.1729491945477</c:v>
                      </c:pt>
                      <c:pt idx="53" formatCode="General">
                        <c:v>-140.07307311028501</c:v>
                      </c:pt>
                      <c:pt idx="54" formatCode="General">
                        <c:v>-140.97319702602232</c:v>
                      </c:pt>
                      <c:pt idx="55" formatCode="General">
                        <c:v>-141.8733209417596</c:v>
                      </c:pt>
                      <c:pt idx="56" formatCode="General">
                        <c:v>-142.77344485749691</c:v>
                      </c:pt>
                      <c:pt idx="57" formatCode="General">
                        <c:v>-143.67356877323419</c:v>
                      </c:pt>
                      <c:pt idx="58" formatCode="General">
                        <c:v>-144.57369268897151</c:v>
                      </c:pt>
                      <c:pt idx="59" formatCode="General">
                        <c:v>-145.44394801980198</c:v>
                      </c:pt>
                      <c:pt idx="60" formatCode="General">
                        <c:v>-146.28850247524753</c:v>
                      </c:pt>
                      <c:pt idx="61" formatCode="General">
                        <c:v>-147.13305693069307</c:v>
                      </c:pt>
                      <c:pt idx="62" formatCode="General">
                        <c:v>-147.97761138613862</c:v>
                      </c:pt>
                      <c:pt idx="63" formatCode="General">
                        <c:v>-148.82216584158417</c:v>
                      </c:pt>
                      <c:pt idx="64" formatCode="General">
                        <c:v>-149.66672029702968</c:v>
                      </c:pt>
                      <c:pt idx="65" formatCode="General">
                        <c:v>-150.51127475247523</c:v>
                      </c:pt>
                      <c:pt idx="66" formatCode="General">
                        <c:v>-151.35582920792078</c:v>
                      </c:pt>
                      <c:pt idx="67" formatCode="General">
                        <c:v>-152.20038366336632</c:v>
                      </c:pt>
                      <c:pt idx="68" formatCode="General">
                        <c:v>-153.04493811881187</c:v>
                      </c:pt>
                      <c:pt idx="69" formatCode="General">
                        <c:v>-153.86002478314745</c:v>
                      </c:pt>
                      <c:pt idx="70" formatCode="General">
                        <c:v>-154.63722428748449</c:v>
                      </c:pt>
                      <c:pt idx="71" formatCode="General">
                        <c:v>-155.41442379182155</c:v>
                      </c:pt>
                      <c:pt idx="72" formatCode="General">
                        <c:v>-156.19162329615858</c:v>
                      </c:pt>
                      <c:pt idx="73" formatCode="General">
                        <c:v>-156.96882280049564</c:v>
                      </c:pt>
                      <c:pt idx="74" formatCode="General">
                        <c:v>-157.74602230483271</c:v>
                      </c:pt>
                      <c:pt idx="75" formatCode="General">
                        <c:v>-158.52322180916974</c:v>
                      </c:pt>
                      <c:pt idx="76" formatCode="General">
                        <c:v>-159.3004213135068</c:v>
                      </c:pt>
                      <c:pt idx="77" formatCode="General">
                        <c:v>-160.07762081784384</c:v>
                      </c:pt>
                      <c:pt idx="78" formatCode="General">
                        <c:v>-160.8548203221809</c:v>
                      </c:pt>
                      <c:pt idx="79" formatCode="General">
                        <c:v>-161.60707920792078</c:v>
                      </c:pt>
                      <c:pt idx="80" formatCode="General">
                        <c:v>-162.31301980198018</c:v>
                      </c:pt>
                      <c:pt idx="81" formatCode="General">
                        <c:v>-163.0189603960396</c:v>
                      </c:pt>
                      <c:pt idx="82" formatCode="General">
                        <c:v>-163.724900990099</c:v>
                      </c:pt>
                      <c:pt idx="83" formatCode="General">
                        <c:v>-164.4308415841584</c:v>
                      </c:pt>
                      <c:pt idx="84" formatCode="General">
                        <c:v>-165.13678217821783</c:v>
                      </c:pt>
                      <c:pt idx="85" formatCode="General">
                        <c:v>-165.84272277227723</c:v>
                      </c:pt>
                      <c:pt idx="86" formatCode="General">
                        <c:v>-166.54866336633663</c:v>
                      </c:pt>
                      <c:pt idx="87" formatCode="General">
                        <c:v>-167.25460396039605</c:v>
                      </c:pt>
                      <c:pt idx="88" formatCode="General">
                        <c:v>-167.96054455445545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A48-4470-A5F4-48DD5FFF2C63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A48-4470-A5F4-48DD5FFF2C63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A48-4470-A5F4-48DD5FFF2C6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A48-4470-A5F4-48DD5FFF2C6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A48-4470-A5F4-48DD5FFF2C6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48-4470-A5F4-48DD5FFF2C6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-19.966574257425744</c:v>
                      </c:pt>
                      <c:pt idx="7" formatCode="General">
                        <c:v>-19.885782178217823</c:v>
                      </c:pt>
                      <c:pt idx="8" formatCode="General">
                        <c:v>-19.807502475247524</c:v>
                      </c:pt>
                      <c:pt idx="9" formatCode="General">
                        <c:v>-19.927700495049507</c:v>
                      </c:pt>
                      <c:pt idx="10" formatCode="General">
                        <c:v>-20.047898514851486</c:v>
                      </c:pt>
                      <c:pt idx="11" formatCode="General">
                        <c:v>-20.168096534653465</c:v>
                      </c:pt>
                      <c:pt idx="12" formatCode="General">
                        <c:v>-20.288294554455447</c:v>
                      </c:pt>
                      <c:pt idx="13" formatCode="General">
                        <c:v>-20.408492574257426</c:v>
                      </c:pt>
                      <c:pt idx="14" formatCode="General">
                        <c:v>-20.528690594059405</c:v>
                      </c:pt>
                      <c:pt idx="15" formatCode="General">
                        <c:v>-20.648888613861388</c:v>
                      </c:pt>
                      <c:pt idx="16" formatCode="General">
                        <c:v>-20.769086633663367</c:v>
                      </c:pt>
                      <c:pt idx="17" formatCode="General">
                        <c:v>-20.889284653465346</c:v>
                      </c:pt>
                      <c:pt idx="18" formatCode="General">
                        <c:v>-21.009482673267328</c:v>
                      </c:pt>
                      <c:pt idx="19" formatCode="General">
                        <c:v>-21.135643564356435</c:v>
                      </c:pt>
                      <c:pt idx="20" formatCode="General">
                        <c:v>-21.262376237623762</c:v>
                      </c:pt>
                      <c:pt idx="21" formatCode="General">
                        <c:v>-21.387574257425744</c:v>
                      </c:pt>
                      <c:pt idx="22" formatCode="General">
                        <c:v>-21.510346534653465</c:v>
                      </c:pt>
                      <c:pt idx="23" formatCode="General">
                        <c:v>-21.633118811881186</c:v>
                      </c:pt>
                      <c:pt idx="24" formatCode="General">
                        <c:v>-21.756417910447759</c:v>
                      </c:pt>
                      <c:pt idx="25" formatCode="General">
                        <c:v>-21.879800995024876</c:v>
                      </c:pt>
                      <c:pt idx="26" formatCode="General">
                        <c:v>-22.002970297029705</c:v>
                      </c:pt>
                      <c:pt idx="27" formatCode="General">
                        <c:v>-22.125742574257426</c:v>
                      </c:pt>
                      <c:pt idx="28" formatCode="General">
                        <c:v>-22.248514851485147</c:v>
                      </c:pt>
                      <c:pt idx="29" formatCode="General">
                        <c:v>-22.368019801980196</c:v>
                      </c:pt>
                      <c:pt idx="30" formatCode="General">
                        <c:v>-22.486831683168315</c:v>
                      </c:pt>
                      <c:pt idx="31" formatCode="General">
                        <c:v>-22.606831683168316</c:v>
                      </c:pt>
                      <c:pt idx="32" formatCode="General">
                        <c:v>-22.729603960396041</c:v>
                      </c:pt>
                      <c:pt idx="33" formatCode="General">
                        <c:v>-22.852376237623762</c:v>
                      </c:pt>
                      <c:pt idx="34" formatCode="General">
                        <c:v>-22.972079207920792</c:v>
                      </c:pt>
                      <c:pt idx="35" formatCode="General">
                        <c:v>-23.090891089108911</c:v>
                      </c:pt>
                      <c:pt idx="36" formatCode="General">
                        <c:v>-23.20970297029703</c:v>
                      </c:pt>
                      <c:pt idx="37" formatCode="General">
                        <c:v>-23.328514851485149</c:v>
                      </c:pt>
                      <c:pt idx="38" formatCode="General">
                        <c:v>-23.447326732673268</c:v>
                      </c:pt>
                      <c:pt idx="39" formatCode="General">
                        <c:v>-23.563985148514853</c:v>
                      </c:pt>
                      <c:pt idx="40" formatCode="General">
                        <c:v>-23.679826732673266</c:v>
                      </c:pt>
                      <c:pt idx="41" formatCode="General">
                        <c:v>-23.795668316831684</c:v>
                      </c:pt>
                      <c:pt idx="42" formatCode="General">
                        <c:v>-23.911509900990097</c:v>
                      </c:pt>
                      <c:pt idx="43" formatCode="General">
                        <c:v>-24.027351485148515</c:v>
                      </c:pt>
                      <c:pt idx="44" formatCode="General">
                        <c:v>-24.143193069306928</c:v>
                      </c:pt>
                      <c:pt idx="45" formatCode="General">
                        <c:v>-24.259034653465346</c:v>
                      </c:pt>
                      <c:pt idx="46" formatCode="General">
                        <c:v>-24.374876237623763</c:v>
                      </c:pt>
                      <c:pt idx="47" formatCode="General">
                        <c:v>-24.490717821782177</c:v>
                      </c:pt>
                      <c:pt idx="48" formatCode="General">
                        <c:v>-24.606559405940594</c:v>
                      </c:pt>
                      <c:pt idx="49" formatCode="General">
                        <c:v>-24.719392812887236</c:v>
                      </c:pt>
                      <c:pt idx="50" formatCode="General">
                        <c:v>-24.830421313506815</c:v>
                      </c:pt>
                      <c:pt idx="51" formatCode="General">
                        <c:v>-24.941449814126393</c:v>
                      </c:pt>
                      <c:pt idx="52" formatCode="General">
                        <c:v>-25.052478314745972</c:v>
                      </c:pt>
                      <c:pt idx="53" formatCode="General">
                        <c:v>-25.163506815365551</c:v>
                      </c:pt>
                      <c:pt idx="54" formatCode="General">
                        <c:v>-25.27453531598513</c:v>
                      </c:pt>
                      <c:pt idx="55" formatCode="General">
                        <c:v>-25.385563816604709</c:v>
                      </c:pt>
                      <c:pt idx="56" formatCode="General">
                        <c:v>-25.496592317224287</c:v>
                      </c:pt>
                      <c:pt idx="57" formatCode="General">
                        <c:v>-25.607620817843866</c:v>
                      </c:pt>
                      <c:pt idx="58" formatCode="General">
                        <c:v>-25.718649318463445</c:v>
                      </c:pt>
                      <c:pt idx="59" formatCode="General">
                        <c:v>-25.828007425742573</c:v>
                      </c:pt>
                      <c:pt idx="60" formatCode="General">
                        <c:v>-25.935928217821782</c:v>
                      </c:pt>
                      <c:pt idx="61" formatCode="General">
                        <c:v>-26.043849009900988</c:v>
                      </c:pt>
                      <c:pt idx="62" formatCode="General">
                        <c:v>-26.151769801980198</c:v>
                      </c:pt>
                      <c:pt idx="63" formatCode="General">
                        <c:v>-26.259690594059403</c:v>
                      </c:pt>
                      <c:pt idx="64" formatCode="General">
                        <c:v>-26.367611386138613</c:v>
                      </c:pt>
                      <c:pt idx="65" formatCode="General">
                        <c:v>-26.475532178217822</c:v>
                      </c:pt>
                      <c:pt idx="66" formatCode="General">
                        <c:v>-26.583452970297028</c:v>
                      </c:pt>
                      <c:pt idx="67" formatCode="General">
                        <c:v>-26.691373762376237</c:v>
                      </c:pt>
                      <c:pt idx="68" formatCode="General">
                        <c:v>-26.799294554455443</c:v>
                      </c:pt>
                      <c:pt idx="69" formatCode="General">
                        <c:v>-26.905105328376703</c:v>
                      </c:pt>
                      <c:pt idx="70" formatCode="General">
                        <c:v>-27.008203221809168</c:v>
                      </c:pt>
                      <c:pt idx="71" formatCode="General">
                        <c:v>-27.111301115241634</c:v>
                      </c:pt>
                      <c:pt idx="72" formatCode="General">
                        <c:v>-27.2143990086741</c:v>
                      </c:pt>
                      <c:pt idx="73" formatCode="General">
                        <c:v>-27.317496902106566</c:v>
                      </c:pt>
                      <c:pt idx="74" formatCode="General">
                        <c:v>-27.420594795539031</c:v>
                      </c:pt>
                      <c:pt idx="75" formatCode="General">
                        <c:v>-27.523692688971497</c:v>
                      </c:pt>
                      <c:pt idx="76" formatCode="General">
                        <c:v>-27.626790582403963</c:v>
                      </c:pt>
                      <c:pt idx="77" formatCode="General">
                        <c:v>-27.729888475836429</c:v>
                      </c:pt>
                      <c:pt idx="78" formatCode="General">
                        <c:v>-27.832986369268895</c:v>
                      </c:pt>
                      <c:pt idx="79" formatCode="General">
                        <c:v>-27.934999999999999</c:v>
                      </c:pt>
                      <c:pt idx="80" formatCode="General">
                        <c:v>-28.034999999999997</c:v>
                      </c:pt>
                      <c:pt idx="81" formatCode="General">
                        <c:v>-28.134999999999998</c:v>
                      </c:pt>
                      <c:pt idx="82" formatCode="General">
                        <c:v>-28.234999999999999</c:v>
                      </c:pt>
                      <c:pt idx="83" formatCode="General">
                        <c:v>-28.334999999999997</c:v>
                      </c:pt>
                      <c:pt idx="84" formatCode="General">
                        <c:v>-28.434999999999999</c:v>
                      </c:pt>
                      <c:pt idx="85" formatCode="General">
                        <c:v>-28.535</c:v>
                      </c:pt>
                      <c:pt idx="86" formatCode="General">
                        <c:v>-28.634999999999998</c:v>
                      </c:pt>
                      <c:pt idx="87" formatCode="General">
                        <c:v>-28.734999999999999</c:v>
                      </c:pt>
                      <c:pt idx="88" formatCode="General">
                        <c:v>-28.835000000000001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A48-4470-A5F4-48DD5FFF2C6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A48-4470-A5F4-48DD5FFF2C63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A48-4470-A5F4-48DD5FFF2C63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1A48-4470-A5F4-48DD5FFF2C63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A48-4470-A5F4-48DD5FFF2C63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A48-4470-A5F4-48DD5FFF2C63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A48-4470-A5F4-48DD5FFF2C63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1A48-4470-A5F4-48DD5FFF2C63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1A48-4470-A5F4-48DD5FFF2C63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A48-4470-A5F4-48DD5FFF2C63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A48-4470-A5F4-48DD5FFF2C63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A48-4470-A5F4-48DD5FFF2C63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1A48-4470-A5F4-48DD5FFF2C63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A48-4470-A5F4-48DD5FFF2C63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A48-4470-A5F4-48DD5FFF2C63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A48-4470-A5F4-48DD5FFF2C63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A48-4470-A5F4-48DD5FFF2C63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A48-4470-A5F4-48DD5FFF2C63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-85.396485148514856</c:v>
                      </c:pt>
                      <c:pt idx="1">
                        <c:v>-83.32361386138615</c:v>
                      </c:pt>
                      <c:pt idx="2">
                        <c:v>-81.355297029702982</c:v>
                      </c:pt>
                      <c:pt idx="3">
                        <c:v>-79.398366336633671</c:v>
                      </c:pt>
                      <c:pt idx="4" formatCode="General">
                        <c:v>-77.612227722772275</c:v>
                      </c:pt>
                      <c:pt idx="5" formatCode="General">
                        <c:v>-75.826089108910892</c:v>
                      </c:pt>
                      <c:pt idx="6" formatCode="General">
                        <c:v>-74.122970297029696</c:v>
                      </c:pt>
                      <c:pt idx="7" formatCode="General">
                        <c:v>-72.49128712871287</c:v>
                      </c:pt>
                      <c:pt idx="8" formatCode="General">
                        <c:v>-70.861386138613852</c:v>
                      </c:pt>
                      <c:pt idx="9" formatCode="General">
                        <c:v>-69.372277227722776</c:v>
                      </c:pt>
                      <c:pt idx="10" formatCode="General">
                        <c:v>-67.883168316831686</c:v>
                      </c:pt>
                      <c:pt idx="11" formatCode="General">
                        <c:v>-66.463564356435654</c:v>
                      </c:pt>
                      <c:pt idx="12" formatCode="General">
                        <c:v>-65.117029702970299</c:v>
                      </c:pt>
                      <c:pt idx="13" formatCode="General">
                        <c:v>-63.770495049504952</c:v>
                      </c:pt>
                      <c:pt idx="14" formatCode="General">
                        <c:v>-62.553564356435643</c:v>
                      </c:pt>
                      <c:pt idx="15" formatCode="General">
                        <c:v>-61.341683168316834</c:v>
                      </c:pt>
                      <c:pt idx="16" formatCode="General">
                        <c:v>-60.180049504950496</c:v>
                      </c:pt>
                      <c:pt idx="17" formatCode="General">
                        <c:v>-59.0830198019802</c:v>
                      </c:pt>
                      <c:pt idx="18" formatCode="General">
                        <c:v>-57.985990099009896</c:v>
                      </c:pt>
                      <c:pt idx="19" formatCode="General">
                        <c:v>-57.000990099009904</c:v>
                      </c:pt>
                      <c:pt idx="20" formatCode="General">
                        <c:v>-56.026732673267333</c:v>
                      </c:pt>
                      <c:pt idx="21" formatCode="General">
                        <c:v>-55.08470297029703</c:v>
                      </c:pt>
                      <c:pt idx="22" formatCode="General">
                        <c:v>-54.19361386138614</c:v>
                      </c:pt>
                      <c:pt idx="23" formatCode="General">
                        <c:v>-53.30252475247525</c:v>
                      </c:pt>
                      <c:pt idx="24" formatCode="General">
                        <c:v>-52.486567164179107</c:v>
                      </c:pt>
                      <c:pt idx="25" formatCode="General">
                        <c:v>-51.682587064676611</c:v>
                      </c:pt>
                      <c:pt idx="26" formatCode="General">
                        <c:v>-50.971485148514844</c:v>
                      </c:pt>
                      <c:pt idx="27" formatCode="General">
                        <c:v>-50.432871287128705</c:v>
                      </c:pt>
                      <c:pt idx="28" formatCode="General">
                        <c:v>-49.894257425742573</c:v>
                      </c:pt>
                      <c:pt idx="29" formatCode="General">
                        <c:v>-50.041782178217822</c:v>
                      </c:pt>
                      <c:pt idx="30" formatCode="General">
                        <c:v>-50.334851485148519</c:v>
                      </c:pt>
                      <c:pt idx="31" formatCode="General">
                        <c:v>-50.670693069306935</c:v>
                      </c:pt>
                      <c:pt idx="32" formatCode="General">
                        <c:v>-51.106336633663368</c:v>
                      </c:pt>
                      <c:pt idx="33" formatCode="General">
                        <c:v>-51.541980198019807</c:v>
                      </c:pt>
                      <c:pt idx="34" formatCode="General">
                        <c:v>-51.974554455445549</c:v>
                      </c:pt>
                      <c:pt idx="35" formatCode="General">
                        <c:v>-52.406237623762379</c:v>
                      </c:pt>
                      <c:pt idx="36" formatCode="General">
                        <c:v>-52.83792079207921</c:v>
                      </c:pt>
                      <c:pt idx="37" formatCode="General">
                        <c:v>-53.26960396039604</c:v>
                      </c:pt>
                      <c:pt idx="38" formatCode="General">
                        <c:v>-53.701287128712863</c:v>
                      </c:pt>
                      <c:pt idx="39" formatCode="General">
                        <c:v>-54.130099009900981</c:v>
                      </c:pt>
                      <c:pt idx="40" formatCode="General">
                        <c:v>-54.557821782178216</c:v>
                      </c:pt>
                      <c:pt idx="41" formatCode="General">
                        <c:v>-54.983960396039606</c:v>
                      </c:pt>
                      <c:pt idx="42" formatCode="General">
                        <c:v>-55.403762376237623</c:v>
                      </c:pt>
                      <c:pt idx="43" formatCode="General">
                        <c:v>-55.823564356435639</c:v>
                      </c:pt>
                      <c:pt idx="44" formatCode="General">
                        <c:v>-56.238019801980194</c:v>
                      </c:pt>
                      <c:pt idx="45" formatCode="General">
                        <c:v>-56.649900990099006</c:v>
                      </c:pt>
                      <c:pt idx="46" formatCode="General">
                        <c:v>-57.061782178217825</c:v>
                      </c:pt>
                      <c:pt idx="47" formatCode="General">
                        <c:v>-57.473663366336638</c:v>
                      </c:pt>
                      <c:pt idx="48" formatCode="General">
                        <c:v>-57.88554455445545</c:v>
                      </c:pt>
                      <c:pt idx="49" formatCode="General">
                        <c:v>-58.28659231722429</c:v>
                      </c:pt>
                      <c:pt idx="50" formatCode="General">
                        <c:v>-58.681140024783154</c:v>
                      </c:pt>
                      <c:pt idx="51" formatCode="General">
                        <c:v>-59.075687732342011</c:v>
                      </c:pt>
                      <c:pt idx="52" formatCode="General">
                        <c:v>-59.470235439900868</c:v>
                      </c:pt>
                      <c:pt idx="53" formatCode="General">
                        <c:v>-59.864783147459733</c:v>
                      </c:pt>
                      <c:pt idx="54" formatCode="General">
                        <c:v>-60.25933085501859</c:v>
                      </c:pt>
                      <c:pt idx="55" formatCode="General">
                        <c:v>-60.653878562577447</c:v>
                      </c:pt>
                      <c:pt idx="56" formatCode="General">
                        <c:v>-61.048426270136311</c:v>
                      </c:pt>
                      <c:pt idx="57" formatCode="General">
                        <c:v>-61.442973977695168</c:v>
                      </c:pt>
                      <c:pt idx="58" formatCode="General">
                        <c:v>-61.837521685254032</c:v>
                      </c:pt>
                      <c:pt idx="59" formatCode="General">
                        <c:v>-62.217970297029701</c:v>
                      </c:pt>
                      <c:pt idx="60" formatCode="General">
                        <c:v>-62.586287128712868</c:v>
                      </c:pt>
                      <c:pt idx="61" formatCode="General">
                        <c:v>-62.954603960396042</c:v>
                      </c:pt>
                      <c:pt idx="62" formatCode="General">
                        <c:v>-63.322920792079209</c:v>
                      </c:pt>
                      <c:pt idx="63" formatCode="General">
                        <c:v>-63.691237623762376</c:v>
                      </c:pt>
                      <c:pt idx="64" formatCode="General">
                        <c:v>-64.059554455445536</c:v>
                      </c:pt>
                      <c:pt idx="65" formatCode="General">
                        <c:v>-64.42787128712871</c:v>
                      </c:pt>
                      <c:pt idx="66" formatCode="General">
                        <c:v>-64.796188118811884</c:v>
                      </c:pt>
                      <c:pt idx="67" formatCode="General">
                        <c:v>-65.164504950495044</c:v>
                      </c:pt>
                      <c:pt idx="68" formatCode="General">
                        <c:v>-65.532821782178218</c:v>
                      </c:pt>
                      <c:pt idx="69" formatCode="General">
                        <c:v>-65.887026022304823</c:v>
                      </c:pt>
                      <c:pt idx="70" formatCode="General">
                        <c:v>-66.223085501858733</c:v>
                      </c:pt>
                      <c:pt idx="71" formatCode="General">
                        <c:v>-66.559144981412629</c:v>
                      </c:pt>
                      <c:pt idx="72" formatCode="General">
                        <c:v>-66.895204460966539</c:v>
                      </c:pt>
                      <c:pt idx="73" formatCode="General">
                        <c:v>-67.231263940520435</c:v>
                      </c:pt>
                      <c:pt idx="74" formatCode="General">
                        <c:v>-67.567323420074345</c:v>
                      </c:pt>
                      <c:pt idx="75" formatCode="General">
                        <c:v>-67.903382899628241</c:v>
                      </c:pt>
                      <c:pt idx="76" formatCode="General">
                        <c:v>-68.239442379182151</c:v>
                      </c:pt>
                      <c:pt idx="77" formatCode="General">
                        <c:v>-68.575501858736047</c:v>
                      </c:pt>
                      <c:pt idx="78" formatCode="General">
                        <c:v>-68.911561338289957</c:v>
                      </c:pt>
                      <c:pt idx="79" formatCode="General">
                        <c:v>-69.236039603960393</c:v>
                      </c:pt>
                      <c:pt idx="80" formatCode="General">
                        <c:v>-69.539009900990095</c:v>
                      </c:pt>
                      <c:pt idx="81" formatCode="General">
                        <c:v>-69.841980198019797</c:v>
                      </c:pt>
                      <c:pt idx="82" formatCode="General">
                        <c:v>-70.1449504950495</c:v>
                      </c:pt>
                      <c:pt idx="83" formatCode="General">
                        <c:v>-70.447920792079202</c:v>
                      </c:pt>
                      <c:pt idx="84" formatCode="General">
                        <c:v>-70.750891089108904</c:v>
                      </c:pt>
                      <c:pt idx="85" formatCode="General">
                        <c:v>-71.053861386138607</c:v>
                      </c:pt>
                      <c:pt idx="86" formatCode="General">
                        <c:v>-71.356831683168309</c:v>
                      </c:pt>
                      <c:pt idx="87" formatCode="General">
                        <c:v>-71.659801980198012</c:v>
                      </c:pt>
                      <c:pt idx="88" formatCode="General">
                        <c:v>-71.962772277227714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A48-4470-A5F4-48DD5FFF2C63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A48-4470-A5F4-48DD5FFF2C63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-107.9441584158416</c:v>
                      </c:pt>
                      <c:pt idx="1">
                        <c:v>-105.48747524752477</c:v>
                      </c:pt>
                      <c:pt idx="2">
                        <c:v>-103.20232673267327</c:v>
                      </c:pt>
                      <c:pt idx="3">
                        <c:v>-100.93970297029703</c:v>
                      </c:pt>
                      <c:pt idx="4" formatCode="General">
                        <c:v>-99.014950495049504</c:v>
                      </c:pt>
                      <c:pt idx="5" formatCode="General">
                        <c:v>-97.090198019801974</c:v>
                      </c:pt>
                      <c:pt idx="6" formatCode="General">
                        <c:v>-95.322970297029684</c:v>
                      </c:pt>
                      <c:pt idx="7" formatCode="General">
                        <c:v>-93.691287128712858</c:v>
                      </c:pt>
                      <c:pt idx="8" formatCode="General">
                        <c:v>-92.06227722772276</c:v>
                      </c:pt>
                      <c:pt idx="9" formatCode="General">
                        <c:v>-90.644455445544551</c:v>
                      </c:pt>
                      <c:pt idx="10" formatCode="General">
                        <c:v>-89.226633663366343</c:v>
                      </c:pt>
                      <c:pt idx="11" formatCode="General">
                        <c:v>-87.89183168316832</c:v>
                      </c:pt>
                      <c:pt idx="12" formatCode="General">
                        <c:v>-86.644306930693062</c:v>
                      </c:pt>
                      <c:pt idx="13" formatCode="General">
                        <c:v>-85.396782178217819</c:v>
                      </c:pt>
                      <c:pt idx="14" formatCode="General">
                        <c:v>-84.282673267326729</c:v>
                      </c:pt>
                      <c:pt idx="15" formatCode="General">
                        <c:v>-83.173762376237633</c:v>
                      </c:pt>
                      <c:pt idx="16" formatCode="General">
                        <c:v>-82.108168316831694</c:v>
                      </c:pt>
                      <c:pt idx="17" formatCode="General">
                        <c:v>-81.098267326732682</c:v>
                      </c:pt>
                      <c:pt idx="18" formatCode="General">
                        <c:v>-80.088366336633669</c:v>
                      </c:pt>
                      <c:pt idx="19" formatCode="General">
                        <c:v>-79.179653465346533</c:v>
                      </c:pt>
                      <c:pt idx="20" formatCode="General">
                        <c:v>-78.280643564356438</c:v>
                      </c:pt>
                      <c:pt idx="21" formatCode="General">
                        <c:v>-77.410792079207923</c:v>
                      </c:pt>
                      <c:pt idx="22" formatCode="General">
                        <c:v>-76.587029702970298</c:v>
                      </c:pt>
                      <c:pt idx="23" formatCode="General">
                        <c:v>-75.763267326732688</c:v>
                      </c:pt>
                      <c:pt idx="24" formatCode="General">
                        <c:v>-75.025223880597025</c:v>
                      </c:pt>
                      <c:pt idx="25" formatCode="General">
                        <c:v>-74.300845771144282</c:v>
                      </c:pt>
                      <c:pt idx="26" formatCode="General">
                        <c:v>-73.666435643564355</c:v>
                      </c:pt>
                      <c:pt idx="27" formatCode="General">
                        <c:v>-73.199108910891084</c:v>
                      </c:pt>
                      <c:pt idx="28" formatCode="General">
                        <c:v>-72.731782178217827</c:v>
                      </c:pt>
                      <c:pt idx="29" formatCode="General">
                        <c:v>-72.973465346534653</c:v>
                      </c:pt>
                      <c:pt idx="30" formatCode="General">
                        <c:v>-73.365544554455454</c:v>
                      </c:pt>
                      <c:pt idx="31" formatCode="General">
                        <c:v>-73.806336633663364</c:v>
                      </c:pt>
                      <c:pt idx="32" formatCode="General">
                        <c:v>-74.360792079207911</c:v>
                      </c:pt>
                      <c:pt idx="33" formatCode="General">
                        <c:v>-74.915247524752473</c:v>
                      </c:pt>
                      <c:pt idx="34" formatCode="General">
                        <c:v>-75.46356435643564</c:v>
                      </c:pt>
                      <c:pt idx="35" formatCode="General">
                        <c:v>-76.010099009900983</c:v>
                      </c:pt>
                      <c:pt idx="36" formatCode="General">
                        <c:v>-76.557623762376238</c:v>
                      </c:pt>
                      <c:pt idx="37" formatCode="General">
                        <c:v>-77.108118811881184</c:v>
                      </c:pt>
                      <c:pt idx="38" formatCode="General">
                        <c:v>-77.658613861386144</c:v>
                      </c:pt>
                      <c:pt idx="39" formatCode="General">
                        <c:v>-78.206237623762377</c:v>
                      </c:pt>
                      <c:pt idx="40" formatCode="General">
                        <c:v>-78.75277227722772</c:v>
                      </c:pt>
                      <c:pt idx="41" formatCode="General">
                        <c:v>-79.296930693069299</c:v>
                      </c:pt>
                      <c:pt idx="42" formatCode="General">
                        <c:v>-79.831584158415836</c:v>
                      </c:pt>
                      <c:pt idx="43" formatCode="General">
                        <c:v>-80.366237623762373</c:v>
                      </c:pt>
                      <c:pt idx="44" formatCode="General">
                        <c:v>-80.895544554455441</c:v>
                      </c:pt>
                      <c:pt idx="45" formatCode="General">
                        <c:v>-81.422277227722773</c:v>
                      </c:pt>
                      <c:pt idx="46" formatCode="General">
                        <c:v>-81.949009900990106</c:v>
                      </c:pt>
                      <c:pt idx="47" formatCode="General">
                        <c:v>-82.475742574257424</c:v>
                      </c:pt>
                      <c:pt idx="48" formatCode="General">
                        <c:v>-83.002475247524757</c:v>
                      </c:pt>
                      <c:pt idx="49" formatCode="General">
                        <c:v>-83.515985130111531</c:v>
                      </c:pt>
                      <c:pt idx="50" formatCode="General">
                        <c:v>-84.02156133828997</c:v>
                      </c:pt>
                      <c:pt idx="51" formatCode="General">
                        <c:v>-84.52713754646841</c:v>
                      </c:pt>
                      <c:pt idx="52" formatCode="General">
                        <c:v>-85.032713754646849</c:v>
                      </c:pt>
                      <c:pt idx="53" formatCode="General">
                        <c:v>-85.538289962825289</c:v>
                      </c:pt>
                      <c:pt idx="54" formatCode="General">
                        <c:v>-86.043866171003728</c:v>
                      </c:pt>
                      <c:pt idx="55" formatCode="General">
                        <c:v>-86.549442379182167</c:v>
                      </c:pt>
                      <c:pt idx="56" formatCode="General">
                        <c:v>-87.055018587360607</c:v>
                      </c:pt>
                      <c:pt idx="57" formatCode="General">
                        <c:v>-87.560594795539046</c:v>
                      </c:pt>
                      <c:pt idx="58" formatCode="General">
                        <c:v>-88.066171003717486</c:v>
                      </c:pt>
                      <c:pt idx="59" formatCode="General">
                        <c:v>-88.555977722772283</c:v>
                      </c:pt>
                      <c:pt idx="60" formatCode="General">
                        <c:v>-89.032215346534656</c:v>
                      </c:pt>
                      <c:pt idx="61" formatCode="General">
                        <c:v>-89.508452970297043</c:v>
                      </c:pt>
                      <c:pt idx="62" formatCode="General">
                        <c:v>-89.984690594059416</c:v>
                      </c:pt>
                      <c:pt idx="63" formatCode="General">
                        <c:v>-90.460928217821788</c:v>
                      </c:pt>
                      <c:pt idx="64" formatCode="General">
                        <c:v>-90.937165841584161</c:v>
                      </c:pt>
                      <c:pt idx="65" formatCode="General">
                        <c:v>-91.413403465346533</c:v>
                      </c:pt>
                      <c:pt idx="66" formatCode="General">
                        <c:v>-91.889641089108906</c:v>
                      </c:pt>
                      <c:pt idx="67" formatCode="General">
                        <c:v>-92.365878712871293</c:v>
                      </c:pt>
                      <c:pt idx="68" formatCode="General">
                        <c:v>-92.842116336633666</c:v>
                      </c:pt>
                      <c:pt idx="69" formatCode="General">
                        <c:v>-93.302131350681535</c:v>
                      </c:pt>
                      <c:pt idx="70" formatCode="General">
                        <c:v>-93.741288723667907</c:v>
                      </c:pt>
                      <c:pt idx="71" formatCode="General">
                        <c:v>-94.180446096654279</c:v>
                      </c:pt>
                      <c:pt idx="72" formatCode="General">
                        <c:v>-94.619603469640637</c:v>
                      </c:pt>
                      <c:pt idx="73" formatCode="General">
                        <c:v>-95.058760842627009</c:v>
                      </c:pt>
                      <c:pt idx="74" formatCode="General">
                        <c:v>-95.497918215613382</c:v>
                      </c:pt>
                      <c:pt idx="75" formatCode="General">
                        <c:v>-95.93707558859974</c:v>
                      </c:pt>
                      <c:pt idx="76" formatCode="General">
                        <c:v>-96.376232961586112</c:v>
                      </c:pt>
                      <c:pt idx="77" formatCode="General">
                        <c:v>-96.815390334572484</c:v>
                      </c:pt>
                      <c:pt idx="78" formatCode="General">
                        <c:v>-97.254547707558856</c:v>
                      </c:pt>
                      <c:pt idx="79" formatCode="General">
                        <c:v>-97.681039603960386</c:v>
                      </c:pt>
                      <c:pt idx="80" formatCode="General">
                        <c:v>-98.084009900990097</c:v>
                      </c:pt>
                      <c:pt idx="81" formatCode="General">
                        <c:v>-98.486980198019793</c:v>
                      </c:pt>
                      <c:pt idx="82" formatCode="General">
                        <c:v>-98.889950495049504</c:v>
                      </c:pt>
                      <c:pt idx="83" formatCode="General">
                        <c:v>-99.292920792079201</c:v>
                      </c:pt>
                      <c:pt idx="84" formatCode="General">
                        <c:v>-99.695891089108912</c:v>
                      </c:pt>
                      <c:pt idx="85" formatCode="General">
                        <c:v>-100.09886138613862</c:v>
                      </c:pt>
                      <c:pt idx="86" formatCode="General">
                        <c:v>-100.50183168316832</c:v>
                      </c:pt>
                      <c:pt idx="87" formatCode="General">
                        <c:v>-100.90480198019803</c:v>
                      </c:pt>
                      <c:pt idx="88" formatCode="General">
                        <c:v>-101.30777227722774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A48-4470-A5F4-48DD5FFF2C63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-193.34064356435644</c:v>
                      </c:pt>
                      <c:pt idx="1">
                        <c:v>-188.81108910891089</c:v>
                      </c:pt>
                      <c:pt idx="2">
                        <c:v>-184.55762376237624</c:v>
                      </c:pt>
                      <c:pt idx="3">
                        <c:v>-180.33806930693069</c:v>
                      </c:pt>
                      <c:pt idx="4" formatCode="General">
                        <c:v>-176.62717821782178</c:v>
                      </c:pt>
                      <c:pt idx="5" formatCode="General">
                        <c:v>-172.91628712871287</c:v>
                      </c:pt>
                      <c:pt idx="6" formatCode="General">
                        <c:v>-169.44594059405938</c:v>
                      </c:pt>
                      <c:pt idx="7" formatCode="General">
                        <c:v>-166.18257425742573</c:v>
                      </c:pt>
                      <c:pt idx="8" formatCode="General">
                        <c:v>-162.9236633663366</c:v>
                      </c:pt>
                      <c:pt idx="9" formatCode="General">
                        <c:v>-160.01673267326731</c:v>
                      </c:pt>
                      <c:pt idx="10" formatCode="General">
                        <c:v>-157.10980198019803</c:v>
                      </c:pt>
                      <c:pt idx="11" formatCode="General">
                        <c:v>-154.35539603960396</c:v>
                      </c:pt>
                      <c:pt idx="12" formatCode="General">
                        <c:v>-151.76133663366338</c:v>
                      </c:pt>
                      <c:pt idx="13" formatCode="General">
                        <c:v>-149.16727722772276</c:v>
                      </c:pt>
                      <c:pt idx="14" formatCode="General">
                        <c:v>-146.83623762376237</c:v>
                      </c:pt>
                      <c:pt idx="15" formatCode="General">
                        <c:v>-144.51544554455447</c:v>
                      </c:pt>
                      <c:pt idx="16" formatCode="General">
                        <c:v>-142.28821782178218</c:v>
                      </c:pt>
                      <c:pt idx="17" formatCode="General">
                        <c:v>-140.18128712871285</c:v>
                      </c:pt>
                      <c:pt idx="18" formatCode="General">
                        <c:v>-138.07435643564355</c:v>
                      </c:pt>
                      <c:pt idx="19" formatCode="General">
                        <c:v>-136.18064356435644</c:v>
                      </c:pt>
                      <c:pt idx="20" formatCode="General">
                        <c:v>-134.30737623762377</c:v>
                      </c:pt>
                      <c:pt idx="21" formatCode="General">
                        <c:v>-132.49549504950497</c:v>
                      </c:pt>
                      <c:pt idx="22" formatCode="General">
                        <c:v>-130.78064356435644</c:v>
                      </c:pt>
                      <c:pt idx="23" formatCode="General">
                        <c:v>-129.06579207920791</c:v>
                      </c:pt>
                      <c:pt idx="24" formatCode="General">
                        <c:v>-127.51179104477612</c:v>
                      </c:pt>
                      <c:pt idx="25" formatCode="General">
                        <c:v>-125.98343283582089</c:v>
                      </c:pt>
                      <c:pt idx="26" formatCode="General">
                        <c:v>-124.63792079207921</c:v>
                      </c:pt>
                      <c:pt idx="27" formatCode="General">
                        <c:v>-123.63198019801982</c:v>
                      </c:pt>
                      <c:pt idx="28" formatCode="General">
                        <c:v>-122.62603960396041</c:v>
                      </c:pt>
                      <c:pt idx="29" formatCode="General">
                        <c:v>-123.0152475247525</c:v>
                      </c:pt>
                      <c:pt idx="30" formatCode="General">
                        <c:v>-123.70039603960397</c:v>
                      </c:pt>
                      <c:pt idx="31" formatCode="General">
                        <c:v>-124.4770297029703</c:v>
                      </c:pt>
                      <c:pt idx="32" formatCode="General">
                        <c:v>-125.46712871287129</c:v>
                      </c:pt>
                      <c:pt idx="33" formatCode="General">
                        <c:v>-126.45722772277226</c:v>
                      </c:pt>
                      <c:pt idx="34" formatCode="General">
                        <c:v>-127.43811881188118</c:v>
                      </c:pt>
                      <c:pt idx="35" formatCode="General">
                        <c:v>-128.41633663366338</c:v>
                      </c:pt>
                      <c:pt idx="36" formatCode="General">
                        <c:v>-129.39554455445545</c:v>
                      </c:pt>
                      <c:pt idx="37" formatCode="General">
                        <c:v>-130.37772277227722</c:v>
                      </c:pt>
                      <c:pt idx="38" formatCode="General">
                        <c:v>-131.35990099009899</c:v>
                      </c:pt>
                      <c:pt idx="39" formatCode="General">
                        <c:v>-132.33633663366336</c:v>
                      </c:pt>
                      <c:pt idx="40" formatCode="General">
                        <c:v>-133.31059405940593</c:v>
                      </c:pt>
                      <c:pt idx="41" formatCode="General">
                        <c:v>-134.28089108910891</c:v>
                      </c:pt>
                      <c:pt idx="42" formatCode="General">
                        <c:v>-135.23534653465347</c:v>
                      </c:pt>
                      <c:pt idx="43" formatCode="General">
                        <c:v>-136.18980198019801</c:v>
                      </c:pt>
                      <c:pt idx="44" formatCode="General">
                        <c:v>-137.13356435643564</c:v>
                      </c:pt>
                      <c:pt idx="45" formatCode="General">
                        <c:v>-138.0721782178218</c:v>
                      </c:pt>
                      <c:pt idx="46" formatCode="General">
                        <c:v>-139.01079207920793</c:v>
                      </c:pt>
                      <c:pt idx="47" formatCode="General">
                        <c:v>-139.94940594059406</c:v>
                      </c:pt>
                      <c:pt idx="48" formatCode="General">
                        <c:v>-140.88801980198022</c:v>
                      </c:pt>
                      <c:pt idx="49" formatCode="General">
                        <c:v>-141.80257744733581</c:v>
                      </c:pt>
                      <c:pt idx="50" formatCode="General">
                        <c:v>-142.70270136307312</c:v>
                      </c:pt>
                      <c:pt idx="51" formatCode="General">
                        <c:v>-143.6028252788104</c:v>
                      </c:pt>
                      <c:pt idx="52" formatCode="General">
                        <c:v>-144.50294919454771</c:v>
                      </c:pt>
                      <c:pt idx="53" formatCode="General">
                        <c:v>-145.40307311028499</c:v>
                      </c:pt>
                      <c:pt idx="54" formatCode="General">
                        <c:v>-146.3031970260223</c:v>
                      </c:pt>
                      <c:pt idx="55" formatCode="General">
                        <c:v>-147.20332094175959</c:v>
                      </c:pt>
                      <c:pt idx="56" formatCode="General">
                        <c:v>-148.1034448574969</c:v>
                      </c:pt>
                      <c:pt idx="57" formatCode="General">
                        <c:v>-149.00356877323418</c:v>
                      </c:pt>
                      <c:pt idx="58" formatCode="General">
                        <c:v>-149.90369268897149</c:v>
                      </c:pt>
                      <c:pt idx="59" formatCode="General">
                        <c:v>-150.77394801980196</c:v>
                      </c:pt>
                      <c:pt idx="60" formatCode="General">
                        <c:v>-151.61850247524751</c:v>
                      </c:pt>
                      <c:pt idx="61" formatCode="General">
                        <c:v>-152.46305693069306</c:v>
                      </c:pt>
                      <c:pt idx="62" formatCode="General">
                        <c:v>-153.3076113861386</c:v>
                      </c:pt>
                      <c:pt idx="63" formatCode="General">
                        <c:v>-154.15216584158415</c:v>
                      </c:pt>
                      <c:pt idx="64" formatCode="General">
                        <c:v>-154.9967202970297</c:v>
                      </c:pt>
                      <c:pt idx="65" formatCode="General">
                        <c:v>-155.84127475247524</c:v>
                      </c:pt>
                      <c:pt idx="66" formatCode="General">
                        <c:v>-156.68582920792079</c:v>
                      </c:pt>
                      <c:pt idx="67" formatCode="General">
                        <c:v>-157.53038366336634</c:v>
                      </c:pt>
                      <c:pt idx="68" formatCode="General">
                        <c:v>-158.37493811881188</c:v>
                      </c:pt>
                      <c:pt idx="69" formatCode="General">
                        <c:v>-159.18915737298636</c:v>
                      </c:pt>
                      <c:pt idx="70" formatCode="General">
                        <c:v>-159.96437422552663</c:v>
                      </c:pt>
                      <c:pt idx="71" formatCode="General">
                        <c:v>-160.73959107806692</c:v>
                      </c:pt>
                      <c:pt idx="72" formatCode="General">
                        <c:v>-161.51480793060719</c:v>
                      </c:pt>
                      <c:pt idx="73" formatCode="General">
                        <c:v>-162.29002478314746</c:v>
                      </c:pt>
                      <c:pt idx="74" formatCode="General">
                        <c:v>-163.06524163568773</c:v>
                      </c:pt>
                      <c:pt idx="75" formatCode="General">
                        <c:v>-163.84045848822802</c:v>
                      </c:pt>
                      <c:pt idx="76" formatCode="General">
                        <c:v>-164.61567534076829</c:v>
                      </c:pt>
                      <c:pt idx="77" formatCode="General">
                        <c:v>-165.39089219330856</c:v>
                      </c:pt>
                      <c:pt idx="78" formatCode="General">
                        <c:v>-166.16610904584883</c:v>
                      </c:pt>
                      <c:pt idx="79" formatCode="General">
                        <c:v>-166.91707920792081</c:v>
                      </c:pt>
                      <c:pt idx="80" formatCode="General">
                        <c:v>-167.62301980198021</c:v>
                      </c:pt>
                      <c:pt idx="81" formatCode="General">
                        <c:v>-168.32896039603961</c:v>
                      </c:pt>
                      <c:pt idx="82" formatCode="General">
                        <c:v>-169.03490099009903</c:v>
                      </c:pt>
                      <c:pt idx="83" formatCode="General">
                        <c:v>-169.74084158415843</c:v>
                      </c:pt>
                      <c:pt idx="84" formatCode="General">
                        <c:v>-170.44678217821783</c:v>
                      </c:pt>
                      <c:pt idx="85" formatCode="General">
                        <c:v>-171.15272277227723</c:v>
                      </c:pt>
                      <c:pt idx="86" formatCode="General">
                        <c:v>-171.85866336633666</c:v>
                      </c:pt>
                      <c:pt idx="87" formatCode="General">
                        <c:v>-172.56460396039606</c:v>
                      </c:pt>
                      <c:pt idx="88" formatCode="General">
                        <c:v>-173.27054455445545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A48-4470-A5F4-48DD5FFF2C63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1A48-4470-A5F4-48DD5FFF2C63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-107.9441584158416</c:v>
                      </c:pt>
                      <c:pt idx="1">
                        <c:v>-105.48747524752477</c:v>
                      </c:pt>
                      <c:pt idx="2">
                        <c:v>-103.20232673267327</c:v>
                      </c:pt>
                      <c:pt idx="3">
                        <c:v>-100.93970297029703</c:v>
                      </c:pt>
                      <c:pt idx="4" formatCode="General">
                        <c:v>-99.014950495049504</c:v>
                      </c:pt>
                      <c:pt idx="5" formatCode="General">
                        <c:v>-97.090198019801974</c:v>
                      </c:pt>
                      <c:pt idx="6" formatCode="General">
                        <c:v>-95.322970297029684</c:v>
                      </c:pt>
                      <c:pt idx="7" formatCode="General">
                        <c:v>-93.691287128712858</c:v>
                      </c:pt>
                      <c:pt idx="8" formatCode="General">
                        <c:v>-92.06227722772276</c:v>
                      </c:pt>
                      <c:pt idx="9" formatCode="General">
                        <c:v>-90.644455445544551</c:v>
                      </c:pt>
                      <c:pt idx="10" formatCode="General">
                        <c:v>-89.226633663366343</c:v>
                      </c:pt>
                      <c:pt idx="11" formatCode="General">
                        <c:v>-87.89183168316832</c:v>
                      </c:pt>
                      <c:pt idx="12" formatCode="General">
                        <c:v>-86.644306930693062</c:v>
                      </c:pt>
                      <c:pt idx="13" formatCode="General">
                        <c:v>-85.396782178217819</c:v>
                      </c:pt>
                      <c:pt idx="14" formatCode="General">
                        <c:v>-84.282673267326729</c:v>
                      </c:pt>
                      <c:pt idx="15" formatCode="General">
                        <c:v>-83.173762376237633</c:v>
                      </c:pt>
                      <c:pt idx="16" formatCode="General">
                        <c:v>-82.108168316831694</c:v>
                      </c:pt>
                      <c:pt idx="17" formatCode="General">
                        <c:v>-81.098267326732682</c:v>
                      </c:pt>
                      <c:pt idx="18" formatCode="General">
                        <c:v>-80.088366336633669</c:v>
                      </c:pt>
                      <c:pt idx="19" formatCode="General">
                        <c:v>-79.179653465346533</c:v>
                      </c:pt>
                      <c:pt idx="20" formatCode="General">
                        <c:v>-78.280643564356438</c:v>
                      </c:pt>
                      <c:pt idx="21" formatCode="General">
                        <c:v>-77.410792079207923</c:v>
                      </c:pt>
                      <c:pt idx="22" formatCode="General">
                        <c:v>-76.587029702970298</c:v>
                      </c:pt>
                      <c:pt idx="23" formatCode="General">
                        <c:v>-75.763267326732688</c:v>
                      </c:pt>
                      <c:pt idx="24" formatCode="General">
                        <c:v>-75.025223880597025</c:v>
                      </c:pt>
                      <c:pt idx="25" formatCode="General">
                        <c:v>-74.300845771144282</c:v>
                      </c:pt>
                      <c:pt idx="26" formatCode="General">
                        <c:v>-73.666435643564355</c:v>
                      </c:pt>
                      <c:pt idx="27" formatCode="General">
                        <c:v>-73.199108910891084</c:v>
                      </c:pt>
                      <c:pt idx="28" formatCode="General">
                        <c:v>-72.731782178217827</c:v>
                      </c:pt>
                      <c:pt idx="29" formatCode="General">
                        <c:v>-72.973465346534653</c:v>
                      </c:pt>
                      <c:pt idx="30" formatCode="General">
                        <c:v>-73.365544554455454</c:v>
                      </c:pt>
                      <c:pt idx="31" formatCode="General">
                        <c:v>-73.806336633663364</c:v>
                      </c:pt>
                      <c:pt idx="32" formatCode="General">
                        <c:v>-74.360792079207911</c:v>
                      </c:pt>
                      <c:pt idx="33" formatCode="General">
                        <c:v>-74.915247524752473</c:v>
                      </c:pt>
                      <c:pt idx="34" formatCode="General">
                        <c:v>-75.46356435643564</c:v>
                      </c:pt>
                      <c:pt idx="35" formatCode="General">
                        <c:v>-76.010099009900983</c:v>
                      </c:pt>
                      <c:pt idx="36" formatCode="General">
                        <c:v>-76.557623762376238</c:v>
                      </c:pt>
                      <c:pt idx="37" formatCode="General">
                        <c:v>-77.108118811881184</c:v>
                      </c:pt>
                      <c:pt idx="38" formatCode="General">
                        <c:v>-77.658613861386144</c:v>
                      </c:pt>
                      <c:pt idx="39" formatCode="General">
                        <c:v>-78.206237623762377</c:v>
                      </c:pt>
                      <c:pt idx="40" formatCode="General">
                        <c:v>-78.75277227722772</c:v>
                      </c:pt>
                      <c:pt idx="41" formatCode="General">
                        <c:v>-79.296930693069299</c:v>
                      </c:pt>
                      <c:pt idx="42" formatCode="General">
                        <c:v>-79.831584158415836</c:v>
                      </c:pt>
                      <c:pt idx="43" formatCode="General">
                        <c:v>-80.366237623762373</c:v>
                      </c:pt>
                      <c:pt idx="44" formatCode="General">
                        <c:v>-80.895544554455441</c:v>
                      </c:pt>
                      <c:pt idx="45" formatCode="General">
                        <c:v>-81.422277227722773</c:v>
                      </c:pt>
                      <c:pt idx="46" formatCode="General">
                        <c:v>-81.949009900990106</c:v>
                      </c:pt>
                      <c:pt idx="47" formatCode="General">
                        <c:v>-82.475742574257424</c:v>
                      </c:pt>
                      <c:pt idx="48" formatCode="General">
                        <c:v>-83.002475247524757</c:v>
                      </c:pt>
                      <c:pt idx="49" formatCode="General">
                        <c:v>-83.515985130111531</c:v>
                      </c:pt>
                      <c:pt idx="50" formatCode="General">
                        <c:v>-84.02156133828997</c:v>
                      </c:pt>
                      <c:pt idx="51" formatCode="General">
                        <c:v>-84.52713754646841</c:v>
                      </c:pt>
                      <c:pt idx="52" formatCode="General">
                        <c:v>-85.032713754646849</c:v>
                      </c:pt>
                      <c:pt idx="53" formatCode="General">
                        <c:v>-85.538289962825289</c:v>
                      </c:pt>
                      <c:pt idx="54" formatCode="General">
                        <c:v>-86.043866171003728</c:v>
                      </c:pt>
                      <c:pt idx="55" formatCode="General">
                        <c:v>-86.549442379182167</c:v>
                      </c:pt>
                      <c:pt idx="56" formatCode="General">
                        <c:v>-87.055018587360607</c:v>
                      </c:pt>
                      <c:pt idx="57" formatCode="General">
                        <c:v>-87.560594795539046</c:v>
                      </c:pt>
                      <c:pt idx="58" formatCode="General">
                        <c:v>-88.066171003717486</c:v>
                      </c:pt>
                      <c:pt idx="59" formatCode="General">
                        <c:v>-88.555977722772283</c:v>
                      </c:pt>
                      <c:pt idx="60" formatCode="General">
                        <c:v>-89.032215346534656</c:v>
                      </c:pt>
                      <c:pt idx="61" formatCode="General">
                        <c:v>-89.508452970297043</c:v>
                      </c:pt>
                      <c:pt idx="62" formatCode="General">
                        <c:v>-89.984690594059416</c:v>
                      </c:pt>
                      <c:pt idx="63" formatCode="General">
                        <c:v>-90.460928217821788</c:v>
                      </c:pt>
                      <c:pt idx="64" formatCode="General">
                        <c:v>-90.937165841584161</c:v>
                      </c:pt>
                      <c:pt idx="65" formatCode="General">
                        <c:v>-91.413403465346533</c:v>
                      </c:pt>
                      <c:pt idx="66" formatCode="General">
                        <c:v>-91.889641089108906</c:v>
                      </c:pt>
                      <c:pt idx="67" formatCode="General">
                        <c:v>-92.365878712871293</c:v>
                      </c:pt>
                      <c:pt idx="68" formatCode="General">
                        <c:v>-92.842116336633666</c:v>
                      </c:pt>
                      <c:pt idx="69" formatCode="General">
                        <c:v>-93.302131350681535</c:v>
                      </c:pt>
                      <c:pt idx="70" formatCode="General">
                        <c:v>-93.741288723667907</c:v>
                      </c:pt>
                      <c:pt idx="71" formatCode="General">
                        <c:v>-94.180446096654279</c:v>
                      </c:pt>
                      <c:pt idx="72" formatCode="General">
                        <c:v>-94.619603469640637</c:v>
                      </c:pt>
                      <c:pt idx="73" formatCode="General">
                        <c:v>-95.058760842627009</c:v>
                      </c:pt>
                      <c:pt idx="74" formatCode="General">
                        <c:v>-95.497918215613382</c:v>
                      </c:pt>
                      <c:pt idx="75" formatCode="General">
                        <c:v>-95.93707558859974</c:v>
                      </c:pt>
                      <c:pt idx="76" formatCode="General">
                        <c:v>-96.376232961586112</c:v>
                      </c:pt>
                      <c:pt idx="77" formatCode="General">
                        <c:v>-96.815390334572484</c:v>
                      </c:pt>
                      <c:pt idx="78" formatCode="General">
                        <c:v>-97.254547707558856</c:v>
                      </c:pt>
                      <c:pt idx="79" formatCode="General">
                        <c:v>-97.681039603960386</c:v>
                      </c:pt>
                      <c:pt idx="80" formatCode="General">
                        <c:v>-98.084009900990097</c:v>
                      </c:pt>
                      <c:pt idx="81" formatCode="General">
                        <c:v>-98.486980198019793</c:v>
                      </c:pt>
                      <c:pt idx="82" formatCode="General">
                        <c:v>-98.889950495049504</c:v>
                      </c:pt>
                      <c:pt idx="83" formatCode="General">
                        <c:v>-99.292920792079201</c:v>
                      </c:pt>
                      <c:pt idx="84" formatCode="General">
                        <c:v>-99.695891089108912</c:v>
                      </c:pt>
                      <c:pt idx="85" formatCode="General">
                        <c:v>-100.09886138613862</c:v>
                      </c:pt>
                      <c:pt idx="86" formatCode="General">
                        <c:v>-100.50183168316832</c:v>
                      </c:pt>
                      <c:pt idx="87" formatCode="General">
                        <c:v>-100.90480198019803</c:v>
                      </c:pt>
                      <c:pt idx="88" formatCode="General">
                        <c:v>-101.30777227722774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A48-4470-A5F4-48DD5FFF2C63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-85.396485148514856</c:v>
                      </c:pt>
                      <c:pt idx="1">
                        <c:v>-83.32361386138615</c:v>
                      </c:pt>
                      <c:pt idx="2">
                        <c:v>-81.355297029702982</c:v>
                      </c:pt>
                      <c:pt idx="3">
                        <c:v>-79.398366336633671</c:v>
                      </c:pt>
                      <c:pt idx="4" formatCode="General">
                        <c:v>-77.612227722772275</c:v>
                      </c:pt>
                      <c:pt idx="5" formatCode="General">
                        <c:v>-75.826089108910892</c:v>
                      </c:pt>
                      <c:pt idx="6" formatCode="General">
                        <c:v>-74.122970297029696</c:v>
                      </c:pt>
                      <c:pt idx="7" formatCode="General">
                        <c:v>-72.49128712871287</c:v>
                      </c:pt>
                      <c:pt idx="8" formatCode="General">
                        <c:v>-70.861386138613852</c:v>
                      </c:pt>
                      <c:pt idx="9" formatCode="General">
                        <c:v>-69.372277227722776</c:v>
                      </c:pt>
                      <c:pt idx="10" formatCode="General">
                        <c:v>-67.883168316831686</c:v>
                      </c:pt>
                      <c:pt idx="11" formatCode="General">
                        <c:v>-66.463564356435654</c:v>
                      </c:pt>
                      <c:pt idx="12" formatCode="General">
                        <c:v>-65.117029702970299</c:v>
                      </c:pt>
                      <c:pt idx="13" formatCode="General">
                        <c:v>-63.770495049504952</c:v>
                      </c:pt>
                      <c:pt idx="14" formatCode="General">
                        <c:v>-62.553564356435643</c:v>
                      </c:pt>
                      <c:pt idx="15" formatCode="General">
                        <c:v>-61.341683168316834</c:v>
                      </c:pt>
                      <c:pt idx="16" formatCode="General">
                        <c:v>-60.180049504950496</c:v>
                      </c:pt>
                      <c:pt idx="17" formatCode="General">
                        <c:v>-59.0830198019802</c:v>
                      </c:pt>
                      <c:pt idx="18" formatCode="General">
                        <c:v>-57.985990099009896</c:v>
                      </c:pt>
                      <c:pt idx="19" formatCode="General">
                        <c:v>-57.000990099009904</c:v>
                      </c:pt>
                      <c:pt idx="20" formatCode="General">
                        <c:v>-56.026732673267333</c:v>
                      </c:pt>
                      <c:pt idx="21" formatCode="General">
                        <c:v>-55.08470297029703</c:v>
                      </c:pt>
                      <c:pt idx="22" formatCode="General">
                        <c:v>-54.19361386138614</c:v>
                      </c:pt>
                      <c:pt idx="23" formatCode="General">
                        <c:v>-53.30252475247525</c:v>
                      </c:pt>
                      <c:pt idx="24" formatCode="General">
                        <c:v>-52.486567164179107</c:v>
                      </c:pt>
                      <c:pt idx="25" formatCode="General">
                        <c:v>-51.682587064676611</c:v>
                      </c:pt>
                      <c:pt idx="26" formatCode="General">
                        <c:v>-50.971485148514844</c:v>
                      </c:pt>
                      <c:pt idx="27" formatCode="General">
                        <c:v>-50.432871287128705</c:v>
                      </c:pt>
                      <c:pt idx="28" formatCode="General">
                        <c:v>-49.894257425742573</c:v>
                      </c:pt>
                      <c:pt idx="29" formatCode="General">
                        <c:v>-50.041782178217822</c:v>
                      </c:pt>
                      <c:pt idx="30" formatCode="General">
                        <c:v>-50.334851485148519</c:v>
                      </c:pt>
                      <c:pt idx="31" formatCode="General">
                        <c:v>-50.670693069306935</c:v>
                      </c:pt>
                      <c:pt idx="32" formatCode="General">
                        <c:v>-51.106336633663368</c:v>
                      </c:pt>
                      <c:pt idx="33" formatCode="General">
                        <c:v>-51.541980198019807</c:v>
                      </c:pt>
                      <c:pt idx="34" formatCode="General">
                        <c:v>-51.974554455445549</c:v>
                      </c:pt>
                      <c:pt idx="35" formatCode="General">
                        <c:v>-52.406237623762379</c:v>
                      </c:pt>
                      <c:pt idx="36" formatCode="General">
                        <c:v>-52.83792079207921</c:v>
                      </c:pt>
                      <c:pt idx="37" formatCode="General">
                        <c:v>-53.26960396039604</c:v>
                      </c:pt>
                      <c:pt idx="38" formatCode="General">
                        <c:v>-53.701287128712863</c:v>
                      </c:pt>
                      <c:pt idx="39" formatCode="General">
                        <c:v>-54.130099009900981</c:v>
                      </c:pt>
                      <c:pt idx="40" formatCode="General">
                        <c:v>-54.557821782178216</c:v>
                      </c:pt>
                      <c:pt idx="41" formatCode="General">
                        <c:v>-54.983960396039606</c:v>
                      </c:pt>
                      <c:pt idx="42" formatCode="General">
                        <c:v>-55.403762376237623</c:v>
                      </c:pt>
                      <c:pt idx="43" formatCode="General">
                        <c:v>-55.823564356435639</c:v>
                      </c:pt>
                      <c:pt idx="44" formatCode="General">
                        <c:v>-56.238019801980194</c:v>
                      </c:pt>
                      <c:pt idx="45" formatCode="General">
                        <c:v>-56.649900990099006</c:v>
                      </c:pt>
                      <c:pt idx="46" formatCode="General">
                        <c:v>-57.061782178217825</c:v>
                      </c:pt>
                      <c:pt idx="47" formatCode="General">
                        <c:v>-57.473663366336638</c:v>
                      </c:pt>
                      <c:pt idx="48" formatCode="General">
                        <c:v>-57.88554455445545</c:v>
                      </c:pt>
                      <c:pt idx="49" formatCode="General">
                        <c:v>-58.28659231722429</c:v>
                      </c:pt>
                      <c:pt idx="50" formatCode="General">
                        <c:v>-58.681140024783154</c:v>
                      </c:pt>
                      <c:pt idx="51" formatCode="General">
                        <c:v>-59.075687732342011</c:v>
                      </c:pt>
                      <c:pt idx="52" formatCode="General">
                        <c:v>-59.470235439900868</c:v>
                      </c:pt>
                      <c:pt idx="53" formatCode="General">
                        <c:v>-59.864783147459733</c:v>
                      </c:pt>
                      <c:pt idx="54" formatCode="General">
                        <c:v>-60.25933085501859</c:v>
                      </c:pt>
                      <c:pt idx="55" formatCode="General">
                        <c:v>-60.653878562577447</c:v>
                      </c:pt>
                      <c:pt idx="56" formatCode="General">
                        <c:v>-61.048426270136311</c:v>
                      </c:pt>
                      <c:pt idx="57" formatCode="General">
                        <c:v>-61.442973977695168</c:v>
                      </c:pt>
                      <c:pt idx="58" formatCode="General">
                        <c:v>-61.837521685254032</c:v>
                      </c:pt>
                      <c:pt idx="59" formatCode="General">
                        <c:v>-62.217970297029701</c:v>
                      </c:pt>
                      <c:pt idx="60" formatCode="General">
                        <c:v>-62.586287128712868</c:v>
                      </c:pt>
                      <c:pt idx="61" formatCode="General">
                        <c:v>-62.954603960396042</c:v>
                      </c:pt>
                      <c:pt idx="62" formatCode="General">
                        <c:v>-63.322920792079209</c:v>
                      </c:pt>
                      <c:pt idx="63" formatCode="General">
                        <c:v>-63.691237623762376</c:v>
                      </c:pt>
                      <c:pt idx="64" formatCode="General">
                        <c:v>-64.059554455445536</c:v>
                      </c:pt>
                      <c:pt idx="65" formatCode="General">
                        <c:v>-64.42787128712871</c:v>
                      </c:pt>
                      <c:pt idx="66" formatCode="General">
                        <c:v>-64.796188118811884</c:v>
                      </c:pt>
                      <c:pt idx="67" formatCode="General">
                        <c:v>-65.164504950495044</c:v>
                      </c:pt>
                      <c:pt idx="68" formatCode="General">
                        <c:v>-65.532821782178218</c:v>
                      </c:pt>
                      <c:pt idx="69" formatCode="General">
                        <c:v>-65.887026022304823</c:v>
                      </c:pt>
                      <c:pt idx="70" formatCode="General">
                        <c:v>-66.223085501858733</c:v>
                      </c:pt>
                      <c:pt idx="71" formatCode="General">
                        <c:v>-66.559144981412629</c:v>
                      </c:pt>
                      <c:pt idx="72" formatCode="General">
                        <c:v>-66.895204460966539</c:v>
                      </c:pt>
                      <c:pt idx="73" formatCode="General">
                        <c:v>-67.231263940520435</c:v>
                      </c:pt>
                      <c:pt idx="74" formatCode="General">
                        <c:v>-67.567323420074345</c:v>
                      </c:pt>
                      <c:pt idx="75" formatCode="General">
                        <c:v>-67.903382899628241</c:v>
                      </c:pt>
                      <c:pt idx="76" formatCode="General">
                        <c:v>-68.239442379182151</c:v>
                      </c:pt>
                      <c:pt idx="77" formatCode="General">
                        <c:v>-68.575501858736047</c:v>
                      </c:pt>
                      <c:pt idx="78" formatCode="General">
                        <c:v>-68.911561338289957</c:v>
                      </c:pt>
                      <c:pt idx="79" formatCode="General">
                        <c:v>-69.236039603960393</c:v>
                      </c:pt>
                      <c:pt idx="80" formatCode="General">
                        <c:v>-69.539009900990095</c:v>
                      </c:pt>
                      <c:pt idx="81" formatCode="General">
                        <c:v>-69.841980198019797</c:v>
                      </c:pt>
                      <c:pt idx="82" formatCode="General">
                        <c:v>-70.1449504950495</c:v>
                      </c:pt>
                      <c:pt idx="83" formatCode="General">
                        <c:v>-70.447920792079202</c:v>
                      </c:pt>
                      <c:pt idx="84" formatCode="General">
                        <c:v>-70.750891089108904</c:v>
                      </c:pt>
                      <c:pt idx="85" formatCode="General">
                        <c:v>-71.053861386138607</c:v>
                      </c:pt>
                      <c:pt idx="86" formatCode="General">
                        <c:v>-71.356831683168309</c:v>
                      </c:pt>
                      <c:pt idx="87" formatCode="General">
                        <c:v>-71.659801980198012</c:v>
                      </c:pt>
                      <c:pt idx="88" formatCode="General">
                        <c:v>-71.962772277227714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A48-4470-A5F4-48DD5FFF2C63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-193.34064356435644</c:v>
                      </c:pt>
                      <c:pt idx="1">
                        <c:v>-188.81108910891089</c:v>
                      </c:pt>
                      <c:pt idx="2">
                        <c:v>-184.55762376237624</c:v>
                      </c:pt>
                      <c:pt idx="3">
                        <c:v>-180.33806930693069</c:v>
                      </c:pt>
                      <c:pt idx="4" formatCode="General">
                        <c:v>-176.62717821782178</c:v>
                      </c:pt>
                      <c:pt idx="5" formatCode="General">
                        <c:v>-172.91628712871287</c:v>
                      </c:pt>
                      <c:pt idx="6" formatCode="General">
                        <c:v>-169.44594059405938</c:v>
                      </c:pt>
                      <c:pt idx="7" formatCode="General">
                        <c:v>-166.18257425742573</c:v>
                      </c:pt>
                      <c:pt idx="8" formatCode="General">
                        <c:v>-162.9236633663366</c:v>
                      </c:pt>
                      <c:pt idx="9" formatCode="General">
                        <c:v>-160.01673267326731</c:v>
                      </c:pt>
                      <c:pt idx="10" formatCode="General">
                        <c:v>-157.10980198019803</c:v>
                      </c:pt>
                      <c:pt idx="11" formatCode="General">
                        <c:v>-154.35539603960396</c:v>
                      </c:pt>
                      <c:pt idx="12" formatCode="General">
                        <c:v>-151.76133663366338</c:v>
                      </c:pt>
                      <c:pt idx="13" formatCode="General">
                        <c:v>-149.16727722772276</c:v>
                      </c:pt>
                      <c:pt idx="14" formatCode="General">
                        <c:v>-146.83623762376237</c:v>
                      </c:pt>
                      <c:pt idx="15" formatCode="General">
                        <c:v>-144.51544554455447</c:v>
                      </c:pt>
                      <c:pt idx="16" formatCode="General">
                        <c:v>-142.28821782178218</c:v>
                      </c:pt>
                      <c:pt idx="17" formatCode="General">
                        <c:v>-140.18128712871285</c:v>
                      </c:pt>
                      <c:pt idx="18" formatCode="General">
                        <c:v>-138.07435643564355</c:v>
                      </c:pt>
                      <c:pt idx="19" formatCode="General">
                        <c:v>-136.18064356435644</c:v>
                      </c:pt>
                      <c:pt idx="20" formatCode="General">
                        <c:v>-134.30737623762377</c:v>
                      </c:pt>
                      <c:pt idx="21" formatCode="General">
                        <c:v>-132.49549504950497</c:v>
                      </c:pt>
                      <c:pt idx="22" formatCode="General">
                        <c:v>-130.78064356435644</c:v>
                      </c:pt>
                      <c:pt idx="23" formatCode="General">
                        <c:v>-129.06579207920791</c:v>
                      </c:pt>
                      <c:pt idx="24" formatCode="General">
                        <c:v>-127.51179104477612</c:v>
                      </c:pt>
                      <c:pt idx="25" formatCode="General">
                        <c:v>-125.98343283582089</c:v>
                      </c:pt>
                      <c:pt idx="26" formatCode="General">
                        <c:v>-124.63792079207921</c:v>
                      </c:pt>
                      <c:pt idx="27" formatCode="General">
                        <c:v>-123.63198019801982</c:v>
                      </c:pt>
                      <c:pt idx="28" formatCode="General">
                        <c:v>-122.62603960396041</c:v>
                      </c:pt>
                      <c:pt idx="29" formatCode="General">
                        <c:v>-123.0152475247525</c:v>
                      </c:pt>
                      <c:pt idx="30" formatCode="General">
                        <c:v>-123.70039603960397</c:v>
                      </c:pt>
                      <c:pt idx="31" formatCode="General">
                        <c:v>-124.4770297029703</c:v>
                      </c:pt>
                      <c:pt idx="32" formatCode="General">
                        <c:v>-125.46712871287129</c:v>
                      </c:pt>
                      <c:pt idx="33" formatCode="General">
                        <c:v>-126.45722772277226</c:v>
                      </c:pt>
                      <c:pt idx="34" formatCode="General">
                        <c:v>-127.43811881188118</c:v>
                      </c:pt>
                      <c:pt idx="35" formatCode="General">
                        <c:v>-128.41633663366338</c:v>
                      </c:pt>
                      <c:pt idx="36" formatCode="General">
                        <c:v>-129.39554455445545</c:v>
                      </c:pt>
                      <c:pt idx="37" formatCode="General">
                        <c:v>-130.37772277227722</c:v>
                      </c:pt>
                      <c:pt idx="38" formatCode="General">
                        <c:v>-131.35990099009899</c:v>
                      </c:pt>
                      <c:pt idx="39" formatCode="General">
                        <c:v>-132.33633663366336</c:v>
                      </c:pt>
                      <c:pt idx="40" formatCode="General">
                        <c:v>-133.31059405940593</c:v>
                      </c:pt>
                      <c:pt idx="41" formatCode="General">
                        <c:v>-134.28089108910891</c:v>
                      </c:pt>
                      <c:pt idx="42" formatCode="General">
                        <c:v>-135.23534653465347</c:v>
                      </c:pt>
                      <c:pt idx="43" formatCode="General">
                        <c:v>-136.18980198019801</c:v>
                      </c:pt>
                      <c:pt idx="44" formatCode="General">
                        <c:v>-137.13356435643564</c:v>
                      </c:pt>
                      <c:pt idx="45" formatCode="General">
                        <c:v>-138.0721782178218</c:v>
                      </c:pt>
                      <c:pt idx="46" formatCode="General">
                        <c:v>-139.01079207920793</c:v>
                      </c:pt>
                      <c:pt idx="47" formatCode="General">
                        <c:v>-139.94940594059406</c:v>
                      </c:pt>
                      <c:pt idx="48" formatCode="General">
                        <c:v>-140.88801980198022</c:v>
                      </c:pt>
                      <c:pt idx="49" formatCode="General">
                        <c:v>-141.80257744733581</c:v>
                      </c:pt>
                      <c:pt idx="50" formatCode="General">
                        <c:v>-142.70270136307312</c:v>
                      </c:pt>
                      <c:pt idx="51" formatCode="General">
                        <c:v>-143.6028252788104</c:v>
                      </c:pt>
                      <c:pt idx="52" formatCode="General">
                        <c:v>-144.50294919454771</c:v>
                      </c:pt>
                      <c:pt idx="53" formatCode="General">
                        <c:v>-145.40307311028499</c:v>
                      </c:pt>
                      <c:pt idx="54" formatCode="General">
                        <c:v>-146.3031970260223</c:v>
                      </c:pt>
                      <c:pt idx="55" formatCode="General">
                        <c:v>-147.20332094175959</c:v>
                      </c:pt>
                      <c:pt idx="56" formatCode="General">
                        <c:v>-148.1034448574969</c:v>
                      </c:pt>
                      <c:pt idx="57" formatCode="General">
                        <c:v>-149.00356877323418</c:v>
                      </c:pt>
                      <c:pt idx="58" formatCode="General">
                        <c:v>-149.90369268897149</c:v>
                      </c:pt>
                      <c:pt idx="59" formatCode="General">
                        <c:v>-150.77394801980196</c:v>
                      </c:pt>
                      <c:pt idx="60" formatCode="General">
                        <c:v>-151.61850247524751</c:v>
                      </c:pt>
                      <c:pt idx="61" formatCode="General">
                        <c:v>-152.46305693069306</c:v>
                      </c:pt>
                      <c:pt idx="62" formatCode="General">
                        <c:v>-153.3076113861386</c:v>
                      </c:pt>
                      <c:pt idx="63" formatCode="General">
                        <c:v>-154.15216584158415</c:v>
                      </c:pt>
                      <c:pt idx="64" formatCode="General">
                        <c:v>-154.9967202970297</c:v>
                      </c:pt>
                      <c:pt idx="65" formatCode="General">
                        <c:v>-155.84127475247524</c:v>
                      </c:pt>
                      <c:pt idx="66" formatCode="General">
                        <c:v>-156.68582920792079</c:v>
                      </c:pt>
                      <c:pt idx="67" formatCode="General">
                        <c:v>-157.53038366336634</c:v>
                      </c:pt>
                      <c:pt idx="68" formatCode="General">
                        <c:v>-158.37493811881188</c:v>
                      </c:pt>
                      <c:pt idx="69" formatCode="General">
                        <c:v>-159.18915737298636</c:v>
                      </c:pt>
                      <c:pt idx="70" formatCode="General">
                        <c:v>-159.96437422552663</c:v>
                      </c:pt>
                      <c:pt idx="71" formatCode="General">
                        <c:v>-160.73959107806692</c:v>
                      </c:pt>
                      <c:pt idx="72" formatCode="General">
                        <c:v>-161.51480793060719</c:v>
                      </c:pt>
                      <c:pt idx="73" formatCode="General">
                        <c:v>-162.29002478314746</c:v>
                      </c:pt>
                      <c:pt idx="74" formatCode="General">
                        <c:v>-163.06524163568773</c:v>
                      </c:pt>
                      <c:pt idx="75" formatCode="General">
                        <c:v>-163.84045848822802</c:v>
                      </c:pt>
                      <c:pt idx="76" formatCode="General">
                        <c:v>-164.61567534076829</c:v>
                      </c:pt>
                      <c:pt idx="77" formatCode="General">
                        <c:v>-165.39089219330856</c:v>
                      </c:pt>
                      <c:pt idx="78" formatCode="General">
                        <c:v>-166.16610904584883</c:v>
                      </c:pt>
                      <c:pt idx="79" formatCode="General">
                        <c:v>-166.91707920792081</c:v>
                      </c:pt>
                      <c:pt idx="80" formatCode="General">
                        <c:v>-167.62301980198021</c:v>
                      </c:pt>
                      <c:pt idx="81" formatCode="General">
                        <c:v>-168.32896039603961</c:v>
                      </c:pt>
                      <c:pt idx="82" formatCode="General">
                        <c:v>-169.03490099009903</c:v>
                      </c:pt>
                      <c:pt idx="83" formatCode="General">
                        <c:v>-169.74084158415843</c:v>
                      </c:pt>
                      <c:pt idx="84" formatCode="General">
                        <c:v>-170.44678217821783</c:v>
                      </c:pt>
                      <c:pt idx="85" formatCode="General">
                        <c:v>-171.15272277227723</c:v>
                      </c:pt>
                      <c:pt idx="86" formatCode="General">
                        <c:v>-171.85866336633666</c:v>
                      </c:pt>
                      <c:pt idx="87" formatCode="General">
                        <c:v>-172.56460396039606</c:v>
                      </c:pt>
                      <c:pt idx="88" formatCode="General">
                        <c:v>-173.27054455445545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A48-4470-A5F4-48DD5FFF2C63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A48-4470-A5F4-48DD5FFF2C63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A48-4470-A5F4-48DD5FFF2C63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A48-4470-A5F4-48DD5FFF2C63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1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A48-4470-A5F4-48DD5FFF2C63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A48-4470-A5F4-48DD5FFF2C63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A48-4470-A5F4-48DD5FFF2C63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A48-4470-A5F4-48DD5FFF2C63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A48-4470-A5F4-48DD5FFF2C63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A48-4470-A5F4-48DD5FFF2C63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A48-4470-A5F4-48DD5FFF2C63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A48-4470-A5F4-48DD5FFF2C63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A48-4470-A5F4-48DD5FFF2C63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A48-4470-A5F4-48DD5FFF2C63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A48-4470-A5F4-48DD5FFF2C6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Se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875847192283608"/>
          <c:y val="0.11833128473832157"/>
          <c:w val="0.80525792780751304"/>
          <c:h val="0.75475652832597984"/>
        </c:manualLayout>
      </c:layout>
      <c:scatterChart>
        <c:scatterStyle val="smoothMarker"/>
        <c:varyColors val="0"/>
        <c:ser>
          <c:idx val="5"/>
          <c:order val="5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EVALUATION!$B$106:$CP$106</c:f>
              <c:numCache>
                <c:formatCode>0</c:formatCode>
                <c:ptCount val="93"/>
                <c:pt idx="0">
                  <c:v>-22.398910891089109</c:v>
                </c:pt>
                <c:pt idx="1">
                  <c:v>-21.910099009900989</c:v>
                </c:pt>
                <c:pt idx="2">
                  <c:v>-21.450693069306929</c:v>
                </c:pt>
                <c:pt idx="3">
                  <c:v>-20.995000000000001</c:v>
                </c:pt>
                <c:pt idx="4" formatCode="General">
                  <c:v>-20.594999999999999</c:v>
                </c:pt>
                <c:pt idx="5" formatCode="General">
                  <c:v>-20.195</c:v>
                </c:pt>
                <c:pt idx="6" formatCode="General">
                  <c:v>-19.966574257425744</c:v>
                </c:pt>
                <c:pt idx="7" formatCode="General">
                  <c:v>-19.885782178217823</c:v>
                </c:pt>
                <c:pt idx="8" formatCode="General">
                  <c:v>-19.807502475247524</c:v>
                </c:pt>
                <c:pt idx="9" formatCode="General">
                  <c:v>-19.927700495049507</c:v>
                </c:pt>
                <c:pt idx="10" formatCode="General">
                  <c:v>-20.047898514851486</c:v>
                </c:pt>
                <c:pt idx="11" formatCode="General">
                  <c:v>-20.168096534653465</c:v>
                </c:pt>
                <c:pt idx="12" formatCode="General">
                  <c:v>-20.288294554455447</c:v>
                </c:pt>
                <c:pt idx="13" formatCode="General">
                  <c:v>-20.408492574257426</c:v>
                </c:pt>
                <c:pt idx="14" formatCode="General">
                  <c:v>-20.528690594059405</c:v>
                </c:pt>
                <c:pt idx="15" formatCode="General">
                  <c:v>-20.648888613861388</c:v>
                </c:pt>
                <c:pt idx="16" formatCode="General">
                  <c:v>-20.769086633663367</c:v>
                </c:pt>
                <c:pt idx="17" formatCode="General">
                  <c:v>-20.889284653465346</c:v>
                </c:pt>
                <c:pt idx="18" formatCode="General">
                  <c:v>-21.009482673267328</c:v>
                </c:pt>
                <c:pt idx="19" formatCode="General">
                  <c:v>-21.135643564356435</c:v>
                </c:pt>
                <c:pt idx="20" formatCode="General">
                  <c:v>-21.262376237623762</c:v>
                </c:pt>
                <c:pt idx="21" formatCode="General">
                  <c:v>-21.387574257425744</c:v>
                </c:pt>
                <c:pt idx="22" formatCode="General">
                  <c:v>-21.510346534653465</c:v>
                </c:pt>
                <c:pt idx="23" formatCode="General">
                  <c:v>-21.633118811881186</c:v>
                </c:pt>
                <c:pt idx="24" formatCode="General">
                  <c:v>-21.756417910447759</c:v>
                </c:pt>
                <c:pt idx="25" formatCode="General">
                  <c:v>-21.879800995024876</c:v>
                </c:pt>
                <c:pt idx="26" formatCode="General">
                  <c:v>-22.002970297029705</c:v>
                </c:pt>
                <c:pt idx="27" formatCode="General">
                  <c:v>-22.125742574257426</c:v>
                </c:pt>
                <c:pt idx="28" formatCode="General">
                  <c:v>-22.248514851485147</c:v>
                </c:pt>
                <c:pt idx="29" formatCode="General">
                  <c:v>-22.368019801980196</c:v>
                </c:pt>
                <c:pt idx="30" formatCode="General">
                  <c:v>-22.486831683168315</c:v>
                </c:pt>
                <c:pt idx="31" formatCode="General">
                  <c:v>-22.606831683168316</c:v>
                </c:pt>
                <c:pt idx="32" formatCode="General">
                  <c:v>-22.729603960396041</c:v>
                </c:pt>
                <c:pt idx="33" formatCode="General">
                  <c:v>-22.852376237623762</c:v>
                </c:pt>
                <c:pt idx="34" formatCode="General">
                  <c:v>-22.972079207920792</c:v>
                </c:pt>
                <c:pt idx="35" formatCode="General">
                  <c:v>-23.090891089108911</c:v>
                </c:pt>
                <c:pt idx="36" formatCode="General">
                  <c:v>-23.20970297029703</c:v>
                </c:pt>
                <c:pt idx="37" formatCode="General">
                  <c:v>-23.328514851485149</c:v>
                </c:pt>
                <c:pt idx="38" formatCode="General">
                  <c:v>-23.447326732673268</c:v>
                </c:pt>
                <c:pt idx="39" formatCode="General">
                  <c:v>-23.563985148514853</c:v>
                </c:pt>
                <c:pt idx="40" formatCode="General">
                  <c:v>-23.679826732673266</c:v>
                </c:pt>
                <c:pt idx="41" formatCode="General">
                  <c:v>-23.795668316831684</c:v>
                </c:pt>
                <c:pt idx="42" formatCode="General">
                  <c:v>-23.911509900990097</c:v>
                </c:pt>
                <c:pt idx="43" formatCode="General">
                  <c:v>-24.027351485148515</c:v>
                </c:pt>
                <c:pt idx="44" formatCode="General">
                  <c:v>-24.143193069306928</c:v>
                </c:pt>
                <c:pt idx="45" formatCode="General">
                  <c:v>-24.259034653465346</c:v>
                </c:pt>
                <c:pt idx="46" formatCode="General">
                  <c:v>-24.374876237623763</c:v>
                </c:pt>
                <c:pt idx="47" formatCode="General">
                  <c:v>-24.490717821782177</c:v>
                </c:pt>
                <c:pt idx="48" formatCode="General">
                  <c:v>-24.606559405940594</c:v>
                </c:pt>
                <c:pt idx="49" formatCode="General">
                  <c:v>-24.719392812887236</c:v>
                </c:pt>
                <c:pt idx="50" formatCode="General">
                  <c:v>-24.830421313506815</c:v>
                </c:pt>
                <c:pt idx="51" formatCode="General">
                  <c:v>-24.941449814126393</c:v>
                </c:pt>
                <c:pt idx="52" formatCode="General">
                  <c:v>-25.052478314745972</c:v>
                </c:pt>
                <c:pt idx="53" formatCode="General">
                  <c:v>-25.163506815365551</c:v>
                </c:pt>
                <c:pt idx="54" formatCode="General">
                  <c:v>-25.27453531598513</c:v>
                </c:pt>
                <c:pt idx="55" formatCode="General">
                  <c:v>-25.385563816604709</c:v>
                </c:pt>
                <c:pt idx="56" formatCode="General">
                  <c:v>-25.496592317224287</c:v>
                </c:pt>
                <c:pt idx="57" formatCode="General">
                  <c:v>-25.607620817843866</c:v>
                </c:pt>
                <c:pt idx="58" formatCode="General">
                  <c:v>-25.718649318463445</c:v>
                </c:pt>
                <c:pt idx="59" formatCode="General">
                  <c:v>-25.828007425742573</c:v>
                </c:pt>
                <c:pt idx="60" formatCode="General">
                  <c:v>-25.935928217821782</c:v>
                </c:pt>
                <c:pt idx="61" formatCode="General">
                  <c:v>-26.043849009900988</c:v>
                </c:pt>
                <c:pt idx="62" formatCode="General">
                  <c:v>-26.151769801980198</c:v>
                </c:pt>
                <c:pt idx="63" formatCode="General">
                  <c:v>-26.259690594059403</c:v>
                </c:pt>
                <c:pt idx="64" formatCode="General">
                  <c:v>-26.367611386138613</c:v>
                </c:pt>
                <c:pt idx="65" formatCode="General">
                  <c:v>-26.475532178217822</c:v>
                </c:pt>
                <c:pt idx="66" formatCode="General">
                  <c:v>-26.583452970297028</c:v>
                </c:pt>
                <c:pt idx="67" formatCode="General">
                  <c:v>-26.691373762376237</c:v>
                </c:pt>
                <c:pt idx="68" formatCode="General">
                  <c:v>-26.799294554455443</c:v>
                </c:pt>
                <c:pt idx="69" formatCode="General">
                  <c:v>-26.905105328376703</c:v>
                </c:pt>
                <c:pt idx="70" formatCode="General">
                  <c:v>-27.008203221809168</c:v>
                </c:pt>
                <c:pt idx="71" formatCode="General">
                  <c:v>-27.111301115241634</c:v>
                </c:pt>
                <c:pt idx="72" formatCode="General">
                  <c:v>-27.2143990086741</c:v>
                </c:pt>
                <c:pt idx="73" formatCode="General">
                  <c:v>-27.317496902106566</c:v>
                </c:pt>
                <c:pt idx="74" formatCode="General">
                  <c:v>-27.420594795539031</c:v>
                </c:pt>
                <c:pt idx="75" formatCode="General">
                  <c:v>-27.523692688971497</c:v>
                </c:pt>
                <c:pt idx="76" formatCode="General">
                  <c:v>-27.626790582403963</c:v>
                </c:pt>
                <c:pt idx="77" formatCode="General">
                  <c:v>-27.729888475836429</c:v>
                </c:pt>
                <c:pt idx="78" formatCode="General">
                  <c:v>-27.832986369268895</c:v>
                </c:pt>
                <c:pt idx="79" formatCode="General">
                  <c:v>-27.934999999999999</c:v>
                </c:pt>
                <c:pt idx="80" formatCode="General">
                  <c:v>-28.034999999999997</c:v>
                </c:pt>
                <c:pt idx="81" formatCode="General">
                  <c:v>-28.134999999999998</c:v>
                </c:pt>
                <c:pt idx="82" formatCode="General">
                  <c:v>-28.234999999999999</c:v>
                </c:pt>
                <c:pt idx="83" formatCode="General">
                  <c:v>-28.334999999999997</c:v>
                </c:pt>
                <c:pt idx="84" formatCode="General">
                  <c:v>-28.434999999999999</c:v>
                </c:pt>
                <c:pt idx="85" formatCode="General">
                  <c:v>-28.535</c:v>
                </c:pt>
                <c:pt idx="86" formatCode="General">
                  <c:v>-28.634999999999998</c:v>
                </c:pt>
                <c:pt idx="87" formatCode="General">
                  <c:v>-28.734999999999999</c:v>
                </c:pt>
                <c:pt idx="88" formatCode="General">
                  <c:v>-28.835000000000001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E8D-4B9C-9AD8-8BFFD129D948}"/>
            </c:ext>
          </c:extLst>
        </c:ser>
        <c:ser>
          <c:idx val="41"/>
          <c:order val="41"/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EVALUATION!$B$142:$CP$142</c:f>
              <c:numCache>
                <c:formatCode>0</c:formatCode>
                <c:ptCount val="93"/>
                <c:pt idx="0">
                  <c:v>-22.547673267326733</c:v>
                </c:pt>
                <c:pt idx="1">
                  <c:v>-22.163861386138617</c:v>
                </c:pt>
                <c:pt idx="2">
                  <c:v>-21.8470297029703</c:v>
                </c:pt>
                <c:pt idx="3">
                  <c:v>-21.541336633663366</c:v>
                </c:pt>
                <c:pt idx="4" formatCode="General">
                  <c:v>-21.40272277227723</c:v>
                </c:pt>
                <c:pt idx="5" formatCode="General">
                  <c:v>-21.264108910891089</c:v>
                </c:pt>
                <c:pt idx="6" formatCode="General">
                  <c:v>-21.2</c:v>
                </c:pt>
                <c:pt idx="7" formatCode="General">
                  <c:v>-21.2</c:v>
                </c:pt>
                <c:pt idx="8" formatCode="General">
                  <c:v>-21.200891089108911</c:v>
                </c:pt>
                <c:pt idx="9" formatCode="General">
                  <c:v>-21.272178217821782</c:v>
                </c:pt>
                <c:pt idx="10" formatCode="General">
                  <c:v>-21.343465346534654</c:v>
                </c:pt>
                <c:pt idx="11" formatCode="General">
                  <c:v>-21.428267326732673</c:v>
                </c:pt>
                <c:pt idx="12" formatCode="General">
                  <c:v>-21.52727722772277</c:v>
                </c:pt>
                <c:pt idx="13" formatCode="General">
                  <c:v>-21.626287128712871</c:v>
                </c:pt>
                <c:pt idx="14" formatCode="General">
                  <c:v>-21.729108910891089</c:v>
                </c:pt>
                <c:pt idx="15" formatCode="General">
                  <c:v>-21.832079207920792</c:v>
                </c:pt>
                <c:pt idx="16" formatCode="General">
                  <c:v>-21.928118811881188</c:v>
                </c:pt>
                <c:pt idx="17" formatCode="General">
                  <c:v>-22.015247524752475</c:v>
                </c:pt>
                <c:pt idx="18" formatCode="General">
                  <c:v>-22.102376237623762</c:v>
                </c:pt>
                <c:pt idx="19" formatCode="General">
                  <c:v>-22.178663366336632</c:v>
                </c:pt>
                <c:pt idx="20" formatCode="General">
                  <c:v>-22.253910891089109</c:v>
                </c:pt>
                <c:pt idx="21" formatCode="General">
                  <c:v>-22.326089108910892</c:v>
                </c:pt>
                <c:pt idx="22" formatCode="General">
                  <c:v>-22.393415841584158</c:v>
                </c:pt>
                <c:pt idx="23" formatCode="General">
                  <c:v>-22.460742574257424</c:v>
                </c:pt>
                <c:pt idx="24" formatCode="General">
                  <c:v>-22.538656716417911</c:v>
                </c:pt>
                <c:pt idx="25" formatCode="General">
                  <c:v>-22.618258706467664</c:v>
                </c:pt>
                <c:pt idx="26" formatCode="General">
                  <c:v>-22.694950495049508</c:v>
                </c:pt>
                <c:pt idx="27" formatCode="General">
                  <c:v>-22.766237623762379</c:v>
                </c:pt>
                <c:pt idx="28" formatCode="General">
                  <c:v>-22.83752475247525</c:v>
                </c:pt>
                <c:pt idx="29" formatCode="General">
                  <c:v>-22.931683168316834</c:v>
                </c:pt>
                <c:pt idx="30" formatCode="General">
                  <c:v>-23.030693069306931</c:v>
                </c:pt>
                <c:pt idx="31" formatCode="General">
                  <c:v>-23.135643564356435</c:v>
                </c:pt>
                <c:pt idx="32" formatCode="General">
                  <c:v>-23.254455445544554</c:v>
                </c:pt>
                <c:pt idx="33" formatCode="General">
                  <c:v>-23.373267326732673</c:v>
                </c:pt>
                <c:pt idx="34" formatCode="General">
                  <c:v>-23.489009900990098</c:v>
                </c:pt>
                <c:pt idx="35" formatCode="General">
                  <c:v>-23.603861386138615</c:v>
                </c:pt>
                <c:pt idx="36" formatCode="General">
                  <c:v>-23.719702970297032</c:v>
                </c:pt>
                <c:pt idx="37" formatCode="General">
                  <c:v>-23.838514851485147</c:v>
                </c:pt>
                <c:pt idx="38" formatCode="General">
                  <c:v>-23.957326732673266</c:v>
                </c:pt>
                <c:pt idx="39" formatCode="General">
                  <c:v>-24.076138613861385</c:v>
                </c:pt>
                <c:pt idx="40" formatCode="General">
                  <c:v>-24.194950495049504</c:v>
                </c:pt>
                <c:pt idx="41" formatCode="General">
                  <c:v>-24.312970297029704</c:v>
                </c:pt>
                <c:pt idx="42" formatCode="General">
                  <c:v>-24.427821782178217</c:v>
                </c:pt>
                <c:pt idx="43" formatCode="General">
                  <c:v>-24.54267326732673</c:v>
                </c:pt>
                <c:pt idx="44" formatCode="General">
                  <c:v>-24.657524752475247</c:v>
                </c:pt>
                <c:pt idx="45" formatCode="General">
                  <c:v>-24.772376237623764</c:v>
                </c:pt>
                <c:pt idx="46" formatCode="General">
                  <c:v>-24.88722772277228</c:v>
                </c:pt>
                <c:pt idx="47" formatCode="General">
                  <c:v>-25.002079207920794</c:v>
                </c:pt>
                <c:pt idx="48" formatCode="General">
                  <c:v>-25.116930693069307</c:v>
                </c:pt>
                <c:pt idx="49" formatCode="General">
                  <c:v>-25.229392812887237</c:v>
                </c:pt>
                <c:pt idx="50" formatCode="General">
                  <c:v>-25.340421313506816</c:v>
                </c:pt>
                <c:pt idx="51" formatCode="General">
                  <c:v>-25.451449814126395</c:v>
                </c:pt>
                <c:pt idx="52" formatCode="General">
                  <c:v>-25.562478314745974</c:v>
                </c:pt>
                <c:pt idx="53" formatCode="General">
                  <c:v>-25.673506815365553</c:v>
                </c:pt>
                <c:pt idx="54" formatCode="General">
                  <c:v>-25.784535315985131</c:v>
                </c:pt>
                <c:pt idx="55" formatCode="General">
                  <c:v>-25.89556381660471</c:v>
                </c:pt>
                <c:pt idx="56" formatCode="General">
                  <c:v>-26.006592317224289</c:v>
                </c:pt>
                <c:pt idx="57" formatCode="General">
                  <c:v>-26.117620817843868</c:v>
                </c:pt>
                <c:pt idx="58" formatCode="General">
                  <c:v>-26.228649318463447</c:v>
                </c:pt>
                <c:pt idx="59" formatCode="General">
                  <c:v>-26.338007425742575</c:v>
                </c:pt>
                <c:pt idx="60" formatCode="General">
                  <c:v>-26.445928217821784</c:v>
                </c:pt>
                <c:pt idx="61" formatCode="General">
                  <c:v>-26.55384900990099</c:v>
                </c:pt>
                <c:pt idx="62" formatCode="General">
                  <c:v>-26.661769801980199</c:v>
                </c:pt>
                <c:pt idx="63" formatCode="General">
                  <c:v>-26.769690594059405</c:v>
                </c:pt>
                <c:pt idx="64" formatCode="General">
                  <c:v>-26.877611386138614</c:v>
                </c:pt>
                <c:pt idx="65" formatCode="General">
                  <c:v>-26.985532178217824</c:v>
                </c:pt>
                <c:pt idx="66" formatCode="General">
                  <c:v>-27.093452970297029</c:v>
                </c:pt>
                <c:pt idx="67" formatCode="General">
                  <c:v>-27.201373762376239</c:v>
                </c:pt>
                <c:pt idx="68" formatCode="General">
                  <c:v>-27.309294554455448</c:v>
                </c:pt>
                <c:pt idx="69" formatCode="General">
                  <c:v>-27.415105328376704</c:v>
                </c:pt>
                <c:pt idx="70" formatCode="General">
                  <c:v>-27.51820322180917</c:v>
                </c:pt>
                <c:pt idx="71" formatCode="General">
                  <c:v>-27.621301115241636</c:v>
                </c:pt>
                <c:pt idx="72" formatCode="General">
                  <c:v>-27.724399008674101</c:v>
                </c:pt>
                <c:pt idx="73" formatCode="General">
                  <c:v>-27.827496902106567</c:v>
                </c:pt>
                <c:pt idx="74" formatCode="General">
                  <c:v>-27.930594795539033</c:v>
                </c:pt>
                <c:pt idx="75" formatCode="General">
                  <c:v>-28.033692688971499</c:v>
                </c:pt>
                <c:pt idx="76" formatCode="General">
                  <c:v>-28.136790582403965</c:v>
                </c:pt>
                <c:pt idx="77" formatCode="General">
                  <c:v>-28.23988847583643</c:v>
                </c:pt>
                <c:pt idx="78" formatCode="General">
                  <c:v>-28.342986369268896</c:v>
                </c:pt>
                <c:pt idx="79" formatCode="General">
                  <c:v>-28.445</c:v>
                </c:pt>
                <c:pt idx="80" formatCode="General">
                  <c:v>-28.544999999999998</c:v>
                </c:pt>
                <c:pt idx="81" formatCode="General">
                  <c:v>-28.645</c:v>
                </c:pt>
                <c:pt idx="82" formatCode="General">
                  <c:v>-28.745000000000001</c:v>
                </c:pt>
                <c:pt idx="83" formatCode="General">
                  <c:v>-28.844999999999999</c:v>
                </c:pt>
                <c:pt idx="84" formatCode="General">
                  <c:v>-28.945</c:v>
                </c:pt>
                <c:pt idx="85" formatCode="General">
                  <c:v>-29.045000000000002</c:v>
                </c:pt>
                <c:pt idx="86" formatCode="General">
                  <c:v>-29.145</c:v>
                </c:pt>
                <c:pt idx="87" formatCode="General">
                  <c:v>-29.245000000000001</c:v>
                </c:pt>
                <c:pt idx="88" formatCode="General">
                  <c:v>-29.345000000000002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E8D-4B9C-9AD8-8BFFD129D948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E8D-4B9C-9AD8-8BFFD129D948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-193.34064356435644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E8D-4B9C-9AD8-8BFFD129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CE8D-4B9C-9AD8-8BFFD129D948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E8D-4B9C-9AD8-8BFFD129D948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-34.01879207920792</c:v>
                      </c:pt>
                      <c:pt idx="7" formatCode="General">
                        <c:v>-33.477009900990097</c:v>
                      </c:pt>
                      <c:pt idx="8" formatCode="General">
                        <c:v>-32.936969059405939</c:v>
                      </c:pt>
                      <c:pt idx="9" formatCode="General">
                        <c:v>-32.534493811881184</c:v>
                      </c:pt>
                      <c:pt idx="10" formatCode="General">
                        <c:v>-32.132018564356436</c:v>
                      </c:pt>
                      <c:pt idx="11" formatCode="General">
                        <c:v>-31.72954331683168</c:v>
                      </c:pt>
                      <c:pt idx="12" formatCode="General">
                        <c:v>-31.327068069306929</c:v>
                      </c:pt>
                      <c:pt idx="13" formatCode="General">
                        <c:v>-30.924592821782177</c:v>
                      </c:pt>
                      <c:pt idx="14" formatCode="General">
                        <c:v>-30.522117574257425</c:v>
                      </c:pt>
                      <c:pt idx="15" formatCode="General">
                        <c:v>-30.119642326732674</c:v>
                      </c:pt>
                      <c:pt idx="16" formatCode="General">
                        <c:v>-29.717167079207918</c:v>
                      </c:pt>
                      <c:pt idx="17" formatCode="General">
                        <c:v>-29.314691831683167</c:v>
                      </c:pt>
                      <c:pt idx="18" formatCode="General">
                        <c:v>-28.912216584158415</c:v>
                      </c:pt>
                      <c:pt idx="19" formatCode="General">
                        <c:v>-28.607044554455445</c:v>
                      </c:pt>
                      <c:pt idx="20" formatCode="General">
                        <c:v>-28.311202970297028</c:v>
                      </c:pt>
                      <c:pt idx="21" formatCode="General">
                        <c:v>-28.025643564356436</c:v>
                      </c:pt>
                      <c:pt idx="22" formatCode="General">
                        <c:v>-27.756336633663366</c:v>
                      </c:pt>
                      <c:pt idx="23" formatCode="General">
                        <c:v>-27.487029702970297</c:v>
                      </c:pt>
                      <c:pt idx="24" formatCode="General">
                        <c:v>-27.239567164179103</c:v>
                      </c:pt>
                      <c:pt idx="25" formatCode="General">
                        <c:v>-26.995587064676617</c:v>
                      </c:pt>
                      <c:pt idx="26" formatCode="General">
                        <c:v>-26.772544554455443</c:v>
                      </c:pt>
                      <c:pt idx="27" formatCode="General">
                        <c:v>-26.58838613861386</c:v>
                      </c:pt>
                      <c:pt idx="28" formatCode="General">
                        <c:v>-26.404227722772276</c:v>
                      </c:pt>
                      <c:pt idx="29" formatCode="General">
                        <c:v>-26.48570297029703</c:v>
                      </c:pt>
                      <c:pt idx="30" formatCode="General">
                        <c:v>-26.623524752475248</c:v>
                      </c:pt>
                      <c:pt idx="31" formatCode="General">
                        <c:v>-26.762772277227722</c:v>
                      </c:pt>
                      <c:pt idx="32" formatCode="General">
                        <c:v>-26.905346534653464</c:v>
                      </c:pt>
                      <c:pt idx="33" formatCode="General">
                        <c:v>-27.047920792079207</c:v>
                      </c:pt>
                      <c:pt idx="34" formatCode="General">
                        <c:v>-27.187118811881188</c:v>
                      </c:pt>
                      <c:pt idx="35" formatCode="General">
                        <c:v>-27.325336633663365</c:v>
                      </c:pt>
                      <c:pt idx="36" formatCode="General">
                        <c:v>-27.463653465346532</c:v>
                      </c:pt>
                      <c:pt idx="37" formatCode="General">
                        <c:v>-27.602267326732672</c:v>
                      </c:pt>
                      <c:pt idx="38" formatCode="General">
                        <c:v>-27.740881188118809</c:v>
                      </c:pt>
                      <c:pt idx="39" formatCode="General">
                        <c:v>-27.877341584158415</c:v>
                      </c:pt>
                      <c:pt idx="40" formatCode="General">
                        <c:v>-28.012985148514851</c:v>
                      </c:pt>
                      <c:pt idx="41" formatCode="General">
                        <c:v>-28.148628712871286</c:v>
                      </c:pt>
                      <c:pt idx="42" formatCode="General">
                        <c:v>-28.284272277227721</c:v>
                      </c:pt>
                      <c:pt idx="43" formatCode="General">
                        <c:v>-28.419915841584157</c:v>
                      </c:pt>
                      <c:pt idx="44" formatCode="General">
                        <c:v>-28.555559405940592</c:v>
                      </c:pt>
                      <c:pt idx="45" formatCode="General">
                        <c:v>-28.691202970297027</c:v>
                      </c:pt>
                      <c:pt idx="46" formatCode="General">
                        <c:v>-28.826846534653463</c:v>
                      </c:pt>
                      <c:pt idx="47" formatCode="General">
                        <c:v>-28.962490099009898</c:v>
                      </c:pt>
                      <c:pt idx="48" formatCode="General">
                        <c:v>-29.098133663366333</c:v>
                      </c:pt>
                      <c:pt idx="49" formatCode="General">
                        <c:v>-29.230598513011149</c:v>
                      </c:pt>
                      <c:pt idx="50" formatCode="General">
                        <c:v>-29.361156133828995</c:v>
                      </c:pt>
                      <c:pt idx="51" formatCode="General">
                        <c:v>-29.491713754646838</c:v>
                      </c:pt>
                      <c:pt idx="52" formatCode="General">
                        <c:v>-29.622271375464681</c:v>
                      </c:pt>
                      <c:pt idx="53" formatCode="General">
                        <c:v>-29.752828996282528</c:v>
                      </c:pt>
                      <c:pt idx="54" formatCode="General">
                        <c:v>-29.883386617100371</c:v>
                      </c:pt>
                      <c:pt idx="55" formatCode="General">
                        <c:v>-30.013944237918214</c:v>
                      </c:pt>
                      <c:pt idx="56" formatCode="General">
                        <c:v>-30.14450185873606</c:v>
                      </c:pt>
                      <c:pt idx="57" formatCode="General">
                        <c:v>-30.275059479553903</c:v>
                      </c:pt>
                      <c:pt idx="58" formatCode="General">
                        <c:v>-30.405617100371746</c:v>
                      </c:pt>
                      <c:pt idx="59" formatCode="General">
                        <c:v>-30.534172029702972</c:v>
                      </c:pt>
                      <c:pt idx="60" formatCode="General">
                        <c:v>-30.661003712871288</c:v>
                      </c:pt>
                      <c:pt idx="61" formatCode="General">
                        <c:v>-30.787835396039604</c:v>
                      </c:pt>
                      <c:pt idx="62" formatCode="General">
                        <c:v>-30.91466707920792</c:v>
                      </c:pt>
                      <c:pt idx="63" formatCode="General">
                        <c:v>-31.041498762376239</c:v>
                      </c:pt>
                      <c:pt idx="64" formatCode="General">
                        <c:v>-31.168330445544555</c:v>
                      </c:pt>
                      <c:pt idx="65" formatCode="General">
                        <c:v>-31.295162128712871</c:v>
                      </c:pt>
                      <c:pt idx="66" formatCode="General">
                        <c:v>-31.421993811881187</c:v>
                      </c:pt>
                      <c:pt idx="67" formatCode="General">
                        <c:v>-31.548825495049506</c:v>
                      </c:pt>
                      <c:pt idx="68" formatCode="General">
                        <c:v>-31.675657178217822</c:v>
                      </c:pt>
                      <c:pt idx="69" formatCode="General">
                        <c:v>-31.800085501858735</c:v>
                      </c:pt>
                      <c:pt idx="70" formatCode="General">
                        <c:v>-31.92142379182156</c:v>
                      </c:pt>
                      <c:pt idx="71" formatCode="General">
                        <c:v>-32.042762081784389</c:v>
                      </c:pt>
                      <c:pt idx="72" formatCode="General">
                        <c:v>-32.16410037174721</c:v>
                      </c:pt>
                      <c:pt idx="73" formatCode="General">
                        <c:v>-32.285438661710032</c:v>
                      </c:pt>
                      <c:pt idx="74" formatCode="General">
                        <c:v>-32.40677695167286</c:v>
                      </c:pt>
                      <c:pt idx="75" formatCode="General">
                        <c:v>-32.528115241635682</c:v>
                      </c:pt>
                      <c:pt idx="76" formatCode="General">
                        <c:v>-32.64945353159851</c:v>
                      </c:pt>
                      <c:pt idx="77" formatCode="General">
                        <c:v>-32.770791821561332</c:v>
                      </c:pt>
                      <c:pt idx="78" formatCode="General">
                        <c:v>-32.89213011152416</c:v>
                      </c:pt>
                      <c:pt idx="79" formatCode="General">
                        <c:v>-33.012168316831676</c:v>
                      </c:pt>
                      <c:pt idx="80" formatCode="General">
                        <c:v>-33.129792079207917</c:v>
                      </c:pt>
                      <c:pt idx="81" formatCode="General">
                        <c:v>-33.247415841584157</c:v>
                      </c:pt>
                      <c:pt idx="82" formatCode="General">
                        <c:v>-33.36503960396039</c:v>
                      </c:pt>
                      <c:pt idx="83" formatCode="General">
                        <c:v>-33.482663366336631</c:v>
                      </c:pt>
                      <c:pt idx="84" formatCode="General">
                        <c:v>-33.600287128712871</c:v>
                      </c:pt>
                      <c:pt idx="85" formatCode="General">
                        <c:v>-33.717910891089105</c:v>
                      </c:pt>
                      <c:pt idx="86" formatCode="General">
                        <c:v>-33.835534653465345</c:v>
                      </c:pt>
                      <c:pt idx="87" formatCode="General">
                        <c:v>-33.953158415841585</c:v>
                      </c:pt>
                      <c:pt idx="88" formatCode="General">
                        <c:v>-34.070782178217819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E8D-4B9C-9AD8-8BFFD129D948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E8D-4B9C-9AD8-8BFFD129D948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E8D-4B9C-9AD8-8BFFD129D948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-53.985366336633668</c:v>
                      </c:pt>
                      <c:pt idx="7" formatCode="General">
                        <c:v>-53.362792079207928</c:v>
                      </c:pt>
                      <c:pt idx="8" formatCode="General">
                        <c:v>-52.744471534653471</c:v>
                      </c:pt>
                      <c:pt idx="9" formatCode="General">
                        <c:v>-52.462194306930698</c:v>
                      </c:pt>
                      <c:pt idx="10" formatCode="General">
                        <c:v>-52.179917079207925</c:v>
                      </c:pt>
                      <c:pt idx="11" formatCode="General">
                        <c:v>-51.897639851485152</c:v>
                      </c:pt>
                      <c:pt idx="12" formatCode="General">
                        <c:v>-51.61536262376238</c:v>
                      </c:pt>
                      <c:pt idx="13" formatCode="General">
                        <c:v>-51.333085396039607</c:v>
                      </c:pt>
                      <c:pt idx="14" formatCode="General">
                        <c:v>-51.050808168316834</c:v>
                      </c:pt>
                      <c:pt idx="15" formatCode="General">
                        <c:v>-50.768530940594061</c:v>
                      </c:pt>
                      <c:pt idx="16" formatCode="General">
                        <c:v>-50.486253712871289</c:v>
                      </c:pt>
                      <c:pt idx="17" formatCode="General">
                        <c:v>-50.203976485148516</c:v>
                      </c:pt>
                      <c:pt idx="18" formatCode="General">
                        <c:v>-49.921699257425743</c:v>
                      </c:pt>
                      <c:pt idx="19" formatCode="General">
                        <c:v>-49.742688118811877</c:v>
                      </c:pt>
                      <c:pt idx="20" formatCode="General">
                        <c:v>-49.573579207920787</c:v>
                      </c:pt>
                      <c:pt idx="21" formatCode="General">
                        <c:v>-49.413217821782176</c:v>
                      </c:pt>
                      <c:pt idx="22" formatCode="General">
                        <c:v>-49.266683168316831</c:v>
                      </c:pt>
                      <c:pt idx="23" formatCode="General">
                        <c:v>-49.120148514851479</c:v>
                      </c:pt>
                      <c:pt idx="24" formatCode="General">
                        <c:v>-48.995985074626866</c:v>
                      </c:pt>
                      <c:pt idx="25" formatCode="General">
                        <c:v>-48.875388059701493</c:v>
                      </c:pt>
                      <c:pt idx="26" formatCode="General">
                        <c:v>-48.775514851485148</c:v>
                      </c:pt>
                      <c:pt idx="27" formatCode="General">
                        <c:v>-48.714128712871286</c:v>
                      </c:pt>
                      <c:pt idx="28" formatCode="General">
                        <c:v>-48.652742574257424</c:v>
                      </c:pt>
                      <c:pt idx="29" formatCode="General">
                        <c:v>-48.853722772277223</c:v>
                      </c:pt>
                      <c:pt idx="30" formatCode="General">
                        <c:v>-49.11035643564356</c:v>
                      </c:pt>
                      <c:pt idx="31" formatCode="General">
                        <c:v>-49.369603960396041</c:v>
                      </c:pt>
                      <c:pt idx="32" formatCode="General">
                        <c:v>-49.634950495049509</c:v>
                      </c:pt>
                      <c:pt idx="33" formatCode="General">
                        <c:v>-49.900297029702969</c:v>
                      </c:pt>
                      <c:pt idx="34" formatCode="General">
                        <c:v>-50.159198019801984</c:v>
                      </c:pt>
                      <c:pt idx="35" formatCode="General">
                        <c:v>-50.416227722772277</c:v>
                      </c:pt>
                      <c:pt idx="36" formatCode="General">
                        <c:v>-50.673356435643569</c:v>
                      </c:pt>
                      <c:pt idx="37" formatCode="General">
                        <c:v>-50.930782178217825</c:v>
                      </c:pt>
                      <c:pt idx="38" formatCode="General">
                        <c:v>-51.188207920792081</c:v>
                      </c:pt>
                      <c:pt idx="39" formatCode="General">
                        <c:v>-51.441326732673268</c:v>
                      </c:pt>
                      <c:pt idx="40" formatCode="General">
                        <c:v>-51.692811881188121</c:v>
                      </c:pt>
                      <c:pt idx="41" formatCode="General">
                        <c:v>-51.944297029702966</c:v>
                      </c:pt>
                      <c:pt idx="42" formatCode="General">
                        <c:v>-52.195782178217819</c:v>
                      </c:pt>
                      <c:pt idx="43" formatCode="General">
                        <c:v>-52.447267326732671</c:v>
                      </c:pt>
                      <c:pt idx="44" formatCode="General">
                        <c:v>-52.698752475247524</c:v>
                      </c:pt>
                      <c:pt idx="45" formatCode="General">
                        <c:v>-52.950237623762376</c:v>
                      </c:pt>
                      <c:pt idx="46" formatCode="General">
                        <c:v>-53.201722772277229</c:v>
                      </c:pt>
                      <c:pt idx="47" formatCode="General">
                        <c:v>-53.453207920792082</c:v>
                      </c:pt>
                      <c:pt idx="48" formatCode="General">
                        <c:v>-53.704693069306927</c:v>
                      </c:pt>
                      <c:pt idx="49" formatCode="General">
                        <c:v>-53.949991325898388</c:v>
                      </c:pt>
                      <c:pt idx="50" formatCode="General">
                        <c:v>-54.19157744733581</c:v>
                      </c:pt>
                      <c:pt idx="51" formatCode="General">
                        <c:v>-54.433163568773232</c:v>
                      </c:pt>
                      <c:pt idx="52" formatCode="General">
                        <c:v>-54.674749690210653</c:v>
                      </c:pt>
                      <c:pt idx="53" formatCode="General">
                        <c:v>-54.916335811648075</c:v>
                      </c:pt>
                      <c:pt idx="54" formatCode="General">
                        <c:v>-55.157921933085497</c:v>
                      </c:pt>
                      <c:pt idx="55" formatCode="General">
                        <c:v>-55.399508054522919</c:v>
                      </c:pt>
                      <c:pt idx="56" formatCode="General">
                        <c:v>-55.64109417596034</c:v>
                      </c:pt>
                      <c:pt idx="57" formatCode="General">
                        <c:v>-55.882680297397769</c:v>
                      </c:pt>
                      <c:pt idx="58" formatCode="General">
                        <c:v>-56.124266418835191</c:v>
                      </c:pt>
                      <c:pt idx="59" formatCode="General">
                        <c:v>-56.362179455445542</c:v>
                      </c:pt>
                      <c:pt idx="60" formatCode="General">
                        <c:v>-56.596931930693067</c:v>
                      </c:pt>
                      <c:pt idx="61" formatCode="General">
                        <c:v>-56.831684405940592</c:v>
                      </c:pt>
                      <c:pt idx="62" formatCode="General">
                        <c:v>-57.066436881188118</c:v>
                      </c:pt>
                      <c:pt idx="63" formatCode="General">
                        <c:v>-57.301189356435643</c:v>
                      </c:pt>
                      <c:pt idx="64" formatCode="General">
                        <c:v>-57.535941831683168</c:v>
                      </c:pt>
                      <c:pt idx="65" formatCode="General">
                        <c:v>-57.770694306930693</c:v>
                      </c:pt>
                      <c:pt idx="66" formatCode="General">
                        <c:v>-58.005446782178218</c:v>
                      </c:pt>
                      <c:pt idx="67" formatCode="General">
                        <c:v>-58.240199257425743</c:v>
                      </c:pt>
                      <c:pt idx="68" formatCode="General">
                        <c:v>-58.474951732673269</c:v>
                      </c:pt>
                      <c:pt idx="69" formatCode="General">
                        <c:v>-58.705190830235438</c:v>
                      </c:pt>
                      <c:pt idx="70" formatCode="General">
                        <c:v>-58.929627013630729</c:v>
                      </c:pt>
                      <c:pt idx="71" formatCode="General">
                        <c:v>-59.154063197026019</c:v>
                      </c:pt>
                      <c:pt idx="72" formatCode="General">
                        <c:v>-59.37849938042131</c:v>
                      </c:pt>
                      <c:pt idx="73" formatCode="General">
                        <c:v>-59.602935563816601</c:v>
                      </c:pt>
                      <c:pt idx="74" formatCode="General">
                        <c:v>-59.827371747211892</c:v>
                      </c:pt>
                      <c:pt idx="75" formatCode="General">
                        <c:v>-60.051807930607183</c:v>
                      </c:pt>
                      <c:pt idx="76" formatCode="General">
                        <c:v>-60.276244114002473</c:v>
                      </c:pt>
                      <c:pt idx="77" formatCode="General">
                        <c:v>-60.500680297397764</c:v>
                      </c:pt>
                      <c:pt idx="78" formatCode="General">
                        <c:v>-60.725116480793055</c:v>
                      </c:pt>
                      <c:pt idx="79" formatCode="General">
                        <c:v>-60.947168316831679</c:v>
                      </c:pt>
                      <c:pt idx="80" formatCode="General">
                        <c:v>-61.164792079207913</c:v>
                      </c:pt>
                      <c:pt idx="81" formatCode="General">
                        <c:v>-61.382415841584155</c:v>
                      </c:pt>
                      <c:pt idx="82" formatCode="General">
                        <c:v>-61.60003960396039</c:v>
                      </c:pt>
                      <c:pt idx="83" formatCode="General">
                        <c:v>-61.817663366336632</c:v>
                      </c:pt>
                      <c:pt idx="84" formatCode="General">
                        <c:v>-62.035287128712866</c:v>
                      </c:pt>
                      <c:pt idx="85" formatCode="General">
                        <c:v>-62.252910891089108</c:v>
                      </c:pt>
                      <c:pt idx="86" formatCode="General">
                        <c:v>-62.47053465346535</c:v>
                      </c:pt>
                      <c:pt idx="87" formatCode="General">
                        <c:v>-62.688158415841585</c:v>
                      </c:pt>
                      <c:pt idx="88" formatCode="General">
                        <c:v>-62.905782178217827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E8D-4B9C-9AD8-8BFFD129D948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-192.75227722772277</c:v>
                      </c:pt>
                      <c:pt idx="1">
                        <c:v>-188.21178217821782</c:v>
                      </c:pt>
                      <c:pt idx="2">
                        <c:v>-183.94247524752475</c:v>
                      </c:pt>
                      <c:pt idx="3">
                        <c:v>-179.70658415841584</c:v>
                      </c:pt>
                      <c:pt idx="4" formatCode="General">
                        <c:v>-175.97193069306931</c:v>
                      </c:pt>
                      <c:pt idx="5" formatCode="General">
                        <c:v>-172.23727722772276</c:v>
                      </c:pt>
                      <c:pt idx="6" formatCode="General">
                        <c:v>-168.74912871287128</c:v>
                      </c:pt>
                      <c:pt idx="7" formatCode="General">
                        <c:v>-165.47308910891087</c:v>
                      </c:pt>
                      <c:pt idx="8" formatCode="General">
                        <c:v>-162.20688861386137</c:v>
                      </c:pt>
                      <c:pt idx="9" formatCode="General">
                        <c:v>-159.71797772277228</c:v>
                      </c:pt>
                      <c:pt idx="10" formatCode="General">
                        <c:v>-157.22906683168316</c:v>
                      </c:pt>
                      <c:pt idx="11" formatCode="General">
                        <c:v>-154.74015594059406</c:v>
                      </c:pt>
                      <c:pt idx="12" formatCode="General">
                        <c:v>-152.25124504950494</c:v>
                      </c:pt>
                      <c:pt idx="13" formatCode="General">
                        <c:v>-149.76233415841585</c:v>
                      </c:pt>
                      <c:pt idx="14" formatCode="General">
                        <c:v>-147.27342326732673</c:v>
                      </c:pt>
                      <c:pt idx="15" formatCode="General">
                        <c:v>-144.78451237623764</c:v>
                      </c:pt>
                      <c:pt idx="16" formatCode="General">
                        <c:v>-142.29560148514852</c:v>
                      </c:pt>
                      <c:pt idx="17" formatCode="General">
                        <c:v>-139.80669059405943</c:v>
                      </c:pt>
                      <c:pt idx="18" formatCode="General">
                        <c:v>-137.31777970297031</c:v>
                      </c:pt>
                      <c:pt idx="19" formatCode="General">
                        <c:v>-135.37257425742575</c:v>
                      </c:pt>
                      <c:pt idx="20" formatCode="General">
                        <c:v>-133.47950495049506</c:v>
                      </c:pt>
                      <c:pt idx="21" formatCode="General">
                        <c:v>-131.64935643564354</c:v>
                      </c:pt>
                      <c:pt idx="22" formatCode="General">
                        <c:v>-129.91866336633663</c:v>
                      </c:pt>
                      <c:pt idx="23" formatCode="General">
                        <c:v>-128.18797029702969</c:v>
                      </c:pt>
                      <c:pt idx="24" formatCode="General">
                        <c:v>-126.58029850746269</c:v>
                      </c:pt>
                      <c:pt idx="25" formatCode="General">
                        <c:v>-124.99223880597015</c:v>
                      </c:pt>
                      <c:pt idx="26" formatCode="General">
                        <c:v>-123.45405940594058</c:v>
                      </c:pt>
                      <c:pt idx="27" formatCode="General">
                        <c:v>-122.00851485148515</c:v>
                      </c:pt>
                      <c:pt idx="28" formatCode="General">
                        <c:v>-120.56297029702969</c:v>
                      </c:pt>
                      <c:pt idx="29" formatCode="General">
                        <c:v>-119.82643564356437</c:v>
                      </c:pt>
                      <c:pt idx="30" formatCode="General">
                        <c:v>-119.24029702970299</c:v>
                      </c:pt>
                      <c:pt idx="31" formatCode="General">
                        <c:v>-119.13059405940595</c:v>
                      </c:pt>
                      <c:pt idx="32" formatCode="General">
                        <c:v>-120.13257425742574</c:v>
                      </c:pt>
                      <c:pt idx="33" formatCode="General">
                        <c:v>-121.13455445544555</c:v>
                      </c:pt>
                      <c:pt idx="34" formatCode="General">
                        <c:v>-122.12118811881189</c:v>
                      </c:pt>
                      <c:pt idx="35" formatCode="General">
                        <c:v>-123.10336633663366</c:v>
                      </c:pt>
                      <c:pt idx="36" formatCode="General">
                        <c:v>-124.08554455445544</c:v>
                      </c:pt>
                      <c:pt idx="37" formatCode="General">
                        <c:v>-125.06772277227722</c:v>
                      </c:pt>
                      <c:pt idx="38" formatCode="General">
                        <c:v>-126.04990099009899</c:v>
                      </c:pt>
                      <c:pt idx="39" formatCode="General">
                        <c:v>-127.0083910891089</c:v>
                      </c:pt>
                      <c:pt idx="40" formatCode="General">
                        <c:v>-127.95789603960395</c:v>
                      </c:pt>
                      <c:pt idx="41" formatCode="General">
                        <c:v>-128.90740099009901</c:v>
                      </c:pt>
                      <c:pt idx="42" formatCode="General">
                        <c:v>-129.85690594059406</c:v>
                      </c:pt>
                      <c:pt idx="43" formatCode="General">
                        <c:v>-130.80641089108912</c:v>
                      </c:pt>
                      <c:pt idx="44" formatCode="General">
                        <c:v>-131.75591584158414</c:v>
                      </c:pt>
                      <c:pt idx="45" formatCode="General">
                        <c:v>-132.7054207920792</c:v>
                      </c:pt>
                      <c:pt idx="46" formatCode="General">
                        <c:v>-133.65492574257425</c:v>
                      </c:pt>
                      <c:pt idx="47" formatCode="General">
                        <c:v>-134.6044306930693</c:v>
                      </c:pt>
                      <c:pt idx="48" formatCode="General">
                        <c:v>-135.55393564356436</c:v>
                      </c:pt>
                      <c:pt idx="49" formatCode="General">
                        <c:v>-136.47257744733582</c:v>
                      </c:pt>
                      <c:pt idx="50" formatCode="General">
                        <c:v>-137.37270136307311</c:v>
                      </c:pt>
                      <c:pt idx="51" formatCode="General">
                        <c:v>-138.27282527881042</c:v>
                      </c:pt>
                      <c:pt idx="52" formatCode="General">
                        <c:v>-139.1729491945477</c:v>
                      </c:pt>
                      <c:pt idx="53" formatCode="General">
                        <c:v>-140.07307311028501</c:v>
                      </c:pt>
                      <c:pt idx="54" formatCode="General">
                        <c:v>-140.97319702602232</c:v>
                      </c:pt>
                      <c:pt idx="55" formatCode="General">
                        <c:v>-141.8733209417596</c:v>
                      </c:pt>
                      <c:pt idx="56" formatCode="General">
                        <c:v>-142.77344485749691</c:v>
                      </c:pt>
                      <c:pt idx="57" formatCode="General">
                        <c:v>-143.67356877323419</c:v>
                      </c:pt>
                      <c:pt idx="58" formatCode="General">
                        <c:v>-144.57369268897151</c:v>
                      </c:pt>
                      <c:pt idx="59" formatCode="General">
                        <c:v>-145.44394801980198</c:v>
                      </c:pt>
                      <c:pt idx="60" formatCode="General">
                        <c:v>-146.28850247524753</c:v>
                      </c:pt>
                      <c:pt idx="61" formatCode="General">
                        <c:v>-147.13305693069307</c:v>
                      </c:pt>
                      <c:pt idx="62" formatCode="General">
                        <c:v>-147.97761138613862</c:v>
                      </c:pt>
                      <c:pt idx="63" formatCode="General">
                        <c:v>-148.82216584158417</c:v>
                      </c:pt>
                      <c:pt idx="64" formatCode="General">
                        <c:v>-149.66672029702968</c:v>
                      </c:pt>
                      <c:pt idx="65" formatCode="General">
                        <c:v>-150.51127475247523</c:v>
                      </c:pt>
                      <c:pt idx="66" formatCode="General">
                        <c:v>-151.35582920792078</c:v>
                      </c:pt>
                      <c:pt idx="67" formatCode="General">
                        <c:v>-152.20038366336632</c:v>
                      </c:pt>
                      <c:pt idx="68" formatCode="General">
                        <c:v>-153.04493811881187</c:v>
                      </c:pt>
                      <c:pt idx="69" formatCode="General">
                        <c:v>-153.86002478314745</c:v>
                      </c:pt>
                      <c:pt idx="70" formatCode="General">
                        <c:v>-154.63722428748449</c:v>
                      </c:pt>
                      <c:pt idx="71" formatCode="General">
                        <c:v>-155.41442379182155</c:v>
                      </c:pt>
                      <c:pt idx="72" formatCode="General">
                        <c:v>-156.19162329615858</c:v>
                      </c:pt>
                      <c:pt idx="73" formatCode="General">
                        <c:v>-156.96882280049564</c:v>
                      </c:pt>
                      <c:pt idx="74" formatCode="General">
                        <c:v>-157.74602230483271</c:v>
                      </c:pt>
                      <c:pt idx="75" formatCode="General">
                        <c:v>-158.52322180916974</c:v>
                      </c:pt>
                      <c:pt idx="76" formatCode="General">
                        <c:v>-159.3004213135068</c:v>
                      </c:pt>
                      <c:pt idx="77" formatCode="General">
                        <c:v>-160.07762081784384</c:v>
                      </c:pt>
                      <c:pt idx="78" formatCode="General">
                        <c:v>-160.8548203221809</c:v>
                      </c:pt>
                      <c:pt idx="79" formatCode="General">
                        <c:v>-161.60707920792078</c:v>
                      </c:pt>
                      <c:pt idx="80" formatCode="General">
                        <c:v>-162.31301980198018</c:v>
                      </c:pt>
                      <c:pt idx="81" formatCode="General">
                        <c:v>-163.0189603960396</c:v>
                      </c:pt>
                      <c:pt idx="82" formatCode="General">
                        <c:v>-163.724900990099</c:v>
                      </c:pt>
                      <c:pt idx="83" formatCode="General">
                        <c:v>-164.4308415841584</c:v>
                      </c:pt>
                      <c:pt idx="84" formatCode="General">
                        <c:v>-165.13678217821783</c:v>
                      </c:pt>
                      <c:pt idx="85" formatCode="General">
                        <c:v>-165.84272277227723</c:v>
                      </c:pt>
                      <c:pt idx="86" formatCode="General">
                        <c:v>-166.54866336633663</c:v>
                      </c:pt>
                      <c:pt idx="87" formatCode="General">
                        <c:v>-167.25460396039605</c:v>
                      </c:pt>
                      <c:pt idx="88" formatCode="General">
                        <c:v>-167.96054455445545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E8D-4B9C-9AD8-8BFFD129D948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E8D-4B9C-9AD8-8BFFD129D948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E8D-4B9C-9AD8-8BFFD129D948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E8D-4B9C-9AD8-8BFFD129D948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E8D-4B9C-9AD8-8BFFD129D948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E8D-4B9C-9AD8-8BFFD129D948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-19.966574257425744</c:v>
                      </c:pt>
                      <c:pt idx="7" formatCode="General">
                        <c:v>-19.885782178217823</c:v>
                      </c:pt>
                      <c:pt idx="8" formatCode="General">
                        <c:v>-19.807502475247524</c:v>
                      </c:pt>
                      <c:pt idx="9" formatCode="General">
                        <c:v>-19.927700495049507</c:v>
                      </c:pt>
                      <c:pt idx="10" formatCode="General">
                        <c:v>-20.047898514851486</c:v>
                      </c:pt>
                      <c:pt idx="11" formatCode="General">
                        <c:v>-20.168096534653465</c:v>
                      </c:pt>
                      <c:pt idx="12" formatCode="General">
                        <c:v>-20.288294554455447</c:v>
                      </c:pt>
                      <c:pt idx="13" formatCode="General">
                        <c:v>-20.408492574257426</c:v>
                      </c:pt>
                      <c:pt idx="14" formatCode="General">
                        <c:v>-20.528690594059405</c:v>
                      </c:pt>
                      <c:pt idx="15" formatCode="General">
                        <c:v>-20.648888613861388</c:v>
                      </c:pt>
                      <c:pt idx="16" formatCode="General">
                        <c:v>-20.769086633663367</c:v>
                      </c:pt>
                      <c:pt idx="17" formatCode="General">
                        <c:v>-20.889284653465346</c:v>
                      </c:pt>
                      <c:pt idx="18" formatCode="General">
                        <c:v>-21.009482673267328</c:v>
                      </c:pt>
                      <c:pt idx="19" formatCode="General">
                        <c:v>-21.135643564356435</c:v>
                      </c:pt>
                      <c:pt idx="20" formatCode="General">
                        <c:v>-21.262376237623762</c:v>
                      </c:pt>
                      <c:pt idx="21" formatCode="General">
                        <c:v>-21.387574257425744</c:v>
                      </c:pt>
                      <c:pt idx="22" formatCode="General">
                        <c:v>-21.510346534653465</c:v>
                      </c:pt>
                      <c:pt idx="23" formatCode="General">
                        <c:v>-21.633118811881186</c:v>
                      </c:pt>
                      <c:pt idx="24" formatCode="General">
                        <c:v>-21.756417910447759</c:v>
                      </c:pt>
                      <c:pt idx="25" formatCode="General">
                        <c:v>-21.879800995024876</c:v>
                      </c:pt>
                      <c:pt idx="26" formatCode="General">
                        <c:v>-22.002970297029705</c:v>
                      </c:pt>
                      <c:pt idx="27" formatCode="General">
                        <c:v>-22.125742574257426</c:v>
                      </c:pt>
                      <c:pt idx="28" formatCode="General">
                        <c:v>-22.248514851485147</c:v>
                      </c:pt>
                      <c:pt idx="29" formatCode="General">
                        <c:v>-22.368019801980196</c:v>
                      </c:pt>
                      <c:pt idx="30" formatCode="General">
                        <c:v>-22.486831683168315</c:v>
                      </c:pt>
                      <c:pt idx="31" formatCode="General">
                        <c:v>-22.606831683168316</c:v>
                      </c:pt>
                      <c:pt idx="32" formatCode="General">
                        <c:v>-22.729603960396041</c:v>
                      </c:pt>
                      <c:pt idx="33" formatCode="General">
                        <c:v>-22.852376237623762</c:v>
                      </c:pt>
                      <c:pt idx="34" formatCode="General">
                        <c:v>-22.972079207920792</c:v>
                      </c:pt>
                      <c:pt idx="35" formatCode="General">
                        <c:v>-23.090891089108911</c:v>
                      </c:pt>
                      <c:pt idx="36" formatCode="General">
                        <c:v>-23.20970297029703</c:v>
                      </c:pt>
                      <c:pt idx="37" formatCode="General">
                        <c:v>-23.328514851485149</c:v>
                      </c:pt>
                      <c:pt idx="38" formatCode="General">
                        <c:v>-23.447326732673268</c:v>
                      </c:pt>
                      <c:pt idx="39" formatCode="General">
                        <c:v>-23.563985148514853</c:v>
                      </c:pt>
                      <c:pt idx="40" formatCode="General">
                        <c:v>-23.679826732673266</c:v>
                      </c:pt>
                      <c:pt idx="41" formatCode="General">
                        <c:v>-23.795668316831684</c:v>
                      </c:pt>
                      <c:pt idx="42" formatCode="General">
                        <c:v>-23.911509900990097</c:v>
                      </c:pt>
                      <c:pt idx="43" formatCode="General">
                        <c:v>-24.027351485148515</c:v>
                      </c:pt>
                      <c:pt idx="44" formatCode="General">
                        <c:v>-24.143193069306928</c:v>
                      </c:pt>
                      <c:pt idx="45" formatCode="General">
                        <c:v>-24.259034653465346</c:v>
                      </c:pt>
                      <c:pt idx="46" formatCode="General">
                        <c:v>-24.374876237623763</c:v>
                      </c:pt>
                      <c:pt idx="47" formatCode="General">
                        <c:v>-24.490717821782177</c:v>
                      </c:pt>
                      <c:pt idx="48" formatCode="General">
                        <c:v>-24.606559405940594</c:v>
                      </c:pt>
                      <c:pt idx="49" formatCode="General">
                        <c:v>-24.719392812887236</c:v>
                      </c:pt>
                      <c:pt idx="50" formatCode="General">
                        <c:v>-24.830421313506815</c:v>
                      </c:pt>
                      <c:pt idx="51" formatCode="General">
                        <c:v>-24.941449814126393</c:v>
                      </c:pt>
                      <c:pt idx="52" formatCode="General">
                        <c:v>-25.052478314745972</c:v>
                      </c:pt>
                      <c:pt idx="53" formatCode="General">
                        <c:v>-25.163506815365551</c:v>
                      </c:pt>
                      <c:pt idx="54" formatCode="General">
                        <c:v>-25.27453531598513</c:v>
                      </c:pt>
                      <c:pt idx="55" formatCode="General">
                        <c:v>-25.385563816604709</c:v>
                      </c:pt>
                      <c:pt idx="56" formatCode="General">
                        <c:v>-25.496592317224287</c:v>
                      </c:pt>
                      <c:pt idx="57" formatCode="General">
                        <c:v>-25.607620817843866</c:v>
                      </c:pt>
                      <c:pt idx="58" formatCode="General">
                        <c:v>-25.718649318463445</c:v>
                      </c:pt>
                      <c:pt idx="59" formatCode="General">
                        <c:v>-25.828007425742573</c:v>
                      </c:pt>
                      <c:pt idx="60" formatCode="General">
                        <c:v>-25.935928217821782</c:v>
                      </c:pt>
                      <c:pt idx="61" formatCode="General">
                        <c:v>-26.043849009900988</c:v>
                      </c:pt>
                      <c:pt idx="62" formatCode="General">
                        <c:v>-26.151769801980198</c:v>
                      </c:pt>
                      <c:pt idx="63" formatCode="General">
                        <c:v>-26.259690594059403</c:v>
                      </c:pt>
                      <c:pt idx="64" formatCode="General">
                        <c:v>-26.367611386138613</c:v>
                      </c:pt>
                      <c:pt idx="65" formatCode="General">
                        <c:v>-26.475532178217822</c:v>
                      </c:pt>
                      <c:pt idx="66" formatCode="General">
                        <c:v>-26.583452970297028</c:v>
                      </c:pt>
                      <c:pt idx="67" formatCode="General">
                        <c:v>-26.691373762376237</c:v>
                      </c:pt>
                      <c:pt idx="68" formatCode="General">
                        <c:v>-26.799294554455443</c:v>
                      </c:pt>
                      <c:pt idx="69" formatCode="General">
                        <c:v>-26.905105328376703</c:v>
                      </c:pt>
                      <c:pt idx="70" formatCode="General">
                        <c:v>-27.008203221809168</c:v>
                      </c:pt>
                      <c:pt idx="71" formatCode="General">
                        <c:v>-27.111301115241634</c:v>
                      </c:pt>
                      <c:pt idx="72" formatCode="General">
                        <c:v>-27.2143990086741</c:v>
                      </c:pt>
                      <c:pt idx="73" formatCode="General">
                        <c:v>-27.317496902106566</c:v>
                      </c:pt>
                      <c:pt idx="74" formatCode="General">
                        <c:v>-27.420594795539031</c:v>
                      </c:pt>
                      <c:pt idx="75" formatCode="General">
                        <c:v>-27.523692688971497</c:v>
                      </c:pt>
                      <c:pt idx="76" formatCode="General">
                        <c:v>-27.626790582403963</c:v>
                      </c:pt>
                      <c:pt idx="77" formatCode="General">
                        <c:v>-27.729888475836429</c:v>
                      </c:pt>
                      <c:pt idx="78" formatCode="General">
                        <c:v>-27.832986369268895</c:v>
                      </c:pt>
                      <c:pt idx="79" formatCode="General">
                        <c:v>-27.934999999999999</c:v>
                      </c:pt>
                      <c:pt idx="80" formatCode="General">
                        <c:v>-28.034999999999997</c:v>
                      </c:pt>
                      <c:pt idx="81" formatCode="General">
                        <c:v>-28.134999999999998</c:v>
                      </c:pt>
                      <c:pt idx="82" formatCode="General">
                        <c:v>-28.234999999999999</c:v>
                      </c:pt>
                      <c:pt idx="83" formatCode="General">
                        <c:v>-28.334999999999997</c:v>
                      </c:pt>
                      <c:pt idx="84" formatCode="General">
                        <c:v>-28.434999999999999</c:v>
                      </c:pt>
                      <c:pt idx="85" formatCode="General">
                        <c:v>-28.535</c:v>
                      </c:pt>
                      <c:pt idx="86" formatCode="General">
                        <c:v>-28.634999999999998</c:v>
                      </c:pt>
                      <c:pt idx="87" formatCode="General">
                        <c:v>-28.734999999999999</c:v>
                      </c:pt>
                      <c:pt idx="88" formatCode="General">
                        <c:v>-28.835000000000001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E8D-4B9C-9AD8-8BFFD129D948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E8D-4B9C-9AD8-8BFFD129D948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E8D-4B9C-9AD8-8BFFD129D948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E8D-4B9C-9AD8-8BFFD129D948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E8D-4B9C-9AD8-8BFFD129D948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E8D-4B9C-9AD8-8BFFD129D948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E8D-4B9C-9AD8-8BFFD129D948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E8D-4B9C-9AD8-8BFFD129D948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E8D-4B9C-9AD8-8BFFD129D948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E8D-4B9C-9AD8-8BFFD129D948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E8D-4B9C-9AD8-8BFFD129D948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E8D-4B9C-9AD8-8BFFD129D948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E8D-4B9C-9AD8-8BFFD129D948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E8D-4B9C-9AD8-8BFFD129D948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E8D-4B9C-9AD8-8BFFD129D948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E8D-4B9C-9AD8-8BFFD129D948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E8D-4B9C-9AD8-8BFFD129D948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E8D-4B9C-9AD8-8BFFD129D948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-85.396485148514856</c:v>
                      </c:pt>
                      <c:pt idx="1">
                        <c:v>-83.32361386138615</c:v>
                      </c:pt>
                      <c:pt idx="2">
                        <c:v>-81.355297029702982</c:v>
                      </c:pt>
                      <c:pt idx="3">
                        <c:v>-79.398366336633671</c:v>
                      </c:pt>
                      <c:pt idx="4" formatCode="General">
                        <c:v>-77.612227722772275</c:v>
                      </c:pt>
                      <c:pt idx="5" formatCode="General">
                        <c:v>-75.826089108910892</c:v>
                      </c:pt>
                      <c:pt idx="6" formatCode="General">
                        <c:v>-74.122970297029696</c:v>
                      </c:pt>
                      <c:pt idx="7" formatCode="General">
                        <c:v>-72.49128712871287</c:v>
                      </c:pt>
                      <c:pt idx="8" formatCode="General">
                        <c:v>-70.861386138613852</c:v>
                      </c:pt>
                      <c:pt idx="9" formatCode="General">
                        <c:v>-69.372277227722776</c:v>
                      </c:pt>
                      <c:pt idx="10" formatCode="General">
                        <c:v>-67.883168316831686</c:v>
                      </c:pt>
                      <c:pt idx="11" formatCode="General">
                        <c:v>-66.463564356435654</c:v>
                      </c:pt>
                      <c:pt idx="12" formatCode="General">
                        <c:v>-65.117029702970299</c:v>
                      </c:pt>
                      <c:pt idx="13" formatCode="General">
                        <c:v>-63.770495049504952</c:v>
                      </c:pt>
                      <c:pt idx="14" formatCode="General">
                        <c:v>-62.553564356435643</c:v>
                      </c:pt>
                      <c:pt idx="15" formatCode="General">
                        <c:v>-61.341683168316834</c:v>
                      </c:pt>
                      <c:pt idx="16" formatCode="General">
                        <c:v>-60.180049504950496</c:v>
                      </c:pt>
                      <c:pt idx="17" formatCode="General">
                        <c:v>-59.0830198019802</c:v>
                      </c:pt>
                      <c:pt idx="18" formatCode="General">
                        <c:v>-57.985990099009896</c:v>
                      </c:pt>
                      <c:pt idx="19" formatCode="General">
                        <c:v>-57.000990099009904</c:v>
                      </c:pt>
                      <c:pt idx="20" formatCode="General">
                        <c:v>-56.026732673267333</c:v>
                      </c:pt>
                      <c:pt idx="21" formatCode="General">
                        <c:v>-55.08470297029703</c:v>
                      </c:pt>
                      <c:pt idx="22" formatCode="General">
                        <c:v>-54.19361386138614</c:v>
                      </c:pt>
                      <c:pt idx="23" formatCode="General">
                        <c:v>-53.30252475247525</c:v>
                      </c:pt>
                      <c:pt idx="24" formatCode="General">
                        <c:v>-52.486567164179107</c:v>
                      </c:pt>
                      <c:pt idx="25" formatCode="General">
                        <c:v>-51.682587064676611</c:v>
                      </c:pt>
                      <c:pt idx="26" formatCode="General">
                        <c:v>-50.971485148514844</c:v>
                      </c:pt>
                      <c:pt idx="27" formatCode="General">
                        <c:v>-50.432871287128705</c:v>
                      </c:pt>
                      <c:pt idx="28" formatCode="General">
                        <c:v>-49.894257425742573</c:v>
                      </c:pt>
                      <c:pt idx="29" formatCode="General">
                        <c:v>-50.041782178217822</c:v>
                      </c:pt>
                      <c:pt idx="30" formatCode="General">
                        <c:v>-50.334851485148519</c:v>
                      </c:pt>
                      <c:pt idx="31" formatCode="General">
                        <c:v>-50.670693069306935</c:v>
                      </c:pt>
                      <c:pt idx="32" formatCode="General">
                        <c:v>-51.106336633663368</c:v>
                      </c:pt>
                      <c:pt idx="33" formatCode="General">
                        <c:v>-51.541980198019807</c:v>
                      </c:pt>
                      <c:pt idx="34" formatCode="General">
                        <c:v>-51.974554455445549</c:v>
                      </c:pt>
                      <c:pt idx="35" formatCode="General">
                        <c:v>-52.406237623762379</c:v>
                      </c:pt>
                      <c:pt idx="36" formatCode="General">
                        <c:v>-52.83792079207921</c:v>
                      </c:pt>
                      <c:pt idx="37" formatCode="General">
                        <c:v>-53.26960396039604</c:v>
                      </c:pt>
                      <c:pt idx="38" formatCode="General">
                        <c:v>-53.701287128712863</c:v>
                      </c:pt>
                      <c:pt idx="39" formatCode="General">
                        <c:v>-54.130099009900981</c:v>
                      </c:pt>
                      <c:pt idx="40" formatCode="General">
                        <c:v>-54.557821782178216</c:v>
                      </c:pt>
                      <c:pt idx="41" formatCode="General">
                        <c:v>-54.983960396039606</c:v>
                      </c:pt>
                      <c:pt idx="42" formatCode="General">
                        <c:v>-55.403762376237623</c:v>
                      </c:pt>
                      <c:pt idx="43" formatCode="General">
                        <c:v>-55.823564356435639</c:v>
                      </c:pt>
                      <c:pt idx="44" formatCode="General">
                        <c:v>-56.238019801980194</c:v>
                      </c:pt>
                      <c:pt idx="45" formatCode="General">
                        <c:v>-56.649900990099006</c:v>
                      </c:pt>
                      <c:pt idx="46" formatCode="General">
                        <c:v>-57.061782178217825</c:v>
                      </c:pt>
                      <c:pt idx="47" formatCode="General">
                        <c:v>-57.473663366336638</c:v>
                      </c:pt>
                      <c:pt idx="48" formatCode="General">
                        <c:v>-57.88554455445545</c:v>
                      </c:pt>
                      <c:pt idx="49" formatCode="General">
                        <c:v>-58.28659231722429</c:v>
                      </c:pt>
                      <c:pt idx="50" formatCode="General">
                        <c:v>-58.681140024783154</c:v>
                      </c:pt>
                      <c:pt idx="51" formatCode="General">
                        <c:v>-59.075687732342011</c:v>
                      </c:pt>
                      <c:pt idx="52" formatCode="General">
                        <c:v>-59.470235439900868</c:v>
                      </c:pt>
                      <c:pt idx="53" formatCode="General">
                        <c:v>-59.864783147459733</c:v>
                      </c:pt>
                      <c:pt idx="54" formatCode="General">
                        <c:v>-60.25933085501859</c:v>
                      </c:pt>
                      <c:pt idx="55" formatCode="General">
                        <c:v>-60.653878562577447</c:v>
                      </c:pt>
                      <c:pt idx="56" formatCode="General">
                        <c:v>-61.048426270136311</c:v>
                      </c:pt>
                      <c:pt idx="57" formatCode="General">
                        <c:v>-61.442973977695168</c:v>
                      </c:pt>
                      <c:pt idx="58" formatCode="General">
                        <c:v>-61.837521685254032</c:v>
                      </c:pt>
                      <c:pt idx="59" formatCode="General">
                        <c:v>-62.217970297029701</c:v>
                      </c:pt>
                      <c:pt idx="60" formatCode="General">
                        <c:v>-62.586287128712868</c:v>
                      </c:pt>
                      <c:pt idx="61" formatCode="General">
                        <c:v>-62.954603960396042</c:v>
                      </c:pt>
                      <c:pt idx="62" formatCode="General">
                        <c:v>-63.322920792079209</c:v>
                      </c:pt>
                      <c:pt idx="63" formatCode="General">
                        <c:v>-63.691237623762376</c:v>
                      </c:pt>
                      <c:pt idx="64" formatCode="General">
                        <c:v>-64.059554455445536</c:v>
                      </c:pt>
                      <c:pt idx="65" formatCode="General">
                        <c:v>-64.42787128712871</c:v>
                      </c:pt>
                      <c:pt idx="66" formatCode="General">
                        <c:v>-64.796188118811884</c:v>
                      </c:pt>
                      <c:pt idx="67" formatCode="General">
                        <c:v>-65.164504950495044</c:v>
                      </c:pt>
                      <c:pt idx="68" formatCode="General">
                        <c:v>-65.532821782178218</c:v>
                      </c:pt>
                      <c:pt idx="69" formatCode="General">
                        <c:v>-65.887026022304823</c:v>
                      </c:pt>
                      <c:pt idx="70" formatCode="General">
                        <c:v>-66.223085501858733</c:v>
                      </c:pt>
                      <c:pt idx="71" formatCode="General">
                        <c:v>-66.559144981412629</c:v>
                      </c:pt>
                      <c:pt idx="72" formatCode="General">
                        <c:v>-66.895204460966539</c:v>
                      </c:pt>
                      <c:pt idx="73" formatCode="General">
                        <c:v>-67.231263940520435</c:v>
                      </c:pt>
                      <c:pt idx="74" formatCode="General">
                        <c:v>-67.567323420074345</c:v>
                      </c:pt>
                      <c:pt idx="75" formatCode="General">
                        <c:v>-67.903382899628241</c:v>
                      </c:pt>
                      <c:pt idx="76" formatCode="General">
                        <c:v>-68.239442379182151</c:v>
                      </c:pt>
                      <c:pt idx="77" formatCode="General">
                        <c:v>-68.575501858736047</c:v>
                      </c:pt>
                      <c:pt idx="78" formatCode="General">
                        <c:v>-68.911561338289957</c:v>
                      </c:pt>
                      <c:pt idx="79" formatCode="General">
                        <c:v>-69.236039603960393</c:v>
                      </c:pt>
                      <c:pt idx="80" formatCode="General">
                        <c:v>-69.539009900990095</c:v>
                      </c:pt>
                      <c:pt idx="81" formatCode="General">
                        <c:v>-69.841980198019797</c:v>
                      </c:pt>
                      <c:pt idx="82" formatCode="General">
                        <c:v>-70.1449504950495</c:v>
                      </c:pt>
                      <c:pt idx="83" formatCode="General">
                        <c:v>-70.447920792079202</c:v>
                      </c:pt>
                      <c:pt idx="84" formatCode="General">
                        <c:v>-70.750891089108904</c:v>
                      </c:pt>
                      <c:pt idx="85" formatCode="General">
                        <c:v>-71.053861386138607</c:v>
                      </c:pt>
                      <c:pt idx="86" formatCode="General">
                        <c:v>-71.356831683168309</c:v>
                      </c:pt>
                      <c:pt idx="87" formatCode="General">
                        <c:v>-71.659801980198012</c:v>
                      </c:pt>
                      <c:pt idx="88" formatCode="General">
                        <c:v>-71.962772277227714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E8D-4B9C-9AD8-8BFFD129D948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E8D-4B9C-9AD8-8BFFD129D948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-107.9441584158416</c:v>
                      </c:pt>
                      <c:pt idx="1">
                        <c:v>-105.48747524752477</c:v>
                      </c:pt>
                      <c:pt idx="2">
                        <c:v>-103.20232673267327</c:v>
                      </c:pt>
                      <c:pt idx="3">
                        <c:v>-100.93970297029703</c:v>
                      </c:pt>
                      <c:pt idx="4" formatCode="General">
                        <c:v>-99.014950495049504</c:v>
                      </c:pt>
                      <c:pt idx="5" formatCode="General">
                        <c:v>-97.090198019801974</c:v>
                      </c:pt>
                      <c:pt idx="6" formatCode="General">
                        <c:v>-95.322970297029684</c:v>
                      </c:pt>
                      <c:pt idx="7" formatCode="General">
                        <c:v>-93.691287128712858</c:v>
                      </c:pt>
                      <c:pt idx="8" formatCode="General">
                        <c:v>-92.06227722772276</c:v>
                      </c:pt>
                      <c:pt idx="9" formatCode="General">
                        <c:v>-90.644455445544551</c:v>
                      </c:pt>
                      <c:pt idx="10" formatCode="General">
                        <c:v>-89.226633663366343</c:v>
                      </c:pt>
                      <c:pt idx="11" formatCode="General">
                        <c:v>-87.89183168316832</c:v>
                      </c:pt>
                      <c:pt idx="12" formatCode="General">
                        <c:v>-86.644306930693062</c:v>
                      </c:pt>
                      <c:pt idx="13" formatCode="General">
                        <c:v>-85.396782178217819</c:v>
                      </c:pt>
                      <c:pt idx="14" formatCode="General">
                        <c:v>-84.282673267326729</c:v>
                      </c:pt>
                      <c:pt idx="15" formatCode="General">
                        <c:v>-83.173762376237633</c:v>
                      </c:pt>
                      <c:pt idx="16" formatCode="General">
                        <c:v>-82.108168316831694</c:v>
                      </c:pt>
                      <c:pt idx="17" formatCode="General">
                        <c:v>-81.098267326732682</c:v>
                      </c:pt>
                      <c:pt idx="18" formatCode="General">
                        <c:v>-80.088366336633669</c:v>
                      </c:pt>
                      <c:pt idx="19" formatCode="General">
                        <c:v>-79.179653465346533</c:v>
                      </c:pt>
                      <c:pt idx="20" formatCode="General">
                        <c:v>-78.280643564356438</c:v>
                      </c:pt>
                      <c:pt idx="21" formatCode="General">
                        <c:v>-77.410792079207923</c:v>
                      </c:pt>
                      <c:pt idx="22" formatCode="General">
                        <c:v>-76.587029702970298</c:v>
                      </c:pt>
                      <c:pt idx="23" formatCode="General">
                        <c:v>-75.763267326732688</c:v>
                      </c:pt>
                      <c:pt idx="24" formatCode="General">
                        <c:v>-75.025223880597025</c:v>
                      </c:pt>
                      <c:pt idx="25" formatCode="General">
                        <c:v>-74.300845771144282</c:v>
                      </c:pt>
                      <c:pt idx="26" formatCode="General">
                        <c:v>-73.666435643564355</c:v>
                      </c:pt>
                      <c:pt idx="27" formatCode="General">
                        <c:v>-73.199108910891084</c:v>
                      </c:pt>
                      <c:pt idx="28" formatCode="General">
                        <c:v>-72.731782178217827</c:v>
                      </c:pt>
                      <c:pt idx="29" formatCode="General">
                        <c:v>-72.973465346534653</c:v>
                      </c:pt>
                      <c:pt idx="30" formatCode="General">
                        <c:v>-73.365544554455454</c:v>
                      </c:pt>
                      <c:pt idx="31" formatCode="General">
                        <c:v>-73.806336633663364</c:v>
                      </c:pt>
                      <c:pt idx="32" formatCode="General">
                        <c:v>-74.360792079207911</c:v>
                      </c:pt>
                      <c:pt idx="33" formatCode="General">
                        <c:v>-74.915247524752473</c:v>
                      </c:pt>
                      <c:pt idx="34" formatCode="General">
                        <c:v>-75.46356435643564</c:v>
                      </c:pt>
                      <c:pt idx="35" formatCode="General">
                        <c:v>-76.010099009900983</c:v>
                      </c:pt>
                      <c:pt idx="36" formatCode="General">
                        <c:v>-76.557623762376238</c:v>
                      </c:pt>
                      <c:pt idx="37" formatCode="General">
                        <c:v>-77.108118811881184</c:v>
                      </c:pt>
                      <c:pt idx="38" formatCode="General">
                        <c:v>-77.658613861386144</c:v>
                      </c:pt>
                      <c:pt idx="39" formatCode="General">
                        <c:v>-78.206237623762377</c:v>
                      </c:pt>
                      <c:pt idx="40" formatCode="General">
                        <c:v>-78.75277227722772</c:v>
                      </c:pt>
                      <c:pt idx="41" formatCode="General">
                        <c:v>-79.296930693069299</c:v>
                      </c:pt>
                      <c:pt idx="42" formatCode="General">
                        <c:v>-79.831584158415836</c:v>
                      </c:pt>
                      <c:pt idx="43" formatCode="General">
                        <c:v>-80.366237623762373</c:v>
                      </c:pt>
                      <c:pt idx="44" formatCode="General">
                        <c:v>-80.895544554455441</c:v>
                      </c:pt>
                      <c:pt idx="45" formatCode="General">
                        <c:v>-81.422277227722773</c:v>
                      </c:pt>
                      <c:pt idx="46" formatCode="General">
                        <c:v>-81.949009900990106</c:v>
                      </c:pt>
                      <c:pt idx="47" formatCode="General">
                        <c:v>-82.475742574257424</c:v>
                      </c:pt>
                      <c:pt idx="48" formatCode="General">
                        <c:v>-83.002475247524757</c:v>
                      </c:pt>
                      <c:pt idx="49" formatCode="General">
                        <c:v>-83.515985130111531</c:v>
                      </c:pt>
                      <c:pt idx="50" formatCode="General">
                        <c:v>-84.02156133828997</c:v>
                      </c:pt>
                      <c:pt idx="51" formatCode="General">
                        <c:v>-84.52713754646841</c:v>
                      </c:pt>
                      <c:pt idx="52" formatCode="General">
                        <c:v>-85.032713754646849</c:v>
                      </c:pt>
                      <c:pt idx="53" formatCode="General">
                        <c:v>-85.538289962825289</c:v>
                      </c:pt>
                      <c:pt idx="54" formatCode="General">
                        <c:v>-86.043866171003728</c:v>
                      </c:pt>
                      <c:pt idx="55" formatCode="General">
                        <c:v>-86.549442379182167</c:v>
                      </c:pt>
                      <c:pt idx="56" formatCode="General">
                        <c:v>-87.055018587360607</c:v>
                      </c:pt>
                      <c:pt idx="57" formatCode="General">
                        <c:v>-87.560594795539046</c:v>
                      </c:pt>
                      <c:pt idx="58" formatCode="General">
                        <c:v>-88.066171003717486</c:v>
                      </c:pt>
                      <c:pt idx="59" formatCode="General">
                        <c:v>-88.555977722772283</c:v>
                      </c:pt>
                      <c:pt idx="60" formatCode="General">
                        <c:v>-89.032215346534656</c:v>
                      </c:pt>
                      <c:pt idx="61" formatCode="General">
                        <c:v>-89.508452970297043</c:v>
                      </c:pt>
                      <c:pt idx="62" formatCode="General">
                        <c:v>-89.984690594059416</c:v>
                      </c:pt>
                      <c:pt idx="63" formatCode="General">
                        <c:v>-90.460928217821788</c:v>
                      </c:pt>
                      <c:pt idx="64" formatCode="General">
                        <c:v>-90.937165841584161</c:v>
                      </c:pt>
                      <c:pt idx="65" formatCode="General">
                        <c:v>-91.413403465346533</c:v>
                      </c:pt>
                      <c:pt idx="66" formatCode="General">
                        <c:v>-91.889641089108906</c:v>
                      </c:pt>
                      <c:pt idx="67" formatCode="General">
                        <c:v>-92.365878712871293</c:v>
                      </c:pt>
                      <c:pt idx="68" formatCode="General">
                        <c:v>-92.842116336633666</c:v>
                      </c:pt>
                      <c:pt idx="69" formatCode="General">
                        <c:v>-93.302131350681535</c:v>
                      </c:pt>
                      <c:pt idx="70" formatCode="General">
                        <c:v>-93.741288723667907</c:v>
                      </c:pt>
                      <c:pt idx="71" formatCode="General">
                        <c:v>-94.180446096654279</c:v>
                      </c:pt>
                      <c:pt idx="72" formatCode="General">
                        <c:v>-94.619603469640637</c:v>
                      </c:pt>
                      <c:pt idx="73" formatCode="General">
                        <c:v>-95.058760842627009</c:v>
                      </c:pt>
                      <c:pt idx="74" formatCode="General">
                        <c:v>-95.497918215613382</c:v>
                      </c:pt>
                      <c:pt idx="75" formatCode="General">
                        <c:v>-95.93707558859974</c:v>
                      </c:pt>
                      <c:pt idx="76" formatCode="General">
                        <c:v>-96.376232961586112</c:v>
                      </c:pt>
                      <c:pt idx="77" formatCode="General">
                        <c:v>-96.815390334572484</c:v>
                      </c:pt>
                      <c:pt idx="78" formatCode="General">
                        <c:v>-97.254547707558856</c:v>
                      </c:pt>
                      <c:pt idx="79" formatCode="General">
                        <c:v>-97.681039603960386</c:v>
                      </c:pt>
                      <c:pt idx="80" formatCode="General">
                        <c:v>-98.084009900990097</c:v>
                      </c:pt>
                      <c:pt idx="81" formatCode="General">
                        <c:v>-98.486980198019793</c:v>
                      </c:pt>
                      <c:pt idx="82" formatCode="General">
                        <c:v>-98.889950495049504</c:v>
                      </c:pt>
                      <c:pt idx="83" formatCode="General">
                        <c:v>-99.292920792079201</c:v>
                      </c:pt>
                      <c:pt idx="84" formatCode="General">
                        <c:v>-99.695891089108912</c:v>
                      </c:pt>
                      <c:pt idx="85" formatCode="General">
                        <c:v>-100.09886138613862</c:v>
                      </c:pt>
                      <c:pt idx="86" formatCode="General">
                        <c:v>-100.50183168316832</c:v>
                      </c:pt>
                      <c:pt idx="87" formatCode="General">
                        <c:v>-100.90480198019803</c:v>
                      </c:pt>
                      <c:pt idx="88" formatCode="General">
                        <c:v>-101.30777227722774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E8D-4B9C-9AD8-8BFFD129D948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-193.34064356435644</c:v>
                      </c:pt>
                      <c:pt idx="1">
                        <c:v>-188.81108910891089</c:v>
                      </c:pt>
                      <c:pt idx="2">
                        <c:v>-184.55762376237624</c:v>
                      </c:pt>
                      <c:pt idx="3">
                        <c:v>-180.33806930693069</c:v>
                      </c:pt>
                      <c:pt idx="4" formatCode="General">
                        <c:v>-176.62717821782178</c:v>
                      </c:pt>
                      <c:pt idx="5" formatCode="General">
                        <c:v>-172.91628712871287</c:v>
                      </c:pt>
                      <c:pt idx="6" formatCode="General">
                        <c:v>-169.44594059405938</c:v>
                      </c:pt>
                      <c:pt idx="7" formatCode="General">
                        <c:v>-166.18257425742573</c:v>
                      </c:pt>
                      <c:pt idx="8" formatCode="General">
                        <c:v>-162.9236633663366</c:v>
                      </c:pt>
                      <c:pt idx="9" formatCode="General">
                        <c:v>-160.01673267326731</c:v>
                      </c:pt>
                      <c:pt idx="10" formatCode="General">
                        <c:v>-157.10980198019803</c:v>
                      </c:pt>
                      <c:pt idx="11" formatCode="General">
                        <c:v>-154.35539603960396</c:v>
                      </c:pt>
                      <c:pt idx="12" formatCode="General">
                        <c:v>-151.76133663366338</c:v>
                      </c:pt>
                      <c:pt idx="13" formatCode="General">
                        <c:v>-149.16727722772276</c:v>
                      </c:pt>
                      <c:pt idx="14" formatCode="General">
                        <c:v>-146.83623762376237</c:v>
                      </c:pt>
                      <c:pt idx="15" formatCode="General">
                        <c:v>-144.51544554455447</c:v>
                      </c:pt>
                      <c:pt idx="16" formatCode="General">
                        <c:v>-142.28821782178218</c:v>
                      </c:pt>
                      <c:pt idx="17" formatCode="General">
                        <c:v>-140.18128712871285</c:v>
                      </c:pt>
                      <c:pt idx="18" formatCode="General">
                        <c:v>-138.07435643564355</c:v>
                      </c:pt>
                      <c:pt idx="19" formatCode="General">
                        <c:v>-136.18064356435644</c:v>
                      </c:pt>
                      <c:pt idx="20" formatCode="General">
                        <c:v>-134.30737623762377</c:v>
                      </c:pt>
                      <c:pt idx="21" formatCode="General">
                        <c:v>-132.49549504950497</c:v>
                      </c:pt>
                      <c:pt idx="22" formatCode="General">
                        <c:v>-130.78064356435644</c:v>
                      </c:pt>
                      <c:pt idx="23" formatCode="General">
                        <c:v>-129.06579207920791</c:v>
                      </c:pt>
                      <c:pt idx="24" formatCode="General">
                        <c:v>-127.51179104477612</c:v>
                      </c:pt>
                      <c:pt idx="25" formatCode="General">
                        <c:v>-125.98343283582089</c:v>
                      </c:pt>
                      <c:pt idx="26" formatCode="General">
                        <c:v>-124.63792079207921</c:v>
                      </c:pt>
                      <c:pt idx="27" formatCode="General">
                        <c:v>-123.63198019801982</c:v>
                      </c:pt>
                      <c:pt idx="28" formatCode="General">
                        <c:v>-122.62603960396041</c:v>
                      </c:pt>
                      <c:pt idx="29" formatCode="General">
                        <c:v>-123.0152475247525</c:v>
                      </c:pt>
                      <c:pt idx="30" formatCode="General">
                        <c:v>-123.70039603960397</c:v>
                      </c:pt>
                      <c:pt idx="31" formatCode="General">
                        <c:v>-124.4770297029703</c:v>
                      </c:pt>
                      <c:pt idx="32" formatCode="General">
                        <c:v>-125.46712871287129</c:v>
                      </c:pt>
                      <c:pt idx="33" formatCode="General">
                        <c:v>-126.45722772277226</c:v>
                      </c:pt>
                      <c:pt idx="34" formatCode="General">
                        <c:v>-127.43811881188118</c:v>
                      </c:pt>
                      <c:pt idx="35" formatCode="General">
                        <c:v>-128.41633663366338</c:v>
                      </c:pt>
                      <c:pt idx="36" formatCode="General">
                        <c:v>-129.39554455445545</c:v>
                      </c:pt>
                      <c:pt idx="37" formatCode="General">
                        <c:v>-130.37772277227722</c:v>
                      </c:pt>
                      <c:pt idx="38" formatCode="General">
                        <c:v>-131.35990099009899</c:v>
                      </c:pt>
                      <c:pt idx="39" formatCode="General">
                        <c:v>-132.33633663366336</c:v>
                      </c:pt>
                      <c:pt idx="40" formatCode="General">
                        <c:v>-133.31059405940593</c:v>
                      </c:pt>
                      <c:pt idx="41" formatCode="General">
                        <c:v>-134.28089108910891</c:v>
                      </c:pt>
                      <c:pt idx="42" formatCode="General">
                        <c:v>-135.23534653465347</c:v>
                      </c:pt>
                      <c:pt idx="43" formatCode="General">
                        <c:v>-136.18980198019801</c:v>
                      </c:pt>
                      <c:pt idx="44" formatCode="General">
                        <c:v>-137.13356435643564</c:v>
                      </c:pt>
                      <c:pt idx="45" formatCode="General">
                        <c:v>-138.0721782178218</c:v>
                      </c:pt>
                      <c:pt idx="46" formatCode="General">
                        <c:v>-139.01079207920793</c:v>
                      </c:pt>
                      <c:pt idx="47" formatCode="General">
                        <c:v>-139.94940594059406</c:v>
                      </c:pt>
                      <c:pt idx="48" formatCode="General">
                        <c:v>-140.88801980198022</c:v>
                      </c:pt>
                      <c:pt idx="49" formatCode="General">
                        <c:v>-141.80257744733581</c:v>
                      </c:pt>
                      <c:pt idx="50" formatCode="General">
                        <c:v>-142.70270136307312</c:v>
                      </c:pt>
                      <c:pt idx="51" formatCode="General">
                        <c:v>-143.6028252788104</c:v>
                      </c:pt>
                      <c:pt idx="52" formatCode="General">
                        <c:v>-144.50294919454771</c:v>
                      </c:pt>
                      <c:pt idx="53" formatCode="General">
                        <c:v>-145.40307311028499</c:v>
                      </c:pt>
                      <c:pt idx="54" formatCode="General">
                        <c:v>-146.3031970260223</c:v>
                      </c:pt>
                      <c:pt idx="55" formatCode="General">
                        <c:v>-147.20332094175959</c:v>
                      </c:pt>
                      <c:pt idx="56" formatCode="General">
                        <c:v>-148.1034448574969</c:v>
                      </c:pt>
                      <c:pt idx="57" formatCode="General">
                        <c:v>-149.00356877323418</c:v>
                      </c:pt>
                      <c:pt idx="58" formatCode="General">
                        <c:v>-149.90369268897149</c:v>
                      </c:pt>
                      <c:pt idx="59" formatCode="General">
                        <c:v>-150.77394801980196</c:v>
                      </c:pt>
                      <c:pt idx="60" formatCode="General">
                        <c:v>-151.61850247524751</c:v>
                      </c:pt>
                      <c:pt idx="61" formatCode="General">
                        <c:v>-152.46305693069306</c:v>
                      </c:pt>
                      <c:pt idx="62" formatCode="General">
                        <c:v>-153.3076113861386</c:v>
                      </c:pt>
                      <c:pt idx="63" formatCode="General">
                        <c:v>-154.15216584158415</c:v>
                      </c:pt>
                      <c:pt idx="64" formatCode="General">
                        <c:v>-154.9967202970297</c:v>
                      </c:pt>
                      <c:pt idx="65" formatCode="General">
                        <c:v>-155.84127475247524</c:v>
                      </c:pt>
                      <c:pt idx="66" formatCode="General">
                        <c:v>-156.68582920792079</c:v>
                      </c:pt>
                      <c:pt idx="67" formatCode="General">
                        <c:v>-157.53038366336634</c:v>
                      </c:pt>
                      <c:pt idx="68" formatCode="General">
                        <c:v>-158.37493811881188</c:v>
                      </c:pt>
                      <c:pt idx="69" formatCode="General">
                        <c:v>-159.18915737298636</c:v>
                      </c:pt>
                      <c:pt idx="70" formatCode="General">
                        <c:v>-159.96437422552663</c:v>
                      </c:pt>
                      <c:pt idx="71" formatCode="General">
                        <c:v>-160.73959107806692</c:v>
                      </c:pt>
                      <c:pt idx="72" formatCode="General">
                        <c:v>-161.51480793060719</c:v>
                      </c:pt>
                      <c:pt idx="73" formatCode="General">
                        <c:v>-162.29002478314746</c:v>
                      </c:pt>
                      <c:pt idx="74" formatCode="General">
                        <c:v>-163.06524163568773</c:v>
                      </c:pt>
                      <c:pt idx="75" formatCode="General">
                        <c:v>-163.84045848822802</c:v>
                      </c:pt>
                      <c:pt idx="76" formatCode="General">
                        <c:v>-164.61567534076829</c:v>
                      </c:pt>
                      <c:pt idx="77" formatCode="General">
                        <c:v>-165.39089219330856</c:v>
                      </c:pt>
                      <c:pt idx="78" formatCode="General">
                        <c:v>-166.16610904584883</c:v>
                      </c:pt>
                      <c:pt idx="79" formatCode="General">
                        <c:v>-166.91707920792081</c:v>
                      </c:pt>
                      <c:pt idx="80" formatCode="General">
                        <c:v>-167.62301980198021</c:v>
                      </c:pt>
                      <c:pt idx="81" formatCode="General">
                        <c:v>-168.32896039603961</c:v>
                      </c:pt>
                      <c:pt idx="82" formatCode="General">
                        <c:v>-169.03490099009903</c:v>
                      </c:pt>
                      <c:pt idx="83" formatCode="General">
                        <c:v>-169.74084158415843</c:v>
                      </c:pt>
                      <c:pt idx="84" formatCode="General">
                        <c:v>-170.44678217821783</c:v>
                      </c:pt>
                      <c:pt idx="85" formatCode="General">
                        <c:v>-171.15272277227723</c:v>
                      </c:pt>
                      <c:pt idx="86" formatCode="General">
                        <c:v>-171.85866336633666</c:v>
                      </c:pt>
                      <c:pt idx="87" formatCode="General">
                        <c:v>-172.56460396039606</c:v>
                      </c:pt>
                      <c:pt idx="88" formatCode="General">
                        <c:v>-173.27054455445545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E8D-4B9C-9AD8-8BFFD129D948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E8D-4B9C-9AD8-8BFFD129D948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-107.9441584158416</c:v>
                      </c:pt>
                      <c:pt idx="1">
                        <c:v>-105.48747524752477</c:v>
                      </c:pt>
                      <c:pt idx="2">
                        <c:v>-103.20232673267327</c:v>
                      </c:pt>
                      <c:pt idx="3">
                        <c:v>-100.93970297029703</c:v>
                      </c:pt>
                      <c:pt idx="4" formatCode="General">
                        <c:v>-99.014950495049504</c:v>
                      </c:pt>
                      <c:pt idx="5" formatCode="General">
                        <c:v>-97.090198019801974</c:v>
                      </c:pt>
                      <c:pt idx="6" formatCode="General">
                        <c:v>-95.322970297029684</c:v>
                      </c:pt>
                      <c:pt idx="7" formatCode="General">
                        <c:v>-93.691287128712858</c:v>
                      </c:pt>
                      <c:pt idx="8" formatCode="General">
                        <c:v>-92.06227722772276</c:v>
                      </c:pt>
                      <c:pt idx="9" formatCode="General">
                        <c:v>-90.644455445544551</c:v>
                      </c:pt>
                      <c:pt idx="10" formatCode="General">
                        <c:v>-89.226633663366343</c:v>
                      </c:pt>
                      <c:pt idx="11" formatCode="General">
                        <c:v>-87.89183168316832</c:v>
                      </c:pt>
                      <c:pt idx="12" formatCode="General">
                        <c:v>-86.644306930693062</c:v>
                      </c:pt>
                      <c:pt idx="13" formatCode="General">
                        <c:v>-85.396782178217819</c:v>
                      </c:pt>
                      <c:pt idx="14" formatCode="General">
                        <c:v>-84.282673267326729</c:v>
                      </c:pt>
                      <c:pt idx="15" formatCode="General">
                        <c:v>-83.173762376237633</c:v>
                      </c:pt>
                      <c:pt idx="16" formatCode="General">
                        <c:v>-82.108168316831694</c:v>
                      </c:pt>
                      <c:pt idx="17" formatCode="General">
                        <c:v>-81.098267326732682</c:v>
                      </c:pt>
                      <c:pt idx="18" formatCode="General">
                        <c:v>-80.088366336633669</c:v>
                      </c:pt>
                      <c:pt idx="19" formatCode="General">
                        <c:v>-79.179653465346533</c:v>
                      </c:pt>
                      <c:pt idx="20" formatCode="General">
                        <c:v>-78.280643564356438</c:v>
                      </c:pt>
                      <c:pt idx="21" formatCode="General">
                        <c:v>-77.410792079207923</c:v>
                      </c:pt>
                      <c:pt idx="22" formatCode="General">
                        <c:v>-76.587029702970298</c:v>
                      </c:pt>
                      <c:pt idx="23" formatCode="General">
                        <c:v>-75.763267326732688</c:v>
                      </c:pt>
                      <c:pt idx="24" formatCode="General">
                        <c:v>-75.025223880597025</c:v>
                      </c:pt>
                      <c:pt idx="25" formatCode="General">
                        <c:v>-74.300845771144282</c:v>
                      </c:pt>
                      <c:pt idx="26" formatCode="General">
                        <c:v>-73.666435643564355</c:v>
                      </c:pt>
                      <c:pt idx="27" formatCode="General">
                        <c:v>-73.199108910891084</c:v>
                      </c:pt>
                      <c:pt idx="28" formatCode="General">
                        <c:v>-72.731782178217827</c:v>
                      </c:pt>
                      <c:pt idx="29" formatCode="General">
                        <c:v>-72.973465346534653</c:v>
                      </c:pt>
                      <c:pt idx="30" formatCode="General">
                        <c:v>-73.365544554455454</c:v>
                      </c:pt>
                      <c:pt idx="31" formatCode="General">
                        <c:v>-73.806336633663364</c:v>
                      </c:pt>
                      <c:pt idx="32" formatCode="General">
                        <c:v>-74.360792079207911</c:v>
                      </c:pt>
                      <c:pt idx="33" formatCode="General">
                        <c:v>-74.915247524752473</c:v>
                      </c:pt>
                      <c:pt idx="34" formatCode="General">
                        <c:v>-75.46356435643564</c:v>
                      </c:pt>
                      <c:pt idx="35" formatCode="General">
                        <c:v>-76.010099009900983</c:v>
                      </c:pt>
                      <c:pt idx="36" formatCode="General">
                        <c:v>-76.557623762376238</c:v>
                      </c:pt>
                      <c:pt idx="37" formatCode="General">
                        <c:v>-77.108118811881184</c:v>
                      </c:pt>
                      <c:pt idx="38" formatCode="General">
                        <c:v>-77.658613861386144</c:v>
                      </c:pt>
                      <c:pt idx="39" formatCode="General">
                        <c:v>-78.206237623762377</c:v>
                      </c:pt>
                      <c:pt idx="40" formatCode="General">
                        <c:v>-78.75277227722772</c:v>
                      </c:pt>
                      <c:pt idx="41" formatCode="General">
                        <c:v>-79.296930693069299</c:v>
                      </c:pt>
                      <c:pt idx="42" formatCode="General">
                        <c:v>-79.831584158415836</c:v>
                      </c:pt>
                      <c:pt idx="43" formatCode="General">
                        <c:v>-80.366237623762373</c:v>
                      </c:pt>
                      <c:pt idx="44" formatCode="General">
                        <c:v>-80.895544554455441</c:v>
                      </c:pt>
                      <c:pt idx="45" formatCode="General">
                        <c:v>-81.422277227722773</c:v>
                      </c:pt>
                      <c:pt idx="46" formatCode="General">
                        <c:v>-81.949009900990106</c:v>
                      </c:pt>
                      <c:pt idx="47" formatCode="General">
                        <c:v>-82.475742574257424</c:v>
                      </c:pt>
                      <c:pt idx="48" formatCode="General">
                        <c:v>-83.002475247524757</c:v>
                      </c:pt>
                      <c:pt idx="49" formatCode="General">
                        <c:v>-83.515985130111531</c:v>
                      </c:pt>
                      <c:pt idx="50" formatCode="General">
                        <c:v>-84.02156133828997</c:v>
                      </c:pt>
                      <c:pt idx="51" formatCode="General">
                        <c:v>-84.52713754646841</c:v>
                      </c:pt>
                      <c:pt idx="52" formatCode="General">
                        <c:v>-85.032713754646849</c:v>
                      </c:pt>
                      <c:pt idx="53" formatCode="General">
                        <c:v>-85.538289962825289</c:v>
                      </c:pt>
                      <c:pt idx="54" formatCode="General">
                        <c:v>-86.043866171003728</c:v>
                      </c:pt>
                      <c:pt idx="55" formatCode="General">
                        <c:v>-86.549442379182167</c:v>
                      </c:pt>
                      <c:pt idx="56" formatCode="General">
                        <c:v>-87.055018587360607</c:v>
                      </c:pt>
                      <c:pt idx="57" formatCode="General">
                        <c:v>-87.560594795539046</c:v>
                      </c:pt>
                      <c:pt idx="58" formatCode="General">
                        <c:v>-88.066171003717486</c:v>
                      </c:pt>
                      <c:pt idx="59" formatCode="General">
                        <c:v>-88.555977722772283</c:v>
                      </c:pt>
                      <c:pt idx="60" formatCode="General">
                        <c:v>-89.032215346534656</c:v>
                      </c:pt>
                      <c:pt idx="61" formatCode="General">
                        <c:v>-89.508452970297043</c:v>
                      </c:pt>
                      <c:pt idx="62" formatCode="General">
                        <c:v>-89.984690594059416</c:v>
                      </c:pt>
                      <c:pt idx="63" formatCode="General">
                        <c:v>-90.460928217821788</c:v>
                      </c:pt>
                      <c:pt idx="64" formatCode="General">
                        <c:v>-90.937165841584161</c:v>
                      </c:pt>
                      <c:pt idx="65" formatCode="General">
                        <c:v>-91.413403465346533</c:v>
                      </c:pt>
                      <c:pt idx="66" formatCode="General">
                        <c:v>-91.889641089108906</c:v>
                      </c:pt>
                      <c:pt idx="67" formatCode="General">
                        <c:v>-92.365878712871293</c:v>
                      </c:pt>
                      <c:pt idx="68" formatCode="General">
                        <c:v>-92.842116336633666</c:v>
                      </c:pt>
                      <c:pt idx="69" formatCode="General">
                        <c:v>-93.302131350681535</c:v>
                      </c:pt>
                      <c:pt idx="70" formatCode="General">
                        <c:v>-93.741288723667907</c:v>
                      </c:pt>
                      <c:pt idx="71" formatCode="General">
                        <c:v>-94.180446096654279</c:v>
                      </c:pt>
                      <c:pt idx="72" formatCode="General">
                        <c:v>-94.619603469640637</c:v>
                      </c:pt>
                      <c:pt idx="73" formatCode="General">
                        <c:v>-95.058760842627009</c:v>
                      </c:pt>
                      <c:pt idx="74" formatCode="General">
                        <c:v>-95.497918215613382</c:v>
                      </c:pt>
                      <c:pt idx="75" formatCode="General">
                        <c:v>-95.93707558859974</c:v>
                      </c:pt>
                      <c:pt idx="76" formatCode="General">
                        <c:v>-96.376232961586112</c:v>
                      </c:pt>
                      <c:pt idx="77" formatCode="General">
                        <c:v>-96.815390334572484</c:v>
                      </c:pt>
                      <c:pt idx="78" formatCode="General">
                        <c:v>-97.254547707558856</c:v>
                      </c:pt>
                      <c:pt idx="79" formatCode="General">
                        <c:v>-97.681039603960386</c:v>
                      </c:pt>
                      <c:pt idx="80" formatCode="General">
                        <c:v>-98.084009900990097</c:v>
                      </c:pt>
                      <c:pt idx="81" formatCode="General">
                        <c:v>-98.486980198019793</c:v>
                      </c:pt>
                      <c:pt idx="82" formatCode="General">
                        <c:v>-98.889950495049504</c:v>
                      </c:pt>
                      <c:pt idx="83" formatCode="General">
                        <c:v>-99.292920792079201</c:v>
                      </c:pt>
                      <c:pt idx="84" formatCode="General">
                        <c:v>-99.695891089108912</c:v>
                      </c:pt>
                      <c:pt idx="85" formatCode="General">
                        <c:v>-100.09886138613862</c:v>
                      </c:pt>
                      <c:pt idx="86" formatCode="General">
                        <c:v>-100.50183168316832</c:v>
                      </c:pt>
                      <c:pt idx="87" formatCode="General">
                        <c:v>-100.90480198019803</c:v>
                      </c:pt>
                      <c:pt idx="88" formatCode="General">
                        <c:v>-101.30777227722774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E8D-4B9C-9AD8-8BFFD129D948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-85.396485148514856</c:v>
                      </c:pt>
                      <c:pt idx="1">
                        <c:v>-83.32361386138615</c:v>
                      </c:pt>
                      <c:pt idx="2">
                        <c:v>-81.355297029702982</c:v>
                      </c:pt>
                      <c:pt idx="3">
                        <c:v>-79.398366336633671</c:v>
                      </c:pt>
                      <c:pt idx="4" formatCode="General">
                        <c:v>-77.612227722772275</c:v>
                      </c:pt>
                      <c:pt idx="5" formatCode="General">
                        <c:v>-75.826089108910892</c:v>
                      </c:pt>
                      <c:pt idx="6" formatCode="General">
                        <c:v>-74.122970297029696</c:v>
                      </c:pt>
                      <c:pt idx="7" formatCode="General">
                        <c:v>-72.49128712871287</c:v>
                      </c:pt>
                      <c:pt idx="8" formatCode="General">
                        <c:v>-70.861386138613852</c:v>
                      </c:pt>
                      <c:pt idx="9" formatCode="General">
                        <c:v>-69.372277227722776</c:v>
                      </c:pt>
                      <c:pt idx="10" formatCode="General">
                        <c:v>-67.883168316831686</c:v>
                      </c:pt>
                      <c:pt idx="11" formatCode="General">
                        <c:v>-66.463564356435654</c:v>
                      </c:pt>
                      <c:pt idx="12" formatCode="General">
                        <c:v>-65.117029702970299</c:v>
                      </c:pt>
                      <c:pt idx="13" formatCode="General">
                        <c:v>-63.770495049504952</c:v>
                      </c:pt>
                      <c:pt idx="14" formatCode="General">
                        <c:v>-62.553564356435643</c:v>
                      </c:pt>
                      <c:pt idx="15" formatCode="General">
                        <c:v>-61.341683168316834</c:v>
                      </c:pt>
                      <c:pt idx="16" formatCode="General">
                        <c:v>-60.180049504950496</c:v>
                      </c:pt>
                      <c:pt idx="17" formatCode="General">
                        <c:v>-59.0830198019802</c:v>
                      </c:pt>
                      <c:pt idx="18" formatCode="General">
                        <c:v>-57.985990099009896</c:v>
                      </c:pt>
                      <c:pt idx="19" formatCode="General">
                        <c:v>-57.000990099009904</c:v>
                      </c:pt>
                      <c:pt idx="20" formatCode="General">
                        <c:v>-56.026732673267333</c:v>
                      </c:pt>
                      <c:pt idx="21" formatCode="General">
                        <c:v>-55.08470297029703</c:v>
                      </c:pt>
                      <c:pt idx="22" formatCode="General">
                        <c:v>-54.19361386138614</c:v>
                      </c:pt>
                      <c:pt idx="23" formatCode="General">
                        <c:v>-53.30252475247525</c:v>
                      </c:pt>
                      <c:pt idx="24" formatCode="General">
                        <c:v>-52.486567164179107</c:v>
                      </c:pt>
                      <c:pt idx="25" formatCode="General">
                        <c:v>-51.682587064676611</c:v>
                      </c:pt>
                      <c:pt idx="26" formatCode="General">
                        <c:v>-50.971485148514844</c:v>
                      </c:pt>
                      <c:pt idx="27" formatCode="General">
                        <c:v>-50.432871287128705</c:v>
                      </c:pt>
                      <c:pt idx="28" formatCode="General">
                        <c:v>-49.894257425742573</c:v>
                      </c:pt>
                      <c:pt idx="29" formatCode="General">
                        <c:v>-50.041782178217822</c:v>
                      </c:pt>
                      <c:pt idx="30" formatCode="General">
                        <c:v>-50.334851485148519</c:v>
                      </c:pt>
                      <c:pt idx="31" formatCode="General">
                        <c:v>-50.670693069306935</c:v>
                      </c:pt>
                      <c:pt idx="32" formatCode="General">
                        <c:v>-51.106336633663368</c:v>
                      </c:pt>
                      <c:pt idx="33" formatCode="General">
                        <c:v>-51.541980198019807</c:v>
                      </c:pt>
                      <c:pt idx="34" formatCode="General">
                        <c:v>-51.974554455445549</c:v>
                      </c:pt>
                      <c:pt idx="35" formatCode="General">
                        <c:v>-52.406237623762379</c:v>
                      </c:pt>
                      <c:pt idx="36" formatCode="General">
                        <c:v>-52.83792079207921</c:v>
                      </c:pt>
                      <c:pt idx="37" formatCode="General">
                        <c:v>-53.26960396039604</c:v>
                      </c:pt>
                      <c:pt idx="38" formatCode="General">
                        <c:v>-53.701287128712863</c:v>
                      </c:pt>
                      <c:pt idx="39" formatCode="General">
                        <c:v>-54.130099009900981</c:v>
                      </c:pt>
                      <c:pt idx="40" formatCode="General">
                        <c:v>-54.557821782178216</c:v>
                      </c:pt>
                      <c:pt idx="41" formatCode="General">
                        <c:v>-54.983960396039606</c:v>
                      </c:pt>
                      <c:pt idx="42" formatCode="General">
                        <c:v>-55.403762376237623</c:v>
                      </c:pt>
                      <c:pt idx="43" formatCode="General">
                        <c:v>-55.823564356435639</c:v>
                      </c:pt>
                      <c:pt idx="44" formatCode="General">
                        <c:v>-56.238019801980194</c:v>
                      </c:pt>
                      <c:pt idx="45" formatCode="General">
                        <c:v>-56.649900990099006</c:v>
                      </c:pt>
                      <c:pt idx="46" formatCode="General">
                        <c:v>-57.061782178217825</c:v>
                      </c:pt>
                      <c:pt idx="47" formatCode="General">
                        <c:v>-57.473663366336638</c:v>
                      </c:pt>
                      <c:pt idx="48" formatCode="General">
                        <c:v>-57.88554455445545</c:v>
                      </c:pt>
                      <c:pt idx="49" formatCode="General">
                        <c:v>-58.28659231722429</c:v>
                      </c:pt>
                      <c:pt idx="50" formatCode="General">
                        <c:v>-58.681140024783154</c:v>
                      </c:pt>
                      <c:pt idx="51" formatCode="General">
                        <c:v>-59.075687732342011</c:v>
                      </c:pt>
                      <c:pt idx="52" formatCode="General">
                        <c:v>-59.470235439900868</c:v>
                      </c:pt>
                      <c:pt idx="53" formatCode="General">
                        <c:v>-59.864783147459733</c:v>
                      </c:pt>
                      <c:pt idx="54" formatCode="General">
                        <c:v>-60.25933085501859</c:v>
                      </c:pt>
                      <c:pt idx="55" formatCode="General">
                        <c:v>-60.653878562577447</c:v>
                      </c:pt>
                      <c:pt idx="56" formatCode="General">
                        <c:v>-61.048426270136311</c:v>
                      </c:pt>
                      <c:pt idx="57" formatCode="General">
                        <c:v>-61.442973977695168</c:v>
                      </c:pt>
                      <c:pt idx="58" formatCode="General">
                        <c:v>-61.837521685254032</c:v>
                      </c:pt>
                      <c:pt idx="59" formatCode="General">
                        <c:v>-62.217970297029701</c:v>
                      </c:pt>
                      <c:pt idx="60" formatCode="General">
                        <c:v>-62.586287128712868</c:v>
                      </c:pt>
                      <c:pt idx="61" formatCode="General">
                        <c:v>-62.954603960396042</c:v>
                      </c:pt>
                      <c:pt idx="62" formatCode="General">
                        <c:v>-63.322920792079209</c:v>
                      </c:pt>
                      <c:pt idx="63" formatCode="General">
                        <c:v>-63.691237623762376</c:v>
                      </c:pt>
                      <c:pt idx="64" formatCode="General">
                        <c:v>-64.059554455445536</c:v>
                      </c:pt>
                      <c:pt idx="65" formatCode="General">
                        <c:v>-64.42787128712871</c:v>
                      </c:pt>
                      <c:pt idx="66" formatCode="General">
                        <c:v>-64.796188118811884</c:v>
                      </c:pt>
                      <c:pt idx="67" formatCode="General">
                        <c:v>-65.164504950495044</c:v>
                      </c:pt>
                      <c:pt idx="68" formatCode="General">
                        <c:v>-65.532821782178218</c:v>
                      </c:pt>
                      <c:pt idx="69" formatCode="General">
                        <c:v>-65.887026022304823</c:v>
                      </c:pt>
                      <c:pt idx="70" formatCode="General">
                        <c:v>-66.223085501858733</c:v>
                      </c:pt>
                      <c:pt idx="71" formatCode="General">
                        <c:v>-66.559144981412629</c:v>
                      </c:pt>
                      <c:pt idx="72" formatCode="General">
                        <c:v>-66.895204460966539</c:v>
                      </c:pt>
                      <c:pt idx="73" formatCode="General">
                        <c:v>-67.231263940520435</c:v>
                      </c:pt>
                      <c:pt idx="74" formatCode="General">
                        <c:v>-67.567323420074345</c:v>
                      </c:pt>
                      <c:pt idx="75" formatCode="General">
                        <c:v>-67.903382899628241</c:v>
                      </c:pt>
                      <c:pt idx="76" formatCode="General">
                        <c:v>-68.239442379182151</c:v>
                      </c:pt>
                      <c:pt idx="77" formatCode="General">
                        <c:v>-68.575501858736047</c:v>
                      </c:pt>
                      <c:pt idx="78" formatCode="General">
                        <c:v>-68.911561338289957</c:v>
                      </c:pt>
                      <c:pt idx="79" formatCode="General">
                        <c:v>-69.236039603960393</c:v>
                      </c:pt>
                      <c:pt idx="80" formatCode="General">
                        <c:v>-69.539009900990095</c:v>
                      </c:pt>
                      <c:pt idx="81" formatCode="General">
                        <c:v>-69.841980198019797</c:v>
                      </c:pt>
                      <c:pt idx="82" formatCode="General">
                        <c:v>-70.1449504950495</c:v>
                      </c:pt>
                      <c:pt idx="83" formatCode="General">
                        <c:v>-70.447920792079202</c:v>
                      </c:pt>
                      <c:pt idx="84" formatCode="General">
                        <c:v>-70.750891089108904</c:v>
                      </c:pt>
                      <c:pt idx="85" formatCode="General">
                        <c:v>-71.053861386138607</c:v>
                      </c:pt>
                      <c:pt idx="86" formatCode="General">
                        <c:v>-71.356831683168309</c:v>
                      </c:pt>
                      <c:pt idx="87" formatCode="General">
                        <c:v>-71.659801980198012</c:v>
                      </c:pt>
                      <c:pt idx="88" formatCode="General">
                        <c:v>-71.962772277227714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E8D-4B9C-9AD8-8BFFD129D948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-193.34064356435644</c:v>
                      </c:pt>
                      <c:pt idx="1">
                        <c:v>-188.81108910891089</c:v>
                      </c:pt>
                      <c:pt idx="2">
                        <c:v>-184.55762376237624</c:v>
                      </c:pt>
                      <c:pt idx="3">
                        <c:v>-180.33806930693069</c:v>
                      </c:pt>
                      <c:pt idx="4" formatCode="General">
                        <c:v>-176.62717821782178</c:v>
                      </c:pt>
                      <c:pt idx="5" formatCode="General">
                        <c:v>-172.91628712871287</c:v>
                      </c:pt>
                      <c:pt idx="6" formatCode="General">
                        <c:v>-169.44594059405938</c:v>
                      </c:pt>
                      <c:pt idx="7" formatCode="General">
                        <c:v>-166.18257425742573</c:v>
                      </c:pt>
                      <c:pt idx="8" formatCode="General">
                        <c:v>-162.9236633663366</c:v>
                      </c:pt>
                      <c:pt idx="9" formatCode="General">
                        <c:v>-160.01673267326731</c:v>
                      </c:pt>
                      <c:pt idx="10" formatCode="General">
                        <c:v>-157.10980198019803</c:v>
                      </c:pt>
                      <c:pt idx="11" formatCode="General">
                        <c:v>-154.35539603960396</c:v>
                      </c:pt>
                      <c:pt idx="12" formatCode="General">
                        <c:v>-151.76133663366338</c:v>
                      </c:pt>
                      <c:pt idx="13" formatCode="General">
                        <c:v>-149.16727722772276</c:v>
                      </c:pt>
                      <c:pt idx="14" formatCode="General">
                        <c:v>-146.83623762376237</c:v>
                      </c:pt>
                      <c:pt idx="15" formatCode="General">
                        <c:v>-144.51544554455447</c:v>
                      </c:pt>
                      <c:pt idx="16" formatCode="General">
                        <c:v>-142.28821782178218</c:v>
                      </c:pt>
                      <c:pt idx="17" formatCode="General">
                        <c:v>-140.18128712871285</c:v>
                      </c:pt>
                      <c:pt idx="18" formatCode="General">
                        <c:v>-138.07435643564355</c:v>
                      </c:pt>
                      <c:pt idx="19" formatCode="General">
                        <c:v>-136.18064356435644</c:v>
                      </c:pt>
                      <c:pt idx="20" formatCode="General">
                        <c:v>-134.30737623762377</c:v>
                      </c:pt>
                      <c:pt idx="21" formatCode="General">
                        <c:v>-132.49549504950497</c:v>
                      </c:pt>
                      <c:pt idx="22" formatCode="General">
                        <c:v>-130.78064356435644</c:v>
                      </c:pt>
                      <c:pt idx="23" formatCode="General">
                        <c:v>-129.06579207920791</c:v>
                      </c:pt>
                      <c:pt idx="24" formatCode="General">
                        <c:v>-127.51179104477612</c:v>
                      </c:pt>
                      <c:pt idx="25" formatCode="General">
                        <c:v>-125.98343283582089</c:v>
                      </c:pt>
                      <c:pt idx="26" formatCode="General">
                        <c:v>-124.63792079207921</c:v>
                      </c:pt>
                      <c:pt idx="27" formatCode="General">
                        <c:v>-123.63198019801982</c:v>
                      </c:pt>
                      <c:pt idx="28" formatCode="General">
                        <c:v>-122.62603960396041</c:v>
                      </c:pt>
                      <c:pt idx="29" formatCode="General">
                        <c:v>-123.0152475247525</c:v>
                      </c:pt>
                      <c:pt idx="30" formatCode="General">
                        <c:v>-123.70039603960397</c:v>
                      </c:pt>
                      <c:pt idx="31" formatCode="General">
                        <c:v>-124.4770297029703</c:v>
                      </c:pt>
                      <c:pt idx="32" formatCode="General">
                        <c:v>-125.46712871287129</c:v>
                      </c:pt>
                      <c:pt idx="33" formatCode="General">
                        <c:v>-126.45722772277226</c:v>
                      </c:pt>
                      <c:pt idx="34" formatCode="General">
                        <c:v>-127.43811881188118</c:v>
                      </c:pt>
                      <c:pt idx="35" formatCode="General">
                        <c:v>-128.41633663366338</c:v>
                      </c:pt>
                      <c:pt idx="36" formatCode="General">
                        <c:v>-129.39554455445545</c:v>
                      </c:pt>
                      <c:pt idx="37" formatCode="General">
                        <c:v>-130.37772277227722</c:v>
                      </c:pt>
                      <c:pt idx="38" formatCode="General">
                        <c:v>-131.35990099009899</c:v>
                      </c:pt>
                      <c:pt idx="39" formatCode="General">
                        <c:v>-132.33633663366336</c:v>
                      </c:pt>
                      <c:pt idx="40" formatCode="General">
                        <c:v>-133.31059405940593</c:v>
                      </c:pt>
                      <c:pt idx="41" formatCode="General">
                        <c:v>-134.28089108910891</c:v>
                      </c:pt>
                      <c:pt idx="42" formatCode="General">
                        <c:v>-135.23534653465347</c:v>
                      </c:pt>
                      <c:pt idx="43" formatCode="General">
                        <c:v>-136.18980198019801</c:v>
                      </c:pt>
                      <c:pt idx="44" formatCode="General">
                        <c:v>-137.13356435643564</c:v>
                      </c:pt>
                      <c:pt idx="45" formatCode="General">
                        <c:v>-138.0721782178218</c:v>
                      </c:pt>
                      <c:pt idx="46" formatCode="General">
                        <c:v>-139.01079207920793</c:v>
                      </c:pt>
                      <c:pt idx="47" formatCode="General">
                        <c:v>-139.94940594059406</c:v>
                      </c:pt>
                      <c:pt idx="48" formatCode="General">
                        <c:v>-140.88801980198022</c:v>
                      </c:pt>
                      <c:pt idx="49" formatCode="General">
                        <c:v>-141.80257744733581</c:v>
                      </c:pt>
                      <c:pt idx="50" formatCode="General">
                        <c:v>-142.70270136307312</c:v>
                      </c:pt>
                      <c:pt idx="51" formatCode="General">
                        <c:v>-143.6028252788104</c:v>
                      </c:pt>
                      <c:pt idx="52" formatCode="General">
                        <c:v>-144.50294919454771</c:v>
                      </c:pt>
                      <c:pt idx="53" formatCode="General">
                        <c:v>-145.40307311028499</c:v>
                      </c:pt>
                      <c:pt idx="54" formatCode="General">
                        <c:v>-146.3031970260223</c:v>
                      </c:pt>
                      <c:pt idx="55" formatCode="General">
                        <c:v>-147.20332094175959</c:v>
                      </c:pt>
                      <c:pt idx="56" formatCode="General">
                        <c:v>-148.1034448574969</c:v>
                      </c:pt>
                      <c:pt idx="57" formatCode="General">
                        <c:v>-149.00356877323418</c:v>
                      </c:pt>
                      <c:pt idx="58" formatCode="General">
                        <c:v>-149.90369268897149</c:v>
                      </c:pt>
                      <c:pt idx="59" formatCode="General">
                        <c:v>-150.77394801980196</c:v>
                      </c:pt>
                      <c:pt idx="60" formatCode="General">
                        <c:v>-151.61850247524751</c:v>
                      </c:pt>
                      <c:pt idx="61" formatCode="General">
                        <c:v>-152.46305693069306</c:v>
                      </c:pt>
                      <c:pt idx="62" formatCode="General">
                        <c:v>-153.3076113861386</c:v>
                      </c:pt>
                      <c:pt idx="63" formatCode="General">
                        <c:v>-154.15216584158415</c:v>
                      </c:pt>
                      <c:pt idx="64" formatCode="General">
                        <c:v>-154.9967202970297</c:v>
                      </c:pt>
                      <c:pt idx="65" formatCode="General">
                        <c:v>-155.84127475247524</c:v>
                      </c:pt>
                      <c:pt idx="66" formatCode="General">
                        <c:v>-156.68582920792079</c:v>
                      </c:pt>
                      <c:pt idx="67" formatCode="General">
                        <c:v>-157.53038366336634</c:v>
                      </c:pt>
                      <c:pt idx="68" formatCode="General">
                        <c:v>-158.37493811881188</c:v>
                      </c:pt>
                      <c:pt idx="69" formatCode="General">
                        <c:v>-159.18915737298636</c:v>
                      </c:pt>
                      <c:pt idx="70" formatCode="General">
                        <c:v>-159.96437422552663</c:v>
                      </c:pt>
                      <c:pt idx="71" formatCode="General">
                        <c:v>-160.73959107806692</c:v>
                      </c:pt>
                      <c:pt idx="72" formatCode="General">
                        <c:v>-161.51480793060719</c:v>
                      </c:pt>
                      <c:pt idx="73" formatCode="General">
                        <c:v>-162.29002478314746</c:v>
                      </c:pt>
                      <c:pt idx="74" formatCode="General">
                        <c:v>-163.06524163568773</c:v>
                      </c:pt>
                      <c:pt idx="75" formatCode="General">
                        <c:v>-163.84045848822802</c:v>
                      </c:pt>
                      <c:pt idx="76" formatCode="General">
                        <c:v>-164.61567534076829</c:v>
                      </c:pt>
                      <c:pt idx="77" formatCode="General">
                        <c:v>-165.39089219330856</c:v>
                      </c:pt>
                      <c:pt idx="78" formatCode="General">
                        <c:v>-166.16610904584883</c:v>
                      </c:pt>
                      <c:pt idx="79" formatCode="General">
                        <c:v>-166.91707920792081</c:v>
                      </c:pt>
                      <c:pt idx="80" formatCode="General">
                        <c:v>-167.62301980198021</c:v>
                      </c:pt>
                      <c:pt idx="81" formatCode="General">
                        <c:v>-168.32896039603961</c:v>
                      </c:pt>
                      <c:pt idx="82" formatCode="General">
                        <c:v>-169.03490099009903</c:v>
                      </c:pt>
                      <c:pt idx="83" formatCode="General">
                        <c:v>-169.74084158415843</c:v>
                      </c:pt>
                      <c:pt idx="84" formatCode="General">
                        <c:v>-170.44678217821783</c:v>
                      </c:pt>
                      <c:pt idx="85" formatCode="General">
                        <c:v>-171.15272277227723</c:v>
                      </c:pt>
                      <c:pt idx="86" formatCode="General">
                        <c:v>-171.85866336633666</c:v>
                      </c:pt>
                      <c:pt idx="87" formatCode="General">
                        <c:v>-172.56460396039606</c:v>
                      </c:pt>
                      <c:pt idx="88" formatCode="General">
                        <c:v>-173.27054455445545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E8D-4B9C-9AD8-8BFFD129D948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E8D-4B9C-9AD8-8BFFD129D948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E8D-4B9C-9AD8-8BFFD129D948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E8D-4B9C-9AD8-8BFFD129D948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E8D-4B9C-9AD8-8BFFD129D948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E8D-4B9C-9AD8-8BFFD129D948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rgbClr val="00B05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E8D-4B9C-9AD8-8BFFD129D948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E8D-4B9C-9AD8-8BFFD129D948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E8D-4B9C-9AD8-8BFFD129D948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E8D-4B9C-9AD8-8BFFD129D948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E8D-4B9C-9AD8-8BFFD129D948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E8D-4B9C-9AD8-8BFFD129D948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E8D-4B9C-9AD8-8BFFD129D948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E8D-4B9C-9AD8-8BFFD129D948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E8D-4B9C-9AD8-8BFFD129D948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9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Ga2Se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887597466096567"/>
          <c:y val="9.7871135220072E-2"/>
          <c:w val="0.76019913337979017"/>
          <c:h val="0.78304241404704567"/>
        </c:manualLayout>
      </c:layout>
      <c:scatterChart>
        <c:scatterStyle val="smoothMarker"/>
        <c:varyColors val="0"/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150-44C4-AA95-EF648BCFE215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-193.34064356435644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150-44C4-AA95-EF648BCFE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E150-44C4-AA95-EF648BCFE215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150-44C4-AA95-EF648BCFE2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-34.01879207920792</c:v>
                      </c:pt>
                      <c:pt idx="7" formatCode="General">
                        <c:v>-33.477009900990097</c:v>
                      </c:pt>
                      <c:pt idx="8" formatCode="General">
                        <c:v>-32.936969059405939</c:v>
                      </c:pt>
                      <c:pt idx="9" formatCode="General">
                        <c:v>-32.534493811881184</c:v>
                      </c:pt>
                      <c:pt idx="10" formatCode="General">
                        <c:v>-32.132018564356436</c:v>
                      </c:pt>
                      <c:pt idx="11" formatCode="General">
                        <c:v>-31.72954331683168</c:v>
                      </c:pt>
                      <c:pt idx="12" formatCode="General">
                        <c:v>-31.327068069306929</c:v>
                      </c:pt>
                      <c:pt idx="13" formatCode="General">
                        <c:v>-30.924592821782177</c:v>
                      </c:pt>
                      <c:pt idx="14" formatCode="General">
                        <c:v>-30.522117574257425</c:v>
                      </c:pt>
                      <c:pt idx="15" formatCode="General">
                        <c:v>-30.119642326732674</c:v>
                      </c:pt>
                      <c:pt idx="16" formatCode="General">
                        <c:v>-29.717167079207918</c:v>
                      </c:pt>
                      <c:pt idx="17" formatCode="General">
                        <c:v>-29.314691831683167</c:v>
                      </c:pt>
                      <c:pt idx="18" formatCode="General">
                        <c:v>-28.912216584158415</c:v>
                      </c:pt>
                      <c:pt idx="19" formatCode="General">
                        <c:v>-28.607044554455445</c:v>
                      </c:pt>
                      <c:pt idx="20" formatCode="General">
                        <c:v>-28.311202970297028</c:v>
                      </c:pt>
                      <c:pt idx="21" formatCode="General">
                        <c:v>-28.025643564356436</c:v>
                      </c:pt>
                      <c:pt idx="22" formatCode="General">
                        <c:v>-27.756336633663366</c:v>
                      </c:pt>
                      <c:pt idx="23" formatCode="General">
                        <c:v>-27.487029702970297</c:v>
                      </c:pt>
                      <c:pt idx="24" formatCode="General">
                        <c:v>-27.239567164179103</c:v>
                      </c:pt>
                      <c:pt idx="25" formatCode="General">
                        <c:v>-26.995587064676617</c:v>
                      </c:pt>
                      <c:pt idx="26" formatCode="General">
                        <c:v>-26.772544554455443</c:v>
                      </c:pt>
                      <c:pt idx="27" formatCode="General">
                        <c:v>-26.58838613861386</c:v>
                      </c:pt>
                      <c:pt idx="28" formatCode="General">
                        <c:v>-26.404227722772276</c:v>
                      </c:pt>
                      <c:pt idx="29" formatCode="General">
                        <c:v>-26.48570297029703</c:v>
                      </c:pt>
                      <c:pt idx="30" formatCode="General">
                        <c:v>-26.623524752475248</c:v>
                      </c:pt>
                      <c:pt idx="31" formatCode="General">
                        <c:v>-26.762772277227722</c:v>
                      </c:pt>
                      <c:pt idx="32" formatCode="General">
                        <c:v>-26.905346534653464</c:v>
                      </c:pt>
                      <c:pt idx="33" formatCode="General">
                        <c:v>-27.047920792079207</c:v>
                      </c:pt>
                      <c:pt idx="34" formatCode="General">
                        <c:v>-27.187118811881188</c:v>
                      </c:pt>
                      <c:pt idx="35" formatCode="General">
                        <c:v>-27.325336633663365</c:v>
                      </c:pt>
                      <c:pt idx="36" formatCode="General">
                        <c:v>-27.463653465346532</c:v>
                      </c:pt>
                      <c:pt idx="37" formatCode="General">
                        <c:v>-27.602267326732672</c:v>
                      </c:pt>
                      <c:pt idx="38" formatCode="General">
                        <c:v>-27.740881188118809</c:v>
                      </c:pt>
                      <c:pt idx="39" formatCode="General">
                        <c:v>-27.877341584158415</c:v>
                      </c:pt>
                      <c:pt idx="40" formatCode="General">
                        <c:v>-28.012985148514851</c:v>
                      </c:pt>
                      <c:pt idx="41" formatCode="General">
                        <c:v>-28.148628712871286</c:v>
                      </c:pt>
                      <c:pt idx="42" formatCode="General">
                        <c:v>-28.284272277227721</c:v>
                      </c:pt>
                      <c:pt idx="43" formatCode="General">
                        <c:v>-28.419915841584157</c:v>
                      </c:pt>
                      <c:pt idx="44" formatCode="General">
                        <c:v>-28.555559405940592</c:v>
                      </c:pt>
                      <c:pt idx="45" formatCode="General">
                        <c:v>-28.691202970297027</c:v>
                      </c:pt>
                      <c:pt idx="46" formatCode="General">
                        <c:v>-28.826846534653463</c:v>
                      </c:pt>
                      <c:pt idx="47" formatCode="General">
                        <c:v>-28.962490099009898</c:v>
                      </c:pt>
                      <c:pt idx="48" formatCode="General">
                        <c:v>-29.098133663366333</c:v>
                      </c:pt>
                      <c:pt idx="49" formatCode="General">
                        <c:v>-29.230598513011149</c:v>
                      </c:pt>
                      <c:pt idx="50" formatCode="General">
                        <c:v>-29.361156133828995</c:v>
                      </c:pt>
                      <c:pt idx="51" formatCode="General">
                        <c:v>-29.491713754646838</c:v>
                      </c:pt>
                      <c:pt idx="52" formatCode="General">
                        <c:v>-29.622271375464681</c:v>
                      </c:pt>
                      <c:pt idx="53" formatCode="General">
                        <c:v>-29.752828996282528</c:v>
                      </c:pt>
                      <c:pt idx="54" formatCode="General">
                        <c:v>-29.883386617100371</c:v>
                      </c:pt>
                      <c:pt idx="55" formatCode="General">
                        <c:v>-30.013944237918214</c:v>
                      </c:pt>
                      <c:pt idx="56" formatCode="General">
                        <c:v>-30.14450185873606</c:v>
                      </c:pt>
                      <c:pt idx="57" formatCode="General">
                        <c:v>-30.275059479553903</c:v>
                      </c:pt>
                      <c:pt idx="58" formatCode="General">
                        <c:v>-30.405617100371746</c:v>
                      </c:pt>
                      <c:pt idx="59" formatCode="General">
                        <c:v>-30.534172029702972</c:v>
                      </c:pt>
                      <c:pt idx="60" formatCode="General">
                        <c:v>-30.661003712871288</c:v>
                      </c:pt>
                      <c:pt idx="61" formatCode="General">
                        <c:v>-30.787835396039604</c:v>
                      </c:pt>
                      <c:pt idx="62" formatCode="General">
                        <c:v>-30.91466707920792</c:v>
                      </c:pt>
                      <c:pt idx="63" formatCode="General">
                        <c:v>-31.041498762376239</c:v>
                      </c:pt>
                      <c:pt idx="64" formatCode="General">
                        <c:v>-31.168330445544555</c:v>
                      </c:pt>
                      <c:pt idx="65" formatCode="General">
                        <c:v>-31.295162128712871</c:v>
                      </c:pt>
                      <c:pt idx="66" formatCode="General">
                        <c:v>-31.421993811881187</c:v>
                      </c:pt>
                      <c:pt idx="67" formatCode="General">
                        <c:v>-31.548825495049506</c:v>
                      </c:pt>
                      <c:pt idx="68" formatCode="General">
                        <c:v>-31.675657178217822</c:v>
                      </c:pt>
                      <c:pt idx="69" formatCode="General">
                        <c:v>-31.800085501858735</c:v>
                      </c:pt>
                      <c:pt idx="70" formatCode="General">
                        <c:v>-31.92142379182156</c:v>
                      </c:pt>
                      <c:pt idx="71" formatCode="General">
                        <c:v>-32.042762081784389</c:v>
                      </c:pt>
                      <c:pt idx="72" formatCode="General">
                        <c:v>-32.16410037174721</c:v>
                      </c:pt>
                      <c:pt idx="73" formatCode="General">
                        <c:v>-32.285438661710032</c:v>
                      </c:pt>
                      <c:pt idx="74" formatCode="General">
                        <c:v>-32.40677695167286</c:v>
                      </c:pt>
                      <c:pt idx="75" formatCode="General">
                        <c:v>-32.528115241635682</c:v>
                      </c:pt>
                      <c:pt idx="76" formatCode="General">
                        <c:v>-32.64945353159851</c:v>
                      </c:pt>
                      <c:pt idx="77" formatCode="General">
                        <c:v>-32.770791821561332</c:v>
                      </c:pt>
                      <c:pt idx="78" formatCode="General">
                        <c:v>-32.89213011152416</c:v>
                      </c:pt>
                      <c:pt idx="79" formatCode="General">
                        <c:v>-33.012168316831676</c:v>
                      </c:pt>
                      <c:pt idx="80" formatCode="General">
                        <c:v>-33.129792079207917</c:v>
                      </c:pt>
                      <c:pt idx="81" formatCode="General">
                        <c:v>-33.247415841584157</c:v>
                      </c:pt>
                      <c:pt idx="82" formatCode="General">
                        <c:v>-33.36503960396039</c:v>
                      </c:pt>
                      <c:pt idx="83" formatCode="General">
                        <c:v>-33.482663366336631</c:v>
                      </c:pt>
                      <c:pt idx="84" formatCode="General">
                        <c:v>-33.600287128712871</c:v>
                      </c:pt>
                      <c:pt idx="85" formatCode="General">
                        <c:v>-33.717910891089105</c:v>
                      </c:pt>
                      <c:pt idx="86" formatCode="General">
                        <c:v>-33.835534653465345</c:v>
                      </c:pt>
                      <c:pt idx="87" formatCode="General">
                        <c:v>-33.953158415841585</c:v>
                      </c:pt>
                      <c:pt idx="88" formatCode="General">
                        <c:v>-34.070782178217819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150-44C4-AA95-EF648BCFE215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150-44C4-AA95-EF648BCFE2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150-44C4-AA95-EF648BCFE215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-19.966574257425744</c:v>
                      </c:pt>
                      <c:pt idx="7" formatCode="General">
                        <c:v>-19.885782178217823</c:v>
                      </c:pt>
                      <c:pt idx="8" formatCode="General">
                        <c:v>-19.807502475247524</c:v>
                      </c:pt>
                      <c:pt idx="9" formatCode="General">
                        <c:v>-19.927700495049507</c:v>
                      </c:pt>
                      <c:pt idx="10" formatCode="General">
                        <c:v>-20.047898514851486</c:v>
                      </c:pt>
                      <c:pt idx="11" formatCode="General">
                        <c:v>-20.168096534653465</c:v>
                      </c:pt>
                      <c:pt idx="12" formatCode="General">
                        <c:v>-20.288294554455447</c:v>
                      </c:pt>
                      <c:pt idx="13" formatCode="General">
                        <c:v>-20.408492574257426</c:v>
                      </c:pt>
                      <c:pt idx="14" formatCode="General">
                        <c:v>-20.528690594059405</c:v>
                      </c:pt>
                      <c:pt idx="15" formatCode="General">
                        <c:v>-20.648888613861388</c:v>
                      </c:pt>
                      <c:pt idx="16" formatCode="General">
                        <c:v>-20.769086633663367</c:v>
                      </c:pt>
                      <c:pt idx="17" formatCode="General">
                        <c:v>-20.889284653465346</c:v>
                      </c:pt>
                      <c:pt idx="18" formatCode="General">
                        <c:v>-21.009482673267328</c:v>
                      </c:pt>
                      <c:pt idx="19" formatCode="General">
                        <c:v>-21.135643564356435</c:v>
                      </c:pt>
                      <c:pt idx="20" formatCode="General">
                        <c:v>-21.262376237623762</c:v>
                      </c:pt>
                      <c:pt idx="21" formatCode="General">
                        <c:v>-21.387574257425744</c:v>
                      </c:pt>
                      <c:pt idx="22" formatCode="General">
                        <c:v>-21.510346534653465</c:v>
                      </c:pt>
                      <c:pt idx="23" formatCode="General">
                        <c:v>-21.633118811881186</c:v>
                      </c:pt>
                      <c:pt idx="24" formatCode="General">
                        <c:v>-21.756417910447759</c:v>
                      </c:pt>
                      <c:pt idx="25" formatCode="General">
                        <c:v>-21.879800995024876</c:v>
                      </c:pt>
                      <c:pt idx="26" formatCode="General">
                        <c:v>-22.002970297029705</c:v>
                      </c:pt>
                      <c:pt idx="27" formatCode="General">
                        <c:v>-22.125742574257426</c:v>
                      </c:pt>
                      <c:pt idx="28" formatCode="General">
                        <c:v>-22.248514851485147</c:v>
                      </c:pt>
                      <c:pt idx="29" formatCode="General">
                        <c:v>-22.368019801980196</c:v>
                      </c:pt>
                      <c:pt idx="30" formatCode="General">
                        <c:v>-22.486831683168315</c:v>
                      </c:pt>
                      <c:pt idx="31" formatCode="General">
                        <c:v>-22.606831683168316</c:v>
                      </c:pt>
                      <c:pt idx="32" formatCode="General">
                        <c:v>-22.729603960396041</c:v>
                      </c:pt>
                      <c:pt idx="33" formatCode="General">
                        <c:v>-22.852376237623762</c:v>
                      </c:pt>
                      <c:pt idx="34" formatCode="General">
                        <c:v>-22.972079207920792</c:v>
                      </c:pt>
                      <c:pt idx="35" formatCode="General">
                        <c:v>-23.090891089108911</c:v>
                      </c:pt>
                      <c:pt idx="36" formatCode="General">
                        <c:v>-23.20970297029703</c:v>
                      </c:pt>
                      <c:pt idx="37" formatCode="General">
                        <c:v>-23.328514851485149</c:v>
                      </c:pt>
                      <c:pt idx="38" formatCode="General">
                        <c:v>-23.447326732673268</c:v>
                      </c:pt>
                      <c:pt idx="39" formatCode="General">
                        <c:v>-23.563985148514853</c:v>
                      </c:pt>
                      <c:pt idx="40" formatCode="General">
                        <c:v>-23.679826732673266</c:v>
                      </c:pt>
                      <c:pt idx="41" formatCode="General">
                        <c:v>-23.795668316831684</c:v>
                      </c:pt>
                      <c:pt idx="42" formatCode="General">
                        <c:v>-23.911509900990097</c:v>
                      </c:pt>
                      <c:pt idx="43" formatCode="General">
                        <c:v>-24.027351485148515</c:v>
                      </c:pt>
                      <c:pt idx="44" formatCode="General">
                        <c:v>-24.143193069306928</c:v>
                      </c:pt>
                      <c:pt idx="45" formatCode="General">
                        <c:v>-24.259034653465346</c:v>
                      </c:pt>
                      <c:pt idx="46" formatCode="General">
                        <c:v>-24.374876237623763</c:v>
                      </c:pt>
                      <c:pt idx="47" formatCode="General">
                        <c:v>-24.490717821782177</c:v>
                      </c:pt>
                      <c:pt idx="48" formatCode="General">
                        <c:v>-24.606559405940594</c:v>
                      </c:pt>
                      <c:pt idx="49" formatCode="General">
                        <c:v>-24.719392812887236</c:v>
                      </c:pt>
                      <c:pt idx="50" formatCode="General">
                        <c:v>-24.830421313506815</c:v>
                      </c:pt>
                      <c:pt idx="51" formatCode="General">
                        <c:v>-24.941449814126393</c:v>
                      </c:pt>
                      <c:pt idx="52" formatCode="General">
                        <c:v>-25.052478314745972</c:v>
                      </c:pt>
                      <c:pt idx="53" formatCode="General">
                        <c:v>-25.163506815365551</c:v>
                      </c:pt>
                      <c:pt idx="54" formatCode="General">
                        <c:v>-25.27453531598513</c:v>
                      </c:pt>
                      <c:pt idx="55" formatCode="General">
                        <c:v>-25.385563816604709</c:v>
                      </c:pt>
                      <c:pt idx="56" formatCode="General">
                        <c:v>-25.496592317224287</c:v>
                      </c:pt>
                      <c:pt idx="57" formatCode="General">
                        <c:v>-25.607620817843866</c:v>
                      </c:pt>
                      <c:pt idx="58" formatCode="General">
                        <c:v>-25.718649318463445</c:v>
                      </c:pt>
                      <c:pt idx="59" formatCode="General">
                        <c:v>-25.828007425742573</c:v>
                      </c:pt>
                      <c:pt idx="60" formatCode="General">
                        <c:v>-25.935928217821782</c:v>
                      </c:pt>
                      <c:pt idx="61" formatCode="General">
                        <c:v>-26.043849009900988</c:v>
                      </c:pt>
                      <c:pt idx="62" formatCode="General">
                        <c:v>-26.151769801980198</c:v>
                      </c:pt>
                      <c:pt idx="63" formatCode="General">
                        <c:v>-26.259690594059403</c:v>
                      </c:pt>
                      <c:pt idx="64" formatCode="General">
                        <c:v>-26.367611386138613</c:v>
                      </c:pt>
                      <c:pt idx="65" formatCode="General">
                        <c:v>-26.475532178217822</c:v>
                      </c:pt>
                      <c:pt idx="66" formatCode="General">
                        <c:v>-26.583452970297028</c:v>
                      </c:pt>
                      <c:pt idx="67" formatCode="General">
                        <c:v>-26.691373762376237</c:v>
                      </c:pt>
                      <c:pt idx="68" formatCode="General">
                        <c:v>-26.799294554455443</c:v>
                      </c:pt>
                      <c:pt idx="69" formatCode="General">
                        <c:v>-26.905105328376703</c:v>
                      </c:pt>
                      <c:pt idx="70" formatCode="General">
                        <c:v>-27.008203221809168</c:v>
                      </c:pt>
                      <c:pt idx="71" formatCode="General">
                        <c:v>-27.111301115241634</c:v>
                      </c:pt>
                      <c:pt idx="72" formatCode="General">
                        <c:v>-27.2143990086741</c:v>
                      </c:pt>
                      <c:pt idx="73" formatCode="General">
                        <c:v>-27.317496902106566</c:v>
                      </c:pt>
                      <c:pt idx="74" formatCode="General">
                        <c:v>-27.420594795539031</c:v>
                      </c:pt>
                      <c:pt idx="75" formatCode="General">
                        <c:v>-27.523692688971497</c:v>
                      </c:pt>
                      <c:pt idx="76" formatCode="General">
                        <c:v>-27.626790582403963</c:v>
                      </c:pt>
                      <c:pt idx="77" formatCode="General">
                        <c:v>-27.729888475836429</c:v>
                      </c:pt>
                      <c:pt idx="78" formatCode="General">
                        <c:v>-27.832986369268895</c:v>
                      </c:pt>
                      <c:pt idx="79" formatCode="General">
                        <c:v>-27.934999999999999</c:v>
                      </c:pt>
                      <c:pt idx="80" formatCode="General">
                        <c:v>-28.034999999999997</c:v>
                      </c:pt>
                      <c:pt idx="81" formatCode="General">
                        <c:v>-28.134999999999998</c:v>
                      </c:pt>
                      <c:pt idx="82" formatCode="General">
                        <c:v>-28.234999999999999</c:v>
                      </c:pt>
                      <c:pt idx="83" formatCode="General">
                        <c:v>-28.334999999999997</c:v>
                      </c:pt>
                      <c:pt idx="84" formatCode="General">
                        <c:v>-28.434999999999999</c:v>
                      </c:pt>
                      <c:pt idx="85" formatCode="General">
                        <c:v>-28.535</c:v>
                      </c:pt>
                      <c:pt idx="86" formatCode="General">
                        <c:v>-28.634999999999998</c:v>
                      </c:pt>
                      <c:pt idx="87" formatCode="General">
                        <c:v>-28.734999999999999</c:v>
                      </c:pt>
                      <c:pt idx="88" formatCode="General">
                        <c:v>-28.835000000000001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150-44C4-AA95-EF648BCFE2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-53.985366336633668</c:v>
                      </c:pt>
                      <c:pt idx="7" formatCode="General">
                        <c:v>-53.362792079207928</c:v>
                      </c:pt>
                      <c:pt idx="8" formatCode="General">
                        <c:v>-52.744471534653471</c:v>
                      </c:pt>
                      <c:pt idx="9" formatCode="General">
                        <c:v>-52.462194306930698</c:v>
                      </c:pt>
                      <c:pt idx="10" formatCode="General">
                        <c:v>-52.179917079207925</c:v>
                      </c:pt>
                      <c:pt idx="11" formatCode="General">
                        <c:v>-51.897639851485152</c:v>
                      </c:pt>
                      <c:pt idx="12" formatCode="General">
                        <c:v>-51.61536262376238</c:v>
                      </c:pt>
                      <c:pt idx="13" formatCode="General">
                        <c:v>-51.333085396039607</c:v>
                      </c:pt>
                      <c:pt idx="14" formatCode="General">
                        <c:v>-51.050808168316834</c:v>
                      </c:pt>
                      <c:pt idx="15" formatCode="General">
                        <c:v>-50.768530940594061</c:v>
                      </c:pt>
                      <c:pt idx="16" formatCode="General">
                        <c:v>-50.486253712871289</c:v>
                      </c:pt>
                      <c:pt idx="17" formatCode="General">
                        <c:v>-50.203976485148516</c:v>
                      </c:pt>
                      <c:pt idx="18" formatCode="General">
                        <c:v>-49.921699257425743</c:v>
                      </c:pt>
                      <c:pt idx="19" formatCode="General">
                        <c:v>-49.742688118811877</c:v>
                      </c:pt>
                      <c:pt idx="20" formatCode="General">
                        <c:v>-49.573579207920787</c:v>
                      </c:pt>
                      <c:pt idx="21" formatCode="General">
                        <c:v>-49.413217821782176</c:v>
                      </c:pt>
                      <c:pt idx="22" formatCode="General">
                        <c:v>-49.266683168316831</c:v>
                      </c:pt>
                      <c:pt idx="23" formatCode="General">
                        <c:v>-49.120148514851479</c:v>
                      </c:pt>
                      <c:pt idx="24" formatCode="General">
                        <c:v>-48.995985074626866</c:v>
                      </c:pt>
                      <c:pt idx="25" formatCode="General">
                        <c:v>-48.875388059701493</c:v>
                      </c:pt>
                      <c:pt idx="26" formatCode="General">
                        <c:v>-48.775514851485148</c:v>
                      </c:pt>
                      <c:pt idx="27" formatCode="General">
                        <c:v>-48.714128712871286</c:v>
                      </c:pt>
                      <c:pt idx="28" formatCode="General">
                        <c:v>-48.652742574257424</c:v>
                      </c:pt>
                      <c:pt idx="29" formatCode="General">
                        <c:v>-48.853722772277223</c:v>
                      </c:pt>
                      <c:pt idx="30" formatCode="General">
                        <c:v>-49.11035643564356</c:v>
                      </c:pt>
                      <c:pt idx="31" formatCode="General">
                        <c:v>-49.369603960396041</c:v>
                      </c:pt>
                      <c:pt idx="32" formatCode="General">
                        <c:v>-49.634950495049509</c:v>
                      </c:pt>
                      <c:pt idx="33" formatCode="General">
                        <c:v>-49.900297029702969</c:v>
                      </c:pt>
                      <c:pt idx="34" formatCode="General">
                        <c:v>-50.159198019801984</c:v>
                      </c:pt>
                      <c:pt idx="35" formatCode="General">
                        <c:v>-50.416227722772277</c:v>
                      </c:pt>
                      <c:pt idx="36" formatCode="General">
                        <c:v>-50.673356435643569</c:v>
                      </c:pt>
                      <c:pt idx="37" formatCode="General">
                        <c:v>-50.930782178217825</c:v>
                      </c:pt>
                      <c:pt idx="38" formatCode="General">
                        <c:v>-51.188207920792081</c:v>
                      </c:pt>
                      <c:pt idx="39" formatCode="General">
                        <c:v>-51.441326732673268</c:v>
                      </c:pt>
                      <c:pt idx="40" formatCode="General">
                        <c:v>-51.692811881188121</c:v>
                      </c:pt>
                      <c:pt idx="41" formatCode="General">
                        <c:v>-51.944297029702966</c:v>
                      </c:pt>
                      <c:pt idx="42" formatCode="General">
                        <c:v>-52.195782178217819</c:v>
                      </c:pt>
                      <c:pt idx="43" formatCode="General">
                        <c:v>-52.447267326732671</c:v>
                      </c:pt>
                      <c:pt idx="44" formatCode="General">
                        <c:v>-52.698752475247524</c:v>
                      </c:pt>
                      <c:pt idx="45" formatCode="General">
                        <c:v>-52.950237623762376</c:v>
                      </c:pt>
                      <c:pt idx="46" formatCode="General">
                        <c:v>-53.201722772277229</c:v>
                      </c:pt>
                      <c:pt idx="47" formatCode="General">
                        <c:v>-53.453207920792082</c:v>
                      </c:pt>
                      <c:pt idx="48" formatCode="General">
                        <c:v>-53.704693069306927</c:v>
                      </c:pt>
                      <c:pt idx="49" formatCode="General">
                        <c:v>-53.949991325898388</c:v>
                      </c:pt>
                      <c:pt idx="50" formatCode="General">
                        <c:v>-54.19157744733581</c:v>
                      </c:pt>
                      <c:pt idx="51" formatCode="General">
                        <c:v>-54.433163568773232</c:v>
                      </c:pt>
                      <c:pt idx="52" formatCode="General">
                        <c:v>-54.674749690210653</c:v>
                      </c:pt>
                      <c:pt idx="53" formatCode="General">
                        <c:v>-54.916335811648075</c:v>
                      </c:pt>
                      <c:pt idx="54" formatCode="General">
                        <c:v>-55.157921933085497</c:v>
                      </c:pt>
                      <c:pt idx="55" formatCode="General">
                        <c:v>-55.399508054522919</c:v>
                      </c:pt>
                      <c:pt idx="56" formatCode="General">
                        <c:v>-55.64109417596034</c:v>
                      </c:pt>
                      <c:pt idx="57" formatCode="General">
                        <c:v>-55.882680297397769</c:v>
                      </c:pt>
                      <c:pt idx="58" formatCode="General">
                        <c:v>-56.124266418835191</c:v>
                      </c:pt>
                      <c:pt idx="59" formatCode="General">
                        <c:v>-56.362179455445542</c:v>
                      </c:pt>
                      <c:pt idx="60" formatCode="General">
                        <c:v>-56.596931930693067</c:v>
                      </c:pt>
                      <c:pt idx="61" formatCode="General">
                        <c:v>-56.831684405940592</c:v>
                      </c:pt>
                      <c:pt idx="62" formatCode="General">
                        <c:v>-57.066436881188118</c:v>
                      </c:pt>
                      <c:pt idx="63" formatCode="General">
                        <c:v>-57.301189356435643</c:v>
                      </c:pt>
                      <c:pt idx="64" formatCode="General">
                        <c:v>-57.535941831683168</c:v>
                      </c:pt>
                      <c:pt idx="65" formatCode="General">
                        <c:v>-57.770694306930693</c:v>
                      </c:pt>
                      <c:pt idx="66" formatCode="General">
                        <c:v>-58.005446782178218</c:v>
                      </c:pt>
                      <c:pt idx="67" formatCode="General">
                        <c:v>-58.240199257425743</c:v>
                      </c:pt>
                      <c:pt idx="68" formatCode="General">
                        <c:v>-58.474951732673269</c:v>
                      </c:pt>
                      <c:pt idx="69" formatCode="General">
                        <c:v>-58.705190830235438</c:v>
                      </c:pt>
                      <c:pt idx="70" formatCode="General">
                        <c:v>-58.929627013630729</c:v>
                      </c:pt>
                      <c:pt idx="71" formatCode="General">
                        <c:v>-59.154063197026019</c:v>
                      </c:pt>
                      <c:pt idx="72" formatCode="General">
                        <c:v>-59.37849938042131</c:v>
                      </c:pt>
                      <c:pt idx="73" formatCode="General">
                        <c:v>-59.602935563816601</c:v>
                      </c:pt>
                      <c:pt idx="74" formatCode="General">
                        <c:v>-59.827371747211892</c:v>
                      </c:pt>
                      <c:pt idx="75" formatCode="General">
                        <c:v>-60.051807930607183</c:v>
                      </c:pt>
                      <c:pt idx="76" formatCode="General">
                        <c:v>-60.276244114002473</c:v>
                      </c:pt>
                      <c:pt idx="77" formatCode="General">
                        <c:v>-60.500680297397764</c:v>
                      </c:pt>
                      <c:pt idx="78" formatCode="General">
                        <c:v>-60.725116480793055</c:v>
                      </c:pt>
                      <c:pt idx="79" formatCode="General">
                        <c:v>-60.947168316831679</c:v>
                      </c:pt>
                      <c:pt idx="80" formatCode="General">
                        <c:v>-61.164792079207913</c:v>
                      </c:pt>
                      <c:pt idx="81" formatCode="General">
                        <c:v>-61.382415841584155</c:v>
                      </c:pt>
                      <c:pt idx="82" formatCode="General">
                        <c:v>-61.60003960396039</c:v>
                      </c:pt>
                      <c:pt idx="83" formatCode="General">
                        <c:v>-61.817663366336632</c:v>
                      </c:pt>
                      <c:pt idx="84" formatCode="General">
                        <c:v>-62.035287128712866</c:v>
                      </c:pt>
                      <c:pt idx="85" formatCode="General">
                        <c:v>-62.252910891089108</c:v>
                      </c:pt>
                      <c:pt idx="86" formatCode="General">
                        <c:v>-62.47053465346535</c:v>
                      </c:pt>
                      <c:pt idx="87" formatCode="General">
                        <c:v>-62.688158415841585</c:v>
                      </c:pt>
                      <c:pt idx="88" formatCode="General">
                        <c:v>-62.905782178217827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150-44C4-AA95-EF648BCFE2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-192.75227722772277</c:v>
                      </c:pt>
                      <c:pt idx="1">
                        <c:v>-188.21178217821782</c:v>
                      </c:pt>
                      <c:pt idx="2">
                        <c:v>-183.94247524752475</c:v>
                      </c:pt>
                      <c:pt idx="3">
                        <c:v>-179.70658415841584</c:v>
                      </c:pt>
                      <c:pt idx="4" formatCode="General">
                        <c:v>-175.97193069306931</c:v>
                      </c:pt>
                      <c:pt idx="5" formatCode="General">
                        <c:v>-172.23727722772276</c:v>
                      </c:pt>
                      <c:pt idx="6" formatCode="General">
                        <c:v>-168.74912871287128</c:v>
                      </c:pt>
                      <c:pt idx="7" formatCode="General">
                        <c:v>-165.47308910891087</c:v>
                      </c:pt>
                      <c:pt idx="8" formatCode="General">
                        <c:v>-162.20688861386137</c:v>
                      </c:pt>
                      <c:pt idx="9" formatCode="General">
                        <c:v>-159.71797772277228</c:v>
                      </c:pt>
                      <c:pt idx="10" formatCode="General">
                        <c:v>-157.22906683168316</c:v>
                      </c:pt>
                      <c:pt idx="11" formatCode="General">
                        <c:v>-154.74015594059406</c:v>
                      </c:pt>
                      <c:pt idx="12" formatCode="General">
                        <c:v>-152.25124504950494</c:v>
                      </c:pt>
                      <c:pt idx="13" formatCode="General">
                        <c:v>-149.76233415841585</c:v>
                      </c:pt>
                      <c:pt idx="14" formatCode="General">
                        <c:v>-147.27342326732673</c:v>
                      </c:pt>
                      <c:pt idx="15" formatCode="General">
                        <c:v>-144.78451237623764</c:v>
                      </c:pt>
                      <c:pt idx="16" formatCode="General">
                        <c:v>-142.29560148514852</c:v>
                      </c:pt>
                      <c:pt idx="17" formatCode="General">
                        <c:v>-139.80669059405943</c:v>
                      </c:pt>
                      <c:pt idx="18" formatCode="General">
                        <c:v>-137.31777970297031</c:v>
                      </c:pt>
                      <c:pt idx="19" formatCode="General">
                        <c:v>-135.37257425742575</c:v>
                      </c:pt>
                      <c:pt idx="20" formatCode="General">
                        <c:v>-133.47950495049506</c:v>
                      </c:pt>
                      <c:pt idx="21" formatCode="General">
                        <c:v>-131.64935643564354</c:v>
                      </c:pt>
                      <c:pt idx="22" formatCode="General">
                        <c:v>-129.91866336633663</c:v>
                      </c:pt>
                      <c:pt idx="23" formatCode="General">
                        <c:v>-128.18797029702969</c:v>
                      </c:pt>
                      <c:pt idx="24" formatCode="General">
                        <c:v>-126.58029850746269</c:v>
                      </c:pt>
                      <c:pt idx="25" formatCode="General">
                        <c:v>-124.99223880597015</c:v>
                      </c:pt>
                      <c:pt idx="26" formatCode="General">
                        <c:v>-123.45405940594058</c:v>
                      </c:pt>
                      <c:pt idx="27" formatCode="General">
                        <c:v>-122.00851485148515</c:v>
                      </c:pt>
                      <c:pt idx="28" formatCode="General">
                        <c:v>-120.56297029702969</c:v>
                      </c:pt>
                      <c:pt idx="29" formatCode="General">
                        <c:v>-119.82643564356437</c:v>
                      </c:pt>
                      <c:pt idx="30" formatCode="General">
                        <c:v>-119.24029702970299</c:v>
                      </c:pt>
                      <c:pt idx="31" formatCode="General">
                        <c:v>-119.13059405940595</c:v>
                      </c:pt>
                      <c:pt idx="32" formatCode="General">
                        <c:v>-120.13257425742574</c:v>
                      </c:pt>
                      <c:pt idx="33" formatCode="General">
                        <c:v>-121.13455445544555</c:v>
                      </c:pt>
                      <c:pt idx="34" formatCode="General">
                        <c:v>-122.12118811881189</c:v>
                      </c:pt>
                      <c:pt idx="35" formatCode="General">
                        <c:v>-123.10336633663366</c:v>
                      </c:pt>
                      <c:pt idx="36" formatCode="General">
                        <c:v>-124.08554455445544</c:v>
                      </c:pt>
                      <c:pt idx="37" formatCode="General">
                        <c:v>-125.06772277227722</c:v>
                      </c:pt>
                      <c:pt idx="38" formatCode="General">
                        <c:v>-126.04990099009899</c:v>
                      </c:pt>
                      <c:pt idx="39" formatCode="General">
                        <c:v>-127.0083910891089</c:v>
                      </c:pt>
                      <c:pt idx="40" formatCode="General">
                        <c:v>-127.95789603960395</c:v>
                      </c:pt>
                      <c:pt idx="41" formatCode="General">
                        <c:v>-128.90740099009901</c:v>
                      </c:pt>
                      <c:pt idx="42" formatCode="General">
                        <c:v>-129.85690594059406</c:v>
                      </c:pt>
                      <c:pt idx="43" formatCode="General">
                        <c:v>-130.80641089108912</c:v>
                      </c:pt>
                      <c:pt idx="44" formatCode="General">
                        <c:v>-131.75591584158414</c:v>
                      </c:pt>
                      <c:pt idx="45" formatCode="General">
                        <c:v>-132.7054207920792</c:v>
                      </c:pt>
                      <c:pt idx="46" formatCode="General">
                        <c:v>-133.65492574257425</c:v>
                      </c:pt>
                      <c:pt idx="47" formatCode="General">
                        <c:v>-134.6044306930693</c:v>
                      </c:pt>
                      <c:pt idx="48" formatCode="General">
                        <c:v>-135.55393564356436</c:v>
                      </c:pt>
                      <c:pt idx="49" formatCode="General">
                        <c:v>-136.47257744733582</c:v>
                      </c:pt>
                      <c:pt idx="50" formatCode="General">
                        <c:v>-137.37270136307311</c:v>
                      </c:pt>
                      <c:pt idx="51" formatCode="General">
                        <c:v>-138.27282527881042</c:v>
                      </c:pt>
                      <c:pt idx="52" formatCode="General">
                        <c:v>-139.1729491945477</c:v>
                      </c:pt>
                      <c:pt idx="53" formatCode="General">
                        <c:v>-140.07307311028501</c:v>
                      </c:pt>
                      <c:pt idx="54" formatCode="General">
                        <c:v>-140.97319702602232</c:v>
                      </c:pt>
                      <c:pt idx="55" formatCode="General">
                        <c:v>-141.8733209417596</c:v>
                      </c:pt>
                      <c:pt idx="56" formatCode="General">
                        <c:v>-142.77344485749691</c:v>
                      </c:pt>
                      <c:pt idx="57" formatCode="General">
                        <c:v>-143.67356877323419</c:v>
                      </c:pt>
                      <c:pt idx="58" formatCode="General">
                        <c:v>-144.57369268897151</c:v>
                      </c:pt>
                      <c:pt idx="59" formatCode="General">
                        <c:v>-145.44394801980198</c:v>
                      </c:pt>
                      <c:pt idx="60" formatCode="General">
                        <c:v>-146.28850247524753</c:v>
                      </c:pt>
                      <c:pt idx="61" formatCode="General">
                        <c:v>-147.13305693069307</c:v>
                      </c:pt>
                      <c:pt idx="62" formatCode="General">
                        <c:v>-147.97761138613862</c:v>
                      </c:pt>
                      <c:pt idx="63" formatCode="General">
                        <c:v>-148.82216584158417</c:v>
                      </c:pt>
                      <c:pt idx="64" formatCode="General">
                        <c:v>-149.66672029702968</c:v>
                      </c:pt>
                      <c:pt idx="65" formatCode="General">
                        <c:v>-150.51127475247523</c:v>
                      </c:pt>
                      <c:pt idx="66" formatCode="General">
                        <c:v>-151.35582920792078</c:v>
                      </c:pt>
                      <c:pt idx="67" formatCode="General">
                        <c:v>-152.20038366336632</c:v>
                      </c:pt>
                      <c:pt idx="68" formatCode="General">
                        <c:v>-153.04493811881187</c:v>
                      </c:pt>
                      <c:pt idx="69" formatCode="General">
                        <c:v>-153.86002478314745</c:v>
                      </c:pt>
                      <c:pt idx="70" formatCode="General">
                        <c:v>-154.63722428748449</c:v>
                      </c:pt>
                      <c:pt idx="71" formatCode="General">
                        <c:v>-155.41442379182155</c:v>
                      </c:pt>
                      <c:pt idx="72" formatCode="General">
                        <c:v>-156.19162329615858</c:v>
                      </c:pt>
                      <c:pt idx="73" formatCode="General">
                        <c:v>-156.96882280049564</c:v>
                      </c:pt>
                      <c:pt idx="74" formatCode="General">
                        <c:v>-157.74602230483271</c:v>
                      </c:pt>
                      <c:pt idx="75" formatCode="General">
                        <c:v>-158.52322180916974</c:v>
                      </c:pt>
                      <c:pt idx="76" formatCode="General">
                        <c:v>-159.3004213135068</c:v>
                      </c:pt>
                      <c:pt idx="77" formatCode="General">
                        <c:v>-160.07762081784384</c:v>
                      </c:pt>
                      <c:pt idx="78" formatCode="General">
                        <c:v>-160.8548203221809</c:v>
                      </c:pt>
                      <c:pt idx="79" formatCode="General">
                        <c:v>-161.60707920792078</c:v>
                      </c:pt>
                      <c:pt idx="80" formatCode="General">
                        <c:v>-162.31301980198018</c:v>
                      </c:pt>
                      <c:pt idx="81" formatCode="General">
                        <c:v>-163.0189603960396</c:v>
                      </c:pt>
                      <c:pt idx="82" formatCode="General">
                        <c:v>-163.724900990099</c:v>
                      </c:pt>
                      <c:pt idx="83" formatCode="General">
                        <c:v>-164.4308415841584</c:v>
                      </c:pt>
                      <c:pt idx="84" formatCode="General">
                        <c:v>-165.13678217821783</c:v>
                      </c:pt>
                      <c:pt idx="85" formatCode="General">
                        <c:v>-165.84272277227723</c:v>
                      </c:pt>
                      <c:pt idx="86" formatCode="General">
                        <c:v>-166.54866336633663</c:v>
                      </c:pt>
                      <c:pt idx="87" formatCode="General">
                        <c:v>-167.25460396039605</c:v>
                      </c:pt>
                      <c:pt idx="88" formatCode="General">
                        <c:v>-167.96054455445545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150-44C4-AA95-EF648BCFE2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150-44C4-AA95-EF648BCFE2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150-44C4-AA95-EF648BCFE2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-18.871633663366339</c:v>
                      </c:pt>
                      <c:pt idx="1">
                        <c:v>-18.872326732673269</c:v>
                      </c:pt>
                      <c:pt idx="2">
                        <c:v>-18.876287128712871</c:v>
                      </c:pt>
                      <c:pt idx="3">
                        <c:v>-18.880247524752473</c:v>
                      </c:pt>
                      <c:pt idx="4" formatCode="General">
                        <c:v>-18.884207920792079</c:v>
                      </c:pt>
                      <c:pt idx="5" formatCode="General">
                        <c:v>-18.888168316831685</c:v>
                      </c:pt>
                      <c:pt idx="6" formatCode="General">
                        <c:v>-18.895534653465347</c:v>
                      </c:pt>
                      <c:pt idx="7" formatCode="General">
                        <c:v>-18.905831683168316</c:v>
                      </c:pt>
                      <c:pt idx="8" formatCode="General">
                        <c:v>-18.916141089108912</c:v>
                      </c:pt>
                      <c:pt idx="9" formatCode="General">
                        <c:v>-18.927428217821781</c:v>
                      </c:pt>
                      <c:pt idx="10" formatCode="General">
                        <c:v>-18.938715346534654</c:v>
                      </c:pt>
                      <c:pt idx="11" formatCode="General">
                        <c:v>-18.950002475247526</c:v>
                      </c:pt>
                      <c:pt idx="12" formatCode="General">
                        <c:v>-18.961289603960395</c:v>
                      </c:pt>
                      <c:pt idx="13" formatCode="General">
                        <c:v>-18.972576732673268</c:v>
                      </c:pt>
                      <c:pt idx="14" formatCode="General">
                        <c:v>-18.983863861386141</c:v>
                      </c:pt>
                      <c:pt idx="15" formatCode="General">
                        <c:v>-18.99515099009901</c:v>
                      </c:pt>
                      <c:pt idx="16" formatCode="General">
                        <c:v>-19.006438118811882</c:v>
                      </c:pt>
                      <c:pt idx="17" formatCode="General">
                        <c:v>-19.017725247524755</c:v>
                      </c:pt>
                      <c:pt idx="18" formatCode="General">
                        <c:v>-19.029012376237624</c:v>
                      </c:pt>
                      <c:pt idx="19" formatCode="General">
                        <c:v>-19.044455445544557</c:v>
                      </c:pt>
                      <c:pt idx="20" formatCode="General">
                        <c:v>-19.060297029702969</c:v>
                      </c:pt>
                      <c:pt idx="21" formatCode="General">
                        <c:v>-19.076138613861385</c:v>
                      </c:pt>
                      <c:pt idx="22" formatCode="General">
                        <c:v>-19.091980198019801</c:v>
                      </c:pt>
                      <c:pt idx="23" formatCode="General">
                        <c:v>-19.107821782178217</c:v>
                      </c:pt>
                      <c:pt idx="24" formatCode="General">
                        <c:v>-19.12373134328358</c:v>
                      </c:pt>
                      <c:pt idx="25" formatCode="General">
                        <c:v>-19.13965174129353</c:v>
                      </c:pt>
                      <c:pt idx="26" formatCode="General">
                        <c:v>-19.155544554455446</c:v>
                      </c:pt>
                      <c:pt idx="27" formatCode="General">
                        <c:v>-19.171386138613862</c:v>
                      </c:pt>
                      <c:pt idx="28" formatCode="General">
                        <c:v>-19.187227722772278</c:v>
                      </c:pt>
                      <c:pt idx="29" formatCode="General">
                        <c:v>-19.127920792079209</c:v>
                      </c:pt>
                      <c:pt idx="30" formatCode="General">
                        <c:v>-19.052673267326732</c:v>
                      </c:pt>
                      <c:pt idx="31" formatCode="General">
                        <c:v>-19.001188118811882</c:v>
                      </c:pt>
                      <c:pt idx="32" formatCode="General">
                        <c:v>-19.005148514851484</c:v>
                      </c:pt>
                      <c:pt idx="33" formatCode="General">
                        <c:v>-19.00910891089109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-19.102202970297029</c:v>
                      </c:pt>
                      <c:pt idx="40" formatCode="General">
                        <c:v>-19.119034653465345</c:v>
                      </c:pt>
                      <c:pt idx="41" formatCode="General">
                        <c:v>-19.135866336633665</c:v>
                      </c:pt>
                      <c:pt idx="42" formatCode="General">
                        <c:v>-19.152698019801981</c:v>
                      </c:pt>
                      <c:pt idx="43" formatCode="General">
                        <c:v>-19.169529702970298</c:v>
                      </c:pt>
                      <c:pt idx="44" formatCode="General">
                        <c:v>-19.186361386138614</c:v>
                      </c:pt>
                      <c:pt idx="45" formatCode="General">
                        <c:v>-19.203193069306931</c:v>
                      </c:pt>
                      <c:pt idx="46" formatCode="General">
                        <c:v>-19.220024752475247</c:v>
                      </c:pt>
                      <c:pt idx="47" formatCode="General">
                        <c:v>-19.236856435643567</c:v>
                      </c:pt>
                      <c:pt idx="48" formatCode="General">
                        <c:v>-19.253688118811883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150-44C4-AA95-EF648BCFE2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-62.777772277227726</c:v>
                      </c:pt>
                      <c:pt idx="1">
                        <c:v>-61.240742574257432</c:v>
                      </c:pt>
                      <c:pt idx="2">
                        <c:v>-59.79519801980198</c:v>
                      </c:pt>
                      <c:pt idx="3">
                        <c:v>-58.360792079207918</c:v>
                      </c:pt>
                      <c:pt idx="4" formatCode="General">
                        <c:v>-57.09346534653465</c:v>
                      </c:pt>
                      <c:pt idx="5" formatCode="General">
                        <c:v>-55.826138613861389</c:v>
                      </c:pt>
                      <c:pt idx="6" formatCode="General">
                        <c:v>-54.424702970297027</c:v>
                      </c:pt>
                      <c:pt idx="7" formatCode="General">
                        <c:v>-52.907871287128707</c:v>
                      </c:pt>
                      <c:pt idx="8" formatCode="General">
                        <c:v>-51.3921905940594</c:v>
                      </c:pt>
                      <c:pt idx="9" formatCode="General">
                        <c:v>-49.967438118811877</c:v>
                      </c:pt>
                      <c:pt idx="10" formatCode="General">
                        <c:v>-48.542685643564354</c:v>
                      </c:pt>
                      <c:pt idx="11" formatCode="General">
                        <c:v>-47.117933168316824</c:v>
                      </c:pt>
                      <c:pt idx="12" formatCode="General">
                        <c:v>-45.693180693069301</c:v>
                      </c:pt>
                      <c:pt idx="13" formatCode="General">
                        <c:v>-44.268428217821779</c:v>
                      </c:pt>
                      <c:pt idx="14" formatCode="General">
                        <c:v>-42.843675742574256</c:v>
                      </c:pt>
                      <c:pt idx="15" formatCode="General">
                        <c:v>-41.418923267326733</c:v>
                      </c:pt>
                      <c:pt idx="16" formatCode="General">
                        <c:v>-39.99417079207921</c:v>
                      </c:pt>
                      <c:pt idx="17" formatCode="General">
                        <c:v>-38.569418316831687</c:v>
                      </c:pt>
                      <c:pt idx="18" formatCode="General">
                        <c:v>-37.144665841584157</c:v>
                      </c:pt>
                      <c:pt idx="19" formatCode="General">
                        <c:v>-35.98282178217822</c:v>
                      </c:pt>
                      <c:pt idx="20" formatCode="General">
                        <c:v>-34.846188118811881</c:v>
                      </c:pt>
                      <c:pt idx="21" formatCode="General">
                        <c:v>-33.743316831683167</c:v>
                      </c:pt>
                      <c:pt idx="22" formatCode="General">
                        <c:v>-32.693811881188118</c:v>
                      </c:pt>
                      <c:pt idx="23" formatCode="General">
                        <c:v>-31.644306930693073</c:v>
                      </c:pt>
                      <c:pt idx="24" formatCode="General">
                        <c:v>-30.655522388059701</c:v>
                      </c:pt>
                      <c:pt idx="25" formatCode="General">
                        <c:v>-29.676417910447761</c:v>
                      </c:pt>
                      <c:pt idx="26" formatCode="General">
                        <c:v>-28.722574257425741</c:v>
                      </c:pt>
                      <c:pt idx="27" formatCode="General">
                        <c:v>-27.815643564356435</c:v>
                      </c:pt>
                      <c:pt idx="28" formatCode="General">
                        <c:v>-26.908712871287126</c:v>
                      </c:pt>
                      <c:pt idx="29" formatCode="General">
                        <c:v>-26.361188118811882</c:v>
                      </c:pt>
                      <c:pt idx="30" formatCode="General">
                        <c:v>-25.889900990099008</c:v>
                      </c:pt>
                      <c:pt idx="31" formatCode="General">
                        <c:v>-25.655049504950494</c:v>
                      </c:pt>
                      <c:pt idx="32" formatCode="General">
                        <c:v>-25.971881188118811</c:v>
                      </c:pt>
                      <c:pt idx="33" formatCode="General">
                        <c:v>-26.288712871287128</c:v>
                      </c:pt>
                      <c:pt idx="34" formatCode="General">
                        <c:v>-26.602475247524755</c:v>
                      </c:pt>
                      <c:pt idx="35" formatCode="General">
                        <c:v>-26.915346534653466</c:v>
                      </c:pt>
                      <c:pt idx="36" formatCode="General">
                        <c:v>-27.228217821782177</c:v>
                      </c:pt>
                      <c:pt idx="37" formatCode="General">
                        <c:v>-27.541089108910889</c:v>
                      </c:pt>
                      <c:pt idx="38" formatCode="General">
                        <c:v>-27.853960396039604</c:v>
                      </c:pt>
                      <c:pt idx="39" formatCode="General">
                        <c:v>-28.158217821782177</c:v>
                      </c:pt>
                      <c:pt idx="40" formatCode="General">
                        <c:v>-28.459207920792078</c:v>
                      </c:pt>
                      <c:pt idx="41" formatCode="General">
                        <c:v>-28.76019801980198</c:v>
                      </c:pt>
                      <c:pt idx="42" formatCode="General">
                        <c:v>-29.061188118811881</c:v>
                      </c:pt>
                      <c:pt idx="43" formatCode="General">
                        <c:v>-29.362178217821782</c:v>
                      </c:pt>
                      <c:pt idx="44" formatCode="General">
                        <c:v>-29.663168316831683</c:v>
                      </c:pt>
                      <c:pt idx="45" formatCode="General">
                        <c:v>-29.964158415841585</c:v>
                      </c:pt>
                      <c:pt idx="46" formatCode="General">
                        <c:v>-30.265148514851486</c:v>
                      </c:pt>
                      <c:pt idx="47" formatCode="General">
                        <c:v>-30.566138613861387</c:v>
                      </c:pt>
                      <c:pt idx="48" formatCode="General">
                        <c:v>-30.867128712871288</c:v>
                      </c:pt>
                      <c:pt idx="49" formatCode="General">
                        <c:v>-31.157199504337051</c:v>
                      </c:pt>
                      <c:pt idx="50" formatCode="General">
                        <c:v>-31.440718711276332</c:v>
                      </c:pt>
                      <c:pt idx="51" formatCode="General">
                        <c:v>-31.724237918215614</c:v>
                      </c:pt>
                      <c:pt idx="52" formatCode="General">
                        <c:v>-32.007757125154896</c:v>
                      </c:pt>
                      <c:pt idx="53" formatCode="General">
                        <c:v>-32.291276332094178</c:v>
                      </c:pt>
                      <c:pt idx="54" formatCode="General">
                        <c:v>-32.57479553903346</c:v>
                      </c:pt>
                      <c:pt idx="55" formatCode="General">
                        <c:v>-32.858314745972741</c:v>
                      </c:pt>
                      <c:pt idx="56" formatCode="General">
                        <c:v>-33.141833952912023</c:v>
                      </c:pt>
                      <c:pt idx="57" formatCode="General">
                        <c:v>-33.425353159851305</c:v>
                      </c:pt>
                      <c:pt idx="58" formatCode="General">
                        <c:v>-33.708872366790587</c:v>
                      </c:pt>
                      <c:pt idx="59" formatCode="General">
                        <c:v>-33.979962871287128</c:v>
                      </c:pt>
                      <c:pt idx="60" formatCode="General">
                        <c:v>-34.240358910891089</c:v>
                      </c:pt>
                      <c:pt idx="61" formatCode="General">
                        <c:v>-34.50075495049505</c:v>
                      </c:pt>
                      <c:pt idx="62" formatCode="General">
                        <c:v>-34.761150990099011</c:v>
                      </c:pt>
                      <c:pt idx="63" formatCode="General">
                        <c:v>-35.021547029702973</c:v>
                      </c:pt>
                      <c:pt idx="64" formatCode="General">
                        <c:v>-35.281943069306934</c:v>
                      </c:pt>
                      <c:pt idx="65" formatCode="General">
                        <c:v>-35.542339108910888</c:v>
                      </c:pt>
                      <c:pt idx="66" formatCode="General">
                        <c:v>-35.802735148514849</c:v>
                      </c:pt>
                      <c:pt idx="67" formatCode="General">
                        <c:v>-36.06313118811881</c:v>
                      </c:pt>
                      <c:pt idx="68" formatCode="General">
                        <c:v>-36.323527227722771</c:v>
                      </c:pt>
                      <c:pt idx="69" formatCode="General">
                        <c:v>-36.572354399008674</c:v>
                      </c:pt>
                      <c:pt idx="70" formatCode="General">
                        <c:v>-36.806307311028498</c:v>
                      </c:pt>
                      <c:pt idx="71" formatCode="General">
                        <c:v>-37.040260223048328</c:v>
                      </c:pt>
                      <c:pt idx="72" formatCode="General">
                        <c:v>-37.274213135068152</c:v>
                      </c:pt>
                      <c:pt idx="73" formatCode="General">
                        <c:v>-37.508166047087975</c:v>
                      </c:pt>
                      <c:pt idx="74" formatCode="General">
                        <c:v>-37.742118959107806</c:v>
                      </c:pt>
                      <c:pt idx="75" formatCode="General">
                        <c:v>-37.97607187112763</c:v>
                      </c:pt>
                      <c:pt idx="76" formatCode="General">
                        <c:v>-38.21002478314746</c:v>
                      </c:pt>
                      <c:pt idx="77" formatCode="General">
                        <c:v>-38.443977695167284</c:v>
                      </c:pt>
                      <c:pt idx="78" formatCode="General">
                        <c:v>-38.677930607187108</c:v>
                      </c:pt>
                      <c:pt idx="79" formatCode="General">
                        <c:v>-38.901039603960392</c:v>
                      </c:pt>
                      <c:pt idx="80" formatCode="General">
                        <c:v>-39.1040099009901</c:v>
                      </c:pt>
                      <c:pt idx="81" formatCode="General">
                        <c:v>-39.306980198019801</c:v>
                      </c:pt>
                      <c:pt idx="82" formatCode="General">
                        <c:v>-39.509950495049502</c:v>
                      </c:pt>
                      <c:pt idx="83" formatCode="General">
                        <c:v>-39.71292079207921</c:v>
                      </c:pt>
                      <c:pt idx="84" formatCode="General">
                        <c:v>-39.915891089108911</c:v>
                      </c:pt>
                      <c:pt idx="85" formatCode="General">
                        <c:v>-40.118861386138612</c:v>
                      </c:pt>
                      <c:pt idx="86" formatCode="General">
                        <c:v>-40.32183168316832</c:v>
                      </c:pt>
                      <c:pt idx="87" formatCode="General">
                        <c:v>-40.524801980198021</c:v>
                      </c:pt>
                      <c:pt idx="88" formatCode="General">
                        <c:v>-40.727772277227722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150-44C4-AA95-EF648BCFE2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-14.052217821782177</c:v>
                      </c:pt>
                      <c:pt idx="7" formatCode="General">
                        <c:v>-13.591227722772276</c:v>
                      </c:pt>
                      <c:pt idx="8" formatCode="General">
                        <c:v>-13.129466584158413</c:v>
                      </c:pt>
                      <c:pt idx="9" formatCode="General">
                        <c:v>-12.606793316831681</c:v>
                      </c:pt>
                      <c:pt idx="10" formatCode="General">
                        <c:v>-12.084120049504948</c:v>
                      </c:pt>
                      <c:pt idx="11" formatCode="General">
                        <c:v>-11.561446782178216</c:v>
                      </c:pt>
                      <c:pt idx="12" formatCode="General">
                        <c:v>-11.038773514851483</c:v>
                      </c:pt>
                      <c:pt idx="13" formatCode="General">
                        <c:v>-10.516100247524751</c:v>
                      </c:pt>
                      <c:pt idx="14" formatCode="General">
                        <c:v>-9.9934269801980182</c:v>
                      </c:pt>
                      <c:pt idx="15" formatCode="General">
                        <c:v>-9.4707537128712858</c:v>
                      </c:pt>
                      <c:pt idx="16" formatCode="General">
                        <c:v>-8.9480804455445551</c:v>
                      </c:pt>
                      <c:pt idx="17" formatCode="General">
                        <c:v>-8.4254071782178208</c:v>
                      </c:pt>
                      <c:pt idx="18" formatCode="General">
                        <c:v>-7.9027339108910892</c:v>
                      </c:pt>
                      <c:pt idx="19" formatCode="General">
                        <c:v>-7.471400990099009</c:v>
                      </c:pt>
                      <c:pt idx="20" formatCode="General">
                        <c:v>-7.0488267326732661</c:v>
                      </c:pt>
                      <c:pt idx="21" formatCode="General">
                        <c:v>-6.6380693069306922</c:v>
                      </c:pt>
                      <c:pt idx="22" formatCode="General">
                        <c:v>-6.2459900990099015</c:v>
                      </c:pt>
                      <c:pt idx="23" formatCode="General">
                        <c:v>-5.85391089108911</c:v>
                      </c:pt>
                      <c:pt idx="24" formatCode="General">
                        <c:v>-5.4831492537313435</c:v>
                      </c:pt>
                      <c:pt idx="25" formatCode="General">
                        <c:v>-5.1157860696517412</c:v>
                      </c:pt>
                      <c:pt idx="26" formatCode="General">
                        <c:v>-4.7695742574257416</c:v>
                      </c:pt>
                      <c:pt idx="27" formatCode="General">
                        <c:v>-4.4626435643564353</c:v>
                      </c:pt>
                      <c:pt idx="28" formatCode="General">
                        <c:v>-4.1557128712871281</c:v>
                      </c:pt>
                      <c:pt idx="29" formatCode="General">
                        <c:v>-4.117683168316832</c:v>
                      </c:pt>
                      <c:pt idx="30" formatCode="General">
                        <c:v>-4.136693069306931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-4.5112057001239156</c:v>
                      </c:pt>
                      <c:pt idx="50" formatCode="General">
                        <c:v>-4.5307348203221807</c:v>
                      </c:pt>
                      <c:pt idx="51" formatCode="General">
                        <c:v>-4.5502639405204457</c:v>
                      </c:pt>
                      <c:pt idx="52" formatCode="General">
                        <c:v>-4.5697930607187107</c:v>
                      </c:pt>
                      <c:pt idx="53" formatCode="General">
                        <c:v>-4.5893221809169757</c:v>
                      </c:pt>
                      <c:pt idx="54" formatCode="General">
                        <c:v>-4.6088513011152417</c:v>
                      </c:pt>
                      <c:pt idx="55" formatCode="General">
                        <c:v>-4.6283804213135067</c:v>
                      </c:pt>
                      <c:pt idx="56" formatCode="General">
                        <c:v>-4.6479095415117717</c:v>
                      </c:pt>
                      <c:pt idx="57" formatCode="General">
                        <c:v>-4.6674386617100367</c:v>
                      </c:pt>
                      <c:pt idx="58" formatCode="General">
                        <c:v>-4.6869677819083018</c:v>
                      </c:pt>
                      <c:pt idx="59" formatCode="General">
                        <c:v>-4.7061646039603957</c:v>
                      </c:pt>
                      <c:pt idx="60" formatCode="General">
                        <c:v>-4.7250754950495049</c:v>
                      </c:pt>
                      <c:pt idx="61" formatCode="General">
                        <c:v>-4.7439863861386131</c:v>
                      </c:pt>
                      <c:pt idx="62" formatCode="General">
                        <c:v>-4.7628972772277223</c:v>
                      </c:pt>
                      <c:pt idx="63" formatCode="General">
                        <c:v>-4.7818081683168314</c:v>
                      </c:pt>
                      <c:pt idx="64" formatCode="General">
                        <c:v>-4.8007190594059406</c:v>
                      </c:pt>
                      <c:pt idx="65" formatCode="General">
                        <c:v>-4.8196299504950488</c:v>
                      </c:pt>
                      <c:pt idx="66" formatCode="General">
                        <c:v>-4.838540841584158</c:v>
                      </c:pt>
                      <c:pt idx="67" formatCode="General">
                        <c:v>-4.8574517326732671</c:v>
                      </c:pt>
                      <c:pt idx="68" formatCode="General">
                        <c:v>-4.8763626237623754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-5.077168316831683</c:v>
                      </c:pt>
                      <c:pt idx="80" formatCode="General">
                        <c:v>-5.0947920792079202</c:v>
                      </c:pt>
                      <c:pt idx="81" formatCode="General">
                        <c:v>-5.1124158415841583</c:v>
                      </c:pt>
                      <c:pt idx="82" formatCode="General">
                        <c:v>-5.1300396039603955</c:v>
                      </c:pt>
                      <c:pt idx="83" formatCode="General">
                        <c:v>-5.1476633663366336</c:v>
                      </c:pt>
                      <c:pt idx="84" formatCode="General">
                        <c:v>-5.1652871287128708</c:v>
                      </c:pt>
                      <c:pt idx="85" formatCode="General">
                        <c:v>-5.1829108910891089</c:v>
                      </c:pt>
                      <c:pt idx="86" formatCode="General">
                        <c:v>-5.200534653465346</c:v>
                      </c:pt>
                      <c:pt idx="87" formatCode="General">
                        <c:v>-5.2181584158415841</c:v>
                      </c:pt>
                      <c:pt idx="88" formatCode="General">
                        <c:v>-5.2357821782178213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150-44C4-AA95-EF648BCFE215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-19.966574257425744</c:v>
                      </c:pt>
                      <c:pt idx="7" formatCode="General">
                        <c:v>-19.885782178217823</c:v>
                      </c:pt>
                      <c:pt idx="8" formatCode="General">
                        <c:v>-19.807502475247524</c:v>
                      </c:pt>
                      <c:pt idx="9" formatCode="General">
                        <c:v>-19.927700495049507</c:v>
                      </c:pt>
                      <c:pt idx="10" formatCode="General">
                        <c:v>-20.047898514851486</c:v>
                      </c:pt>
                      <c:pt idx="11" formatCode="General">
                        <c:v>-20.168096534653465</c:v>
                      </c:pt>
                      <c:pt idx="12" formatCode="General">
                        <c:v>-20.288294554455447</c:v>
                      </c:pt>
                      <c:pt idx="13" formatCode="General">
                        <c:v>-20.408492574257426</c:v>
                      </c:pt>
                      <c:pt idx="14" formatCode="General">
                        <c:v>-20.528690594059405</c:v>
                      </c:pt>
                      <c:pt idx="15" formatCode="General">
                        <c:v>-20.648888613861388</c:v>
                      </c:pt>
                      <c:pt idx="16" formatCode="General">
                        <c:v>-20.769086633663367</c:v>
                      </c:pt>
                      <c:pt idx="17" formatCode="General">
                        <c:v>-20.889284653465346</c:v>
                      </c:pt>
                      <c:pt idx="18" formatCode="General">
                        <c:v>-21.009482673267328</c:v>
                      </c:pt>
                      <c:pt idx="19" formatCode="General">
                        <c:v>-21.135643564356435</c:v>
                      </c:pt>
                      <c:pt idx="20" formatCode="General">
                        <c:v>-21.262376237623762</c:v>
                      </c:pt>
                      <c:pt idx="21" formatCode="General">
                        <c:v>-21.387574257425744</c:v>
                      </c:pt>
                      <c:pt idx="22" formatCode="General">
                        <c:v>-21.510346534653465</c:v>
                      </c:pt>
                      <c:pt idx="23" formatCode="General">
                        <c:v>-21.633118811881186</c:v>
                      </c:pt>
                      <c:pt idx="24" formatCode="General">
                        <c:v>-21.756417910447759</c:v>
                      </c:pt>
                      <c:pt idx="25" formatCode="General">
                        <c:v>-21.879800995024876</c:v>
                      </c:pt>
                      <c:pt idx="26" formatCode="General">
                        <c:v>-22.002970297029705</c:v>
                      </c:pt>
                      <c:pt idx="27" formatCode="General">
                        <c:v>-22.125742574257426</c:v>
                      </c:pt>
                      <c:pt idx="28" formatCode="General">
                        <c:v>-22.248514851485147</c:v>
                      </c:pt>
                      <c:pt idx="29" formatCode="General">
                        <c:v>-22.368019801980196</c:v>
                      </c:pt>
                      <c:pt idx="30" formatCode="General">
                        <c:v>-22.486831683168315</c:v>
                      </c:pt>
                      <c:pt idx="31" formatCode="General">
                        <c:v>-22.606831683168316</c:v>
                      </c:pt>
                      <c:pt idx="32" formatCode="General">
                        <c:v>-22.729603960396041</c:v>
                      </c:pt>
                      <c:pt idx="33" formatCode="General">
                        <c:v>-22.852376237623762</c:v>
                      </c:pt>
                      <c:pt idx="34" formatCode="General">
                        <c:v>-22.972079207920792</c:v>
                      </c:pt>
                      <c:pt idx="35" formatCode="General">
                        <c:v>-23.090891089108911</c:v>
                      </c:pt>
                      <c:pt idx="36" formatCode="General">
                        <c:v>-23.20970297029703</c:v>
                      </c:pt>
                      <c:pt idx="37" formatCode="General">
                        <c:v>-23.328514851485149</c:v>
                      </c:pt>
                      <c:pt idx="38" formatCode="General">
                        <c:v>-23.447326732673268</c:v>
                      </c:pt>
                      <c:pt idx="39" formatCode="General">
                        <c:v>-23.563985148514853</c:v>
                      </c:pt>
                      <c:pt idx="40" formatCode="General">
                        <c:v>-23.679826732673266</c:v>
                      </c:pt>
                      <c:pt idx="41" formatCode="General">
                        <c:v>-23.795668316831684</c:v>
                      </c:pt>
                      <c:pt idx="42" formatCode="General">
                        <c:v>-23.911509900990097</c:v>
                      </c:pt>
                      <c:pt idx="43" formatCode="General">
                        <c:v>-24.027351485148515</c:v>
                      </c:pt>
                      <c:pt idx="44" formatCode="General">
                        <c:v>-24.143193069306928</c:v>
                      </c:pt>
                      <c:pt idx="45" formatCode="General">
                        <c:v>-24.259034653465346</c:v>
                      </c:pt>
                      <c:pt idx="46" formatCode="General">
                        <c:v>-24.374876237623763</c:v>
                      </c:pt>
                      <c:pt idx="47" formatCode="General">
                        <c:v>-24.490717821782177</c:v>
                      </c:pt>
                      <c:pt idx="48" formatCode="General">
                        <c:v>-24.606559405940594</c:v>
                      </c:pt>
                      <c:pt idx="49" formatCode="General">
                        <c:v>-24.719392812887236</c:v>
                      </c:pt>
                      <c:pt idx="50" formatCode="General">
                        <c:v>-24.830421313506815</c:v>
                      </c:pt>
                      <c:pt idx="51" formatCode="General">
                        <c:v>-24.941449814126393</c:v>
                      </c:pt>
                      <c:pt idx="52" formatCode="General">
                        <c:v>-25.052478314745972</c:v>
                      </c:pt>
                      <c:pt idx="53" formatCode="General">
                        <c:v>-25.163506815365551</c:v>
                      </c:pt>
                      <c:pt idx="54" formatCode="General">
                        <c:v>-25.27453531598513</c:v>
                      </c:pt>
                      <c:pt idx="55" formatCode="General">
                        <c:v>-25.385563816604709</c:v>
                      </c:pt>
                      <c:pt idx="56" formatCode="General">
                        <c:v>-25.496592317224287</c:v>
                      </c:pt>
                      <c:pt idx="57" formatCode="General">
                        <c:v>-25.607620817843866</c:v>
                      </c:pt>
                      <c:pt idx="58" formatCode="General">
                        <c:v>-25.718649318463445</c:v>
                      </c:pt>
                      <c:pt idx="59" formatCode="General">
                        <c:v>-25.828007425742573</c:v>
                      </c:pt>
                      <c:pt idx="60" formatCode="General">
                        <c:v>-25.935928217821782</c:v>
                      </c:pt>
                      <c:pt idx="61" formatCode="General">
                        <c:v>-26.043849009900988</c:v>
                      </c:pt>
                      <c:pt idx="62" formatCode="General">
                        <c:v>-26.151769801980198</c:v>
                      </c:pt>
                      <c:pt idx="63" formatCode="General">
                        <c:v>-26.259690594059403</c:v>
                      </c:pt>
                      <c:pt idx="64" formatCode="General">
                        <c:v>-26.367611386138613</c:v>
                      </c:pt>
                      <c:pt idx="65" formatCode="General">
                        <c:v>-26.475532178217822</c:v>
                      </c:pt>
                      <c:pt idx="66" formatCode="General">
                        <c:v>-26.583452970297028</c:v>
                      </c:pt>
                      <c:pt idx="67" formatCode="General">
                        <c:v>-26.691373762376237</c:v>
                      </c:pt>
                      <c:pt idx="68" formatCode="General">
                        <c:v>-26.799294554455443</c:v>
                      </c:pt>
                      <c:pt idx="69" formatCode="General">
                        <c:v>-26.905105328376703</c:v>
                      </c:pt>
                      <c:pt idx="70" formatCode="General">
                        <c:v>-27.008203221809168</c:v>
                      </c:pt>
                      <c:pt idx="71" formatCode="General">
                        <c:v>-27.111301115241634</c:v>
                      </c:pt>
                      <c:pt idx="72" formatCode="General">
                        <c:v>-27.2143990086741</c:v>
                      </c:pt>
                      <c:pt idx="73" formatCode="General">
                        <c:v>-27.317496902106566</c:v>
                      </c:pt>
                      <c:pt idx="74" formatCode="General">
                        <c:v>-27.420594795539031</c:v>
                      </c:pt>
                      <c:pt idx="75" formatCode="General">
                        <c:v>-27.523692688971497</c:v>
                      </c:pt>
                      <c:pt idx="76" formatCode="General">
                        <c:v>-27.626790582403963</c:v>
                      </c:pt>
                      <c:pt idx="77" formatCode="General">
                        <c:v>-27.729888475836429</c:v>
                      </c:pt>
                      <c:pt idx="78" formatCode="General">
                        <c:v>-27.832986369268895</c:v>
                      </c:pt>
                      <c:pt idx="79" formatCode="General">
                        <c:v>-27.934999999999999</c:v>
                      </c:pt>
                      <c:pt idx="80" formatCode="General">
                        <c:v>-28.034999999999997</c:v>
                      </c:pt>
                      <c:pt idx="81" formatCode="General">
                        <c:v>-28.134999999999998</c:v>
                      </c:pt>
                      <c:pt idx="82" formatCode="General">
                        <c:v>-28.234999999999999</c:v>
                      </c:pt>
                      <c:pt idx="83" formatCode="General">
                        <c:v>-28.334999999999997</c:v>
                      </c:pt>
                      <c:pt idx="84" formatCode="General">
                        <c:v>-28.434999999999999</c:v>
                      </c:pt>
                      <c:pt idx="85" formatCode="General">
                        <c:v>-28.535</c:v>
                      </c:pt>
                      <c:pt idx="86" formatCode="General">
                        <c:v>-28.634999999999998</c:v>
                      </c:pt>
                      <c:pt idx="87" formatCode="General">
                        <c:v>-28.734999999999999</c:v>
                      </c:pt>
                      <c:pt idx="88" formatCode="General">
                        <c:v>-28.835000000000001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150-44C4-AA95-EF648BCFE215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150-44C4-AA95-EF648BCFE215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150-44C4-AA95-EF648BCFE215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150-44C4-AA95-EF648BCFE215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150-44C4-AA95-EF648BCFE215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150-44C4-AA95-EF648BCFE215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150-44C4-AA95-EF648BCFE215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150-44C4-AA95-EF648BCFE215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150-44C4-AA95-EF648BCFE215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150-44C4-AA95-EF648BCFE215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150-44C4-AA95-EF648BCFE215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150-44C4-AA95-EF648BCFE215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150-44C4-AA95-EF648BCFE215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150-44C4-AA95-EF648BCFE215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150-44C4-AA95-EF648BCFE215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150-44C4-AA95-EF648BCFE215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150-44C4-AA95-EF648BCFE215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150-44C4-AA95-EF648BCFE215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-85.396485148514856</c:v>
                      </c:pt>
                      <c:pt idx="1">
                        <c:v>-83.32361386138615</c:v>
                      </c:pt>
                      <c:pt idx="2">
                        <c:v>-81.355297029702982</c:v>
                      </c:pt>
                      <c:pt idx="3">
                        <c:v>-79.398366336633671</c:v>
                      </c:pt>
                      <c:pt idx="4" formatCode="General">
                        <c:v>-77.612227722772275</c:v>
                      </c:pt>
                      <c:pt idx="5" formatCode="General">
                        <c:v>-75.826089108910892</c:v>
                      </c:pt>
                      <c:pt idx="6" formatCode="General">
                        <c:v>-74.122970297029696</c:v>
                      </c:pt>
                      <c:pt idx="7" formatCode="General">
                        <c:v>-72.49128712871287</c:v>
                      </c:pt>
                      <c:pt idx="8" formatCode="General">
                        <c:v>-70.861386138613852</c:v>
                      </c:pt>
                      <c:pt idx="9" formatCode="General">
                        <c:v>-69.372277227722776</c:v>
                      </c:pt>
                      <c:pt idx="10" formatCode="General">
                        <c:v>-67.883168316831686</c:v>
                      </c:pt>
                      <c:pt idx="11" formatCode="General">
                        <c:v>-66.463564356435654</c:v>
                      </c:pt>
                      <c:pt idx="12" formatCode="General">
                        <c:v>-65.117029702970299</c:v>
                      </c:pt>
                      <c:pt idx="13" formatCode="General">
                        <c:v>-63.770495049504952</c:v>
                      </c:pt>
                      <c:pt idx="14" formatCode="General">
                        <c:v>-62.553564356435643</c:v>
                      </c:pt>
                      <c:pt idx="15" formatCode="General">
                        <c:v>-61.341683168316834</c:v>
                      </c:pt>
                      <c:pt idx="16" formatCode="General">
                        <c:v>-60.180049504950496</c:v>
                      </c:pt>
                      <c:pt idx="17" formatCode="General">
                        <c:v>-59.0830198019802</c:v>
                      </c:pt>
                      <c:pt idx="18" formatCode="General">
                        <c:v>-57.985990099009896</c:v>
                      </c:pt>
                      <c:pt idx="19" formatCode="General">
                        <c:v>-57.000990099009904</c:v>
                      </c:pt>
                      <c:pt idx="20" formatCode="General">
                        <c:v>-56.026732673267333</c:v>
                      </c:pt>
                      <c:pt idx="21" formatCode="General">
                        <c:v>-55.08470297029703</c:v>
                      </c:pt>
                      <c:pt idx="22" formatCode="General">
                        <c:v>-54.19361386138614</c:v>
                      </c:pt>
                      <c:pt idx="23" formatCode="General">
                        <c:v>-53.30252475247525</c:v>
                      </c:pt>
                      <c:pt idx="24" formatCode="General">
                        <c:v>-52.486567164179107</c:v>
                      </c:pt>
                      <c:pt idx="25" formatCode="General">
                        <c:v>-51.682587064676611</c:v>
                      </c:pt>
                      <c:pt idx="26" formatCode="General">
                        <c:v>-50.971485148514844</c:v>
                      </c:pt>
                      <c:pt idx="27" formatCode="General">
                        <c:v>-50.432871287128705</c:v>
                      </c:pt>
                      <c:pt idx="28" formatCode="General">
                        <c:v>-49.894257425742573</c:v>
                      </c:pt>
                      <c:pt idx="29" formatCode="General">
                        <c:v>-50.041782178217822</c:v>
                      </c:pt>
                      <c:pt idx="30" formatCode="General">
                        <c:v>-50.334851485148519</c:v>
                      </c:pt>
                      <c:pt idx="31" formatCode="General">
                        <c:v>-50.670693069306935</c:v>
                      </c:pt>
                      <c:pt idx="32" formatCode="General">
                        <c:v>-51.106336633663368</c:v>
                      </c:pt>
                      <c:pt idx="33" formatCode="General">
                        <c:v>-51.541980198019807</c:v>
                      </c:pt>
                      <c:pt idx="34" formatCode="General">
                        <c:v>-51.974554455445549</c:v>
                      </c:pt>
                      <c:pt idx="35" formatCode="General">
                        <c:v>-52.406237623762379</c:v>
                      </c:pt>
                      <c:pt idx="36" formatCode="General">
                        <c:v>-52.83792079207921</c:v>
                      </c:pt>
                      <c:pt idx="37" formatCode="General">
                        <c:v>-53.26960396039604</c:v>
                      </c:pt>
                      <c:pt idx="38" formatCode="General">
                        <c:v>-53.701287128712863</c:v>
                      </c:pt>
                      <c:pt idx="39" formatCode="General">
                        <c:v>-54.130099009900981</c:v>
                      </c:pt>
                      <c:pt idx="40" formatCode="General">
                        <c:v>-54.557821782178216</c:v>
                      </c:pt>
                      <c:pt idx="41" formatCode="General">
                        <c:v>-54.983960396039606</c:v>
                      </c:pt>
                      <c:pt idx="42" formatCode="General">
                        <c:v>-55.403762376237623</c:v>
                      </c:pt>
                      <c:pt idx="43" formatCode="General">
                        <c:v>-55.823564356435639</c:v>
                      </c:pt>
                      <c:pt idx="44" formatCode="General">
                        <c:v>-56.238019801980194</c:v>
                      </c:pt>
                      <c:pt idx="45" formatCode="General">
                        <c:v>-56.649900990099006</c:v>
                      </c:pt>
                      <c:pt idx="46" formatCode="General">
                        <c:v>-57.061782178217825</c:v>
                      </c:pt>
                      <c:pt idx="47" formatCode="General">
                        <c:v>-57.473663366336638</c:v>
                      </c:pt>
                      <c:pt idx="48" formatCode="General">
                        <c:v>-57.88554455445545</c:v>
                      </c:pt>
                      <c:pt idx="49" formatCode="General">
                        <c:v>-58.28659231722429</c:v>
                      </c:pt>
                      <c:pt idx="50" formatCode="General">
                        <c:v>-58.681140024783154</c:v>
                      </c:pt>
                      <c:pt idx="51" formatCode="General">
                        <c:v>-59.075687732342011</c:v>
                      </c:pt>
                      <c:pt idx="52" formatCode="General">
                        <c:v>-59.470235439900868</c:v>
                      </c:pt>
                      <c:pt idx="53" formatCode="General">
                        <c:v>-59.864783147459733</c:v>
                      </c:pt>
                      <c:pt idx="54" formatCode="General">
                        <c:v>-60.25933085501859</c:v>
                      </c:pt>
                      <c:pt idx="55" formatCode="General">
                        <c:v>-60.653878562577447</c:v>
                      </c:pt>
                      <c:pt idx="56" formatCode="General">
                        <c:v>-61.048426270136311</c:v>
                      </c:pt>
                      <c:pt idx="57" formatCode="General">
                        <c:v>-61.442973977695168</c:v>
                      </c:pt>
                      <c:pt idx="58" formatCode="General">
                        <c:v>-61.837521685254032</c:v>
                      </c:pt>
                      <c:pt idx="59" formatCode="General">
                        <c:v>-62.217970297029701</c:v>
                      </c:pt>
                      <c:pt idx="60" formatCode="General">
                        <c:v>-62.586287128712868</c:v>
                      </c:pt>
                      <c:pt idx="61" formatCode="General">
                        <c:v>-62.954603960396042</c:v>
                      </c:pt>
                      <c:pt idx="62" formatCode="General">
                        <c:v>-63.322920792079209</c:v>
                      </c:pt>
                      <c:pt idx="63" formatCode="General">
                        <c:v>-63.691237623762376</c:v>
                      </c:pt>
                      <c:pt idx="64" formatCode="General">
                        <c:v>-64.059554455445536</c:v>
                      </c:pt>
                      <c:pt idx="65" formatCode="General">
                        <c:v>-64.42787128712871</c:v>
                      </c:pt>
                      <c:pt idx="66" formatCode="General">
                        <c:v>-64.796188118811884</c:v>
                      </c:pt>
                      <c:pt idx="67" formatCode="General">
                        <c:v>-65.164504950495044</c:v>
                      </c:pt>
                      <c:pt idx="68" formatCode="General">
                        <c:v>-65.532821782178218</c:v>
                      </c:pt>
                      <c:pt idx="69" formatCode="General">
                        <c:v>-65.887026022304823</c:v>
                      </c:pt>
                      <c:pt idx="70" formatCode="General">
                        <c:v>-66.223085501858733</c:v>
                      </c:pt>
                      <c:pt idx="71" formatCode="General">
                        <c:v>-66.559144981412629</c:v>
                      </c:pt>
                      <c:pt idx="72" formatCode="General">
                        <c:v>-66.895204460966539</c:v>
                      </c:pt>
                      <c:pt idx="73" formatCode="General">
                        <c:v>-67.231263940520435</c:v>
                      </c:pt>
                      <c:pt idx="74" formatCode="General">
                        <c:v>-67.567323420074345</c:v>
                      </c:pt>
                      <c:pt idx="75" formatCode="General">
                        <c:v>-67.903382899628241</c:v>
                      </c:pt>
                      <c:pt idx="76" formatCode="General">
                        <c:v>-68.239442379182151</c:v>
                      </c:pt>
                      <c:pt idx="77" formatCode="General">
                        <c:v>-68.575501858736047</c:v>
                      </c:pt>
                      <c:pt idx="78" formatCode="General">
                        <c:v>-68.911561338289957</c:v>
                      </c:pt>
                      <c:pt idx="79" formatCode="General">
                        <c:v>-69.236039603960393</c:v>
                      </c:pt>
                      <c:pt idx="80" formatCode="General">
                        <c:v>-69.539009900990095</c:v>
                      </c:pt>
                      <c:pt idx="81" formatCode="General">
                        <c:v>-69.841980198019797</c:v>
                      </c:pt>
                      <c:pt idx="82" formatCode="General">
                        <c:v>-70.1449504950495</c:v>
                      </c:pt>
                      <c:pt idx="83" formatCode="General">
                        <c:v>-70.447920792079202</c:v>
                      </c:pt>
                      <c:pt idx="84" formatCode="General">
                        <c:v>-70.750891089108904</c:v>
                      </c:pt>
                      <c:pt idx="85" formatCode="General">
                        <c:v>-71.053861386138607</c:v>
                      </c:pt>
                      <c:pt idx="86" formatCode="General">
                        <c:v>-71.356831683168309</c:v>
                      </c:pt>
                      <c:pt idx="87" formatCode="General">
                        <c:v>-71.659801980198012</c:v>
                      </c:pt>
                      <c:pt idx="88" formatCode="General">
                        <c:v>-71.962772277227714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150-44C4-AA95-EF648BCFE215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150-44C4-AA95-EF648BCFE215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-107.9441584158416</c:v>
                      </c:pt>
                      <c:pt idx="1">
                        <c:v>-105.48747524752477</c:v>
                      </c:pt>
                      <c:pt idx="2">
                        <c:v>-103.20232673267327</c:v>
                      </c:pt>
                      <c:pt idx="3">
                        <c:v>-100.93970297029703</c:v>
                      </c:pt>
                      <c:pt idx="4" formatCode="General">
                        <c:v>-99.014950495049504</c:v>
                      </c:pt>
                      <c:pt idx="5" formatCode="General">
                        <c:v>-97.090198019801974</c:v>
                      </c:pt>
                      <c:pt idx="6" formatCode="General">
                        <c:v>-95.322970297029684</c:v>
                      </c:pt>
                      <c:pt idx="7" formatCode="General">
                        <c:v>-93.691287128712858</c:v>
                      </c:pt>
                      <c:pt idx="8" formatCode="General">
                        <c:v>-92.06227722772276</c:v>
                      </c:pt>
                      <c:pt idx="9" formatCode="General">
                        <c:v>-90.644455445544551</c:v>
                      </c:pt>
                      <c:pt idx="10" formatCode="General">
                        <c:v>-89.226633663366343</c:v>
                      </c:pt>
                      <c:pt idx="11" formatCode="General">
                        <c:v>-87.89183168316832</c:v>
                      </c:pt>
                      <c:pt idx="12" formatCode="General">
                        <c:v>-86.644306930693062</c:v>
                      </c:pt>
                      <c:pt idx="13" formatCode="General">
                        <c:v>-85.396782178217819</c:v>
                      </c:pt>
                      <c:pt idx="14" formatCode="General">
                        <c:v>-84.282673267326729</c:v>
                      </c:pt>
                      <c:pt idx="15" formatCode="General">
                        <c:v>-83.173762376237633</c:v>
                      </c:pt>
                      <c:pt idx="16" formatCode="General">
                        <c:v>-82.108168316831694</c:v>
                      </c:pt>
                      <c:pt idx="17" formatCode="General">
                        <c:v>-81.098267326732682</c:v>
                      </c:pt>
                      <c:pt idx="18" formatCode="General">
                        <c:v>-80.088366336633669</c:v>
                      </c:pt>
                      <c:pt idx="19" formatCode="General">
                        <c:v>-79.179653465346533</c:v>
                      </c:pt>
                      <c:pt idx="20" formatCode="General">
                        <c:v>-78.280643564356438</c:v>
                      </c:pt>
                      <c:pt idx="21" formatCode="General">
                        <c:v>-77.410792079207923</c:v>
                      </c:pt>
                      <c:pt idx="22" formatCode="General">
                        <c:v>-76.587029702970298</c:v>
                      </c:pt>
                      <c:pt idx="23" formatCode="General">
                        <c:v>-75.763267326732688</c:v>
                      </c:pt>
                      <c:pt idx="24" formatCode="General">
                        <c:v>-75.025223880597025</c:v>
                      </c:pt>
                      <c:pt idx="25" formatCode="General">
                        <c:v>-74.300845771144282</c:v>
                      </c:pt>
                      <c:pt idx="26" formatCode="General">
                        <c:v>-73.666435643564355</c:v>
                      </c:pt>
                      <c:pt idx="27" formatCode="General">
                        <c:v>-73.199108910891084</c:v>
                      </c:pt>
                      <c:pt idx="28" formatCode="General">
                        <c:v>-72.731782178217827</c:v>
                      </c:pt>
                      <c:pt idx="29" formatCode="General">
                        <c:v>-72.973465346534653</c:v>
                      </c:pt>
                      <c:pt idx="30" formatCode="General">
                        <c:v>-73.365544554455454</c:v>
                      </c:pt>
                      <c:pt idx="31" formatCode="General">
                        <c:v>-73.806336633663364</c:v>
                      </c:pt>
                      <c:pt idx="32" formatCode="General">
                        <c:v>-74.360792079207911</c:v>
                      </c:pt>
                      <c:pt idx="33" formatCode="General">
                        <c:v>-74.915247524752473</c:v>
                      </c:pt>
                      <c:pt idx="34" formatCode="General">
                        <c:v>-75.46356435643564</c:v>
                      </c:pt>
                      <c:pt idx="35" formatCode="General">
                        <c:v>-76.010099009900983</c:v>
                      </c:pt>
                      <c:pt idx="36" formatCode="General">
                        <c:v>-76.557623762376238</c:v>
                      </c:pt>
                      <c:pt idx="37" formatCode="General">
                        <c:v>-77.108118811881184</c:v>
                      </c:pt>
                      <c:pt idx="38" formatCode="General">
                        <c:v>-77.658613861386144</c:v>
                      </c:pt>
                      <c:pt idx="39" formatCode="General">
                        <c:v>-78.206237623762377</c:v>
                      </c:pt>
                      <c:pt idx="40" formatCode="General">
                        <c:v>-78.75277227722772</c:v>
                      </c:pt>
                      <c:pt idx="41" formatCode="General">
                        <c:v>-79.296930693069299</c:v>
                      </c:pt>
                      <c:pt idx="42" formatCode="General">
                        <c:v>-79.831584158415836</c:v>
                      </c:pt>
                      <c:pt idx="43" formatCode="General">
                        <c:v>-80.366237623762373</c:v>
                      </c:pt>
                      <c:pt idx="44" formatCode="General">
                        <c:v>-80.895544554455441</c:v>
                      </c:pt>
                      <c:pt idx="45" formatCode="General">
                        <c:v>-81.422277227722773</c:v>
                      </c:pt>
                      <c:pt idx="46" formatCode="General">
                        <c:v>-81.949009900990106</c:v>
                      </c:pt>
                      <c:pt idx="47" formatCode="General">
                        <c:v>-82.475742574257424</c:v>
                      </c:pt>
                      <c:pt idx="48" formatCode="General">
                        <c:v>-83.002475247524757</c:v>
                      </c:pt>
                      <c:pt idx="49" formatCode="General">
                        <c:v>-83.515985130111531</c:v>
                      </c:pt>
                      <c:pt idx="50" formatCode="General">
                        <c:v>-84.02156133828997</c:v>
                      </c:pt>
                      <c:pt idx="51" formatCode="General">
                        <c:v>-84.52713754646841</c:v>
                      </c:pt>
                      <c:pt idx="52" formatCode="General">
                        <c:v>-85.032713754646849</c:v>
                      </c:pt>
                      <c:pt idx="53" formatCode="General">
                        <c:v>-85.538289962825289</c:v>
                      </c:pt>
                      <c:pt idx="54" formatCode="General">
                        <c:v>-86.043866171003728</c:v>
                      </c:pt>
                      <c:pt idx="55" formatCode="General">
                        <c:v>-86.549442379182167</c:v>
                      </c:pt>
                      <c:pt idx="56" formatCode="General">
                        <c:v>-87.055018587360607</c:v>
                      </c:pt>
                      <c:pt idx="57" formatCode="General">
                        <c:v>-87.560594795539046</c:v>
                      </c:pt>
                      <c:pt idx="58" formatCode="General">
                        <c:v>-88.066171003717486</c:v>
                      </c:pt>
                      <c:pt idx="59" formatCode="General">
                        <c:v>-88.555977722772283</c:v>
                      </c:pt>
                      <c:pt idx="60" formatCode="General">
                        <c:v>-89.032215346534656</c:v>
                      </c:pt>
                      <c:pt idx="61" formatCode="General">
                        <c:v>-89.508452970297043</c:v>
                      </c:pt>
                      <c:pt idx="62" formatCode="General">
                        <c:v>-89.984690594059416</c:v>
                      </c:pt>
                      <c:pt idx="63" formatCode="General">
                        <c:v>-90.460928217821788</c:v>
                      </c:pt>
                      <c:pt idx="64" formatCode="General">
                        <c:v>-90.937165841584161</c:v>
                      </c:pt>
                      <c:pt idx="65" formatCode="General">
                        <c:v>-91.413403465346533</c:v>
                      </c:pt>
                      <c:pt idx="66" formatCode="General">
                        <c:v>-91.889641089108906</c:v>
                      </c:pt>
                      <c:pt idx="67" formatCode="General">
                        <c:v>-92.365878712871293</c:v>
                      </c:pt>
                      <c:pt idx="68" formatCode="General">
                        <c:v>-92.842116336633666</c:v>
                      </c:pt>
                      <c:pt idx="69" formatCode="General">
                        <c:v>-93.302131350681535</c:v>
                      </c:pt>
                      <c:pt idx="70" formatCode="General">
                        <c:v>-93.741288723667907</c:v>
                      </c:pt>
                      <c:pt idx="71" formatCode="General">
                        <c:v>-94.180446096654279</c:v>
                      </c:pt>
                      <c:pt idx="72" formatCode="General">
                        <c:v>-94.619603469640637</c:v>
                      </c:pt>
                      <c:pt idx="73" formatCode="General">
                        <c:v>-95.058760842627009</c:v>
                      </c:pt>
                      <c:pt idx="74" formatCode="General">
                        <c:v>-95.497918215613382</c:v>
                      </c:pt>
                      <c:pt idx="75" formatCode="General">
                        <c:v>-95.93707558859974</c:v>
                      </c:pt>
                      <c:pt idx="76" formatCode="General">
                        <c:v>-96.376232961586112</c:v>
                      </c:pt>
                      <c:pt idx="77" formatCode="General">
                        <c:v>-96.815390334572484</c:v>
                      </c:pt>
                      <c:pt idx="78" formatCode="General">
                        <c:v>-97.254547707558856</c:v>
                      </c:pt>
                      <c:pt idx="79" formatCode="General">
                        <c:v>-97.681039603960386</c:v>
                      </c:pt>
                      <c:pt idx="80" formatCode="General">
                        <c:v>-98.084009900990097</c:v>
                      </c:pt>
                      <c:pt idx="81" formatCode="General">
                        <c:v>-98.486980198019793</c:v>
                      </c:pt>
                      <c:pt idx="82" formatCode="General">
                        <c:v>-98.889950495049504</c:v>
                      </c:pt>
                      <c:pt idx="83" formatCode="General">
                        <c:v>-99.292920792079201</c:v>
                      </c:pt>
                      <c:pt idx="84" formatCode="General">
                        <c:v>-99.695891089108912</c:v>
                      </c:pt>
                      <c:pt idx="85" formatCode="General">
                        <c:v>-100.09886138613862</c:v>
                      </c:pt>
                      <c:pt idx="86" formatCode="General">
                        <c:v>-100.50183168316832</c:v>
                      </c:pt>
                      <c:pt idx="87" formatCode="General">
                        <c:v>-100.90480198019803</c:v>
                      </c:pt>
                      <c:pt idx="88" formatCode="General">
                        <c:v>-101.30777227722774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150-44C4-AA95-EF648BCFE215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-193.34064356435644</c:v>
                      </c:pt>
                      <c:pt idx="1">
                        <c:v>-188.81108910891089</c:v>
                      </c:pt>
                      <c:pt idx="2">
                        <c:v>-184.55762376237624</c:v>
                      </c:pt>
                      <c:pt idx="3">
                        <c:v>-180.33806930693069</c:v>
                      </c:pt>
                      <c:pt idx="4" formatCode="General">
                        <c:v>-176.62717821782178</c:v>
                      </c:pt>
                      <c:pt idx="5" formatCode="General">
                        <c:v>-172.91628712871287</c:v>
                      </c:pt>
                      <c:pt idx="6" formatCode="General">
                        <c:v>-169.44594059405938</c:v>
                      </c:pt>
                      <c:pt idx="7" formatCode="General">
                        <c:v>-166.18257425742573</c:v>
                      </c:pt>
                      <c:pt idx="8" formatCode="General">
                        <c:v>-162.9236633663366</c:v>
                      </c:pt>
                      <c:pt idx="9" formatCode="General">
                        <c:v>-160.01673267326731</c:v>
                      </c:pt>
                      <c:pt idx="10" formatCode="General">
                        <c:v>-157.10980198019803</c:v>
                      </c:pt>
                      <c:pt idx="11" formatCode="General">
                        <c:v>-154.35539603960396</c:v>
                      </c:pt>
                      <c:pt idx="12" formatCode="General">
                        <c:v>-151.76133663366338</c:v>
                      </c:pt>
                      <c:pt idx="13" formatCode="General">
                        <c:v>-149.16727722772276</c:v>
                      </c:pt>
                      <c:pt idx="14" formatCode="General">
                        <c:v>-146.83623762376237</c:v>
                      </c:pt>
                      <c:pt idx="15" formatCode="General">
                        <c:v>-144.51544554455447</c:v>
                      </c:pt>
                      <c:pt idx="16" formatCode="General">
                        <c:v>-142.28821782178218</c:v>
                      </c:pt>
                      <c:pt idx="17" formatCode="General">
                        <c:v>-140.18128712871285</c:v>
                      </c:pt>
                      <c:pt idx="18" formatCode="General">
                        <c:v>-138.07435643564355</c:v>
                      </c:pt>
                      <c:pt idx="19" formatCode="General">
                        <c:v>-136.18064356435644</c:v>
                      </c:pt>
                      <c:pt idx="20" formatCode="General">
                        <c:v>-134.30737623762377</c:v>
                      </c:pt>
                      <c:pt idx="21" formatCode="General">
                        <c:v>-132.49549504950497</c:v>
                      </c:pt>
                      <c:pt idx="22" formatCode="General">
                        <c:v>-130.78064356435644</c:v>
                      </c:pt>
                      <c:pt idx="23" formatCode="General">
                        <c:v>-129.06579207920791</c:v>
                      </c:pt>
                      <c:pt idx="24" formatCode="General">
                        <c:v>-127.51179104477612</c:v>
                      </c:pt>
                      <c:pt idx="25" formatCode="General">
                        <c:v>-125.98343283582089</c:v>
                      </c:pt>
                      <c:pt idx="26" formatCode="General">
                        <c:v>-124.63792079207921</c:v>
                      </c:pt>
                      <c:pt idx="27" formatCode="General">
                        <c:v>-123.63198019801982</c:v>
                      </c:pt>
                      <c:pt idx="28" formatCode="General">
                        <c:v>-122.62603960396041</c:v>
                      </c:pt>
                      <c:pt idx="29" formatCode="General">
                        <c:v>-123.0152475247525</c:v>
                      </c:pt>
                      <c:pt idx="30" formatCode="General">
                        <c:v>-123.70039603960397</c:v>
                      </c:pt>
                      <c:pt idx="31" formatCode="General">
                        <c:v>-124.4770297029703</c:v>
                      </c:pt>
                      <c:pt idx="32" formatCode="General">
                        <c:v>-125.46712871287129</c:v>
                      </c:pt>
                      <c:pt idx="33" formatCode="General">
                        <c:v>-126.45722772277226</c:v>
                      </c:pt>
                      <c:pt idx="34" formatCode="General">
                        <c:v>-127.43811881188118</c:v>
                      </c:pt>
                      <c:pt idx="35" formatCode="General">
                        <c:v>-128.41633663366338</c:v>
                      </c:pt>
                      <c:pt idx="36" formatCode="General">
                        <c:v>-129.39554455445545</c:v>
                      </c:pt>
                      <c:pt idx="37" formatCode="General">
                        <c:v>-130.37772277227722</c:v>
                      </c:pt>
                      <c:pt idx="38" formatCode="General">
                        <c:v>-131.35990099009899</c:v>
                      </c:pt>
                      <c:pt idx="39" formatCode="General">
                        <c:v>-132.33633663366336</c:v>
                      </c:pt>
                      <c:pt idx="40" formatCode="General">
                        <c:v>-133.31059405940593</c:v>
                      </c:pt>
                      <c:pt idx="41" formatCode="General">
                        <c:v>-134.28089108910891</c:v>
                      </c:pt>
                      <c:pt idx="42" formatCode="General">
                        <c:v>-135.23534653465347</c:v>
                      </c:pt>
                      <c:pt idx="43" formatCode="General">
                        <c:v>-136.18980198019801</c:v>
                      </c:pt>
                      <c:pt idx="44" formatCode="General">
                        <c:v>-137.13356435643564</c:v>
                      </c:pt>
                      <c:pt idx="45" formatCode="General">
                        <c:v>-138.0721782178218</c:v>
                      </c:pt>
                      <c:pt idx="46" formatCode="General">
                        <c:v>-139.01079207920793</c:v>
                      </c:pt>
                      <c:pt idx="47" formatCode="General">
                        <c:v>-139.94940594059406</c:v>
                      </c:pt>
                      <c:pt idx="48" formatCode="General">
                        <c:v>-140.88801980198022</c:v>
                      </c:pt>
                      <c:pt idx="49" formatCode="General">
                        <c:v>-141.80257744733581</c:v>
                      </c:pt>
                      <c:pt idx="50" formatCode="General">
                        <c:v>-142.70270136307312</c:v>
                      </c:pt>
                      <c:pt idx="51" formatCode="General">
                        <c:v>-143.6028252788104</c:v>
                      </c:pt>
                      <c:pt idx="52" formatCode="General">
                        <c:v>-144.50294919454771</c:v>
                      </c:pt>
                      <c:pt idx="53" formatCode="General">
                        <c:v>-145.40307311028499</c:v>
                      </c:pt>
                      <c:pt idx="54" formatCode="General">
                        <c:v>-146.3031970260223</c:v>
                      </c:pt>
                      <c:pt idx="55" formatCode="General">
                        <c:v>-147.20332094175959</c:v>
                      </c:pt>
                      <c:pt idx="56" formatCode="General">
                        <c:v>-148.1034448574969</c:v>
                      </c:pt>
                      <c:pt idx="57" formatCode="General">
                        <c:v>-149.00356877323418</c:v>
                      </c:pt>
                      <c:pt idx="58" formatCode="General">
                        <c:v>-149.90369268897149</c:v>
                      </c:pt>
                      <c:pt idx="59" formatCode="General">
                        <c:v>-150.77394801980196</c:v>
                      </c:pt>
                      <c:pt idx="60" formatCode="General">
                        <c:v>-151.61850247524751</c:v>
                      </c:pt>
                      <c:pt idx="61" formatCode="General">
                        <c:v>-152.46305693069306</c:v>
                      </c:pt>
                      <c:pt idx="62" formatCode="General">
                        <c:v>-153.3076113861386</c:v>
                      </c:pt>
                      <c:pt idx="63" formatCode="General">
                        <c:v>-154.15216584158415</c:v>
                      </c:pt>
                      <c:pt idx="64" formatCode="General">
                        <c:v>-154.9967202970297</c:v>
                      </c:pt>
                      <c:pt idx="65" formatCode="General">
                        <c:v>-155.84127475247524</c:v>
                      </c:pt>
                      <c:pt idx="66" formatCode="General">
                        <c:v>-156.68582920792079</c:v>
                      </c:pt>
                      <c:pt idx="67" formatCode="General">
                        <c:v>-157.53038366336634</c:v>
                      </c:pt>
                      <c:pt idx="68" formatCode="General">
                        <c:v>-158.37493811881188</c:v>
                      </c:pt>
                      <c:pt idx="69" formatCode="General">
                        <c:v>-159.18915737298636</c:v>
                      </c:pt>
                      <c:pt idx="70" formatCode="General">
                        <c:v>-159.96437422552663</c:v>
                      </c:pt>
                      <c:pt idx="71" formatCode="General">
                        <c:v>-160.73959107806692</c:v>
                      </c:pt>
                      <c:pt idx="72" formatCode="General">
                        <c:v>-161.51480793060719</c:v>
                      </c:pt>
                      <c:pt idx="73" formatCode="General">
                        <c:v>-162.29002478314746</c:v>
                      </c:pt>
                      <c:pt idx="74" formatCode="General">
                        <c:v>-163.06524163568773</c:v>
                      </c:pt>
                      <c:pt idx="75" formatCode="General">
                        <c:v>-163.84045848822802</c:v>
                      </c:pt>
                      <c:pt idx="76" formatCode="General">
                        <c:v>-164.61567534076829</c:v>
                      </c:pt>
                      <c:pt idx="77" formatCode="General">
                        <c:v>-165.39089219330856</c:v>
                      </c:pt>
                      <c:pt idx="78" formatCode="General">
                        <c:v>-166.16610904584883</c:v>
                      </c:pt>
                      <c:pt idx="79" formatCode="General">
                        <c:v>-166.91707920792081</c:v>
                      </c:pt>
                      <c:pt idx="80" formatCode="General">
                        <c:v>-167.62301980198021</c:v>
                      </c:pt>
                      <c:pt idx="81" formatCode="General">
                        <c:v>-168.32896039603961</c:v>
                      </c:pt>
                      <c:pt idx="82" formatCode="General">
                        <c:v>-169.03490099009903</c:v>
                      </c:pt>
                      <c:pt idx="83" formatCode="General">
                        <c:v>-169.74084158415843</c:v>
                      </c:pt>
                      <c:pt idx="84" formatCode="General">
                        <c:v>-170.44678217821783</c:v>
                      </c:pt>
                      <c:pt idx="85" formatCode="General">
                        <c:v>-171.15272277227723</c:v>
                      </c:pt>
                      <c:pt idx="86" formatCode="General">
                        <c:v>-171.85866336633666</c:v>
                      </c:pt>
                      <c:pt idx="87" formatCode="General">
                        <c:v>-172.56460396039606</c:v>
                      </c:pt>
                      <c:pt idx="88" formatCode="General">
                        <c:v>-173.27054455445545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150-44C4-AA95-EF648BCFE215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150-44C4-AA95-EF648BCFE215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-107.9441584158416</c:v>
                      </c:pt>
                      <c:pt idx="1">
                        <c:v>-105.48747524752477</c:v>
                      </c:pt>
                      <c:pt idx="2">
                        <c:v>-103.20232673267327</c:v>
                      </c:pt>
                      <c:pt idx="3">
                        <c:v>-100.93970297029703</c:v>
                      </c:pt>
                      <c:pt idx="4" formatCode="General">
                        <c:v>-99.014950495049504</c:v>
                      </c:pt>
                      <c:pt idx="5" formatCode="General">
                        <c:v>-97.090198019801974</c:v>
                      </c:pt>
                      <c:pt idx="6" formatCode="General">
                        <c:v>-95.322970297029684</c:v>
                      </c:pt>
                      <c:pt idx="7" formatCode="General">
                        <c:v>-93.691287128712858</c:v>
                      </c:pt>
                      <c:pt idx="8" formatCode="General">
                        <c:v>-92.06227722772276</c:v>
                      </c:pt>
                      <c:pt idx="9" formatCode="General">
                        <c:v>-90.644455445544551</c:v>
                      </c:pt>
                      <c:pt idx="10" formatCode="General">
                        <c:v>-89.226633663366343</c:v>
                      </c:pt>
                      <c:pt idx="11" formatCode="General">
                        <c:v>-87.89183168316832</c:v>
                      </c:pt>
                      <c:pt idx="12" formatCode="General">
                        <c:v>-86.644306930693062</c:v>
                      </c:pt>
                      <c:pt idx="13" formatCode="General">
                        <c:v>-85.396782178217819</c:v>
                      </c:pt>
                      <c:pt idx="14" formatCode="General">
                        <c:v>-84.282673267326729</c:v>
                      </c:pt>
                      <c:pt idx="15" formatCode="General">
                        <c:v>-83.173762376237633</c:v>
                      </c:pt>
                      <c:pt idx="16" formatCode="General">
                        <c:v>-82.108168316831694</c:v>
                      </c:pt>
                      <c:pt idx="17" formatCode="General">
                        <c:v>-81.098267326732682</c:v>
                      </c:pt>
                      <c:pt idx="18" formatCode="General">
                        <c:v>-80.088366336633669</c:v>
                      </c:pt>
                      <c:pt idx="19" formatCode="General">
                        <c:v>-79.179653465346533</c:v>
                      </c:pt>
                      <c:pt idx="20" formatCode="General">
                        <c:v>-78.280643564356438</c:v>
                      </c:pt>
                      <c:pt idx="21" formatCode="General">
                        <c:v>-77.410792079207923</c:v>
                      </c:pt>
                      <c:pt idx="22" formatCode="General">
                        <c:v>-76.587029702970298</c:v>
                      </c:pt>
                      <c:pt idx="23" formatCode="General">
                        <c:v>-75.763267326732688</c:v>
                      </c:pt>
                      <c:pt idx="24" formatCode="General">
                        <c:v>-75.025223880597025</c:v>
                      </c:pt>
                      <c:pt idx="25" formatCode="General">
                        <c:v>-74.300845771144282</c:v>
                      </c:pt>
                      <c:pt idx="26" formatCode="General">
                        <c:v>-73.666435643564355</c:v>
                      </c:pt>
                      <c:pt idx="27" formatCode="General">
                        <c:v>-73.199108910891084</c:v>
                      </c:pt>
                      <c:pt idx="28" formatCode="General">
                        <c:v>-72.731782178217827</c:v>
                      </c:pt>
                      <c:pt idx="29" formatCode="General">
                        <c:v>-72.973465346534653</c:v>
                      </c:pt>
                      <c:pt idx="30" formatCode="General">
                        <c:v>-73.365544554455454</c:v>
                      </c:pt>
                      <c:pt idx="31" formatCode="General">
                        <c:v>-73.806336633663364</c:v>
                      </c:pt>
                      <c:pt idx="32" formatCode="General">
                        <c:v>-74.360792079207911</c:v>
                      </c:pt>
                      <c:pt idx="33" formatCode="General">
                        <c:v>-74.915247524752473</c:v>
                      </c:pt>
                      <c:pt idx="34" formatCode="General">
                        <c:v>-75.46356435643564</c:v>
                      </c:pt>
                      <c:pt idx="35" formatCode="General">
                        <c:v>-76.010099009900983</c:v>
                      </c:pt>
                      <c:pt idx="36" formatCode="General">
                        <c:v>-76.557623762376238</c:v>
                      </c:pt>
                      <c:pt idx="37" formatCode="General">
                        <c:v>-77.108118811881184</c:v>
                      </c:pt>
                      <c:pt idx="38" formatCode="General">
                        <c:v>-77.658613861386144</c:v>
                      </c:pt>
                      <c:pt idx="39" formatCode="General">
                        <c:v>-78.206237623762377</c:v>
                      </c:pt>
                      <c:pt idx="40" formatCode="General">
                        <c:v>-78.75277227722772</c:v>
                      </c:pt>
                      <c:pt idx="41" formatCode="General">
                        <c:v>-79.296930693069299</c:v>
                      </c:pt>
                      <c:pt idx="42" formatCode="General">
                        <c:v>-79.831584158415836</c:v>
                      </c:pt>
                      <c:pt idx="43" formatCode="General">
                        <c:v>-80.366237623762373</c:v>
                      </c:pt>
                      <c:pt idx="44" formatCode="General">
                        <c:v>-80.895544554455441</c:v>
                      </c:pt>
                      <c:pt idx="45" formatCode="General">
                        <c:v>-81.422277227722773</c:v>
                      </c:pt>
                      <c:pt idx="46" formatCode="General">
                        <c:v>-81.949009900990106</c:v>
                      </c:pt>
                      <c:pt idx="47" formatCode="General">
                        <c:v>-82.475742574257424</c:v>
                      </c:pt>
                      <c:pt idx="48" formatCode="General">
                        <c:v>-83.002475247524757</c:v>
                      </c:pt>
                      <c:pt idx="49" formatCode="General">
                        <c:v>-83.515985130111531</c:v>
                      </c:pt>
                      <c:pt idx="50" formatCode="General">
                        <c:v>-84.02156133828997</c:v>
                      </c:pt>
                      <c:pt idx="51" formatCode="General">
                        <c:v>-84.52713754646841</c:v>
                      </c:pt>
                      <c:pt idx="52" formatCode="General">
                        <c:v>-85.032713754646849</c:v>
                      </c:pt>
                      <c:pt idx="53" formatCode="General">
                        <c:v>-85.538289962825289</c:v>
                      </c:pt>
                      <c:pt idx="54" formatCode="General">
                        <c:v>-86.043866171003728</c:v>
                      </c:pt>
                      <c:pt idx="55" formatCode="General">
                        <c:v>-86.549442379182167</c:v>
                      </c:pt>
                      <c:pt idx="56" formatCode="General">
                        <c:v>-87.055018587360607</c:v>
                      </c:pt>
                      <c:pt idx="57" formatCode="General">
                        <c:v>-87.560594795539046</c:v>
                      </c:pt>
                      <c:pt idx="58" formatCode="General">
                        <c:v>-88.066171003717486</c:v>
                      </c:pt>
                      <c:pt idx="59" formatCode="General">
                        <c:v>-88.555977722772283</c:v>
                      </c:pt>
                      <c:pt idx="60" formatCode="General">
                        <c:v>-89.032215346534656</c:v>
                      </c:pt>
                      <c:pt idx="61" formatCode="General">
                        <c:v>-89.508452970297043</c:v>
                      </c:pt>
                      <c:pt idx="62" formatCode="General">
                        <c:v>-89.984690594059416</c:v>
                      </c:pt>
                      <c:pt idx="63" formatCode="General">
                        <c:v>-90.460928217821788</c:v>
                      </c:pt>
                      <c:pt idx="64" formatCode="General">
                        <c:v>-90.937165841584161</c:v>
                      </c:pt>
                      <c:pt idx="65" formatCode="General">
                        <c:v>-91.413403465346533</c:v>
                      </c:pt>
                      <c:pt idx="66" formatCode="General">
                        <c:v>-91.889641089108906</c:v>
                      </c:pt>
                      <c:pt idx="67" formatCode="General">
                        <c:v>-92.365878712871293</c:v>
                      </c:pt>
                      <c:pt idx="68" formatCode="General">
                        <c:v>-92.842116336633666</c:v>
                      </c:pt>
                      <c:pt idx="69" formatCode="General">
                        <c:v>-93.302131350681535</c:v>
                      </c:pt>
                      <c:pt idx="70" formatCode="General">
                        <c:v>-93.741288723667907</c:v>
                      </c:pt>
                      <c:pt idx="71" formatCode="General">
                        <c:v>-94.180446096654279</c:v>
                      </c:pt>
                      <c:pt idx="72" formatCode="General">
                        <c:v>-94.619603469640637</c:v>
                      </c:pt>
                      <c:pt idx="73" formatCode="General">
                        <c:v>-95.058760842627009</c:v>
                      </c:pt>
                      <c:pt idx="74" formatCode="General">
                        <c:v>-95.497918215613382</c:v>
                      </c:pt>
                      <c:pt idx="75" formatCode="General">
                        <c:v>-95.93707558859974</c:v>
                      </c:pt>
                      <c:pt idx="76" formatCode="General">
                        <c:v>-96.376232961586112</c:v>
                      </c:pt>
                      <c:pt idx="77" formatCode="General">
                        <c:v>-96.815390334572484</c:v>
                      </c:pt>
                      <c:pt idx="78" formatCode="General">
                        <c:v>-97.254547707558856</c:v>
                      </c:pt>
                      <c:pt idx="79" formatCode="General">
                        <c:v>-97.681039603960386</c:v>
                      </c:pt>
                      <c:pt idx="80" formatCode="General">
                        <c:v>-98.084009900990097</c:v>
                      </c:pt>
                      <c:pt idx="81" formatCode="General">
                        <c:v>-98.486980198019793</c:v>
                      </c:pt>
                      <c:pt idx="82" formatCode="General">
                        <c:v>-98.889950495049504</c:v>
                      </c:pt>
                      <c:pt idx="83" formatCode="General">
                        <c:v>-99.292920792079201</c:v>
                      </c:pt>
                      <c:pt idx="84" formatCode="General">
                        <c:v>-99.695891089108912</c:v>
                      </c:pt>
                      <c:pt idx="85" formatCode="General">
                        <c:v>-100.09886138613862</c:v>
                      </c:pt>
                      <c:pt idx="86" formatCode="General">
                        <c:v>-100.50183168316832</c:v>
                      </c:pt>
                      <c:pt idx="87" formatCode="General">
                        <c:v>-100.90480198019803</c:v>
                      </c:pt>
                      <c:pt idx="88" formatCode="General">
                        <c:v>-101.30777227722774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150-44C4-AA95-EF648BCFE215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-85.396485148514856</c:v>
                      </c:pt>
                      <c:pt idx="1">
                        <c:v>-83.32361386138615</c:v>
                      </c:pt>
                      <c:pt idx="2">
                        <c:v>-81.355297029702982</c:v>
                      </c:pt>
                      <c:pt idx="3">
                        <c:v>-79.398366336633671</c:v>
                      </c:pt>
                      <c:pt idx="4" formatCode="General">
                        <c:v>-77.612227722772275</c:v>
                      </c:pt>
                      <c:pt idx="5" formatCode="General">
                        <c:v>-75.826089108910892</c:v>
                      </c:pt>
                      <c:pt idx="6" formatCode="General">
                        <c:v>-74.122970297029696</c:v>
                      </c:pt>
                      <c:pt idx="7" formatCode="General">
                        <c:v>-72.49128712871287</c:v>
                      </c:pt>
                      <c:pt idx="8" formatCode="General">
                        <c:v>-70.861386138613852</c:v>
                      </c:pt>
                      <c:pt idx="9" formatCode="General">
                        <c:v>-69.372277227722776</c:v>
                      </c:pt>
                      <c:pt idx="10" formatCode="General">
                        <c:v>-67.883168316831686</c:v>
                      </c:pt>
                      <c:pt idx="11" formatCode="General">
                        <c:v>-66.463564356435654</c:v>
                      </c:pt>
                      <c:pt idx="12" formatCode="General">
                        <c:v>-65.117029702970299</c:v>
                      </c:pt>
                      <c:pt idx="13" formatCode="General">
                        <c:v>-63.770495049504952</c:v>
                      </c:pt>
                      <c:pt idx="14" formatCode="General">
                        <c:v>-62.553564356435643</c:v>
                      </c:pt>
                      <c:pt idx="15" formatCode="General">
                        <c:v>-61.341683168316834</c:v>
                      </c:pt>
                      <c:pt idx="16" formatCode="General">
                        <c:v>-60.180049504950496</c:v>
                      </c:pt>
                      <c:pt idx="17" formatCode="General">
                        <c:v>-59.0830198019802</c:v>
                      </c:pt>
                      <c:pt idx="18" formatCode="General">
                        <c:v>-57.985990099009896</c:v>
                      </c:pt>
                      <c:pt idx="19" formatCode="General">
                        <c:v>-57.000990099009904</c:v>
                      </c:pt>
                      <c:pt idx="20" formatCode="General">
                        <c:v>-56.026732673267333</c:v>
                      </c:pt>
                      <c:pt idx="21" formatCode="General">
                        <c:v>-55.08470297029703</c:v>
                      </c:pt>
                      <c:pt idx="22" formatCode="General">
                        <c:v>-54.19361386138614</c:v>
                      </c:pt>
                      <c:pt idx="23" formatCode="General">
                        <c:v>-53.30252475247525</c:v>
                      </c:pt>
                      <c:pt idx="24" formatCode="General">
                        <c:v>-52.486567164179107</c:v>
                      </c:pt>
                      <c:pt idx="25" formatCode="General">
                        <c:v>-51.682587064676611</c:v>
                      </c:pt>
                      <c:pt idx="26" formatCode="General">
                        <c:v>-50.971485148514844</c:v>
                      </c:pt>
                      <c:pt idx="27" formatCode="General">
                        <c:v>-50.432871287128705</c:v>
                      </c:pt>
                      <c:pt idx="28" formatCode="General">
                        <c:v>-49.894257425742573</c:v>
                      </c:pt>
                      <c:pt idx="29" formatCode="General">
                        <c:v>-50.041782178217822</c:v>
                      </c:pt>
                      <c:pt idx="30" formatCode="General">
                        <c:v>-50.334851485148519</c:v>
                      </c:pt>
                      <c:pt idx="31" formatCode="General">
                        <c:v>-50.670693069306935</c:v>
                      </c:pt>
                      <c:pt idx="32" formatCode="General">
                        <c:v>-51.106336633663368</c:v>
                      </c:pt>
                      <c:pt idx="33" formatCode="General">
                        <c:v>-51.541980198019807</c:v>
                      </c:pt>
                      <c:pt idx="34" formatCode="General">
                        <c:v>-51.974554455445549</c:v>
                      </c:pt>
                      <c:pt idx="35" formatCode="General">
                        <c:v>-52.406237623762379</c:v>
                      </c:pt>
                      <c:pt idx="36" formatCode="General">
                        <c:v>-52.83792079207921</c:v>
                      </c:pt>
                      <c:pt idx="37" formatCode="General">
                        <c:v>-53.26960396039604</c:v>
                      </c:pt>
                      <c:pt idx="38" formatCode="General">
                        <c:v>-53.701287128712863</c:v>
                      </c:pt>
                      <c:pt idx="39" formatCode="General">
                        <c:v>-54.130099009900981</c:v>
                      </c:pt>
                      <c:pt idx="40" formatCode="General">
                        <c:v>-54.557821782178216</c:v>
                      </c:pt>
                      <c:pt idx="41" formatCode="General">
                        <c:v>-54.983960396039606</c:v>
                      </c:pt>
                      <c:pt idx="42" formatCode="General">
                        <c:v>-55.403762376237623</c:v>
                      </c:pt>
                      <c:pt idx="43" formatCode="General">
                        <c:v>-55.823564356435639</c:v>
                      </c:pt>
                      <c:pt idx="44" formatCode="General">
                        <c:v>-56.238019801980194</c:v>
                      </c:pt>
                      <c:pt idx="45" formatCode="General">
                        <c:v>-56.649900990099006</c:v>
                      </c:pt>
                      <c:pt idx="46" formatCode="General">
                        <c:v>-57.061782178217825</c:v>
                      </c:pt>
                      <c:pt idx="47" formatCode="General">
                        <c:v>-57.473663366336638</c:v>
                      </c:pt>
                      <c:pt idx="48" formatCode="General">
                        <c:v>-57.88554455445545</c:v>
                      </c:pt>
                      <c:pt idx="49" formatCode="General">
                        <c:v>-58.28659231722429</c:v>
                      </c:pt>
                      <c:pt idx="50" formatCode="General">
                        <c:v>-58.681140024783154</c:v>
                      </c:pt>
                      <c:pt idx="51" formatCode="General">
                        <c:v>-59.075687732342011</c:v>
                      </c:pt>
                      <c:pt idx="52" formatCode="General">
                        <c:v>-59.470235439900868</c:v>
                      </c:pt>
                      <c:pt idx="53" formatCode="General">
                        <c:v>-59.864783147459733</c:v>
                      </c:pt>
                      <c:pt idx="54" formatCode="General">
                        <c:v>-60.25933085501859</c:v>
                      </c:pt>
                      <c:pt idx="55" formatCode="General">
                        <c:v>-60.653878562577447</c:v>
                      </c:pt>
                      <c:pt idx="56" formatCode="General">
                        <c:v>-61.048426270136311</c:v>
                      </c:pt>
                      <c:pt idx="57" formatCode="General">
                        <c:v>-61.442973977695168</c:v>
                      </c:pt>
                      <c:pt idx="58" formatCode="General">
                        <c:v>-61.837521685254032</c:v>
                      </c:pt>
                      <c:pt idx="59" formatCode="General">
                        <c:v>-62.217970297029701</c:v>
                      </c:pt>
                      <c:pt idx="60" formatCode="General">
                        <c:v>-62.586287128712868</c:v>
                      </c:pt>
                      <c:pt idx="61" formatCode="General">
                        <c:v>-62.954603960396042</c:v>
                      </c:pt>
                      <c:pt idx="62" formatCode="General">
                        <c:v>-63.322920792079209</c:v>
                      </c:pt>
                      <c:pt idx="63" formatCode="General">
                        <c:v>-63.691237623762376</c:v>
                      </c:pt>
                      <c:pt idx="64" formatCode="General">
                        <c:v>-64.059554455445536</c:v>
                      </c:pt>
                      <c:pt idx="65" formatCode="General">
                        <c:v>-64.42787128712871</c:v>
                      </c:pt>
                      <c:pt idx="66" formatCode="General">
                        <c:v>-64.796188118811884</c:v>
                      </c:pt>
                      <c:pt idx="67" formatCode="General">
                        <c:v>-65.164504950495044</c:v>
                      </c:pt>
                      <c:pt idx="68" formatCode="General">
                        <c:v>-65.532821782178218</c:v>
                      </c:pt>
                      <c:pt idx="69" formatCode="General">
                        <c:v>-65.887026022304823</c:v>
                      </c:pt>
                      <c:pt idx="70" formatCode="General">
                        <c:v>-66.223085501858733</c:v>
                      </c:pt>
                      <c:pt idx="71" formatCode="General">
                        <c:v>-66.559144981412629</c:v>
                      </c:pt>
                      <c:pt idx="72" formatCode="General">
                        <c:v>-66.895204460966539</c:v>
                      </c:pt>
                      <c:pt idx="73" formatCode="General">
                        <c:v>-67.231263940520435</c:v>
                      </c:pt>
                      <c:pt idx="74" formatCode="General">
                        <c:v>-67.567323420074345</c:v>
                      </c:pt>
                      <c:pt idx="75" formatCode="General">
                        <c:v>-67.903382899628241</c:v>
                      </c:pt>
                      <c:pt idx="76" formatCode="General">
                        <c:v>-68.239442379182151</c:v>
                      </c:pt>
                      <c:pt idx="77" formatCode="General">
                        <c:v>-68.575501858736047</c:v>
                      </c:pt>
                      <c:pt idx="78" formatCode="General">
                        <c:v>-68.911561338289957</c:v>
                      </c:pt>
                      <c:pt idx="79" formatCode="General">
                        <c:v>-69.236039603960393</c:v>
                      </c:pt>
                      <c:pt idx="80" formatCode="General">
                        <c:v>-69.539009900990095</c:v>
                      </c:pt>
                      <c:pt idx="81" formatCode="General">
                        <c:v>-69.841980198019797</c:v>
                      </c:pt>
                      <c:pt idx="82" formatCode="General">
                        <c:v>-70.1449504950495</c:v>
                      </c:pt>
                      <c:pt idx="83" formatCode="General">
                        <c:v>-70.447920792079202</c:v>
                      </c:pt>
                      <c:pt idx="84" formatCode="General">
                        <c:v>-70.750891089108904</c:v>
                      </c:pt>
                      <c:pt idx="85" formatCode="General">
                        <c:v>-71.053861386138607</c:v>
                      </c:pt>
                      <c:pt idx="86" formatCode="General">
                        <c:v>-71.356831683168309</c:v>
                      </c:pt>
                      <c:pt idx="87" formatCode="General">
                        <c:v>-71.659801980198012</c:v>
                      </c:pt>
                      <c:pt idx="88" formatCode="General">
                        <c:v>-71.962772277227714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150-44C4-AA95-EF648BCFE215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-193.34064356435644</c:v>
                      </c:pt>
                      <c:pt idx="1">
                        <c:v>-188.81108910891089</c:v>
                      </c:pt>
                      <c:pt idx="2">
                        <c:v>-184.55762376237624</c:v>
                      </c:pt>
                      <c:pt idx="3">
                        <c:v>-180.33806930693069</c:v>
                      </c:pt>
                      <c:pt idx="4" formatCode="General">
                        <c:v>-176.62717821782178</c:v>
                      </c:pt>
                      <c:pt idx="5" formatCode="General">
                        <c:v>-172.91628712871287</c:v>
                      </c:pt>
                      <c:pt idx="6" formatCode="General">
                        <c:v>-169.44594059405938</c:v>
                      </c:pt>
                      <c:pt idx="7" formatCode="General">
                        <c:v>-166.18257425742573</c:v>
                      </c:pt>
                      <c:pt idx="8" formatCode="General">
                        <c:v>-162.9236633663366</c:v>
                      </c:pt>
                      <c:pt idx="9" formatCode="General">
                        <c:v>-160.01673267326731</c:v>
                      </c:pt>
                      <c:pt idx="10" formatCode="General">
                        <c:v>-157.10980198019803</c:v>
                      </c:pt>
                      <c:pt idx="11" formatCode="General">
                        <c:v>-154.35539603960396</c:v>
                      </c:pt>
                      <c:pt idx="12" formatCode="General">
                        <c:v>-151.76133663366338</c:v>
                      </c:pt>
                      <c:pt idx="13" formatCode="General">
                        <c:v>-149.16727722772276</c:v>
                      </c:pt>
                      <c:pt idx="14" formatCode="General">
                        <c:v>-146.83623762376237</c:v>
                      </c:pt>
                      <c:pt idx="15" formatCode="General">
                        <c:v>-144.51544554455447</c:v>
                      </c:pt>
                      <c:pt idx="16" formatCode="General">
                        <c:v>-142.28821782178218</c:v>
                      </c:pt>
                      <c:pt idx="17" formatCode="General">
                        <c:v>-140.18128712871285</c:v>
                      </c:pt>
                      <c:pt idx="18" formatCode="General">
                        <c:v>-138.07435643564355</c:v>
                      </c:pt>
                      <c:pt idx="19" formatCode="General">
                        <c:v>-136.18064356435644</c:v>
                      </c:pt>
                      <c:pt idx="20" formatCode="General">
                        <c:v>-134.30737623762377</c:v>
                      </c:pt>
                      <c:pt idx="21" formatCode="General">
                        <c:v>-132.49549504950497</c:v>
                      </c:pt>
                      <c:pt idx="22" formatCode="General">
                        <c:v>-130.78064356435644</c:v>
                      </c:pt>
                      <c:pt idx="23" formatCode="General">
                        <c:v>-129.06579207920791</c:v>
                      </c:pt>
                      <c:pt idx="24" formatCode="General">
                        <c:v>-127.51179104477612</c:v>
                      </c:pt>
                      <c:pt idx="25" formatCode="General">
                        <c:v>-125.98343283582089</c:v>
                      </c:pt>
                      <c:pt idx="26" formatCode="General">
                        <c:v>-124.63792079207921</c:v>
                      </c:pt>
                      <c:pt idx="27" formatCode="General">
                        <c:v>-123.63198019801982</c:v>
                      </c:pt>
                      <c:pt idx="28" formatCode="General">
                        <c:v>-122.62603960396041</c:v>
                      </c:pt>
                      <c:pt idx="29" formatCode="General">
                        <c:v>-123.0152475247525</c:v>
                      </c:pt>
                      <c:pt idx="30" formatCode="General">
                        <c:v>-123.70039603960397</c:v>
                      </c:pt>
                      <c:pt idx="31" formatCode="General">
                        <c:v>-124.4770297029703</c:v>
                      </c:pt>
                      <c:pt idx="32" formatCode="General">
                        <c:v>-125.46712871287129</c:v>
                      </c:pt>
                      <c:pt idx="33" formatCode="General">
                        <c:v>-126.45722772277226</c:v>
                      </c:pt>
                      <c:pt idx="34" formatCode="General">
                        <c:v>-127.43811881188118</c:v>
                      </c:pt>
                      <c:pt idx="35" formatCode="General">
                        <c:v>-128.41633663366338</c:v>
                      </c:pt>
                      <c:pt idx="36" formatCode="General">
                        <c:v>-129.39554455445545</c:v>
                      </c:pt>
                      <c:pt idx="37" formatCode="General">
                        <c:v>-130.37772277227722</c:v>
                      </c:pt>
                      <c:pt idx="38" formatCode="General">
                        <c:v>-131.35990099009899</c:v>
                      </c:pt>
                      <c:pt idx="39" formatCode="General">
                        <c:v>-132.33633663366336</c:v>
                      </c:pt>
                      <c:pt idx="40" formatCode="General">
                        <c:v>-133.31059405940593</c:v>
                      </c:pt>
                      <c:pt idx="41" formatCode="General">
                        <c:v>-134.28089108910891</c:v>
                      </c:pt>
                      <c:pt idx="42" formatCode="General">
                        <c:v>-135.23534653465347</c:v>
                      </c:pt>
                      <c:pt idx="43" formatCode="General">
                        <c:v>-136.18980198019801</c:v>
                      </c:pt>
                      <c:pt idx="44" formatCode="General">
                        <c:v>-137.13356435643564</c:v>
                      </c:pt>
                      <c:pt idx="45" formatCode="General">
                        <c:v>-138.0721782178218</c:v>
                      </c:pt>
                      <c:pt idx="46" formatCode="General">
                        <c:v>-139.01079207920793</c:v>
                      </c:pt>
                      <c:pt idx="47" formatCode="General">
                        <c:v>-139.94940594059406</c:v>
                      </c:pt>
                      <c:pt idx="48" formatCode="General">
                        <c:v>-140.88801980198022</c:v>
                      </c:pt>
                      <c:pt idx="49" formatCode="General">
                        <c:v>-141.80257744733581</c:v>
                      </c:pt>
                      <c:pt idx="50" formatCode="General">
                        <c:v>-142.70270136307312</c:v>
                      </c:pt>
                      <c:pt idx="51" formatCode="General">
                        <c:v>-143.6028252788104</c:v>
                      </c:pt>
                      <c:pt idx="52" formatCode="General">
                        <c:v>-144.50294919454771</c:v>
                      </c:pt>
                      <c:pt idx="53" formatCode="General">
                        <c:v>-145.40307311028499</c:v>
                      </c:pt>
                      <c:pt idx="54" formatCode="General">
                        <c:v>-146.3031970260223</c:v>
                      </c:pt>
                      <c:pt idx="55" formatCode="General">
                        <c:v>-147.20332094175959</c:v>
                      </c:pt>
                      <c:pt idx="56" formatCode="General">
                        <c:v>-148.1034448574969</c:v>
                      </c:pt>
                      <c:pt idx="57" formatCode="General">
                        <c:v>-149.00356877323418</c:v>
                      </c:pt>
                      <c:pt idx="58" formatCode="General">
                        <c:v>-149.90369268897149</c:v>
                      </c:pt>
                      <c:pt idx="59" formatCode="General">
                        <c:v>-150.77394801980196</c:v>
                      </c:pt>
                      <c:pt idx="60" formatCode="General">
                        <c:v>-151.61850247524751</c:v>
                      </c:pt>
                      <c:pt idx="61" formatCode="General">
                        <c:v>-152.46305693069306</c:v>
                      </c:pt>
                      <c:pt idx="62" formatCode="General">
                        <c:v>-153.3076113861386</c:v>
                      </c:pt>
                      <c:pt idx="63" formatCode="General">
                        <c:v>-154.15216584158415</c:v>
                      </c:pt>
                      <c:pt idx="64" formatCode="General">
                        <c:v>-154.9967202970297</c:v>
                      </c:pt>
                      <c:pt idx="65" formatCode="General">
                        <c:v>-155.84127475247524</c:v>
                      </c:pt>
                      <c:pt idx="66" formatCode="General">
                        <c:v>-156.68582920792079</c:v>
                      </c:pt>
                      <c:pt idx="67" formatCode="General">
                        <c:v>-157.53038366336634</c:v>
                      </c:pt>
                      <c:pt idx="68" formatCode="General">
                        <c:v>-158.37493811881188</c:v>
                      </c:pt>
                      <c:pt idx="69" formatCode="General">
                        <c:v>-159.18915737298636</c:v>
                      </c:pt>
                      <c:pt idx="70" formatCode="General">
                        <c:v>-159.96437422552663</c:v>
                      </c:pt>
                      <c:pt idx="71" formatCode="General">
                        <c:v>-160.73959107806692</c:v>
                      </c:pt>
                      <c:pt idx="72" formatCode="General">
                        <c:v>-161.51480793060719</c:v>
                      </c:pt>
                      <c:pt idx="73" formatCode="General">
                        <c:v>-162.29002478314746</c:v>
                      </c:pt>
                      <c:pt idx="74" formatCode="General">
                        <c:v>-163.06524163568773</c:v>
                      </c:pt>
                      <c:pt idx="75" formatCode="General">
                        <c:v>-163.84045848822802</c:v>
                      </c:pt>
                      <c:pt idx="76" formatCode="General">
                        <c:v>-164.61567534076829</c:v>
                      </c:pt>
                      <c:pt idx="77" formatCode="General">
                        <c:v>-165.39089219330856</c:v>
                      </c:pt>
                      <c:pt idx="78" formatCode="General">
                        <c:v>-166.16610904584883</c:v>
                      </c:pt>
                      <c:pt idx="79" formatCode="General">
                        <c:v>-166.91707920792081</c:v>
                      </c:pt>
                      <c:pt idx="80" formatCode="General">
                        <c:v>-167.62301980198021</c:v>
                      </c:pt>
                      <c:pt idx="81" formatCode="General">
                        <c:v>-168.32896039603961</c:v>
                      </c:pt>
                      <c:pt idx="82" formatCode="General">
                        <c:v>-169.03490099009903</c:v>
                      </c:pt>
                      <c:pt idx="83" formatCode="General">
                        <c:v>-169.74084158415843</c:v>
                      </c:pt>
                      <c:pt idx="84" formatCode="General">
                        <c:v>-170.44678217821783</c:v>
                      </c:pt>
                      <c:pt idx="85" formatCode="General">
                        <c:v>-171.15272277227723</c:v>
                      </c:pt>
                      <c:pt idx="86" formatCode="General">
                        <c:v>-171.85866336633666</c:v>
                      </c:pt>
                      <c:pt idx="87" formatCode="General">
                        <c:v>-172.56460396039606</c:v>
                      </c:pt>
                      <c:pt idx="88" formatCode="General">
                        <c:v>-173.27054455445545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150-44C4-AA95-EF648BCFE215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150-44C4-AA95-EF648BCFE215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150-44C4-AA95-EF648BCFE215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150-44C4-AA95-EF648BCFE215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150-44C4-AA95-EF648BCFE215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150-44C4-AA95-EF648BCFE215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150-44C4-AA95-EF648BCFE215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150-44C4-AA95-EF648BCFE215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-18.751633663366338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 formatCode="General">
                        <c:v>-18.75</c:v>
                      </c:pt>
                      <c:pt idx="5" formatCode="General">
                        <c:v>-18.75</c:v>
                      </c:pt>
                      <c:pt idx="6" formatCode="General">
                        <c:v>-18.752128712871286</c:v>
                      </c:pt>
                      <c:pt idx="7" formatCode="General">
                        <c:v>-18.756089108910892</c:v>
                      </c:pt>
                      <c:pt idx="8" formatCode="General">
                        <c:v>-18.760148514851487</c:v>
                      </c:pt>
                      <c:pt idx="9" formatCode="General">
                        <c:v>-18.772029702970297</c:v>
                      </c:pt>
                      <c:pt idx="10" formatCode="General">
                        <c:v>-18.783910891089107</c:v>
                      </c:pt>
                      <c:pt idx="11" formatCode="General">
                        <c:v>-18.793861386138612</c:v>
                      </c:pt>
                      <c:pt idx="12" formatCode="General">
                        <c:v>-18.80178217821782</c:v>
                      </c:pt>
                      <c:pt idx="13" formatCode="General">
                        <c:v>-18.809702970297028</c:v>
                      </c:pt>
                      <c:pt idx="14" formatCode="General">
                        <c:v>-18.825247524752474</c:v>
                      </c:pt>
                      <c:pt idx="15" formatCode="General">
                        <c:v>-18.841089108910893</c:v>
                      </c:pt>
                      <c:pt idx="16" formatCode="General">
                        <c:v>-18.855198019801982</c:v>
                      </c:pt>
                      <c:pt idx="17" formatCode="General">
                        <c:v>-18.867079207920792</c:v>
                      </c:pt>
                      <c:pt idx="18" formatCode="General">
                        <c:v>-18.878960396039602</c:v>
                      </c:pt>
                      <c:pt idx="19" formatCode="General">
                        <c:v>-18.890841584158416</c:v>
                      </c:pt>
                      <c:pt idx="20" formatCode="General">
                        <c:v>-18.902722772277226</c:v>
                      </c:pt>
                      <c:pt idx="21" formatCode="General">
                        <c:v>-18.91460396039604</c:v>
                      </c:pt>
                      <c:pt idx="22" formatCode="General">
                        <c:v>-18.926485148514853</c:v>
                      </c:pt>
                      <c:pt idx="23" formatCode="General">
                        <c:v>-18.938366336633663</c:v>
                      </c:pt>
                      <c:pt idx="24" formatCode="General">
                        <c:v>-18.950298507462687</c:v>
                      </c:pt>
                      <c:pt idx="25" formatCode="General">
                        <c:v>-18.962238805970149</c:v>
                      </c:pt>
                      <c:pt idx="26" formatCode="General">
                        <c:v>-18.967227722772275</c:v>
                      </c:pt>
                      <c:pt idx="27" formatCode="General">
                        <c:v>-18.959306930693067</c:v>
                      </c:pt>
                      <c:pt idx="28" formatCode="General">
                        <c:v>-18.951386138613859</c:v>
                      </c:pt>
                      <c:pt idx="29" formatCode="General">
                        <c:v>-18.956534653465347</c:v>
                      </c:pt>
                      <c:pt idx="30" formatCode="General">
                        <c:v>-18.964455445544555</c:v>
                      </c:pt>
                      <c:pt idx="31" formatCode="General">
                        <c:v>-18.974752475247524</c:v>
                      </c:pt>
                      <c:pt idx="32" formatCode="General">
                        <c:v>-18.990594059405939</c:v>
                      </c:pt>
                      <c:pt idx="33" formatCode="General">
                        <c:v>-19.006435643564359</c:v>
                      </c:pt>
                      <c:pt idx="34" formatCode="General">
                        <c:v>-19.022277227722775</c:v>
                      </c:pt>
                      <c:pt idx="35" formatCode="General">
                        <c:v>-19.038118811881191</c:v>
                      </c:pt>
                      <c:pt idx="36" formatCode="General">
                        <c:v>-19.053960396039603</c:v>
                      </c:pt>
                      <c:pt idx="37" formatCode="General">
                        <c:v>-19.069801980198019</c:v>
                      </c:pt>
                      <c:pt idx="38" formatCode="General">
                        <c:v>-19.085643564356435</c:v>
                      </c:pt>
                      <c:pt idx="39" formatCode="General">
                        <c:v>-19.104356435643563</c:v>
                      </c:pt>
                      <c:pt idx="40" formatCode="General">
                        <c:v>-19.124158415841585</c:v>
                      </c:pt>
                      <c:pt idx="41" formatCode="General">
                        <c:v>-19.143168316831684</c:v>
                      </c:pt>
                      <c:pt idx="42" formatCode="General">
                        <c:v>-19.1590099009901</c:v>
                      </c:pt>
                      <c:pt idx="43" formatCode="General">
                        <c:v>-19.174851485148515</c:v>
                      </c:pt>
                      <c:pt idx="44" formatCode="General">
                        <c:v>-19.190693069306931</c:v>
                      </c:pt>
                      <c:pt idx="45" formatCode="General">
                        <c:v>-19.206534653465347</c:v>
                      </c:pt>
                      <c:pt idx="46" formatCode="General">
                        <c:v>-19.222376237623763</c:v>
                      </c:pt>
                      <c:pt idx="47" formatCode="General">
                        <c:v>-19.238217821782179</c:v>
                      </c:pt>
                      <c:pt idx="48" formatCode="General">
                        <c:v>-19.254059405940595</c:v>
                      </c:pt>
                      <c:pt idx="49" formatCode="General">
                        <c:v>-19.270532837670384</c:v>
                      </c:pt>
                      <c:pt idx="50" formatCode="General">
                        <c:v>-19.287385377943</c:v>
                      </c:pt>
                      <c:pt idx="51" formatCode="General">
                        <c:v>-19.304237918215616</c:v>
                      </c:pt>
                      <c:pt idx="52" formatCode="General">
                        <c:v>-19.321090458488229</c:v>
                      </c:pt>
                      <c:pt idx="53" formatCode="General">
                        <c:v>-19.337942998760845</c:v>
                      </c:pt>
                      <c:pt idx="54" formatCode="General">
                        <c:v>-19.354795539033457</c:v>
                      </c:pt>
                      <c:pt idx="55" formatCode="General">
                        <c:v>-19.371648079306073</c:v>
                      </c:pt>
                      <c:pt idx="56" formatCode="General">
                        <c:v>-19.388500619578686</c:v>
                      </c:pt>
                      <c:pt idx="57" formatCode="General">
                        <c:v>-19.405353159851302</c:v>
                      </c:pt>
                      <c:pt idx="58" formatCode="General">
                        <c:v>-19.422205700123914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-19.744851485148512</c:v>
                      </c:pt>
                      <c:pt idx="80" formatCode="General">
                        <c:v>-19.758712871287127</c:v>
                      </c:pt>
                      <c:pt idx="81" formatCode="General">
                        <c:v>-19.772574257425742</c:v>
                      </c:pt>
                      <c:pt idx="82" formatCode="General">
                        <c:v>-19.786435643564356</c:v>
                      </c:pt>
                      <c:pt idx="83" formatCode="General">
                        <c:v>-19.800297029702968</c:v>
                      </c:pt>
                      <c:pt idx="84" formatCode="General">
                        <c:v>-19.814158415841582</c:v>
                      </c:pt>
                      <c:pt idx="85" formatCode="General">
                        <c:v>-19.828019801980197</c:v>
                      </c:pt>
                      <c:pt idx="86" formatCode="General">
                        <c:v>-19.841881188118812</c:v>
                      </c:pt>
                      <c:pt idx="87" formatCode="General">
                        <c:v>-19.855742574257423</c:v>
                      </c:pt>
                      <c:pt idx="88" formatCode="General">
                        <c:v>-19.869603960396038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150-44C4-AA95-EF648BCFE215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150-44C4-AA95-EF648BCFE215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-62.848811881188126</c:v>
                      </c:pt>
                      <c:pt idx="1">
                        <c:v>-61.159752475247529</c:v>
                      </c:pt>
                      <c:pt idx="2">
                        <c:v>-59.508267326732678</c:v>
                      </c:pt>
                      <c:pt idx="3">
                        <c:v>-57.857029702970294</c:v>
                      </c:pt>
                      <c:pt idx="4" formatCode="General">
                        <c:v>-56.209504950495045</c:v>
                      </c:pt>
                      <c:pt idx="5" formatCode="General">
                        <c:v>-54.561980198019796</c:v>
                      </c:pt>
                      <c:pt idx="6" formatCode="General">
                        <c:v>-52.9229702970297</c:v>
                      </c:pt>
                      <c:pt idx="7" formatCode="General">
                        <c:v>-51.291287128712867</c:v>
                      </c:pt>
                      <c:pt idx="8" formatCode="General">
                        <c:v>-49.660495049504945</c:v>
                      </c:pt>
                      <c:pt idx="9" formatCode="General">
                        <c:v>-48.100099009900987</c:v>
                      </c:pt>
                      <c:pt idx="10" formatCode="General">
                        <c:v>-46.539702970297036</c:v>
                      </c:pt>
                      <c:pt idx="11" formatCode="General">
                        <c:v>-45.035297029702974</c:v>
                      </c:pt>
                      <c:pt idx="12" formatCode="General">
                        <c:v>-43.589752475247529</c:v>
                      </c:pt>
                      <c:pt idx="13" formatCode="General">
                        <c:v>-42.144207920792084</c:v>
                      </c:pt>
                      <c:pt idx="14" formatCode="General">
                        <c:v>-40.824455445544558</c:v>
                      </c:pt>
                      <c:pt idx="15" formatCode="General">
                        <c:v>-39.509603960396042</c:v>
                      </c:pt>
                      <c:pt idx="16" formatCode="General">
                        <c:v>-38.251930693069312</c:v>
                      </c:pt>
                      <c:pt idx="17" formatCode="General">
                        <c:v>-37.067772277227725</c:v>
                      </c:pt>
                      <c:pt idx="18" formatCode="General">
                        <c:v>-35.883613861386138</c:v>
                      </c:pt>
                      <c:pt idx="19" formatCode="General">
                        <c:v>-34.822326732673268</c:v>
                      </c:pt>
                      <c:pt idx="20" formatCode="General">
                        <c:v>-33.77282178217822</c:v>
                      </c:pt>
                      <c:pt idx="21" formatCode="General">
                        <c:v>-32.758613861386138</c:v>
                      </c:pt>
                      <c:pt idx="22" formatCode="General">
                        <c:v>-31.800198019801982</c:v>
                      </c:pt>
                      <c:pt idx="23" formatCode="General">
                        <c:v>-30.841782178217827</c:v>
                      </c:pt>
                      <c:pt idx="24" formatCode="General">
                        <c:v>-29.947910447761195</c:v>
                      </c:pt>
                      <c:pt idx="25" formatCode="General">
                        <c:v>-29.064328358208954</c:v>
                      </c:pt>
                      <c:pt idx="26" formatCode="General">
                        <c:v>-28.276534653465344</c:v>
                      </c:pt>
                      <c:pt idx="27" formatCode="General">
                        <c:v>-27.666633663366333</c:v>
                      </c:pt>
                      <c:pt idx="28" formatCode="General">
                        <c:v>-27.056732673267323</c:v>
                      </c:pt>
                      <c:pt idx="29" formatCode="General">
                        <c:v>-27.110099009900992</c:v>
                      </c:pt>
                      <c:pt idx="30" formatCode="General">
                        <c:v>-27.304158415841584</c:v>
                      </c:pt>
                      <c:pt idx="31" formatCode="General">
                        <c:v>-27.535049504950496</c:v>
                      </c:pt>
                      <c:pt idx="32" formatCode="General">
                        <c:v>-27.851881188118814</c:v>
                      </c:pt>
                      <c:pt idx="33" formatCode="General">
                        <c:v>-28.168712871287131</c:v>
                      </c:pt>
                      <c:pt idx="34" formatCode="General">
                        <c:v>-28.485544554455444</c:v>
                      </c:pt>
                      <c:pt idx="35" formatCode="General">
                        <c:v>-28.802376237623761</c:v>
                      </c:pt>
                      <c:pt idx="36" formatCode="General">
                        <c:v>-29.118217821782178</c:v>
                      </c:pt>
                      <c:pt idx="37" formatCode="General">
                        <c:v>-29.431089108910889</c:v>
                      </c:pt>
                      <c:pt idx="38" formatCode="General">
                        <c:v>-29.743960396039601</c:v>
                      </c:pt>
                      <c:pt idx="39" formatCode="General">
                        <c:v>-30.053960396039603</c:v>
                      </c:pt>
                      <c:pt idx="40" formatCode="General">
                        <c:v>-30.362871287128712</c:v>
                      </c:pt>
                      <c:pt idx="41" formatCode="General">
                        <c:v>-30.670990099009902</c:v>
                      </c:pt>
                      <c:pt idx="42" formatCode="General">
                        <c:v>-30.975940594059406</c:v>
                      </c:pt>
                      <c:pt idx="43" formatCode="General">
                        <c:v>-31.280891089108909</c:v>
                      </c:pt>
                      <c:pt idx="44" formatCode="General">
                        <c:v>-31.58049504950495</c:v>
                      </c:pt>
                      <c:pt idx="45" formatCode="General">
                        <c:v>-31.877524752475249</c:v>
                      </c:pt>
                      <c:pt idx="46" formatCode="General">
                        <c:v>-32.174554455445552</c:v>
                      </c:pt>
                      <c:pt idx="47" formatCode="General">
                        <c:v>-32.471584158415844</c:v>
                      </c:pt>
                      <c:pt idx="48" formatCode="General">
                        <c:v>-32.768613861386143</c:v>
                      </c:pt>
                      <c:pt idx="49" formatCode="General">
                        <c:v>-33.057199504337056</c:v>
                      </c:pt>
                      <c:pt idx="50" formatCode="General">
                        <c:v>-33.340718711276331</c:v>
                      </c:pt>
                      <c:pt idx="51" formatCode="General">
                        <c:v>-33.624237918215613</c:v>
                      </c:pt>
                      <c:pt idx="52" formatCode="General">
                        <c:v>-33.907757125154895</c:v>
                      </c:pt>
                      <c:pt idx="53" formatCode="General">
                        <c:v>-34.191276332094176</c:v>
                      </c:pt>
                      <c:pt idx="54" formatCode="General">
                        <c:v>-34.474795539033458</c:v>
                      </c:pt>
                      <c:pt idx="55" formatCode="General">
                        <c:v>-34.75831474597274</c:v>
                      </c:pt>
                      <c:pt idx="56" formatCode="General">
                        <c:v>-35.041833952912022</c:v>
                      </c:pt>
                      <c:pt idx="57" formatCode="General">
                        <c:v>-35.325353159851304</c:v>
                      </c:pt>
                      <c:pt idx="58" formatCode="General">
                        <c:v>-35.608872366790585</c:v>
                      </c:pt>
                      <c:pt idx="59" formatCode="General">
                        <c:v>-35.879962871287127</c:v>
                      </c:pt>
                      <c:pt idx="60" formatCode="General">
                        <c:v>-36.140358910891088</c:v>
                      </c:pt>
                      <c:pt idx="61" formatCode="General">
                        <c:v>-36.400754950495049</c:v>
                      </c:pt>
                      <c:pt idx="62" formatCode="General">
                        <c:v>-36.66115099009901</c:v>
                      </c:pt>
                      <c:pt idx="63" formatCode="General">
                        <c:v>-36.921547029702971</c:v>
                      </c:pt>
                      <c:pt idx="64" formatCode="General">
                        <c:v>-37.181943069306932</c:v>
                      </c:pt>
                      <c:pt idx="65" formatCode="General">
                        <c:v>-37.442339108910886</c:v>
                      </c:pt>
                      <c:pt idx="66" formatCode="General">
                        <c:v>-37.702735148514847</c:v>
                      </c:pt>
                      <c:pt idx="67" formatCode="General">
                        <c:v>-37.963131188118808</c:v>
                      </c:pt>
                      <c:pt idx="68" formatCode="General">
                        <c:v>-38.223527227722769</c:v>
                      </c:pt>
                      <c:pt idx="69" formatCode="General">
                        <c:v>-38.471920693928126</c:v>
                      </c:pt>
                      <c:pt idx="70" formatCode="General">
                        <c:v>-38.704882280049567</c:v>
                      </c:pt>
                      <c:pt idx="71" formatCode="General">
                        <c:v>-38.937843866171001</c:v>
                      </c:pt>
                      <c:pt idx="72" formatCode="General">
                        <c:v>-39.170805452292441</c:v>
                      </c:pt>
                      <c:pt idx="73" formatCode="General">
                        <c:v>-39.403767038413875</c:v>
                      </c:pt>
                      <c:pt idx="74" formatCode="General">
                        <c:v>-39.636728624535316</c:v>
                      </c:pt>
                      <c:pt idx="75" formatCode="General">
                        <c:v>-39.869690210656749</c:v>
                      </c:pt>
                      <c:pt idx="76" formatCode="General">
                        <c:v>-40.10265179677819</c:v>
                      </c:pt>
                      <c:pt idx="77" formatCode="General">
                        <c:v>-40.335613382899624</c:v>
                      </c:pt>
                      <c:pt idx="78" formatCode="General">
                        <c:v>-40.568574969021064</c:v>
                      </c:pt>
                      <c:pt idx="79" formatCode="General">
                        <c:v>-40.791039603960392</c:v>
                      </c:pt>
                      <c:pt idx="80" formatCode="General">
                        <c:v>-40.9940099009901</c:v>
                      </c:pt>
                      <c:pt idx="81" formatCode="General">
                        <c:v>-41.196980198019801</c:v>
                      </c:pt>
                      <c:pt idx="82" formatCode="General">
                        <c:v>-41.399950495049502</c:v>
                      </c:pt>
                      <c:pt idx="83" formatCode="General">
                        <c:v>-41.60292079207921</c:v>
                      </c:pt>
                      <c:pt idx="84" formatCode="General">
                        <c:v>-41.805891089108911</c:v>
                      </c:pt>
                      <c:pt idx="85" formatCode="General">
                        <c:v>-42.008861386138612</c:v>
                      </c:pt>
                      <c:pt idx="86" formatCode="General">
                        <c:v>-42.21183168316832</c:v>
                      </c:pt>
                      <c:pt idx="87" formatCode="General">
                        <c:v>-42.414801980198021</c:v>
                      </c:pt>
                      <c:pt idx="88" formatCode="General">
                        <c:v>-42.617772277227722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150-44C4-AA95-EF648BCFE215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-22.163861386138617</c:v>
                      </c:pt>
                      <c:pt idx="2">
                        <c:v>-21.8470297029703</c:v>
                      </c:pt>
                      <c:pt idx="3">
                        <c:v>-21.541336633663366</c:v>
                      </c:pt>
                      <c:pt idx="4" formatCode="General">
                        <c:v>-21.40272277227723</c:v>
                      </c:pt>
                      <c:pt idx="5" formatCode="General">
                        <c:v>-21.264108910891089</c:v>
                      </c:pt>
                      <c:pt idx="6" formatCode="General">
                        <c:v>-21.2</c:v>
                      </c:pt>
                      <c:pt idx="7" formatCode="General">
                        <c:v>-21.2</c:v>
                      </c:pt>
                      <c:pt idx="8" formatCode="General">
                        <c:v>-21.200891089108911</c:v>
                      </c:pt>
                      <c:pt idx="9" formatCode="General">
                        <c:v>-21.272178217821782</c:v>
                      </c:pt>
                      <c:pt idx="10" formatCode="General">
                        <c:v>-21.343465346534654</c:v>
                      </c:pt>
                      <c:pt idx="11" formatCode="General">
                        <c:v>-21.428267326732673</c:v>
                      </c:pt>
                      <c:pt idx="12" formatCode="General">
                        <c:v>-21.52727722772277</c:v>
                      </c:pt>
                      <c:pt idx="13" formatCode="General">
                        <c:v>-21.626287128712871</c:v>
                      </c:pt>
                      <c:pt idx="14" formatCode="General">
                        <c:v>-21.729108910891089</c:v>
                      </c:pt>
                      <c:pt idx="15" formatCode="General">
                        <c:v>-21.832079207920792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-22.178663366336632</c:v>
                      </c:pt>
                      <c:pt idx="20" formatCode="General">
                        <c:v>-22.253910891089109</c:v>
                      </c:pt>
                      <c:pt idx="21" formatCode="General">
                        <c:v>-22.326089108910892</c:v>
                      </c:pt>
                      <c:pt idx="22" formatCode="General">
                        <c:v>-22.393415841584158</c:v>
                      </c:pt>
                      <c:pt idx="23" formatCode="General">
                        <c:v>-22.460742574257424</c:v>
                      </c:pt>
                      <c:pt idx="24" formatCode="General">
                        <c:v>-22.538656716417911</c:v>
                      </c:pt>
                      <c:pt idx="25" formatCode="General">
                        <c:v>-22.618258706467664</c:v>
                      </c:pt>
                      <c:pt idx="26" formatCode="General">
                        <c:v>-22.694950495049508</c:v>
                      </c:pt>
                      <c:pt idx="27" formatCode="General">
                        <c:v>-22.766237623762379</c:v>
                      </c:pt>
                      <c:pt idx="28" formatCode="General">
                        <c:v>-22.83752475247525</c:v>
                      </c:pt>
                      <c:pt idx="29" formatCode="General">
                        <c:v>-22.931683168316834</c:v>
                      </c:pt>
                      <c:pt idx="30" formatCode="General">
                        <c:v>-23.030693069306931</c:v>
                      </c:pt>
                      <c:pt idx="31" formatCode="General">
                        <c:v>-23.135643564356435</c:v>
                      </c:pt>
                      <c:pt idx="32" formatCode="General">
                        <c:v>-23.254455445544554</c:v>
                      </c:pt>
                      <c:pt idx="33" formatCode="General">
                        <c:v>-23.373267326732673</c:v>
                      </c:pt>
                      <c:pt idx="34" formatCode="General">
                        <c:v>-23.489009900990098</c:v>
                      </c:pt>
                      <c:pt idx="35" formatCode="General">
                        <c:v>-23.603861386138615</c:v>
                      </c:pt>
                      <c:pt idx="36" formatCode="General">
                        <c:v>-23.719702970297032</c:v>
                      </c:pt>
                      <c:pt idx="37" formatCode="General">
                        <c:v>-23.838514851485147</c:v>
                      </c:pt>
                      <c:pt idx="38" formatCode="General">
                        <c:v>-23.957326732673266</c:v>
                      </c:pt>
                      <c:pt idx="39" formatCode="General">
                        <c:v>-24.076138613861385</c:v>
                      </c:pt>
                      <c:pt idx="40" formatCode="General">
                        <c:v>-24.194950495049504</c:v>
                      </c:pt>
                      <c:pt idx="41" formatCode="General">
                        <c:v>-24.312970297029704</c:v>
                      </c:pt>
                      <c:pt idx="42" formatCode="General">
                        <c:v>-24.427821782178217</c:v>
                      </c:pt>
                      <c:pt idx="43" formatCode="General">
                        <c:v>-24.54267326732673</c:v>
                      </c:pt>
                      <c:pt idx="44" formatCode="General">
                        <c:v>-24.657524752475247</c:v>
                      </c:pt>
                      <c:pt idx="45" formatCode="General">
                        <c:v>-24.772376237623764</c:v>
                      </c:pt>
                      <c:pt idx="46" formatCode="General">
                        <c:v>-24.88722772277228</c:v>
                      </c:pt>
                      <c:pt idx="47" formatCode="General">
                        <c:v>-25.002079207920794</c:v>
                      </c:pt>
                      <c:pt idx="48" formatCode="General">
                        <c:v>-25.116930693069307</c:v>
                      </c:pt>
                      <c:pt idx="49" formatCode="General">
                        <c:v>-25.229392812887237</c:v>
                      </c:pt>
                      <c:pt idx="50" formatCode="General">
                        <c:v>-25.340421313506816</c:v>
                      </c:pt>
                      <c:pt idx="51" formatCode="General">
                        <c:v>-25.451449814126395</c:v>
                      </c:pt>
                      <c:pt idx="52" formatCode="General">
                        <c:v>-25.562478314745974</c:v>
                      </c:pt>
                      <c:pt idx="53" formatCode="General">
                        <c:v>-25.673506815365553</c:v>
                      </c:pt>
                      <c:pt idx="54" formatCode="General">
                        <c:v>-25.784535315985131</c:v>
                      </c:pt>
                      <c:pt idx="55" formatCode="General">
                        <c:v>-25.89556381660471</c:v>
                      </c:pt>
                      <c:pt idx="56" formatCode="General">
                        <c:v>-26.006592317224289</c:v>
                      </c:pt>
                      <c:pt idx="57" formatCode="General">
                        <c:v>-26.117620817843868</c:v>
                      </c:pt>
                      <c:pt idx="58" formatCode="General">
                        <c:v>-26.228649318463447</c:v>
                      </c:pt>
                      <c:pt idx="59" formatCode="General">
                        <c:v>-26.338007425742575</c:v>
                      </c:pt>
                      <c:pt idx="60" formatCode="General">
                        <c:v>-26.445928217821784</c:v>
                      </c:pt>
                      <c:pt idx="61" formatCode="General">
                        <c:v>-26.55384900990099</c:v>
                      </c:pt>
                      <c:pt idx="62" formatCode="General">
                        <c:v>-26.661769801980199</c:v>
                      </c:pt>
                      <c:pt idx="63" formatCode="General">
                        <c:v>-26.769690594059405</c:v>
                      </c:pt>
                      <c:pt idx="64" formatCode="General">
                        <c:v>-26.877611386138614</c:v>
                      </c:pt>
                      <c:pt idx="65" formatCode="General">
                        <c:v>-26.985532178217824</c:v>
                      </c:pt>
                      <c:pt idx="66" formatCode="General">
                        <c:v>-27.093452970297029</c:v>
                      </c:pt>
                      <c:pt idx="67" formatCode="General">
                        <c:v>-27.201373762376239</c:v>
                      </c:pt>
                      <c:pt idx="68" formatCode="General">
                        <c:v>-27.309294554455448</c:v>
                      </c:pt>
                      <c:pt idx="69" formatCode="General">
                        <c:v>-27.415105328376704</c:v>
                      </c:pt>
                      <c:pt idx="70" formatCode="General">
                        <c:v>-27.51820322180917</c:v>
                      </c:pt>
                      <c:pt idx="71" formatCode="General">
                        <c:v>-27.621301115241636</c:v>
                      </c:pt>
                      <c:pt idx="72" formatCode="General">
                        <c:v>-27.724399008674101</c:v>
                      </c:pt>
                      <c:pt idx="73" formatCode="General">
                        <c:v>-27.827496902106567</c:v>
                      </c:pt>
                      <c:pt idx="74" formatCode="General">
                        <c:v>-27.930594795539033</c:v>
                      </c:pt>
                      <c:pt idx="75" formatCode="General">
                        <c:v>-28.033692688971499</c:v>
                      </c:pt>
                      <c:pt idx="76" formatCode="General">
                        <c:v>-28.136790582403965</c:v>
                      </c:pt>
                      <c:pt idx="77" formatCode="General">
                        <c:v>-28.23988847583643</c:v>
                      </c:pt>
                      <c:pt idx="78" formatCode="General">
                        <c:v>-28.342986369268896</c:v>
                      </c:pt>
                      <c:pt idx="79" formatCode="General">
                        <c:v>-28.445</c:v>
                      </c:pt>
                      <c:pt idx="80" formatCode="General">
                        <c:v>-28.544999999999998</c:v>
                      </c:pt>
                      <c:pt idx="81" formatCode="General">
                        <c:v>-28.645</c:v>
                      </c:pt>
                      <c:pt idx="82" formatCode="General">
                        <c:v>-28.745000000000001</c:v>
                      </c:pt>
                      <c:pt idx="83" formatCode="General">
                        <c:v>-28.844999999999999</c:v>
                      </c:pt>
                      <c:pt idx="84" formatCode="General">
                        <c:v>-28.945</c:v>
                      </c:pt>
                      <c:pt idx="85" formatCode="General">
                        <c:v>-29.045000000000002</c:v>
                      </c:pt>
                      <c:pt idx="86" formatCode="General">
                        <c:v>-29.145</c:v>
                      </c:pt>
                      <c:pt idx="87" formatCode="General">
                        <c:v>-29.245000000000001</c:v>
                      </c:pt>
                      <c:pt idx="88" formatCode="General">
                        <c:v>-29.345000000000002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150-44C4-AA95-EF648BCFE215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150-44C4-AA95-EF648BCFE215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150-44C4-AA95-EF648BCFE215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150-44C4-AA95-EF648BCFE215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150-44C4-AA95-EF648BCFE215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35"/>
          <c:min val="-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44</xdr:col>
      <xdr:colOff>201706</xdr:colOff>
      <xdr:row>47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22492</xdr:colOff>
      <xdr:row>1</xdr:row>
      <xdr:rowOff>3523</xdr:rowOff>
    </xdr:from>
    <xdr:to>
      <xdr:col>50</xdr:col>
      <xdr:colOff>369794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41545</xdr:colOff>
      <xdr:row>114</xdr:row>
      <xdr:rowOff>266407</xdr:rowOff>
    </xdr:from>
    <xdr:to>
      <xdr:col>49</xdr:col>
      <xdr:colOff>791439</xdr:colOff>
      <xdr:row>133</xdr:row>
      <xdr:rowOff>99325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33617</xdr:rowOff>
    </xdr:from>
    <xdr:to>
      <xdr:col>49</xdr:col>
      <xdr:colOff>828335</xdr:colOff>
      <xdr:row>36</xdr:row>
      <xdr:rowOff>135476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46</xdr:col>
      <xdr:colOff>485775</xdr:colOff>
      <xdr:row>47</xdr:row>
      <xdr:rowOff>38100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22492</xdr:colOff>
      <xdr:row>1</xdr:row>
      <xdr:rowOff>3523</xdr:rowOff>
    </xdr:from>
    <xdr:to>
      <xdr:col>49</xdr:col>
      <xdr:colOff>876300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19050</xdr:colOff>
      <xdr:row>17</xdr:row>
      <xdr:rowOff>219074</xdr:rowOff>
    </xdr:from>
    <xdr:to>
      <xdr:col>49</xdr:col>
      <xdr:colOff>800100</xdr:colOff>
      <xdr:row>36</xdr:row>
      <xdr:rowOff>94574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857249</xdr:colOff>
      <xdr:row>115</xdr:row>
      <xdr:rowOff>238125</xdr:rowOff>
    </xdr:from>
    <xdr:to>
      <xdr:col>49</xdr:col>
      <xdr:colOff>751574</xdr:colOff>
      <xdr:row>134</xdr:row>
      <xdr:rowOff>113625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44</xdr:col>
      <xdr:colOff>201706</xdr:colOff>
      <xdr:row>47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22493</xdr:colOff>
      <xdr:row>0</xdr:row>
      <xdr:rowOff>1108423</xdr:rowOff>
    </xdr:from>
    <xdr:to>
      <xdr:col>49</xdr:col>
      <xdr:colOff>717177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75163</xdr:colOff>
      <xdr:row>115</xdr:row>
      <xdr:rowOff>19877</xdr:rowOff>
    </xdr:from>
    <xdr:to>
      <xdr:col>49</xdr:col>
      <xdr:colOff>825057</xdr:colOff>
      <xdr:row>133</xdr:row>
      <xdr:rowOff>121736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56029</xdr:colOff>
      <xdr:row>17</xdr:row>
      <xdr:rowOff>190501</xdr:rowOff>
    </xdr:from>
    <xdr:to>
      <xdr:col>49</xdr:col>
      <xdr:colOff>806823</xdr:colOff>
      <xdr:row>36</xdr:row>
      <xdr:rowOff>12618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47625</xdr:rowOff>
        </xdr:from>
        <xdr:to>
          <xdr:col>94</xdr:col>
          <xdr:colOff>647700</xdr:colOff>
          <xdr:row>0</xdr:row>
          <xdr:rowOff>381000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133</xdr:row>
      <xdr:rowOff>0</xdr:rowOff>
    </xdr:from>
    <xdr:to>
      <xdr:col>98</xdr:col>
      <xdr:colOff>5900</xdr:colOff>
      <xdr:row>146</xdr:row>
      <xdr:rowOff>72575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98</xdr:col>
      <xdr:colOff>0</xdr:colOff>
      <xdr:row>133</xdr:row>
      <xdr:rowOff>0</xdr:rowOff>
    </xdr:from>
    <xdr:to>
      <xdr:col>102</xdr:col>
      <xdr:colOff>5900</xdr:colOff>
      <xdr:row>146</xdr:row>
      <xdr:rowOff>72575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102</xdr:col>
      <xdr:colOff>0</xdr:colOff>
      <xdr:row>133</xdr:row>
      <xdr:rowOff>0</xdr:rowOff>
    </xdr:from>
    <xdr:to>
      <xdr:col>106</xdr:col>
      <xdr:colOff>5900</xdr:colOff>
      <xdr:row>146</xdr:row>
      <xdr:rowOff>72575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98</xdr:col>
      <xdr:colOff>0</xdr:colOff>
      <xdr:row>99</xdr:row>
      <xdr:rowOff>0</xdr:rowOff>
    </xdr:from>
    <xdr:to>
      <xdr:col>102</xdr:col>
      <xdr:colOff>5900</xdr:colOff>
      <xdr:row>132</xdr:row>
      <xdr:rowOff>53525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99</xdr:row>
      <xdr:rowOff>0</xdr:rowOff>
    </xdr:from>
    <xdr:to>
      <xdr:col>98</xdr:col>
      <xdr:colOff>5900</xdr:colOff>
      <xdr:row>132</xdr:row>
      <xdr:rowOff>53525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102</xdr:col>
      <xdr:colOff>0</xdr:colOff>
      <xdr:row>99</xdr:row>
      <xdr:rowOff>0</xdr:rowOff>
    </xdr:from>
    <xdr:to>
      <xdr:col>106</xdr:col>
      <xdr:colOff>5900</xdr:colOff>
      <xdr:row>132</xdr:row>
      <xdr:rowOff>53525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147</xdr:row>
      <xdr:rowOff>0</xdr:rowOff>
    </xdr:from>
    <xdr:to>
      <xdr:col>98</xdr:col>
      <xdr:colOff>5900</xdr:colOff>
      <xdr:row>160</xdr:row>
      <xdr:rowOff>112355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5-25-6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ues"/>
      <sheetName val="ALL"/>
      <sheetName val="FLUID"/>
      <sheetName val="SOLID"/>
      <sheetName val="EVALUATION"/>
      <sheetName val="data"/>
    </sheetNames>
    <sheetDataSet>
      <sheetData sheetId="0"/>
      <sheetData sheetId="1">
        <row r="3">
          <cell r="BB3">
            <v>0</v>
          </cell>
        </row>
      </sheetData>
      <sheetData sheetId="2">
        <row r="3">
          <cell r="BB3">
            <v>0</v>
          </cell>
        </row>
      </sheetData>
      <sheetData sheetId="3">
        <row r="3">
          <cell r="BB3">
            <v>0</v>
          </cell>
        </row>
      </sheetData>
      <sheetData sheetId="4">
        <row r="98">
          <cell r="A98">
            <v>700</v>
          </cell>
          <cell r="B98">
            <v>-184.14450450450451</v>
          </cell>
        </row>
        <row r="99">
          <cell r="A99">
            <v>700</v>
          </cell>
          <cell r="B99">
            <v>0</v>
          </cell>
        </row>
        <row r="100">
          <cell r="B100">
            <v>306</v>
          </cell>
          <cell r="C100">
            <v>314</v>
          </cell>
          <cell r="D100">
            <v>322</v>
          </cell>
          <cell r="E100">
            <v>330</v>
          </cell>
          <cell r="F100">
            <v>338</v>
          </cell>
          <cell r="G100">
            <v>346</v>
          </cell>
          <cell r="H100">
            <v>354</v>
          </cell>
          <cell r="I100">
            <v>362</v>
          </cell>
          <cell r="J100">
            <v>370</v>
          </cell>
          <cell r="K100">
            <v>378</v>
          </cell>
          <cell r="L100">
            <v>386</v>
          </cell>
          <cell r="M100">
            <v>394</v>
          </cell>
          <cell r="N100">
            <v>402</v>
          </cell>
          <cell r="O100">
            <v>410</v>
          </cell>
          <cell r="P100">
            <v>418</v>
          </cell>
          <cell r="Q100">
            <v>426</v>
          </cell>
          <cell r="R100">
            <v>434</v>
          </cell>
          <cell r="S100">
            <v>442</v>
          </cell>
          <cell r="T100">
            <v>450</v>
          </cell>
          <cell r="U100">
            <v>458</v>
          </cell>
          <cell r="V100">
            <v>466</v>
          </cell>
          <cell r="W100">
            <v>474</v>
          </cell>
          <cell r="X100">
            <v>482</v>
          </cell>
          <cell r="Y100">
            <v>490</v>
          </cell>
          <cell r="Z100">
            <v>498</v>
          </cell>
          <cell r="AA100">
            <v>506</v>
          </cell>
          <cell r="AB100">
            <v>514</v>
          </cell>
          <cell r="AC100">
            <v>522</v>
          </cell>
          <cell r="AD100">
            <v>530</v>
          </cell>
          <cell r="AE100">
            <v>538</v>
          </cell>
          <cell r="AF100">
            <v>546</v>
          </cell>
          <cell r="AG100">
            <v>554</v>
          </cell>
          <cell r="AH100">
            <v>562</v>
          </cell>
          <cell r="AI100">
            <v>570</v>
          </cell>
          <cell r="AJ100">
            <v>578</v>
          </cell>
          <cell r="AK100">
            <v>586</v>
          </cell>
          <cell r="AL100">
            <v>594</v>
          </cell>
          <cell r="AM100">
            <v>602</v>
          </cell>
          <cell r="AN100">
            <v>610</v>
          </cell>
          <cell r="AO100">
            <v>618</v>
          </cell>
          <cell r="AP100">
            <v>626</v>
          </cell>
          <cell r="AQ100">
            <v>634</v>
          </cell>
          <cell r="AR100">
            <v>642</v>
          </cell>
          <cell r="AS100">
            <v>650</v>
          </cell>
          <cell r="AT100">
            <v>658</v>
          </cell>
          <cell r="AU100">
            <v>666</v>
          </cell>
          <cell r="AV100">
            <v>674</v>
          </cell>
          <cell r="AW100">
            <v>682</v>
          </cell>
          <cell r="AX100">
            <v>690</v>
          </cell>
          <cell r="AY100">
            <v>698</v>
          </cell>
          <cell r="AZ100">
            <v>706</v>
          </cell>
          <cell r="BA100">
            <v>714</v>
          </cell>
          <cell r="BB100">
            <v>722</v>
          </cell>
          <cell r="BC100">
            <v>730</v>
          </cell>
          <cell r="BD100">
            <v>738</v>
          </cell>
          <cell r="BE100">
            <v>746</v>
          </cell>
          <cell r="BF100">
            <v>754</v>
          </cell>
          <cell r="BG100">
            <v>762</v>
          </cell>
          <cell r="BH100">
            <v>770</v>
          </cell>
          <cell r="BI100">
            <v>778</v>
          </cell>
          <cell r="BJ100">
            <v>786</v>
          </cell>
          <cell r="BK100">
            <v>794</v>
          </cell>
          <cell r="BL100">
            <v>802</v>
          </cell>
          <cell r="BM100">
            <v>810</v>
          </cell>
          <cell r="BN100">
            <v>818</v>
          </cell>
          <cell r="BO100">
            <v>826</v>
          </cell>
          <cell r="BP100">
            <v>834</v>
          </cell>
          <cell r="BQ100">
            <v>842</v>
          </cell>
          <cell r="BR100">
            <v>850</v>
          </cell>
          <cell r="BS100">
            <v>858</v>
          </cell>
          <cell r="BT100">
            <v>866</v>
          </cell>
          <cell r="BU100">
            <v>874</v>
          </cell>
          <cell r="BV100">
            <v>882</v>
          </cell>
          <cell r="BW100">
            <v>890</v>
          </cell>
          <cell r="BX100">
            <v>898</v>
          </cell>
          <cell r="BY100">
            <v>906</v>
          </cell>
          <cell r="BZ100">
            <v>914</v>
          </cell>
          <cell r="CA100">
            <v>922</v>
          </cell>
          <cell r="CB100">
            <v>930</v>
          </cell>
          <cell r="CC100">
            <v>938</v>
          </cell>
          <cell r="CD100">
            <v>946</v>
          </cell>
          <cell r="CE100">
            <v>954</v>
          </cell>
          <cell r="CF100">
            <v>962</v>
          </cell>
          <cell r="CG100">
            <v>970</v>
          </cell>
          <cell r="CH100">
            <v>978</v>
          </cell>
          <cell r="CI100">
            <v>986</v>
          </cell>
          <cell r="CJ100">
            <v>994</v>
          </cell>
          <cell r="CK100"/>
          <cell r="CL100"/>
          <cell r="CM100"/>
          <cell r="CN100"/>
          <cell r="CO100"/>
          <cell r="CP100"/>
        </row>
        <row r="101">
          <cell r="B101">
            <v>-15.118108108108107</v>
          </cell>
          <cell r="C101">
            <v>-14.88027027027027</v>
          </cell>
          <cell r="D101">
            <v>-14.642432432432432</v>
          </cell>
          <cell r="E101">
            <v>-14.404594594594593</v>
          </cell>
          <cell r="F101">
            <v>-13.959101796407184</v>
          </cell>
          <cell r="G101">
            <v>-13.46568862275449</v>
          </cell>
          <cell r="H101">
            <v>-12.972275449101796</v>
          </cell>
          <cell r="I101">
            <v>-12.478862275449101</v>
          </cell>
          <cell r="J101">
            <v>-11.950329341317365</v>
          </cell>
          <cell r="K101">
            <v>-11.40182634730539</v>
          </cell>
          <cell r="L101">
            <v>-10.853323353293414</v>
          </cell>
          <cell r="M101">
            <v>-10.304820359281438</v>
          </cell>
          <cell r="N101">
            <v>-9.7896616766467073</v>
          </cell>
          <cell r="O101">
            <v>-9.3132544910179647</v>
          </cell>
          <cell r="P101">
            <v>-8.836847305389222</v>
          </cell>
          <cell r="Q101">
            <v>-8.3604401197604794</v>
          </cell>
          <cell r="R101">
            <v>-7.9011107784431145</v>
          </cell>
          <cell r="S101">
            <v>-7.4841047904191624</v>
          </cell>
          <cell r="T101">
            <v>-7.0670988023952104</v>
          </cell>
          <cell r="U101">
            <v>-6.6500928143712592</v>
          </cell>
          <cell r="V101">
            <v>-6.2383952095808395</v>
          </cell>
          <cell r="W101">
            <v>-5.8685748502994022</v>
          </cell>
          <cell r="X101">
            <v>-5.4987544910179649</v>
          </cell>
          <cell r="Y101">
            <v>-5.1289341317365267</v>
          </cell>
          <cell r="Z101">
            <v>-4.7591137724550894</v>
          </cell>
          <cell r="AA101">
            <v>-4.6019909909909904</v>
          </cell>
          <cell r="AB101">
            <v>-4.4590480480480474</v>
          </cell>
          <cell r="AC101">
            <v>-4.3161051051051045</v>
          </cell>
          <cell r="AD101">
            <v>-4.1731621621621615</v>
          </cell>
          <cell r="AE101">
            <v>-4.1562215568862273</v>
          </cell>
          <cell r="AF101">
            <v>-4.1758622754491022</v>
          </cell>
          <cell r="AG101">
            <v>-4.1955029940119761</v>
          </cell>
          <cell r="AH101">
            <v>-4.2151437125748501</v>
          </cell>
          <cell r="AI101">
            <v>-4.2348562874251492</v>
          </cell>
          <cell r="AJ101">
            <v>-4.2546167664670653</v>
          </cell>
          <cell r="AK101">
            <v>-4.2743772455089815</v>
          </cell>
          <cell r="AL101">
            <v>-4.2941377245508976</v>
          </cell>
          <cell r="AM101">
            <v>-4.3138982035928146</v>
          </cell>
          <cell r="AN101">
            <v>-4.3336586826347308</v>
          </cell>
          <cell r="AO101">
            <v>-4.3534191616766469</v>
          </cell>
          <cell r="AP101">
            <v>-4.373179640718563</v>
          </cell>
          <cell r="AQ101">
            <v>-4.3929401197604792</v>
          </cell>
          <cell r="AR101">
            <v>-4.4127005988023953</v>
          </cell>
          <cell r="AS101">
            <v>-4.4324610778443114</v>
          </cell>
          <cell r="AT101">
            <v>-4.4522215568862276</v>
          </cell>
          <cell r="AU101">
            <v>-4.4719820359281437</v>
          </cell>
          <cell r="AV101">
            <v>-4.4917425149700598</v>
          </cell>
          <cell r="AW101">
            <v>-4.511502994011976</v>
          </cell>
          <cell r="AX101">
            <v>-4.5312634730538921</v>
          </cell>
          <cell r="AY101">
            <v>-4.5510239520958082</v>
          </cell>
          <cell r="AZ101">
            <v>-4.5702584269662925</v>
          </cell>
          <cell r="BA101">
            <v>-4.5894344569288394</v>
          </cell>
          <cell r="BB101">
            <v>-4.6086104868913855</v>
          </cell>
          <cell r="BC101">
            <v>-4.6277865168539325</v>
          </cell>
          <cell r="BD101">
            <v>-4.6469625468164795</v>
          </cell>
          <cell r="BE101">
            <v>-4.6661385767790264</v>
          </cell>
          <cell r="BF101">
            <v>-4.6853146067415734</v>
          </cell>
          <cell r="BG101">
            <v>-4.7044906367041204</v>
          </cell>
          <cell r="BH101">
            <v>-4.7236666666666665</v>
          </cell>
          <cell r="BI101">
            <v>-4.7428426966292134</v>
          </cell>
          <cell r="BJ101">
            <v>-4.7620187265917604</v>
          </cell>
          <cell r="BK101">
            <v>-4.7811947565543074</v>
          </cell>
          <cell r="BL101">
            <v>-4.8003707865168543</v>
          </cell>
          <cell r="BM101">
            <v>-4.8195468164794013</v>
          </cell>
          <cell r="BN101">
            <v>-4.8387228464419483</v>
          </cell>
          <cell r="BO101">
            <v>-4.8578988764044944</v>
          </cell>
          <cell r="BP101">
            <v>-4.8768456928838955</v>
          </cell>
          <cell r="BQ101">
            <v>-4.8949430711610491</v>
          </cell>
          <cell r="BR101">
            <v>-4.9130404494382027</v>
          </cell>
          <cell r="BS101">
            <v>-4.9311378277153564</v>
          </cell>
          <cell r="BT101">
            <v>-4.94923520599251</v>
          </cell>
          <cell r="BU101">
            <v>-4.9673325842696627</v>
          </cell>
          <cell r="BV101">
            <v>-4.9854299625468164</v>
          </cell>
          <cell r="BW101">
            <v>-5.00352734082397</v>
          </cell>
          <cell r="BX101">
            <v>-5.0216247191011236</v>
          </cell>
          <cell r="BY101">
            <v>-5.0397220973782773</v>
          </cell>
          <cell r="BZ101">
            <v>-5.0578194756554309</v>
          </cell>
          <cell r="CA101">
            <v>-5.0759168539325845</v>
          </cell>
          <cell r="CB101">
            <v>-5.0940142322097381</v>
          </cell>
          <cell r="CC101">
            <v>-5.1121116104868918</v>
          </cell>
          <cell r="CD101">
            <v>-5.1302089887640445</v>
          </cell>
          <cell r="CE101">
            <v>-5.1483063670411982</v>
          </cell>
          <cell r="CF101">
            <v>-5.1664037453183518</v>
          </cell>
          <cell r="CG101">
            <v>-5.1840538922155686</v>
          </cell>
          <cell r="CH101">
            <v>-5.2012994011976046</v>
          </cell>
          <cell r="CI101">
            <v>-5.2185449101796406</v>
          </cell>
          <cell r="CJ101">
            <v>-5.2357904191616766</v>
          </cell>
        </row>
        <row r="103">
          <cell r="B103">
            <v>-36.591171171171169</v>
          </cell>
          <cell r="C103">
            <v>-35.925705705705703</v>
          </cell>
          <cell r="D103">
            <v>-35.260240240240236</v>
          </cell>
          <cell r="E103">
            <v>-34.594774774774777</v>
          </cell>
          <cell r="F103">
            <v>-34.041856287425148</v>
          </cell>
          <cell r="G103">
            <v>-33.514910179640715</v>
          </cell>
          <cell r="H103">
            <v>-32.987964071856283</v>
          </cell>
          <cell r="I103">
            <v>-32.46101796407185</v>
          </cell>
          <cell r="J103">
            <v>-31.996676646706582</v>
          </cell>
          <cell r="K103">
            <v>-31.567934131736521</v>
          </cell>
          <cell r="L103">
            <v>-31.139191616766464</v>
          </cell>
          <cell r="M103">
            <v>-30.710449101796403</v>
          </cell>
          <cell r="N103">
            <v>-30.316158682634729</v>
          </cell>
          <cell r="O103">
            <v>-29.961907185628743</v>
          </cell>
          <cell r="P103">
            <v>-29.607655688622753</v>
          </cell>
          <cell r="Q103">
            <v>-29.253404191616767</v>
          </cell>
          <cell r="R103">
            <v>-28.916230538922157</v>
          </cell>
          <cell r="S103">
            <v>-28.62138023952096</v>
          </cell>
          <cell r="T103">
            <v>-28.326529940119762</v>
          </cell>
          <cell r="U103">
            <v>-28.031679640718565</v>
          </cell>
          <cell r="V103">
            <v>-27.742407185628743</v>
          </cell>
          <cell r="W103">
            <v>-27.4971377245509</v>
          </cell>
          <cell r="X103">
            <v>-27.251868263473057</v>
          </cell>
          <cell r="Y103">
            <v>-27.00659880239521</v>
          </cell>
          <cell r="Z103">
            <v>-26.761329341317367</v>
          </cell>
          <cell r="AA103">
            <v>-26.724603603603605</v>
          </cell>
          <cell r="AB103">
            <v>-26.701780780780783</v>
          </cell>
          <cell r="AC103">
            <v>-26.678957957957962</v>
          </cell>
          <cell r="AD103">
            <v>-26.656135135135138</v>
          </cell>
          <cell r="AE103">
            <v>-26.760892215568866</v>
          </cell>
          <cell r="AF103">
            <v>-26.902688622754493</v>
          </cell>
          <cell r="AG103">
            <v>-27.04448502994012</v>
          </cell>
          <cell r="AH103">
            <v>-27.186281437125746</v>
          </cell>
          <cell r="AI103">
            <v>-27.324556886227544</v>
          </cell>
          <cell r="AJ103">
            <v>-27.460485029940116</v>
          </cell>
          <cell r="AK103">
            <v>-27.596413173652692</v>
          </cell>
          <cell r="AL103">
            <v>-27.732341317365268</v>
          </cell>
          <cell r="AM103">
            <v>-27.868269461077844</v>
          </cell>
          <cell r="AN103">
            <v>-28.00419760479042</v>
          </cell>
          <cell r="AO103">
            <v>-28.140125748502992</v>
          </cell>
          <cell r="AP103">
            <v>-28.276053892215568</v>
          </cell>
          <cell r="AQ103">
            <v>-28.411982035928144</v>
          </cell>
          <cell r="AR103">
            <v>-28.54791017964072</v>
          </cell>
          <cell r="AS103">
            <v>-28.683838323353296</v>
          </cell>
          <cell r="AT103">
            <v>-28.819766467065868</v>
          </cell>
          <cell r="AU103">
            <v>-28.955694610778444</v>
          </cell>
          <cell r="AV103">
            <v>-29.09162275449102</v>
          </cell>
          <cell r="AW103">
            <v>-29.227550898203596</v>
          </cell>
          <cell r="AX103">
            <v>-29.363479041916172</v>
          </cell>
          <cell r="AY103">
            <v>-29.499407185628744</v>
          </cell>
          <cell r="AZ103">
            <v>-29.627876404494383</v>
          </cell>
          <cell r="BA103">
            <v>-29.755516853932587</v>
          </cell>
          <cell r="BB103">
            <v>-29.88315730337079</v>
          </cell>
          <cell r="BC103">
            <v>-30.01079775280899</v>
          </cell>
          <cell r="BD103">
            <v>-30.138438202247194</v>
          </cell>
          <cell r="BE103">
            <v>-30.266078651685394</v>
          </cell>
          <cell r="BF103">
            <v>-30.393719101123597</v>
          </cell>
          <cell r="BG103">
            <v>-30.521359550561801</v>
          </cell>
          <cell r="BH103">
            <v>-30.649000000000001</v>
          </cell>
          <cell r="BI103">
            <v>-30.776640449438204</v>
          </cell>
          <cell r="BJ103">
            <v>-30.904280898876408</v>
          </cell>
          <cell r="BK103">
            <v>-31.031921348314608</v>
          </cell>
          <cell r="BL103">
            <v>-31.159561797752811</v>
          </cell>
          <cell r="BM103">
            <v>-31.287202247191011</v>
          </cell>
          <cell r="BN103">
            <v>-31.414842696629215</v>
          </cell>
          <cell r="BO103">
            <v>-31.542483146067418</v>
          </cell>
          <cell r="BP103">
            <v>-31.668748314606741</v>
          </cell>
          <cell r="BQ103">
            <v>-31.789916853932585</v>
          </cell>
          <cell r="BR103">
            <v>-31.911085393258428</v>
          </cell>
          <cell r="BS103">
            <v>-32.032253932584268</v>
          </cell>
          <cell r="BT103">
            <v>-32.153422471910112</v>
          </cell>
          <cell r="BU103">
            <v>-32.274591011235955</v>
          </cell>
          <cell r="BV103">
            <v>-32.395759550561799</v>
          </cell>
          <cell r="BW103">
            <v>-32.516928089887642</v>
          </cell>
          <cell r="BX103">
            <v>-32.638096629213486</v>
          </cell>
          <cell r="BY103">
            <v>-32.759265168539329</v>
          </cell>
          <cell r="BZ103">
            <v>-32.880433707865166</v>
          </cell>
          <cell r="CA103">
            <v>-33.001602247191009</v>
          </cell>
          <cell r="CB103">
            <v>-33.122770786516853</v>
          </cell>
          <cell r="CC103">
            <v>-33.243939325842696</v>
          </cell>
          <cell r="CD103">
            <v>-33.36510786516854</v>
          </cell>
          <cell r="CE103">
            <v>-33.486276404494383</v>
          </cell>
          <cell r="CF103">
            <v>-33.607444943820227</v>
          </cell>
          <cell r="CG103">
            <v>-33.725610778443112</v>
          </cell>
          <cell r="CH103">
            <v>-33.84105988023952</v>
          </cell>
          <cell r="CI103">
            <v>-33.956508982035928</v>
          </cell>
          <cell r="CJ103">
            <v>-34.071958083832335</v>
          </cell>
        </row>
        <row r="104">
          <cell r="B104">
            <v>-59.678288288288286</v>
          </cell>
          <cell r="C104">
            <v>-58.332942942942942</v>
          </cell>
          <cell r="D104">
            <v>-56.987597597597599</v>
          </cell>
          <cell r="E104">
            <v>-55.642252252252256</v>
          </cell>
          <cell r="F104">
            <v>-54.130868263473054</v>
          </cell>
          <cell r="G104">
            <v>-52.581167664670659</v>
          </cell>
          <cell r="H104">
            <v>-51.031467065868263</v>
          </cell>
          <cell r="I104">
            <v>-49.481766467065867</v>
          </cell>
          <cell r="J104">
            <v>-47.964131736526944</v>
          </cell>
          <cell r="K104">
            <v>-46.464730538922154</v>
          </cell>
          <cell r="L104">
            <v>-44.965329341317364</v>
          </cell>
          <cell r="M104">
            <v>-43.465928143712574</v>
          </cell>
          <cell r="N104">
            <v>-42.064011976047901</v>
          </cell>
          <cell r="O104">
            <v>-40.775389221556885</v>
          </cell>
          <cell r="P104">
            <v>-39.48676646706587</v>
          </cell>
          <cell r="Q104">
            <v>-38.198143712574847</v>
          </cell>
          <cell r="R104">
            <v>-36.957724550898206</v>
          </cell>
          <cell r="S104">
            <v>-35.836766467065871</v>
          </cell>
          <cell r="T104">
            <v>-34.715808383233536</v>
          </cell>
          <cell r="U104">
            <v>-33.594850299401202</v>
          </cell>
          <cell r="V104">
            <v>-32.488982035928146</v>
          </cell>
          <cell r="W104">
            <v>-31.502155688622757</v>
          </cell>
          <cell r="X104">
            <v>-30.515329341317369</v>
          </cell>
          <cell r="Y104">
            <v>-29.528502994011976</v>
          </cell>
          <cell r="Z104">
            <v>-28.541676646706588</v>
          </cell>
          <cell r="AA104">
            <v>-27.788558558558559</v>
          </cell>
          <cell r="AB104">
            <v>-27.051021021021018</v>
          </cell>
          <cell r="AC104">
            <v>-26.313483483483481</v>
          </cell>
          <cell r="AD104">
            <v>-25.575945945945943</v>
          </cell>
          <cell r="AE104">
            <v>-25.655029940119761</v>
          </cell>
          <cell r="AF104">
            <v>-25.971197604790419</v>
          </cell>
          <cell r="AG104">
            <v>-26.287365269461077</v>
          </cell>
          <cell r="AH104">
            <v>-26.603532934131735</v>
          </cell>
          <cell r="AI104">
            <v>-26.911437125748503</v>
          </cell>
          <cell r="AJ104">
            <v>-27.213832335329339</v>
          </cell>
          <cell r="AK104">
            <v>-27.51622754491018</v>
          </cell>
          <cell r="AL104">
            <v>-27.818622754491017</v>
          </cell>
          <cell r="AM104">
            <v>-28.121017964071857</v>
          </cell>
          <cell r="AN104">
            <v>-28.423413173652694</v>
          </cell>
          <cell r="AO104">
            <v>-28.725808383233534</v>
          </cell>
          <cell r="AP104">
            <v>-29.028203592814371</v>
          </cell>
          <cell r="AQ104">
            <v>-29.330598802395212</v>
          </cell>
          <cell r="AR104">
            <v>-29.632994011976049</v>
          </cell>
          <cell r="AS104">
            <v>-29.935389221556889</v>
          </cell>
          <cell r="AT104">
            <v>-30.237784431137726</v>
          </cell>
          <cell r="AU104">
            <v>-30.540179640718566</v>
          </cell>
          <cell r="AV104">
            <v>-30.842574850299403</v>
          </cell>
          <cell r="AW104">
            <v>-31.144970059880244</v>
          </cell>
          <cell r="AX104">
            <v>-31.447365269461081</v>
          </cell>
          <cell r="AY104">
            <v>-31.749760479041917</v>
          </cell>
          <cell r="AZ104">
            <v>-32.022696629213485</v>
          </cell>
          <cell r="BA104">
            <v>-32.292359550561798</v>
          </cell>
          <cell r="BB104">
            <v>-32.562022471910112</v>
          </cell>
          <cell r="BC104">
            <v>-32.831685393258432</v>
          </cell>
          <cell r="BD104">
            <v>-33.101348314606746</v>
          </cell>
          <cell r="BE104">
            <v>-33.371011235955059</v>
          </cell>
          <cell r="BF104">
            <v>-33.640674157303373</v>
          </cell>
          <cell r="BG104">
            <v>-33.910337078651686</v>
          </cell>
          <cell r="BH104">
            <v>-34.18</v>
          </cell>
          <cell r="BI104">
            <v>-34.44966292134832</v>
          </cell>
          <cell r="BJ104">
            <v>-34.719325842696634</v>
          </cell>
          <cell r="BK104">
            <v>-34.988988764044947</v>
          </cell>
          <cell r="BL104">
            <v>-35.258651685393261</v>
          </cell>
          <cell r="BM104">
            <v>-35.528314606741574</v>
          </cell>
          <cell r="BN104">
            <v>-35.797977528089888</v>
          </cell>
          <cell r="BO104">
            <v>-36.067640449438201</v>
          </cell>
          <cell r="BP104">
            <v>-36.328007490636708</v>
          </cell>
          <cell r="BQ104">
            <v>-36.553925093632962</v>
          </cell>
          <cell r="BR104">
            <v>-36.779842696629217</v>
          </cell>
          <cell r="BS104">
            <v>-37.005760299625472</v>
          </cell>
          <cell r="BT104">
            <v>-37.231677902621726</v>
          </cell>
          <cell r="BU104">
            <v>-37.457595505617981</v>
          </cell>
          <cell r="BV104">
            <v>-37.683513108614235</v>
          </cell>
          <cell r="BW104">
            <v>-37.90943071161049</v>
          </cell>
          <cell r="BX104">
            <v>-38.135348314606745</v>
          </cell>
          <cell r="BY104">
            <v>-38.361265917602999</v>
          </cell>
          <cell r="BZ104">
            <v>-38.587183520599254</v>
          </cell>
          <cell r="CA104">
            <v>-38.813101123595509</v>
          </cell>
          <cell r="CB104">
            <v>-39.039018726591763</v>
          </cell>
          <cell r="CC104">
            <v>-39.264936329588011</v>
          </cell>
          <cell r="CD104">
            <v>-39.490853932584265</v>
          </cell>
          <cell r="CE104">
            <v>-39.71677153558052</v>
          </cell>
          <cell r="CF104">
            <v>-39.942689138576775</v>
          </cell>
          <cell r="CG104">
            <v>-40.151856287425147</v>
          </cell>
          <cell r="CH104">
            <v>-40.345868263473051</v>
          </cell>
          <cell r="CI104">
            <v>-40.539880239520954</v>
          </cell>
          <cell r="CJ104">
            <v>-40.733892215568858</v>
          </cell>
        </row>
        <row r="105">
          <cell r="B105">
            <v>-15.118108108108107</v>
          </cell>
          <cell r="C105">
            <v>-14.88027027027027</v>
          </cell>
          <cell r="D105">
            <v>-14.642432432432432</v>
          </cell>
          <cell r="E105">
            <v>-14.404594594594593</v>
          </cell>
          <cell r="F105">
            <v>-13.959101796407184</v>
          </cell>
          <cell r="G105">
            <v>-13.46568862275449</v>
          </cell>
          <cell r="H105">
            <v>-12.972275449101796</v>
          </cell>
          <cell r="I105">
            <v>-12.478862275449101</v>
          </cell>
          <cell r="J105">
            <v>-11.950329341317365</v>
          </cell>
          <cell r="K105">
            <v>-11.40182634730539</v>
          </cell>
          <cell r="L105">
            <v>-10.853323353293414</v>
          </cell>
          <cell r="M105">
            <v>-10.304820359281438</v>
          </cell>
          <cell r="N105">
            <v>-9.7896616766467073</v>
          </cell>
          <cell r="O105">
            <v>-9.3132544910179647</v>
          </cell>
          <cell r="P105">
            <v>-8.836847305389222</v>
          </cell>
          <cell r="Q105">
            <v>-8.3604401197604794</v>
          </cell>
          <cell r="R105">
            <v>-7.9011107784431145</v>
          </cell>
          <cell r="S105">
            <v>-7.4841047904191624</v>
          </cell>
          <cell r="T105">
            <v>-7.0670988023952104</v>
          </cell>
          <cell r="U105">
            <v>-6.6500928143712592</v>
          </cell>
          <cell r="V105">
            <v>-6.2383952095808395</v>
          </cell>
          <cell r="W105">
            <v>-5.8685748502994022</v>
          </cell>
          <cell r="X105">
            <v>-5.4987544910179649</v>
          </cell>
          <cell r="Y105">
            <v>-5.1289341317365267</v>
          </cell>
          <cell r="Z105">
            <v>-4.7591137724550894</v>
          </cell>
          <cell r="AA105">
            <v>-4.6019909909909904</v>
          </cell>
          <cell r="AB105">
            <v>-4.4590480480480474</v>
          </cell>
          <cell r="AC105">
            <v>-4.3161051051051045</v>
          </cell>
          <cell r="AD105">
            <v>-4.1731621621621615</v>
          </cell>
          <cell r="AE105">
            <v>-4.1562215568862273</v>
          </cell>
          <cell r="AF105">
            <v>-4.1758622754491022</v>
          </cell>
          <cell r="AG105">
            <v>-4.1955029940119761</v>
          </cell>
          <cell r="AH105">
            <v>-4.2151437125748501</v>
          </cell>
          <cell r="AI105">
            <v>-4.2348562874251492</v>
          </cell>
          <cell r="AJ105">
            <v>-4.2546167664670653</v>
          </cell>
          <cell r="AK105">
            <v>-4.2743772455089815</v>
          </cell>
          <cell r="AL105">
            <v>-4.2941377245508976</v>
          </cell>
          <cell r="AM105">
            <v>-4.3138982035928146</v>
          </cell>
          <cell r="AN105">
            <v>-4.3336586826347308</v>
          </cell>
          <cell r="AO105">
            <v>-4.3534191616766469</v>
          </cell>
          <cell r="AP105">
            <v>-4.373179640718563</v>
          </cell>
          <cell r="AQ105">
            <v>-4.3929401197604792</v>
          </cell>
          <cell r="AR105">
            <v>-4.4127005988023953</v>
          </cell>
          <cell r="AS105">
            <v>-4.4324610778443114</v>
          </cell>
          <cell r="AT105">
            <v>-4.4522215568862276</v>
          </cell>
          <cell r="AU105">
            <v>-4.4719820359281437</v>
          </cell>
          <cell r="AV105">
            <v>-4.4917425149700598</v>
          </cell>
          <cell r="AW105">
            <v>-4.511502994011976</v>
          </cell>
          <cell r="AX105">
            <v>-4.5312634730538921</v>
          </cell>
          <cell r="AY105">
            <v>-4.5510239520958082</v>
          </cell>
          <cell r="AZ105">
            <v>-4.5702584269662925</v>
          </cell>
          <cell r="BA105">
            <v>-4.5894344569288394</v>
          </cell>
          <cell r="BB105">
            <v>-4.6086104868913855</v>
          </cell>
          <cell r="BC105">
            <v>-4.6277865168539325</v>
          </cell>
          <cell r="BD105">
            <v>-4.6469625468164795</v>
          </cell>
          <cell r="BE105">
            <v>-4.6661385767790264</v>
          </cell>
          <cell r="BF105">
            <v>-4.6853146067415734</v>
          </cell>
          <cell r="BG105">
            <v>-4.7044906367041204</v>
          </cell>
          <cell r="BH105">
            <v>-4.7236666666666665</v>
          </cell>
          <cell r="BI105">
            <v>-4.7428426966292134</v>
          </cell>
          <cell r="BJ105">
            <v>-4.7620187265917604</v>
          </cell>
          <cell r="BK105">
            <v>-4.7811947565543074</v>
          </cell>
          <cell r="BL105">
            <v>-4.8003707865168543</v>
          </cell>
          <cell r="BM105">
            <v>-4.8195468164794013</v>
          </cell>
          <cell r="BN105">
            <v>-4.8387228464419483</v>
          </cell>
          <cell r="BO105">
            <v>-4.8578988764044944</v>
          </cell>
          <cell r="BP105">
            <v>-4.8768456928838955</v>
          </cell>
          <cell r="BQ105">
            <v>-4.8949430711610491</v>
          </cell>
          <cell r="BR105">
            <v>-4.9130404494382027</v>
          </cell>
          <cell r="BS105">
            <v>-4.9311378277153564</v>
          </cell>
          <cell r="BT105">
            <v>-4.94923520599251</v>
          </cell>
          <cell r="BU105">
            <v>-4.9673325842696627</v>
          </cell>
          <cell r="BV105">
            <v>-4.9854299625468164</v>
          </cell>
          <cell r="BW105">
            <v>-5.00352734082397</v>
          </cell>
          <cell r="BX105">
            <v>-5.0216247191011236</v>
          </cell>
          <cell r="BY105">
            <v>-5.0397220973782773</v>
          </cell>
          <cell r="BZ105">
            <v>-5.0578194756554309</v>
          </cell>
          <cell r="CA105">
            <v>-5.0759168539325845</v>
          </cell>
          <cell r="CB105">
            <v>-5.0940142322097381</v>
          </cell>
          <cell r="CC105">
            <v>-5.1121116104868918</v>
          </cell>
          <cell r="CD105">
            <v>-5.1302089887640445</v>
          </cell>
          <cell r="CE105">
            <v>-5.1483063670411982</v>
          </cell>
          <cell r="CF105">
            <v>-5.1664037453183518</v>
          </cell>
          <cell r="CG105">
            <v>-5.1840538922155686</v>
          </cell>
          <cell r="CH105">
            <v>-5.2012994011976046</v>
          </cell>
          <cell r="CI105">
            <v>-5.2185449101796406</v>
          </cell>
          <cell r="CJ105">
            <v>-5.2357904191616766</v>
          </cell>
        </row>
        <row r="106">
          <cell r="B106">
            <v>-21.473063063063062</v>
          </cell>
          <cell r="C106">
            <v>-21.045435435435436</v>
          </cell>
          <cell r="D106">
            <v>-20.617807807807807</v>
          </cell>
          <cell r="E106">
            <v>-20.190180180180178</v>
          </cell>
          <cell r="F106">
            <v>-20.082754491017962</v>
          </cell>
          <cell r="G106">
            <v>-20.049221556886227</v>
          </cell>
          <cell r="H106">
            <v>-20.015688622754489</v>
          </cell>
          <cell r="I106">
            <v>-19.982155688622754</v>
          </cell>
          <cell r="J106">
            <v>-20.046347305389222</v>
          </cell>
          <cell r="K106">
            <v>-20.166107784431137</v>
          </cell>
          <cell r="L106">
            <v>-20.285868263473052</v>
          </cell>
          <cell r="M106">
            <v>-20.40562874251497</v>
          </cell>
          <cell r="N106">
            <v>-20.526497005988023</v>
          </cell>
          <cell r="O106">
            <v>-20.648652694610778</v>
          </cell>
          <cell r="P106">
            <v>-20.770808383233533</v>
          </cell>
          <cell r="Q106">
            <v>-20.892964071856287</v>
          </cell>
          <cell r="R106">
            <v>-21.015119760479042</v>
          </cell>
          <cell r="S106">
            <v>-21.137275449101796</v>
          </cell>
          <cell r="T106">
            <v>-21.259431137724551</v>
          </cell>
          <cell r="U106">
            <v>-21.381586826347306</v>
          </cell>
          <cell r="V106">
            <v>-21.504011976047902</v>
          </cell>
          <cell r="W106">
            <v>-21.628562874251497</v>
          </cell>
          <cell r="X106">
            <v>-21.753113772455091</v>
          </cell>
          <cell r="Y106">
            <v>-21.877664670658682</v>
          </cell>
          <cell r="Z106">
            <v>-22.002215568862276</v>
          </cell>
          <cell r="AA106">
            <v>-22.122612612612613</v>
          </cell>
          <cell r="AB106">
            <v>-22.242732732732733</v>
          </cell>
          <cell r="AC106">
            <v>-22.362852852852853</v>
          </cell>
          <cell r="AD106">
            <v>-22.482972972972973</v>
          </cell>
          <cell r="AE106">
            <v>-22.604670658682636</v>
          </cell>
          <cell r="AF106">
            <v>-22.726826347305391</v>
          </cell>
          <cell r="AG106">
            <v>-22.848982035928145</v>
          </cell>
          <cell r="AH106">
            <v>-22.971137724550896</v>
          </cell>
          <cell r="AI106">
            <v>-23.089700598802395</v>
          </cell>
          <cell r="AJ106">
            <v>-23.205868263473054</v>
          </cell>
          <cell r="AK106">
            <v>-23.322035928143713</v>
          </cell>
          <cell r="AL106">
            <v>-23.438203592814371</v>
          </cell>
          <cell r="AM106">
            <v>-23.55437125748503</v>
          </cell>
          <cell r="AN106">
            <v>-23.670538922155689</v>
          </cell>
          <cell r="AO106">
            <v>-23.786706586826348</v>
          </cell>
          <cell r="AP106">
            <v>-23.902874251497007</v>
          </cell>
          <cell r="AQ106">
            <v>-24.019041916167666</v>
          </cell>
          <cell r="AR106">
            <v>-24.135209580838325</v>
          </cell>
          <cell r="AS106">
            <v>-24.251377245508984</v>
          </cell>
          <cell r="AT106">
            <v>-24.367544910179642</v>
          </cell>
          <cell r="AU106">
            <v>-24.483712574850301</v>
          </cell>
          <cell r="AV106">
            <v>-24.59988023952096</v>
          </cell>
          <cell r="AW106">
            <v>-24.716047904191619</v>
          </cell>
          <cell r="AX106">
            <v>-24.832215568862278</v>
          </cell>
          <cell r="AY106">
            <v>-24.948383233532937</v>
          </cell>
          <cell r="AZ106">
            <v>-25.057617977528093</v>
          </cell>
          <cell r="BA106">
            <v>-25.166082397003748</v>
          </cell>
          <cell r="BB106">
            <v>-25.2745468164794</v>
          </cell>
          <cell r="BC106">
            <v>-25.383011235955056</v>
          </cell>
          <cell r="BD106">
            <v>-25.491475655430712</v>
          </cell>
          <cell r="BE106">
            <v>-25.599940074906367</v>
          </cell>
          <cell r="BF106">
            <v>-25.708404494382023</v>
          </cell>
          <cell r="BG106">
            <v>-25.816868913857679</v>
          </cell>
          <cell r="BH106">
            <v>-25.925333333333334</v>
          </cell>
          <cell r="BI106">
            <v>-26.03379775280899</v>
          </cell>
          <cell r="BJ106">
            <v>-26.142262172284646</v>
          </cell>
          <cell r="BK106">
            <v>-26.250726591760301</v>
          </cell>
          <cell r="BL106">
            <v>-26.359191011235957</v>
          </cell>
          <cell r="BM106">
            <v>-26.467655430711609</v>
          </cell>
          <cell r="BN106">
            <v>-26.576119850187265</v>
          </cell>
          <cell r="BO106">
            <v>-26.684584269662921</v>
          </cell>
          <cell r="BP106">
            <v>-26.791902621722848</v>
          </cell>
          <cell r="BQ106">
            <v>-26.894973782771537</v>
          </cell>
          <cell r="BR106">
            <v>-26.998044943820226</v>
          </cell>
          <cell r="BS106">
            <v>-27.101116104868915</v>
          </cell>
          <cell r="BT106">
            <v>-27.204187265917604</v>
          </cell>
          <cell r="BU106">
            <v>-27.307258426966293</v>
          </cell>
          <cell r="BV106">
            <v>-27.410329588014982</v>
          </cell>
          <cell r="BW106">
            <v>-27.513400749063671</v>
          </cell>
          <cell r="BX106">
            <v>-27.616471910112359</v>
          </cell>
          <cell r="BY106">
            <v>-27.719543071161048</v>
          </cell>
          <cell r="BZ106">
            <v>-27.822614232209737</v>
          </cell>
          <cell r="CA106">
            <v>-27.925685393258426</v>
          </cell>
          <cell r="CB106">
            <v>-28.028756554307115</v>
          </cell>
          <cell r="CC106">
            <v>-28.131827715355804</v>
          </cell>
          <cell r="CD106">
            <v>-28.234898876404493</v>
          </cell>
          <cell r="CE106">
            <v>-28.337970037453182</v>
          </cell>
          <cell r="CF106">
            <v>-28.441041198501871</v>
          </cell>
          <cell r="CG106">
            <v>-28.541556886227543</v>
          </cell>
          <cell r="CH106">
            <v>-28.639760479041914</v>
          </cell>
          <cell r="CI106">
            <v>-28.737964071856286</v>
          </cell>
          <cell r="CJ106">
            <v>-28.836167664670658</v>
          </cell>
        </row>
        <row r="107">
          <cell r="B107">
            <v>-58.064234234234235</v>
          </cell>
          <cell r="C107">
            <v>-56.971141141141139</v>
          </cell>
          <cell r="D107">
            <v>-55.878048048048043</v>
          </cell>
          <cell r="E107">
            <v>-54.784954954954955</v>
          </cell>
          <cell r="F107">
            <v>-54.124610778443113</v>
          </cell>
          <cell r="G107">
            <v>-53.564131736526946</v>
          </cell>
          <cell r="H107">
            <v>-53.003652694610771</v>
          </cell>
          <cell r="I107">
            <v>-52.443173652694604</v>
          </cell>
          <cell r="J107">
            <v>-52.043023952095801</v>
          </cell>
          <cell r="K107">
            <v>-51.734041916167662</v>
          </cell>
          <cell r="L107">
            <v>-51.425059880239516</v>
          </cell>
          <cell r="M107">
            <v>-51.11607784431137</v>
          </cell>
          <cell r="N107">
            <v>-50.842655688622749</v>
          </cell>
          <cell r="O107">
            <v>-50.610559880239521</v>
          </cell>
          <cell r="P107">
            <v>-50.378464071856285</v>
          </cell>
          <cell r="Q107">
            <v>-50.146368263473057</v>
          </cell>
          <cell r="R107">
            <v>-49.931350299401196</v>
          </cell>
          <cell r="S107">
            <v>-49.758655688622753</v>
          </cell>
          <cell r="T107">
            <v>-49.58596107784431</v>
          </cell>
          <cell r="U107">
            <v>-49.413266467065867</v>
          </cell>
          <cell r="V107">
            <v>-49.246419161676648</v>
          </cell>
          <cell r="W107">
            <v>-49.125700598802396</v>
          </cell>
          <cell r="X107">
            <v>-49.004982035928144</v>
          </cell>
          <cell r="Y107">
            <v>-48.884263473053892</v>
          </cell>
          <cell r="Z107">
            <v>-48.76354491017964</v>
          </cell>
          <cell r="AA107">
            <v>-48.847216216216218</v>
          </cell>
          <cell r="AB107">
            <v>-48.944513513513513</v>
          </cell>
          <cell r="AC107">
            <v>-49.041810810810816</v>
          </cell>
          <cell r="AD107">
            <v>-49.139108108108111</v>
          </cell>
          <cell r="AE107">
            <v>-49.365562874251502</v>
          </cell>
          <cell r="AF107">
            <v>-49.62951497005988</v>
          </cell>
          <cell r="AG107">
            <v>-49.893467065868265</v>
          </cell>
          <cell r="AH107">
            <v>-50.157419161676643</v>
          </cell>
          <cell r="AI107">
            <v>-50.414257485029935</v>
          </cell>
          <cell r="AJ107">
            <v>-50.666353293413174</v>
          </cell>
          <cell r="AK107">
            <v>-50.918449101796405</v>
          </cell>
          <cell r="AL107">
            <v>-51.170544910179636</v>
          </cell>
          <cell r="AM107">
            <v>-51.422640718562874</v>
          </cell>
          <cell r="AN107">
            <v>-51.674736526946106</v>
          </cell>
          <cell r="AO107">
            <v>-51.926832335329337</v>
          </cell>
          <cell r="AP107">
            <v>-52.178928143712575</v>
          </cell>
          <cell r="AQ107">
            <v>-52.431023952095806</v>
          </cell>
          <cell r="AR107">
            <v>-52.683119760479038</v>
          </cell>
          <cell r="AS107">
            <v>-52.935215568862276</v>
          </cell>
          <cell r="AT107">
            <v>-53.187311377245507</v>
          </cell>
          <cell r="AU107">
            <v>-53.439407185628738</v>
          </cell>
          <cell r="AV107">
            <v>-53.691502994011977</v>
          </cell>
          <cell r="AW107">
            <v>-53.943598802395208</v>
          </cell>
          <cell r="AX107">
            <v>-54.195694610778446</v>
          </cell>
          <cell r="AY107">
            <v>-54.447790419161677</v>
          </cell>
          <cell r="AZ107">
            <v>-54.685494382022469</v>
          </cell>
          <cell r="BA107">
            <v>-54.921599250936332</v>
          </cell>
          <cell r="BB107">
            <v>-55.157704119850187</v>
          </cell>
          <cell r="BC107">
            <v>-55.393808988764043</v>
          </cell>
          <cell r="BD107">
            <v>-55.629913857677906</v>
          </cell>
          <cell r="BE107">
            <v>-55.866018726591761</v>
          </cell>
          <cell r="BF107">
            <v>-56.102123595505617</v>
          </cell>
          <cell r="BG107">
            <v>-56.338228464419473</v>
          </cell>
          <cell r="BH107">
            <v>-56.574333333333335</v>
          </cell>
          <cell r="BI107">
            <v>-56.810438202247191</v>
          </cell>
          <cell r="BJ107">
            <v>-57.046543071161047</v>
          </cell>
          <cell r="BK107">
            <v>-57.282647940074902</v>
          </cell>
          <cell r="BL107">
            <v>-57.518752808988765</v>
          </cell>
          <cell r="BM107">
            <v>-57.754857677902621</v>
          </cell>
          <cell r="BN107">
            <v>-57.990962546816476</v>
          </cell>
          <cell r="BO107">
            <v>-58.227067415730332</v>
          </cell>
          <cell r="BP107">
            <v>-58.460650936329586</v>
          </cell>
          <cell r="BQ107">
            <v>-58.684890636704118</v>
          </cell>
          <cell r="BR107">
            <v>-58.909130337078651</v>
          </cell>
          <cell r="BS107">
            <v>-59.133370037453183</v>
          </cell>
          <cell r="BT107">
            <v>-59.357609737827715</v>
          </cell>
          <cell r="BU107">
            <v>-59.581849438202241</v>
          </cell>
          <cell r="BV107">
            <v>-59.806089138576773</v>
          </cell>
          <cell r="BW107">
            <v>-60.030328838951306</v>
          </cell>
          <cell r="BX107">
            <v>-60.254568539325838</v>
          </cell>
          <cell r="BY107">
            <v>-60.478808239700371</v>
          </cell>
          <cell r="BZ107">
            <v>-60.703047940074903</v>
          </cell>
          <cell r="CA107">
            <v>-60.927287640449435</v>
          </cell>
          <cell r="CB107">
            <v>-61.151527340823968</v>
          </cell>
          <cell r="CC107">
            <v>-61.3757670411985</v>
          </cell>
          <cell r="CD107">
            <v>-61.600006741573026</v>
          </cell>
          <cell r="CE107">
            <v>-61.824246441947558</v>
          </cell>
          <cell r="CF107">
            <v>-62.048486142322091</v>
          </cell>
          <cell r="CG107">
            <v>-62.267167664670652</v>
          </cell>
          <cell r="CH107">
            <v>-62.480820359281431</v>
          </cell>
          <cell r="CI107">
            <v>-62.69447305389221</v>
          </cell>
          <cell r="CJ107">
            <v>-62.908125748502989</v>
          </cell>
        </row>
        <row r="108">
          <cell r="B108">
            <v>-183.77576576576575</v>
          </cell>
          <cell r="C108">
            <v>-179.80219219219219</v>
          </cell>
          <cell r="D108">
            <v>-175.82861861861863</v>
          </cell>
          <cell r="E108">
            <v>-171.85504504504505</v>
          </cell>
          <cell r="F108">
            <v>-168.51000000000002</v>
          </cell>
          <cell r="G108">
            <v>-165.31</v>
          </cell>
          <cell r="H108">
            <v>-162.10999999999999</v>
          </cell>
          <cell r="I108">
            <v>-158.91</v>
          </cell>
          <cell r="J108">
            <v>-156.06730538922156</v>
          </cell>
          <cell r="K108">
            <v>-153.42778443113772</v>
          </cell>
          <cell r="L108">
            <v>-150.78826347305389</v>
          </cell>
          <cell r="M108">
            <v>-148.14874251497005</v>
          </cell>
          <cell r="N108">
            <v>-145.70751497005986</v>
          </cell>
          <cell r="O108">
            <v>-143.49673652694611</v>
          </cell>
          <cell r="P108">
            <v>-141.28595808383233</v>
          </cell>
          <cell r="Q108">
            <v>-139.07517964071855</v>
          </cell>
          <cell r="R108">
            <v>-136.96080838323354</v>
          </cell>
          <cell r="S108">
            <v>-135.08535928143712</v>
          </cell>
          <cell r="T108">
            <v>-133.20991017964073</v>
          </cell>
          <cell r="U108">
            <v>-131.33446107784434</v>
          </cell>
          <cell r="V108">
            <v>-129.49</v>
          </cell>
          <cell r="W108">
            <v>-127.89000000000001</v>
          </cell>
          <cell r="X108">
            <v>-126.29000000000002</v>
          </cell>
          <cell r="Y108">
            <v>-124.69000000000001</v>
          </cell>
          <cell r="Z108">
            <v>-123.09</v>
          </cell>
          <cell r="AA108">
            <v>-121.94495495495497</v>
          </cell>
          <cell r="AB108">
            <v>-120.83024024024024</v>
          </cell>
          <cell r="AC108">
            <v>-119.71552552552552</v>
          </cell>
          <cell r="AD108">
            <v>-118.6008108108108</v>
          </cell>
          <cell r="AE108">
            <v>-119.12407185628743</v>
          </cell>
          <cell r="AF108">
            <v>-120.12287425149701</v>
          </cell>
          <cell r="AG108">
            <v>-121.12167664670659</v>
          </cell>
          <cell r="AH108">
            <v>-122.12047904191617</v>
          </cell>
          <cell r="AI108">
            <v>-123.0919760479042</v>
          </cell>
          <cell r="AJ108">
            <v>-124.04526946107785</v>
          </cell>
          <cell r="AK108">
            <v>-124.9985628742515</v>
          </cell>
          <cell r="AL108">
            <v>-125.95185628742516</v>
          </cell>
          <cell r="AM108">
            <v>-126.90514970059881</v>
          </cell>
          <cell r="AN108">
            <v>-127.85844311377247</v>
          </cell>
          <cell r="AO108">
            <v>-128.81173652694611</v>
          </cell>
          <cell r="AP108">
            <v>-129.76502994011977</v>
          </cell>
          <cell r="AQ108">
            <v>-130.71832335329341</v>
          </cell>
          <cell r="AR108">
            <v>-131.67161676646708</v>
          </cell>
          <cell r="AS108">
            <v>-132.62491017964072</v>
          </cell>
          <cell r="AT108">
            <v>-133.57820359281436</v>
          </cell>
          <cell r="AU108">
            <v>-134.53149700598803</v>
          </cell>
          <cell r="AV108">
            <v>-135.48479041916167</v>
          </cell>
          <cell r="AW108">
            <v>-136.43808383233534</v>
          </cell>
          <cell r="AX108">
            <v>-137.39137724550898</v>
          </cell>
          <cell r="AY108">
            <v>-138.34467065868265</v>
          </cell>
          <cell r="AZ108">
            <v>-139.21824719101124</v>
          </cell>
          <cell r="BA108">
            <v>-140.08296629213484</v>
          </cell>
          <cell r="BB108">
            <v>-140.94768539325844</v>
          </cell>
          <cell r="BC108">
            <v>-141.81240449438204</v>
          </cell>
          <cell r="BD108">
            <v>-142.67712359550563</v>
          </cell>
          <cell r="BE108">
            <v>-143.54184269662923</v>
          </cell>
          <cell r="BF108">
            <v>-144.40656179775283</v>
          </cell>
          <cell r="BG108">
            <v>-145.2712808988764</v>
          </cell>
          <cell r="BH108">
            <v>-146.136</v>
          </cell>
          <cell r="BI108">
            <v>-147.00071910112359</v>
          </cell>
          <cell r="BJ108">
            <v>-147.86543820224719</v>
          </cell>
          <cell r="BK108">
            <v>-148.73015730337079</v>
          </cell>
          <cell r="BL108">
            <v>-149.59487640449439</v>
          </cell>
          <cell r="BM108">
            <v>-150.45959550561798</v>
          </cell>
          <cell r="BN108">
            <v>-151.32431460674158</v>
          </cell>
          <cell r="BO108">
            <v>-152.18903370786518</v>
          </cell>
          <cell r="BP108">
            <v>-153.03172284644197</v>
          </cell>
          <cell r="BQ108">
            <v>-153.79277153558053</v>
          </cell>
          <cell r="BR108">
            <v>-154.55382022471912</v>
          </cell>
          <cell r="BS108">
            <v>-155.31486891385768</v>
          </cell>
          <cell r="BT108">
            <v>-156.07591760299627</v>
          </cell>
          <cell r="BU108">
            <v>-156.83696629213483</v>
          </cell>
          <cell r="BV108">
            <v>-157.59801498127342</v>
          </cell>
          <cell r="BW108">
            <v>-158.35906367041198</v>
          </cell>
          <cell r="BX108">
            <v>-159.12011235955057</v>
          </cell>
          <cell r="BY108">
            <v>-159.88116104868914</v>
          </cell>
          <cell r="BZ108">
            <v>-160.64220973782773</v>
          </cell>
          <cell r="CA108">
            <v>-161.40325842696629</v>
          </cell>
          <cell r="CB108">
            <v>-162.16430711610488</v>
          </cell>
          <cell r="CC108">
            <v>-162.92535580524344</v>
          </cell>
          <cell r="CD108">
            <v>-163.68640449438203</v>
          </cell>
          <cell r="CE108">
            <v>-164.44745318352059</v>
          </cell>
          <cell r="CF108">
            <v>-165.20850187265918</v>
          </cell>
          <cell r="CG108">
            <v>-165.92838323353294</v>
          </cell>
          <cell r="CH108">
            <v>-166.61101796407183</v>
          </cell>
          <cell r="CI108">
            <v>-167.29365269461076</v>
          </cell>
          <cell r="CJ108">
            <v>-167.97628742514968</v>
          </cell>
        </row>
        <row r="109">
          <cell r="B109">
            <v>-30.236216216216214</v>
          </cell>
          <cell r="C109">
            <v>-29.760540540540539</v>
          </cell>
          <cell r="D109">
            <v>-29.284864864864865</v>
          </cell>
          <cell r="E109">
            <v>-28.809189189189187</v>
          </cell>
          <cell r="F109">
            <v>-27.918203592814368</v>
          </cell>
          <cell r="G109">
            <v>-26.93137724550898</v>
          </cell>
          <cell r="H109">
            <v>-25.944550898203591</v>
          </cell>
          <cell r="I109">
            <v>-24.957724550898202</v>
          </cell>
          <cell r="J109">
            <v>-23.900658682634731</v>
          </cell>
          <cell r="K109">
            <v>-22.803652694610779</v>
          </cell>
          <cell r="L109">
            <v>-21.706646706586827</v>
          </cell>
          <cell r="M109">
            <v>-20.609640718562876</v>
          </cell>
          <cell r="N109">
            <v>-19.579323353293415</v>
          </cell>
          <cell r="O109">
            <v>-18.626508982035929</v>
          </cell>
          <cell r="P109">
            <v>-17.673694610778444</v>
          </cell>
          <cell r="Q109">
            <v>-16.720880239520959</v>
          </cell>
          <cell r="R109">
            <v>-15.802221556886229</v>
          </cell>
          <cell r="S109">
            <v>-14.968209580838325</v>
          </cell>
          <cell r="T109">
            <v>-14.134197604790421</v>
          </cell>
          <cell r="U109">
            <v>-13.300185628742518</v>
          </cell>
          <cell r="V109">
            <v>-12.476790419161679</v>
          </cell>
          <cell r="W109">
            <v>-11.737149700598804</v>
          </cell>
          <cell r="X109">
            <v>-10.99750898203593</v>
          </cell>
          <cell r="Y109">
            <v>-10.257868263473053</v>
          </cell>
          <cell r="Z109">
            <v>-9.5182275449101788</v>
          </cell>
          <cell r="AA109">
            <v>-9.2039819819819808</v>
          </cell>
          <cell r="AB109">
            <v>-8.9180960960960949</v>
          </cell>
          <cell r="AC109">
            <v>-8.632210210210209</v>
          </cell>
          <cell r="AD109">
            <v>-8.346324324324323</v>
          </cell>
          <cell r="AE109">
            <v>-8.3124431137724546</v>
          </cell>
          <cell r="AF109">
            <v>-8.3517245508982043</v>
          </cell>
          <cell r="AG109">
            <v>-8.3910059880239523</v>
          </cell>
          <cell r="AH109">
            <v>-8.4302874251497002</v>
          </cell>
          <cell r="AI109">
            <v>-8.4697125748502984</v>
          </cell>
          <cell r="AJ109">
            <v>-8.5092335329341307</v>
          </cell>
          <cell r="AK109">
            <v>-8.5487544910179629</v>
          </cell>
          <cell r="AL109">
            <v>-8.5882754491017952</v>
          </cell>
          <cell r="AM109">
            <v>-8.6277964071856292</v>
          </cell>
          <cell r="AN109">
            <v>-8.6673173652694615</v>
          </cell>
          <cell r="AO109">
            <v>-8.7068383233532938</v>
          </cell>
          <cell r="AP109">
            <v>-8.746359281437126</v>
          </cell>
          <cell r="AQ109">
            <v>-8.7858802395209583</v>
          </cell>
          <cell r="AR109">
            <v>-8.8254011976047906</v>
          </cell>
          <cell r="AS109">
            <v>-8.8649221556886229</v>
          </cell>
          <cell r="AT109">
            <v>-8.9044431137724551</v>
          </cell>
          <cell r="AU109">
            <v>-8.9439640718562874</v>
          </cell>
          <cell r="AV109">
            <v>-8.9834850299401197</v>
          </cell>
          <cell r="AW109">
            <v>-9.0230059880239519</v>
          </cell>
          <cell r="AX109">
            <v>-9.0625269461077842</v>
          </cell>
          <cell r="AY109">
            <v>-9.1020479041916165</v>
          </cell>
          <cell r="AZ109">
            <v>-9.140516853932585</v>
          </cell>
          <cell r="BA109">
            <v>-9.1788689138576789</v>
          </cell>
          <cell r="BB109">
            <v>-9.2172209737827711</v>
          </cell>
          <cell r="BC109">
            <v>-9.255573033707865</v>
          </cell>
          <cell r="BD109">
            <v>-9.2939250936329589</v>
          </cell>
          <cell r="BE109">
            <v>-9.3322771535580529</v>
          </cell>
          <cell r="BF109">
            <v>-9.3706292134831468</v>
          </cell>
          <cell r="BG109">
            <v>-9.4089812734082408</v>
          </cell>
          <cell r="BH109">
            <v>-9.4473333333333329</v>
          </cell>
          <cell r="BI109">
            <v>-9.4856853932584269</v>
          </cell>
          <cell r="BJ109">
            <v>-9.5240374531835208</v>
          </cell>
          <cell r="BK109">
            <v>-9.5623895131086147</v>
          </cell>
          <cell r="BL109">
            <v>-9.6007415730337087</v>
          </cell>
          <cell r="BM109">
            <v>-9.6390936329588026</v>
          </cell>
          <cell r="BN109">
            <v>-9.6774456928838966</v>
          </cell>
          <cell r="BO109">
            <v>-9.7157977528089887</v>
          </cell>
          <cell r="BP109">
            <v>-9.7536913857677909</v>
          </cell>
          <cell r="BQ109">
            <v>-9.7898861423220982</v>
          </cell>
          <cell r="BR109">
            <v>-9.8260808988764055</v>
          </cell>
          <cell r="BS109">
            <v>-9.8622756554307127</v>
          </cell>
          <cell r="BT109">
            <v>-9.89847041198502</v>
          </cell>
          <cell r="BU109">
            <v>-9.9346651685393255</v>
          </cell>
          <cell r="BV109">
            <v>-9.9708599250936327</v>
          </cell>
          <cell r="BW109">
            <v>-10.00705468164794</v>
          </cell>
          <cell r="BX109">
            <v>-10.043249438202247</v>
          </cell>
          <cell r="BY109">
            <v>-10.079444194756555</v>
          </cell>
          <cell r="BZ109">
            <v>-10.115638951310862</v>
          </cell>
          <cell r="CA109">
            <v>-10.151833707865169</v>
          </cell>
          <cell r="CB109">
            <v>-10.188028464419476</v>
          </cell>
          <cell r="CC109">
            <v>-10.224223220973784</v>
          </cell>
          <cell r="CD109">
            <v>-10.260417977528089</v>
          </cell>
          <cell r="CE109">
            <v>-10.296612734082396</v>
          </cell>
          <cell r="CF109">
            <v>-10.332807490636704</v>
          </cell>
          <cell r="CG109">
            <v>-10.368107784431137</v>
          </cell>
          <cell r="CH109">
            <v>-10.402598802395209</v>
          </cell>
          <cell r="CI109">
            <v>-10.437089820359281</v>
          </cell>
          <cell r="CJ109">
            <v>-10.471580838323353</v>
          </cell>
        </row>
        <row r="110">
          <cell r="B110">
            <v>-15.118108108108107</v>
          </cell>
          <cell r="C110">
            <v>-14.88027027027027</v>
          </cell>
          <cell r="D110">
            <v>-14.642432432432432</v>
          </cell>
          <cell r="E110">
            <v>-14.404594594594593</v>
          </cell>
          <cell r="F110">
            <v>-13.959101796407184</v>
          </cell>
          <cell r="G110">
            <v>-13.46568862275449</v>
          </cell>
          <cell r="H110">
            <v>-12.972275449101796</v>
          </cell>
          <cell r="I110">
            <v>-12.478862275449101</v>
          </cell>
          <cell r="J110">
            <v>-11.950329341317365</v>
          </cell>
          <cell r="K110">
            <v>-11.40182634730539</v>
          </cell>
          <cell r="L110">
            <v>-10.853323353293414</v>
          </cell>
          <cell r="M110">
            <v>-10.304820359281438</v>
          </cell>
          <cell r="N110">
            <v>-9.7896616766467073</v>
          </cell>
          <cell r="O110">
            <v>-9.3132544910179647</v>
          </cell>
          <cell r="P110">
            <v>-8.836847305389222</v>
          </cell>
          <cell r="Q110">
            <v>-8.3604401197604794</v>
          </cell>
          <cell r="R110">
            <v>-7.9011107784431145</v>
          </cell>
          <cell r="S110">
            <v>-7.4841047904191624</v>
          </cell>
          <cell r="T110">
            <v>-7.0670988023952104</v>
          </cell>
          <cell r="U110">
            <v>-6.6500928143712592</v>
          </cell>
          <cell r="V110">
            <v>-6.2383952095808395</v>
          </cell>
          <cell r="W110">
            <v>-5.8685748502994022</v>
          </cell>
          <cell r="X110">
            <v>-5.4987544910179649</v>
          </cell>
          <cell r="Y110">
            <v>-5.1289341317365267</v>
          </cell>
          <cell r="Z110">
            <v>-4.7591137724550894</v>
          </cell>
          <cell r="AA110">
            <v>-4.6019909909909904</v>
          </cell>
          <cell r="AB110">
            <v>-4.4590480480480474</v>
          </cell>
          <cell r="AC110">
            <v>-4.3161051051051045</v>
          </cell>
          <cell r="AD110">
            <v>-4.1731621621621615</v>
          </cell>
          <cell r="AE110">
            <v>-4.1562215568862273</v>
          </cell>
          <cell r="AF110">
            <v>-4.1758622754491022</v>
          </cell>
          <cell r="AG110">
            <v>-4.1955029940119761</v>
          </cell>
          <cell r="AH110">
            <v>-4.2151437125748501</v>
          </cell>
          <cell r="AI110">
            <v>-4.2348562874251492</v>
          </cell>
          <cell r="AJ110">
            <v>-4.2546167664670653</v>
          </cell>
          <cell r="AK110">
            <v>-4.2743772455089815</v>
          </cell>
          <cell r="AL110">
            <v>-4.2941377245508976</v>
          </cell>
          <cell r="AM110">
            <v>-4.3138982035928146</v>
          </cell>
          <cell r="AN110">
            <v>-4.3336586826347308</v>
          </cell>
          <cell r="AO110">
            <v>-4.3534191616766469</v>
          </cell>
          <cell r="AP110">
            <v>-4.373179640718563</v>
          </cell>
          <cell r="AQ110">
            <v>-4.3929401197604792</v>
          </cell>
          <cell r="AR110">
            <v>-4.4127005988023953</v>
          </cell>
          <cell r="AS110">
            <v>-4.4324610778443114</v>
          </cell>
          <cell r="AT110">
            <v>-4.4522215568862276</v>
          </cell>
          <cell r="AU110">
            <v>-4.4719820359281437</v>
          </cell>
          <cell r="AV110">
            <v>-4.4917425149700598</v>
          </cell>
          <cell r="AW110">
            <v>-4.511502994011976</v>
          </cell>
          <cell r="AX110">
            <v>-4.5312634730538921</v>
          </cell>
          <cell r="AY110">
            <v>-4.5510239520958082</v>
          </cell>
          <cell r="AZ110">
            <v>-4.5702584269662925</v>
          </cell>
          <cell r="BA110">
            <v>-4.5894344569288394</v>
          </cell>
          <cell r="BB110">
            <v>-4.6086104868913855</v>
          </cell>
          <cell r="BC110">
            <v>-4.6277865168539325</v>
          </cell>
          <cell r="BD110">
            <v>-4.6469625468164795</v>
          </cell>
          <cell r="BE110">
            <v>-4.6661385767790264</v>
          </cell>
          <cell r="BF110">
            <v>-4.6853146067415734</v>
          </cell>
          <cell r="BG110">
            <v>-4.7044906367041204</v>
          </cell>
          <cell r="BH110">
            <v>-4.7236666666666665</v>
          </cell>
          <cell r="BI110">
            <v>-4.7428426966292134</v>
          </cell>
          <cell r="BJ110">
            <v>-4.7620187265917604</v>
          </cell>
          <cell r="BK110">
            <v>-4.7811947565543074</v>
          </cell>
          <cell r="BL110">
            <v>-4.8003707865168543</v>
          </cell>
          <cell r="BM110">
            <v>-4.8195468164794013</v>
          </cell>
          <cell r="BN110">
            <v>-4.8387228464419483</v>
          </cell>
          <cell r="BO110">
            <v>-4.8578988764044944</v>
          </cell>
          <cell r="BP110">
            <v>-4.8768456928838955</v>
          </cell>
          <cell r="BQ110">
            <v>-4.8949430711610491</v>
          </cell>
          <cell r="BR110">
            <v>-4.9130404494382027</v>
          </cell>
          <cell r="BS110">
            <v>-4.9311378277153564</v>
          </cell>
          <cell r="BT110">
            <v>-4.94923520599251</v>
          </cell>
          <cell r="BU110">
            <v>-4.9673325842696627</v>
          </cell>
          <cell r="BV110">
            <v>-4.9854299625468164</v>
          </cell>
          <cell r="BW110">
            <v>-5.00352734082397</v>
          </cell>
          <cell r="BX110">
            <v>-5.0216247191011236</v>
          </cell>
          <cell r="BY110">
            <v>-5.0397220973782773</v>
          </cell>
          <cell r="BZ110">
            <v>-5.0578194756554309</v>
          </cell>
          <cell r="CA110">
            <v>-5.0759168539325845</v>
          </cell>
          <cell r="CB110">
            <v>-5.0940142322097381</v>
          </cell>
          <cell r="CC110">
            <v>-5.1121116104868918</v>
          </cell>
          <cell r="CD110">
            <v>-5.1302089887640445</v>
          </cell>
          <cell r="CE110">
            <v>-5.1483063670411982</v>
          </cell>
          <cell r="CF110">
            <v>-5.1664037453183518</v>
          </cell>
          <cell r="CG110">
            <v>-5.1840538922155686</v>
          </cell>
          <cell r="CH110">
            <v>-5.2012994011976046</v>
          </cell>
          <cell r="CI110">
            <v>-5.2185449101796406</v>
          </cell>
          <cell r="CJ110">
            <v>-5.2357904191616766</v>
          </cell>
        </row>
        <row r="111">
          <cell r="B111">
            <v>-19.022342342342341</v>
          </cell>
          <cell r="C111">
            <v>-19.024744744744744</v>
          </cell>
          <cell r="D111">
            <v>-19.027147147147147</v>
          </cell>
          <cell r="E111">
            <v>-19.02954954954955</v>
          </cell>
          <cell r="F111">
            <v>-19.035838323353293</v>
          </cell>
          <cell r="G111">
            <v>-19.043023952095808</v>
          </cell>
          <cell r="H111">
            <v>-19.050209580838324</v>
          </cell>
          <cell r="I111">
            <v>-19.057395209580836</v>
          </cell>
          <cell r="J111">
            <v>-19.06763473053892</v>
          </cell>
          <cell r="K111">
            <v>-19.079610778443111</v>
          </cell>
          <cell r="L111">
            <v>-19.091586826347303</v>
          </cell>
          <cell r="M111">
            <v>-19.103562874251498</v>
          </cell>
          <cell r="N111">
            <v>-19.116646706586828</v>
          </cell>
          <cell r="O111">
            <v>-19.131017964071855</v>
          </cell>
          <cell r="P111">
            <v>-19.145389221556886</v>
          </cell>
          <cell r="Q111">
            <v>-19.159760479041918</v>
          </cell>
          <cell r="R111">
            <v>-19.174131736526949</v>
          </cell>
          <cell r="S111">
            <v>-19.188502994011976</v>
          </cell>
          <cell r="T111">
            <v>-19.202874251497008</v>
          </cell>
          <cell r="U111">
            <v>-19.217245508982035</v>
          </cell>
          <cell r="V111">
            <v>-19.231886227544912</v>
          </cell>
          <cell r="W111">
            <v>-19.248652694610779</v>
          </cell>
          <cell r="X111">
            <v>-19.265419161676647</v>
          </cell>
          <cell r="Y111">
            <v>-19.282185628742514</v>
          </cell>
          <cell r="Z111">
            <v>-19.298952095808385</v>
          </cell>
          <cell r="AA111">
            <v>-19.2481981981982</v>
          </cell>
          <cell r="AB111">
            <v>-19.192942942942942</v>
          </cell>
          <cell r="AC111">
            <v>-19.137687687687688</v>
          </cell>
          <cell r="AD111">
            <v>-19.082432432432434</v>
          </cell>
          <cell r="AE111">
            <v>-19.062574850299402</v>
          </cell>
          <cell r="AF111">
            <v>-19.052994011976047</v>
          </cell>
          <cell r="AG111">
            <v>-19.043413173652695</v>
          </cell>
          <cell r="AH111">
            <v>-19.033832335329343</v>
          </cell>
          <cell r="AI111">
            <v>-19.040059880239522</v>
          </cell>
          <cell r="AJ111">
            <v>-19.056826347305389</v>
          </cell>
          <cell r="AK111">
            <v>-19.07359281437126</v>
          </cell>
          <cell r="AL111">
            <v>-19.090359281437127</v>
          </cell>
          <cell r="AM111">
            <v>-19.107125748502995</v>
          </cell>
          <cell r="AN111">
            <v>-19.123892215568862</v>
          </cell>
          <cell r="AO111">
            <v>-19.140658682634729</v>
          </cell>
          <cell r="AP111">
            <v>-19.1574251497006</v>
          </cell>
          <cell r="AQ111">
            <v>-19.174191616766468</v>
          </cell>
          <cell r="AR111">
            <v>-19.190958083832335</v>
          </cell>
          <cell r="AS111">
            <v>-19.207724550898202</v>
          </cell>
          <cell r="AT111">
            <v>-19.22449101796407</v>
          </cell>
          <cell r="AU111">
            <v>-19.241257485029941</v>
          </cell>
          <cell r="AV111">
            <v>-19.258023952095808</v>
          </cell>
          <cell r="AW111">
            <v>-19.274790419161675</v>
          </cell>
          <cell r="AX111">
            <v>-19.291556886227543</v>
          </cell>
          <cell r="AY111">
            <v>-19.30832335329341</v>
          </cell>
          <cell r="AZ111">
            <v>-19.324022471910112</v>
          </cell>
          <cell r="BA111">
            <v>-19.33960299625468</v>
          </cell>
          <cell r="BB111">
            <v>-19.355183520599251</v>
          </cell>
          <cell r="BC111">
            <v>-19.370764044943819</v>
          </cell>
          <cell r="BD111">
            <v>-19.38634456928839</v>
          </cell>
          <cell r="BE111">
            <v>-19.401925093632958</v>
          </cell>
          <cell r="BF111">
            <v>-19.417505617977529</v>
          </cell>
          <cell r="BG111">
            <v>-19.433086142322097</v>
          </cell>
          <cell r="BH111">
            <v>-19.448666666666668</v>
          </cell>
          <cell r="BI111">
            <v>-19.464247191011236</v>
          </cell>
          <cell r="BJ111">
            <v>-19.479827715355807</v>
          </cell>
          <cell r="BK111">
            <v>-19.495408239700375</v>
          </cell>
          <cell r="BL111">
            <v>-19.510988764044942</v>
          </cell>
          <cell r="BM111">
            <v>-19.526569288389513</v>
          </cell>
          <cell r="BN111">
            <v>-19.542149812734081</v>
          </cell>
          <cell r="BO111">
            <v>-19.557730337078652</v>
          </cell>
          <cell r="BP111">
            <v>-19.573183520599251</v>
          </cell>
          <cell r="BQ111">
            <v>-19.58816479400749</v>
          </cell>
          <cell r="BR111">
            <v>-19.603146067415732</v>
          </cell>
          <cell r="BS111">
            <v>-19.618127340823971</v>
          </cell>
          <cell r="BT111">
            <v>-19.63310861423221</v>
          </cell>
          <cell r="BU111">
            <v>-19.648089887640449</v>
          </cell>
          <cell r="BV111">
            <v>-19.663071161048691</v>
          </cell>
          <cell r="BW111">
            <v>-19.67805243445693</v>
          </cell>
          <cell r="BX111">
            <v>-19.693033707865169</v>
          </cell>
          <cell r="BY111">
            <v>-19.708014981273408</v>
          </cell>
          <cell r="BZ111">
            <v>-19.722996254681647</v>
          </cell>
          <cell r="CA111">
            <v>-19.737977528089889</v>
          </cell>
          <cell r="CB111">
            <v>-19.752958801498128</v>
          </cell>
          <cell r="CC111">
            <v>-19.767940074906367</v>
          </cell>
          <cell r="CD111">
            <v>-19.782921348314606</v>
          </cell>
          <cell r="CE111">
            <v>-19.797902621722848</v>
          </cell>
          <cell r="CF111">
            <v>-19.812883895131087</v>
          </cell>
          <cell r="CG111">
            <v>-19.82754491017964</v>
          </cell>
          <cell r="CH111">
            <v>-19.841916167664671</v>
          </cell>
          <cell r="CI111">
            <v>-19.856287425149699</v>
          </cell>
          <cell r="CJ111">
            <v>-19.87065868263473</v>
          </cell>
        </row>
        <row r="112">
          <cell r="B112">
            <v>-15.118108108108107</v>
          </cell>
          <cell r="C112">
            <v>-14.88027027027027</v>
          </cell>
          <cell r="D112">
            <v>-14.642432432432432</v>
          </cell>
          <cell r="E112">
            <v>-14.404594594594593</v>
          </cell>
          <cell r="F112">
            <v>-13.959101796407184</v>
          </cell>
          <cell r="G112">
            <v>-13.46568862275449</v>
          </cell>
          <cell r="H112">
            <v>-12.972275449101796</v>
          </cell>
          <cell r="I112">
            <v>-12.478862275449101</v>
          </cell>
          <cell r="J112">
            <v>-11.950329341317365</v>
          </cell>
          <cell r="K112">
            <v>-11.40182634730539</v>
          </cell>
          <cell r="L112">
            <v>-10.853323353293414</v>
          </cell>
          <cell r="M112">
            <v>-10.304820359281438</v>
          </cell>
          <cell r="N112">
            <v>-9.7896616766467073</v>
          </cell>
          <cell r="O112">
            <v>-9.3132544910179647</v>
          </cell>
          <cell r="P112">
            <v>-8.836847305389222</v>
          </cell>
          <cell r="Q112">
            <v>-8.3604401197604794</v>
          </cell>
          <cell r="R112">
            <v>-7.9011107784431145</v>
          </cell>
          <cell r="S112">
            <v>-7.4841047904191624</v>
          </cell>
          <cell r="T112">
            <v>-7.0670988023952104</v>
          </cell>
          <cell r="U112">
            <v>-6.6500928143712592</v>
          </cell>
          <cell r="V112">
            <v>-6.2383952095808395</v>
          </cell>
          <cell r="W112">
            <v>-5.8685748502994022</v>
          </cell>
          <cell r="X112">
            <v>-5.4987544910179649</v>
          </cell>
          <cell r="Y112">
            <v>-5.1289341317365267</v>
          </cell>
          <cell r="Z112">
            <v>-4.7591137724550894</v>
          </cell>
          <cell r="AA112">
            <v>-4.6019909909909904</v>
          </cell>
          <cell r="AB112">
            <v>-4.4590480480480474</v>
          </cell>
          <cell r="AC112">
            <v>-4.3161051051051045</v>
          </cell>
          <cell r="AD112">
            <v>-4.1731621621621615</v>
          </cell>
          <cell r="AE112">
            <v>-4.1562215568862273</v>
          </cell>
          <cell r="AF112">
            <v>-4.1758622754491022</v>
          </cell>
          <cell r="AG112">
            <v>-4.1955029940119761</v>
          </cell>
          <cell r="AH112">
            <v>-4.2151437125748501</v>
          </cell>
          <cell r="AI112">
            <v>-4.2348562874251492</v>
          </cell>
          <cell r="AJ112">
            <v>-4.2546167664670653</v>
          </cell>
          <cell r="AK112">
            <v>-4.2743772455089815</v>
          </cell>
          <cell r="AL112">
            <v>-4.2941377245508976</v>
          </cell>
          <cell r="AM112">
            <v>-4.3138982035928146</v>
          </cell>
          <cell r="AN112">
            <v>-4.3336586826347308</v>
          </cell>
          <cell r="AO112">
            <v>-4.3534191616766469</v>
          </cell>
          <cell r="AP112">
            <v>-4.373179640718563</v>
          </cell>
          <cell r="AQ112">
            <v>-4.3929401197604792</v>
          </cell>
          <cell r="AR112">
            <v>-4.4127005988023953</v>
          </cell>
          <cell r="AS112">
            <v>-4.4324610778443114</v>
          </cell>
          <cell r="AT112">
            <v>-4.4522215568862276</v>
          </cell>
          <cell r="AU112">
            <v>-4.4719820359281437</v>
          </cell>
          <cell r="AV112">
            <v>-4.4917425149700598</v>
          </cell>
          <cell r="AW112">
            <v>-4.511502994011976</v>
          </cell>
          <cell r="AX112">
            <v>-4.5312634730538921</v>
          </cell>
          <cell r="AY112">
            <v>-4.5510239520958082</v>
          </cell>
          <cell r="AZ112">
            <v>-4.5702584269662925</v>
          </cell>
          <cell r="BA112">
            <v>-4.5894344569288394</v>
          </cell>
          <cell r="BB112">
            <v>-4.6086104868913855</v>
          </cell>
          <cell r="BC112">
            <v>-4.6277865168539325</v>
          </cell>
          <cell r="BD112">
            <v>-4.6469625468164795</v>
          </cell>
          <cell r="BE112">
            <v>-4.6661385767790264</v>
          </cell>
          <cell r="BF112">
            <v>-4.6853146067415734</v>
          </cell>
          <cell r="BG112">
            <v>-4.7044906367041204</v>
          </cell>
          <cell r="BH112">
            <v>-4.7236666666666665</v>
          </cell>
          <cell r="BI112">
            <v>-4.7428426966292134</v>
          </cell>
          <cell r="BJ112">
            <v>-4.7620187265917604</v>
          </cell>
          <cell r="BK112">
            <v>-4.7811947565543074</v>
          </cell>
          <cell r="BL112">
            <v>-4.8003707865168543</v>
          </cell>
          <cell r="BM112">
            <v>-4.8195468164794013</v>
          </cell>
          <cell r="BN112">
            <v>-4.8387228464419483</v>
          </cell>
          <cell r="BO112">
            <v>-4.8578988764044944</v>
          </cell>
          <cell r="BP112">
            <v>-4.8768456928838955</v>
          </cell>
          <cell r="BQ112">
            <v>-4.8949430711610491</v>
          </cell>
          <cell r="BR112">
            <v>-4.9130404494382027</v>
          </cell>
          <cell r="BS112">
            <v>-4.9311378277153564</v>
          </cell>
          <cell r="BT112">
            <v>-4.94923520599251</v>
          </cell>
          <cell r="BU112">
            <v>-4.9673325842696627</v>
          </cell>
          <cell r="BV112">
            <v>-4.9854299625468164</v>
          </cell>
          <cell r="BW112">
            <v>-5.00352734082397</v>
          </cell>
          <cell r="BX112">
            <v>-5.0216247191011236</v>
          </cell>
          <cell r="BY112">
            <v>-5.0397220973782773</v>
          </cell>
          <cell r="BZ112">
            <v>-5.0578194756554309</v>
          </cell>
          <cell r="CA112">
            <v>-5.0759168539325845</v>
          </cell>
          <cell r="CB112">
            <v>-5.0940142322097381</v>
          </cell>
          <cell r="CC112">
            <v>-5.1121116104868918</v>
          </cell>
          <cell r="CD112">
            <v>-5.1302089887640445</v>
          </cell>
          <cell r="CE112">
            <v>-5.1483063670411982</v>
          </cell>
          <cell r="CF112">
            <v>-5.1664037453183518</v>
          </cell>
          <cell r="CG112">
            <v>-5.1840538922155686</v>
          </cell>
          <cell r="CH112">
            <v>-5.2012994011976046</v>
          </cell>
          <cell r="CI112">
            <v>-5.2185449101796406</v>
          </cell>
          <cell r="CJ112">
            <v>-5.2357904191616766</v>
          </cell>
        </row>
        <row r="113">
          <cell r="B113">
            <v>-19.022342342342341</v>
          </cell>
          <cell r="C113">
            <v>-19.024744744744744</v>
          </cell>
          <cell r="D113">
            <v>-19.027147147147147</v>
          </cell>
          <cell r="E113">
            <v>-19.02954954954955</v>
          </cell>
          <cell r="F113">
            <v>-19.035838323353293</v>
          </cell>
          <cell r="G113">
            <v>-19.043023952095808</v>
          </cell>
          <cell r="H113">
            <v>-19.050209580838324</v>
          </cell>
          <cell r="I113">
            <v>-19.057395209580836</v>
          </cell>
          <cell r="J113">
            <v>-19.06763473053892</v>
          </cell>
          <cell r="K113">
            <v>-19.079610778443111</v>
          </cell>
          <cell r="L113">
            <v>-19.091586826347303</v>
          </cell>
          <cell r="M113">
            <v>-19.103562874251498</v>
          </cell>
          <cell r="N113">
            <v>-19.116646706586828</v>
          </cell>
          <cell r="O113">
            <v>-19.131017964071855</v>
          </cell>
          <cell r="P113">
            <v>-19.145389221556886</v>
          </cell>
          <cell r="Q113">
            <v>-19.159760479041918</v>
          </cell>
          <cell r="R113">
            <v>-19.174131736526949</v>
          </cell>
          <cell r="S113">
            <v>-19.188502994011976</v>
          </cell>
          <cell r="T113">
            <v>-19.202874251497008</v>
          </cell>
          <cell r="U113">
            <v>-19.217245508982035</v>
          </cell>
          <cell r="V113">
            <v>-19.231886227544912</v>
          </cell>
          <cell r="W113">
            <v>-19.248652694610779</v>
          </cell>
          <cell r="X113">
            <v>-19.265419161676647</v>
          </cell>
          <cell r="Y113">
            <v>-19.282185628742514</v>
          </cell>
          <cell r="Z113">
            <v>-19.298952095808385</v>
          </cell>
          <cell r="AA113">
            <v>-19.2481981981982</v>
          </cell>
          <cell r="AB113">
            <v>-19.192942942942942</v>
          </cell>
          <cell r="AC113">
            <v>-19.137687687687688</v>
          </cell>
          <cell r="AD113">
            <v>-19.082432432432434</v>
          </cell>
          <cell r="AE113">
            <v>-19.062574850299402</v>
          </cell>
          <cell r="AF113">
            <v>-19.052994011976047</v>
          </cell>
          <cell r="AG113">
            <v>-19.043413173652695</v>
          </cell>
          <cell r="AH113">
            <v>-19.033832335329343</v>
          </cell>
          <cell r="AI113">
            <v>-19.040059880239522</v>
          </cell>
          <cell r="AJ113">
            <v>-19.056826347305389</v>
          </cell>
          <cell r="AK113">
            <v>-19.07359281437126</v>
          </cell>
          <cell r="AL113">
            <v>-19.090359281437127</v>
          </cell>
          <cell r="AM113">
            <v>-19.107125748502995</v>
          </cell>
          <cell r="AN113">
            <v>-19.123892215568862</v>
          </cell>
          <cell r="AO113">
            <v>-19.140658682634729</v>
          </cell>
          <cell r="AP113">
            <v>-19.1574251497006</v>
          </cell>
          <cell r="AQ113">
            <v>-19.174191616766468</v>
          </cell>
          <cell r="AR113">
            <v>-19.190958083832335</v>
          </cell>
          <cell r="AS113">
            <v>-19.207724550898202</v>
          </cell>
          <cell r="AT113">
            <v>-19.22449101796407</v>
          </cell>
          <cell r="AU113">
            <v>-19.241257485029941</v>
          </cell>
          <cell r="AV113">
            <v>-19.258023952095808</v>
          </cell>
          <cell r="AW113">
            <v>-19.274790419161675</v>
          </cell>
          <cell r="AX113">
            <v>-19.291556886227543</v>
          </cell>
          <cell r="AY113">
            <v>-19.30832335329341</v>
          </cell>
          <cell r="AZ113">
            <v>-19.324022471910112</v>
          </cell>
          <cell r="BA113">
            <v>-19.33960299625468</v>
          </cell>
          <cell r="BB113">
            <v>-19.355183520599251</v>
          </cell>
          <cell r="BC113">
            <v>-19.370764044943819</v>
          </cell>
          <cell r="BD113">
            <v>-19.38634456928839</v>
          </cell>
          <cell r="BE113">
            <v>-19.401925093632958</v>
          </cell>
          <cell r="BF113">
            <v>-19.417505617977529</v>
          </cell>
          <cell r="BG113">
            <v>-19.433086142322097</v>
          </cell>
          <cell r="BH113">
            <v>-19.448666666666668</v>
          </cell>
          <cell r="BI113">
            <v>-19.464247191011236</v>
          </cell>
          <cell r="BJ113">
            <v>-19.479827715355807</v>
          </cell>
          <cell r="BK113">
            <v>-19.495408239700375</v>
          </cell>
          <cell r="BL113">
            <v>-19.510988764044942</v>
          </cell>
          <cell r="BM113">
            <v>-19.526569288389513</v>
          </cell>
          <cell r="BN113">
            <v>-19.542149812734081</v>
          </cell>
          <cell r="BO113">
            <v>-19.557730337078652</v>
          </cell>
          <cell r="BP113">
            <v>-19.573183520599251</v>
          </cell>
          <cell r="BQ113">
            <v>-19.58816479400749</v>
          </cell>
          <cell r="BR113">
            <v>-19.603146067415732</v>
          </cell>
          <cell r="BS113">
            <v>-19.618127340823971</v>
          </cell>
          <cell r="BT113">
            <v>-19.63310861423221</v>
          </cell>
          <cell r="BU113">
            <v>-19.648089887640449</v>
          </cell>
          <cell r="BV113">
            <v>-19.663071161048691</v>
          </cell>
          <cell r="BW113">
            <v>-19.67805243445693</v>
          </cell>
          <cell r="BX113">
            <v>-19.693033707865169</v>
          </cell>
          <cell r="BY113">
            <v>-19.708014981273408</v>
          </cell>
          <cell r="BZ113">
            <v>-19.722996254681647</v>
          </cell>
          <cell r="CA113">
            <v>-19.737977528089889</v>
          </cell>
          <cell r="CB113">
            <v>-19.752958801498128</v>
          </cell>
          <cell r="CC113">
            <v>-19.767940074906367</v>
          </cell>
          <cell r="CD113">
            <v>-19.782921348314606</v>
          </cell>
          <cell r="CE113">
            <v>-19.797902621722848</v>
          </cell>
          <cell r="CF113">
            <v>-19.812883895131087</v>
          </cell>
          <cell r="CG113">
            <v>-19.82754491017964</v>
          </cell>
          <cell r="CH113">
            <v>-19.841916167664671</v>
          </cell>
          <cell r="CI113">
            <v>-19.856287425149699</v>
          </cell>
          <cell r="CJ113">
            <v>-19.87065868263473</v>
          </cell>
        </row>
        <row r="114">
          <cell r="B114">
            <v>-59.678288288288286</v>
          </cell>
          <cell r="C114">
            <v>-58.332942942942942</v>
          </cell>
          <cell r="D114">
            <v>-56.987597597597599</v>
          </cell>
          <cell r="E114">
            <v>-55.642252252252256</v>
          </cell>
          <cell r="F114">
            <v>-54.130868263473054</v>
          </cell>
          <cell r="G114">
            <v>-52.581167664670659</v>
          </cell>
          <cell r="H114">
            <v>-51.031467065868263</v>
          </cell>
          <cell r="I114">
            <v>-49.481766467065867</v>
          </cell>
          <cell r="J114">
            <v>-47.964131736526944</v>
          </cell>
          <cell r="K114">
            <v>-46.464730538922154</v>
          </cell>
          <cell r="L114">
            <v>-44.965329341317364</v>
          </cell>
          <cell r="M114">
            <v>-43.465928143712574</v>
          </cell>
          <cell r="N114">
            <v>-42.064011976047901</v>
          </cell>
          <cell r="O114">
            <v>-40.775389221556885</v>
          </cell>
          <cell r="P114">
            <v>-39.48676646706587</v>
          </cell>
          <cell r="Q114">
            <v>-38.198143712574847</v>
          </cell>
          <cell r="R114">
            <v>-36.957724550898206</v>
          </cell>
          <cell r="S114">
            <v>-35.836766467065871</v>
          </cell>
          <cell r="T114">
            <v>-34.715808383233536</v>
          </cell>
          <cell r="U114">
            <v>-33.594850299401202</v>
          </cell>
          <cell r="V114">
            <v>-32.488982035928146</v>
          </cell>
          <cell r="W114">
            <v>-31.502155688622757</v>
          </cell>
          <cell r="X114">
            <v>-30.515329341317369</v>
          </cell>
          <cell r="Y114">
            <v>-29.528502994011976</v>
          </cell>
          <cell r="Z114">
            <v>-28.541676646706588</v>
          </cell>
          <cell r="AA114">
            <v>-27.788558558558559</v>
          </cell>
          <cell r="AB114">
            <v>-27.051021021021018</v>
          </cell>
          <cell r="AC114">
            <v>-26.313483483483481</v>
          </cell>
          <cell r="AD114">
            <v>-25.575945945945943</v>
          </cell>
          <cell r="AE114">
            <v>-25.655029940119761</v>
          </cell>
          <cell r="AF114">
            <v>-25.971197604790419</v>
          </cell>
          <cell r="AG114">
            <v>-26.287365269461077</v>
          </cell>
          <cell r="AH114">
            <v>-26.603532934131735</v>
          </cell>
          <cell r="AI114">
            <v>-26.911437125748503</v>
          </cell>
          <cell r="AJ114">
            <v>-27.213832335329339</v>
          </cell>
          <cell r="AK114">
            <v>-27.51622754491018</v>
          </cell>
          <cell r="AL114">
            <v>-27.818622754491017</v>
          </cell>
          <cell r="AM114">
            <v>-28.121017964071857</v>
          </cell>
          <cell r="AN114">
            <v>-28.423413173652694</v>
          </cell>
          <cell r="AO114">
            <v>-28.725808383233534</v>
          </cell>
          <cell r="AP114">
            <v>-29.028203592814371</v>
          </cell>
          <cell r="AQ114">
            <v>-29.330598802395212</v>
          </cell>
          <cell r="AR114">
            <v>-29.632994011976049</v>
          </cell>
          <cell r="AS114">
            <v>-29.935389221556889</v>
          </cell>
          <cell r="AT114">
            <v>-30.237784431137726</v>
          </cell>
          <cell r="AU114">
            <v>-30.540179640718566</v>
          </cell>
          <cell r="AV114">
            <v>-30.842574850299403</v>
          </cell>
          <cell r="AW114">
            <v>-31.144970059880244</v>
          </cell>
          <cell r="AX114">
            <v>-31.447365269461081</v>
          </cell>
          <cell r="AY114">
            <v>-31.749760479041917</v>
          </cell>
          <cell r="AZ114">
            <v>-32.022696629213485</v>
          </cell>
          <cell r="BA114">
            <v>-32.292359550561798</v>
          </cell>
          <cell r="BB114">
            <v>-32.562022471910112</v>
          </cell>
          <cell r="BC114">
            <v>-32.831685393258432</v>
          </cell>
          <cell r="BD114">
            <v>-33.101348314606746</v>
          </cell>
          <cell r="BE114">
            <v>-33.371011235955059</v>
          </cell>
          <cell r="BF114">
            <v>-33.640674157303373</v>
          </cell>
          <cell r="BG114">
            <v>-33.910337078651686</v>
          </cell>
          <cell r="BH114">
            <v>-34.18</v>
          </cell>
          <cell r="BI114">
            <v>-34.44966292134832</v>
          </cell>
          <cell r="BJ114">
            <v>-34.719325842696634</v>
          </cell>
          <cell r="BK114">
            <v>-34.988988764044947</v>
          </cell>
          <cell r="BL114">
            <v>-35.258651685393261</v>
          </cell>
          <cell r="BM114">
            <v>-35.528314606741574</v>
          </cell>
          <cell r="BN114">
            <v>-35.797977528089888</v>
          </cell>
          <cell r="BO114">
            <v>-36.067640449438201</v>
          </cell>
          <cell r="BP114">
            <v>-36.328007490636708</v>
          </cell>
          <cell r="BQ114">
            <v>-36.553925093632962</v>
          </cell>
          <cell r="BR114">
            <v>-36.779842696629217</v>
          </cell>
          <cell r="BS114">
            <v>-37.005760299625472</v>
          </cell>
          <cell r="BT114">
            <v>-37.231677902621726</v>
          </cell>
          <cell r="BU114">
            <v>-37.457595505617981</v>
          </cell>
          <cell r="BV114">
            <v>-37.683513108614235</v>
          </cell>
          <cell r="BW114">
            <v>-37.90943071161049</v>
          </cell>
          <cell r="BX114">
            <v>-38.135348314606745</v>
          </cell>
          <cell r="BY114">
            <v>-38.361265917602999</v>
          </cell>
          <cell r="BZ114">
            <v>-38.587183520599254</v>
          </cell>
          <cell r="CA114">
            <v>-38.813101123595509</v>
          </cell>
          <cell r="CB114">
            <v>-39.039018726591763</v>
          </cell>
          <cell r="CC114">
            <v>-39.264936329588011</v>
          </cell>
          <cell r="CD114">
            <v>-39.490853932584265</v>
          </cell>
          <cell r="CE114">
            <v>-39.71677153558052</v>
          </cell>
          <cell r="CF114">
            <v>-39.942689138576775</v>
          </cell>
          <cell r="CG114">
            <v>-40.151856287425147</v>
          </cell>
          <cell r="CH114">
            <v>-40.345868263473051</v>
          </cell>
          <cell r="CI114">
            <v>-40.539880239520954</v>
          </cell>
          <cell r="CJ114">
            <v>-40.733892215568858</v>
          </cell>
        </row>
        <row r="115">
          <cell r="B115">
            <v>-15.118108108108107</v>
          </cell>
          <cell r="C115">
            <v>-14.88027027027027</v>
          </cell>
          <cell r="D115">
            <v>-14.642432432432432</v>
          </cell>
          <cell r="E115">
            <v>-14.404594594594593</v>
          </cell>
          <cell r="F115">
            <v>-13.959101796407184</v>
          </cell>
          <cell r="G115">
            <v>-13.46568862275449</v>
          </cell>
          <cell r="H115">
            <v>-12.972275449101796</v>
          </cell>
          <cell r="I115">
            <v>-12.478862275449101</v>
          </cell>
          <cell r="J115">
            <v>-11.950329341317365</v>
          </cell>
          <cell r="K115">
            <v>-11.40182634730539</v>
          </cell>
          <cell r="L115">
            <v>-10.853323353293414</v>
          </cell>
          <cell r="M115">
            <v>-10.304820359281438</v>
          </cell>
          <cell r="N115">
            <v>-9.7896616766467073</v>
          </cell>
          <cell r="O115">
            <v>-9.3132544910179647</v>
          </cell>
          <cell r="P115">
            <v>-8.836847305389222</v>
          </cell>
          <cell r="Q115">
            <v>-8.3604401197604794</v>
          </cell>
          <cell r="R115">
            <v>-7.9011107784431145</v>
          </cell>
          <cell r="S115">
            <v>-7.4841047904191624</v>
          </cell>
          <cell r="T115">
            <v>-7.0670988023952104</v>
          </cell>
          <cell r="U115">
            <v>-6.6500928143712592</v>
          </cell>
          <cell r="V115">
            <v>-6.2383952095808395</v>
          </cell>
          <cell r="W115">
            <v>-5.8685748502994022</v>
          </cell>
          <cell r="X115">
            <v>-5.4987544910179649</v>
          </cell>
          <cell r="Y115">
            <v>-5.1289341317365267</v>
          </cell>
          <cell r="Z115">
            <v>-4.7591137724550894</v>
          </cell>
          <cell r="AA115">
            <v>-4.6019909909909904</v>
          </cell>
          <cell r="AB115">
            <v>-4.4590480480480474</v>
          </cell>
          <cell r="AC115">
            <v>-4.3161051051051045</v>
          </cell>
          <cell r="AD115">
            <v>-4.1731621621621615</v>
          </cell>
          <cell r="AE115">
            <v>-4.1562215568862273</v>
          </cell>
          <cell r="AF115">
            <v>-4.1758622754491022</v>
          </cell>
          <cell r="AG115">
            <v>-4.1955029940119761</v>
          </cell>
          <cell r="AH115">
            <v>-4.2151437125748501</v>
          </cell>
          <cell r="AI115">
            <v>-4.2348562874251492</v>
          </cell>
          <cell r="AJ115">
            <v>-4.2546167664670653</v>
          </cell>
          <cell r="AK115">
            <v>-4.2743772455089815</v>
          </cell>
          <cell r="AL115">
            <v>-4.2941377245508976</v>
          </cell>
          <cell r="AM115">
            <v>-4.3138982035928146</v>
          </cell>
          <cell r="AN115">
            <v>-4.3336586826347308</v>
          </cell>
          <cell r="AO115">
            <v>-4.3534191616766469</v>
          </cell>
          <cell r="AP115">
            <v>-4.373179640718563</v>
          </cell>
          <cell r="AQ115">
            <v>-4.3929401197604792</v>
          </cell>
          <cell r="AR115">
            <v>-4.4127005988023953</v>
          </cell>
          <cell r="AS115">
            <v>-4.4324610778443114</v>
          </cell>
          <cell r="AT115">
            <v>-4.4522215568862276</v>
          </cell>
          <cell r="AU115">
            <v>-4.4719820359281437</v>
          </cell>
          <cell r="AV115">
            <v>-4.4917425149700598</v>
          </cell>
          <cell r="AW115">
            <v>-4.511502994011976</v>
          </cell>
          <cell r="AX115">
            <v>-4.5312634730538921</v>
          </cell>
          <cell r="AY115">
            <v>-4.5510239520958082</v>
          </cell>
          <cell r="AZ115">
            <v>-4.5702584269662925</v>
          </cell>
          <cell r="BA115">
            <v>-4.5894344569288394</v>
          </cell>
          <cell r="BB115">
            <v>-4.6086104868913855</v>
          </cell>
          <cell r="BC115">
            <v>-4.6277865168539325</v>
          </cell>
          <cell r="BD115">
            <v>-4.6469625468164795</v>
          </cell>
          <cell r="BE115">
            <v>-4.6661385767790264</v>
          </cell>
          <cell r="BF115">
            <v>-4.6853146067415734</v>
          </cell>
          <cell r="BG115">
            <v>-4.7044906367041204</v>
          </cell>
          <cell r="BH115">
            <v>-4.7236666666666665</v>
          </cell>
          <cell r="BI115">
            <v>-4.7428426966292134</v>
          </cell>
          <cell r="BJ115">
            <v>-4.7620187265917604</v>
          </cell>
          <cell r="BK115">
            <v>-4.7811947565543074</v>
          </cell>
          <cell r="BL115">
            <v>-4.8003707865168543</v>
          </cell>
          <cell r="BM115">
            <v>-4.8195468164794013</v>
          </cell>
          <cell r="BN115">
            <v>-4.8387228464419483</v>
          </cell>
          <cell r="BO115">
            <v>-4.8578988764044944</v>
          </cell>
          <cell r="BP115">
            <v>-4.8768456928838955</v>
          </cell>
          <cell r="BQ115">
            <v>-4.8949430711610491</v>
          </cell>
          <cell r="BR115">
            <v>-4.9130404494382027</v>
          </cell>
          <cell r="BS115">
            <v>-4.9311378277153564</v>
          </cell>
          <cell r="BT115">
            <v>-4.94923520599251</v>
          </cell>
          <cell r="BU115">
            <v>-4.9673325842696627</v>
          </cell>
          <cell r="BV115">
            <v>-4.9854299625468164</v>
          </cell>
          <cell r="BW115">
            <v>-5.00352734082397</v>
          </cell>
          <cell r="BX115">
            <v>-5.0216247191011236</v>
          </cell>
          <cell r="BY115">
            <v>-5.0397220973782773</v>
          </cell>
          <cell r="BZ115">
            <v>-5.0578194756554309</v>
          </cell>
          <cell r="CA115">
            <v>-5.0759168539325845</v>
          </cell>
          <cell r="CB115">
            <v>-5.0940142322097381</v>
          </cell>
          <cell r="CC115">
            <v>-5.1121116104868918</v>
          </cell>
          <cell r="CD115">
            <v>-5.1302089887640445</v>
          </cell>
          <cell r="CE115">
            <v>-5.1483063670411982</v>
          </cell>
          <cell r="CF115">
            <v>-5.1664037453183518</v>
          </cell>
          <cell r="CG115">
            <v>-5.1840538922155686</v>
          </cell>
          <cell r="CH115">
            <v>-5.2012994011976046</v>
          </cell>
          <cell r="CI115">
            <v>-5.2185449101796406</v>
          </cell>
          <cell r="CJ115">
            <v>-5.2357904191616766</v>
          </cell>
        </row>
        <row r="116">
          <cell r="B116">
            <v>-21.473063063063062</v>
          </cell>
          <cell r="C116">
            <v>-21.045435435435436</v>
          </cell>
          <cell r="D116">
            <v>-20.617807807807807</v>
          </cell>
          <cell r="E116">
            <v>-20.190180180180178</v>
          </cell>
          <cell r="F116">
            <v>-20.082754491017962</v>
          </cell>
          <cell r="G116">
            <v>-20.049221556886227</v>
          </cell>
          <cell r="H116">
            <v>-20.015688622754489</v>
          </cell>
          <cell r="I116">
            <v>-19.982155688622754</v>
          </cell>
          <cell r="J116">
            <v>-20.046347305389222</v>
          </cell>
          <cell r="K116">
            <v>-20.166107784431137</v>
          </cell>
          <cell r="L116">
            <v>-20.285868263473052</v>
          </cell>
          <cell r="M116">
            <v>-20.40562874251497</v>
          </cell>
          <cell r="N116">
            <v>-20.526497005988023</v>
          </cell>
          <cell r="O116">
            <v>-20.648652694610778</v>
          </cell>
          <cell r="P116">
            <v>-20.770808383233533</v>
          </cell>
          <cell r="Q116">
            <v>-20.892964071856287</v>
          </cell>
          <cell r="R116">
            <v>-21.015119760479042</v>
          </cell>
          <cell r="S116">
            <v>-21.137275449101796</v>
          </cell>
          <cell r="T116">
            <v>-21.259431137724551</v>
          </cell>
          <cell r="U116">
            <v>-21.381586826347306</v>
          </cell>
          <cell r="V116">
            <v>-21.504011976047902</v>
          </cell>
          <cell r="W116">
            <v>-21.628562874251497</v>
          </cell>
          <cell r="X116">
            <v>-21.753113772455091</v>
          </cell>
          <cell r="Y116">
            <v>-21.877664670658682</v>
          </cell>
          <cell r="Z116">
            <v>-22.002215568862276</v>
          </cell>
          <cell r="AA116">
            <v>-22.122612612612613</v>
          </cell>
          <cell r="AB116">
            <v>-22.242732732732733</v>
          </cell>
          <cell r="AC116">
            <v>-22.362852852852853</v>
          </cell>
          <cell r="AD116">
            <v>-22.482972972972973</v>
          </cell>
          <cell r="AE116">
            <v>-22.604670658682636</v>
          </cell>
          <cell r="AF116">
            <v>-22.726826347305391</v>
          </cell>
          <cell r="AG116">
            <v>-22.848982035928145</v>
          </cell>
          <cell r="AH116">
            <v>-22.971137724550896</v>
          </cell>
          <cell r="AI116">
            <v>-23.089700598802395</v>
          </cell>
          <cell r="AJ116">
            <v>-23.205868263473054</v>
          </cell>
          <cell r="AK116">
            <v>-23.322035928143713</v>
          </cell>
          <cell r="AL116">
            <v>-23.438203592814371</v>
          </cell>
          <cell r="AM116">
            <v>-23.55437125748503</v>
          </cell>
          <cell r="AN116">
            <v>-23.670538922155689</v>
          </cell>
          <cell r="AO116">
            <v>-23.786706586826348</v>
          </cell>
          <cell r="AP116">
            <v>-23.902874251497007</v>
          </cell>
          <cell r="AQ116">
            <v>-24.019041916167666</v>
          </cell>
          <cell r="AR116">
            <v>-24.135209580838325</v>
          </cell>
          <cell r="AS116">
            <v>-24.251377245508984</v>
          </cell>
          <cell r="AT116">
            <v>-24.367544910179642</v>
          </cell>
          <cell r="AU116">
            <v>-24.483712574850301</v>
          </cell>
          <cell r="AV116">
            <v>-24.59988023952096</v>
          </cell>
          <cell r="AW116">
            <v>-24.716047904191619</v>
          </cell>
          <cell r="AX116">
            <v>-24.832215568862278</v>
          </cell>
          <cell r="AY116">
            <v>-24.948383233532937</v>
          </cell>
          <cell r="AZ116">
            <v>-25.057617977528093</v>
          </cell>
          <cell r="BA116">
            <v>-25.166082397003748</v>
          </cell>
          <cell r="BB116">
            <v>-25.2745468164794</v>
          </cell>
          <cell r="BC116">
            <v>-25.383011235955056</v>
          </cell>
          <cell r="BD116">
            <v>-25.491475655430712</v>
          </cell>
          <cell r="BE116">
            <v>-25.599940074906367</v>
          </cell>
          <cell r="BF116">
            <v>-25.708404494382023</v>
          </cell>
          <cell r="BG116">
            <v>-25.816868913857679</v>
          </cell>
          <cell r="BH116">
            <v>-25.925333333333334</v>
          </cell>
          <cell r="BI116">
            <v>-26.03379775280899</v>
          </cell>
          <cell r="BJ116">
            <v>-26.142262172284646</v>
          </cell>
          <cell r="BK116">
            <v>-26.250726591760301</v>
          </cell>
          <cell r="BL116">
            <v>-26.359191011235957</v>
          </cell>
          <cell r="BM116">
            <v>-26.467655430711609</v>
          </cell>
          <cell r="BN116">
            <v>-26.576119850187265</v>
          </cell>
          <cell r="BO116">
            <v>-26.684584269662921</v>
          </cell>
          <cell r="BP116">
            <v>-26.791902621722848</v>
          </cell>
          <cell r="BQ116">
            <v>-26.894973782771537</v>
          </cell>
          <cell r="BR116">
            <v>-26.998044943820226</v>
          </cell>
          <cell r="BS116">
            <v>-27.101116104868915</v>
          </cell>
          <cell r="BT116">
            <v>-27.204187265917604</v>
          </cell>
          <cell r="BU116">
            <v>-27.307258426966293</v>
          </cell>
          <cell r="BV116">
            <v>-27.410329588014982</v>
          </cell>
          <cell r="BW116">
            <v>-27.513400749063671</v>
          </cell>
          <cell r="BX116">
            <v>-27.616471910112359</v>
          </cell>
          <cell r="BY116">
            <v>-27.719543071161048</v>
          </cell>
          <cell r="BZ116">
            <v>-27.822614232209737</v>
          </cell>
          <cell r="CA116">
            <v>-27.925685393258426</v>
          </cell>
          <cell r="CB116">
            <v>-28.028756554307115</v>
          </cell>
          <cell r="CC116">
            <v>-28.131827715355804</v>
          </cell>
          <cell r="CD116">
            <v>-28.234898876404493</v>
          </cell>
          <cell r="CE116">
            <v>-28.337970037453182</v>
          </cell>
          <cell r="CF116">
            <v>-28.441041198501871</v>
          </cell>
          <cell r="CG116">
            <v>-28.541556886227543</v>
          </cell>
          <cell r="CH116">
            <v>-28.639760479041914</v>
          </cell>
          <cell r="CI116">
            <v>-28.737964071856286</v>
          </cell>
          <cell r="CJ116">
            <v>-28.836167664670658</v>
          </cell>
        </row>
        <row r="132">
          <cell r="B132">
            <v>-37.456036036036032</v>
          </cell>
          <cell r="C132">
            <v>-36.754534534534535</v>
          </cell>
          <cell r="D132">
            <v>-36.053033033033032</v>
          </cell>
          <cell r="E132">
            <v>-35.351531531531528</v>
          </cell>
          <cell r="F132">
            <v>-34.77434131736527</v>
          </cell>
          <cell r="G132">
            <v>-34.225838323353294</v>
          </cell>
          <cell r="H132">
            <v>-33.677335329341318</v>
          </cell>
          <cell r="I132">
            <v>-33.128832335329342</v>
          </cell>
          <cell r="J132">
            <v>-32.657592814371256</v>
          </cell>
          <cell r="K132">
            <v>-32.230287425149697</v>
          </cell>
          <cell r="L132">
            <v>-31.802982035928146</v>
          </cell>
          <cell r="M132">
            <v>-31.375676646706587</v>
          </cell>
          <cell r="N132">
            <v>-30.997113772455091</v>
          </cell>
          <cell r="O132">
            <v>-30.675197604790419</v>
          </cell>
          <cell r="P132">
            <v>-30.353281437125748</v>
          </cell>
          <cell r="Q132">
            <v>-30.031365269461077</v>
          </cell>
          <cell r="R132">
            <v>-29.749044910179641</v>
          </cell>
          <cell r="S132">
            <v>-29.564853293413172</v>
          </cell>
          <cell r="T132">
            <v>-29.380661676646707</v>
          </cell>
          <cell r="U132">
            <v>-29.196470059880241</v>
          </cell>
          <cell r="V132">
            <v>-29.031194610778446</v>
          </cell>
          <cell r="W132">
            <v>-29.015146706586826</v>
          </cell>
          <cell r="X132">
            <v>-28.99909880239521</v>
          </cell>
          <cell r="Y132">
            <v>-28.983050898203594</v>
          </cell>
          <cell r="Z132">
            <v>-28.967002994011978</v>
          </cell>
          <cell r="AA132">
            <v>-29.170279279279281</v>
          </cell>
          <cell r="AB132">
            <v>-29.388177177177177</v>
          </cell>
          <cell r="AC132">
            <v>-29.606075075075076</v>
          </cell>
          <cell r="AD132">
            <v>-29.823972972972971</v>
          </cell>
          <cell r="AE132">
            <v>-29.965814371257483</v>
          </cell>
          <cell r="AF132">
            <v>-30.085574850299402</v>
          </cell>
          <cell r="AG132">
            <v>-30.205335329341317</v>
          </cell>
          <cell r="AH132">
            <v>-30.325095808383235</v>
          </cell>
          <cell r="AI132">
            <v>-30.453622754491018</v>
          </cell>
          <cell r="AJ132">
            <v>-30.587994011976047</v>
          </cell>
          <cell r="AK132">
            <v>-30.722365269461079</v>
          </cell>
          <cell r="AL132">
            <v>-30.856736526946108</v>
          </cell>
          <cell r="AM132">
            <v>-30.990700598802395</v>
          </cell>
          <cell r="AN132">
            <v>-31.12411377245509</v>
          </cell>
          <cell r="AO132">
            <v>-31.257526946107784</v>
          </cell>
          <cell r="AP132">
            <v>-31.390940119760479</v>
          </cell>
          <cell r="AQ132">
            <v>-31.524592814371257</v>
          </cell>
          <cell r="AR132">
            <v>-31.658964071856285</v>
          </cell>
          <cell r="AS132">
            <v>-31.793335329341318</v>
          </cell>
          <cell r="AT132">
            <v>-31.927706586826346</v>
          </cell>
          <cell r="AU132">
            <v>-32.062077844311375</v>
          </cell>
          <cell r="AV132">
            <v>-32.196449101796411</v>
          </cell>
          <cell r="AW132">
            <v>-32.330820359281439</v>
          </cell>
          <cell r="AX132">
            <v>-32.465191616766468</v>
          </cell>
          <cell r="AY132">
            <v>-32.599562874251497</v>
          </cell>
          <cell r="AZ132">
            <v>-32.727876404494381</v>
          </cell>
          <cell r="BA132">
            <v>-32.855516853932585</v>
          </cell>
          <cell r="BB132">
            <v>-32.983157303370788</v>
          </cell>
          <cell r="BC132">
            <v>-33.110797752808992</v>
          </cell>
          <cell r="BD132">
            <v>-33.238438202247195</v>
          </cell>
          <cell r="BE132">
            <v>-33.366078651685392</v>
          </cell>
          <cell r="BF132">
            <v>-33.493719101123595</v>
          </cell>
          <cell r="BG132">
            <v>-33.621359550561799</v>
          </cell>
          <cell r="BH132">
            <v>-33.749000000000002</v>
          </cell>
          <cell r="BI132">
            <v>-33.876640449438206</v>
          </cell>
          <cell r="BJ132">
            <v>-34.004280898876409</v>
          </cell>
          <cell r="BK132">
            <v>-34.131921348314606</v>
          </cell>
          <cell r="BL132">
            <v>-34.259561797752809</v>
          </cell>
          <cell r="BM132">
            <v>-34.387202247191013</v>
          </cell>
          <cell r="BN132">
            <v>-34.514842696629216</v>
          </cell>
          <cell r="BO132">
            <v>-34.64248314606742</v>
          </cell>
          <cell r="BP132">
            <v>-34.768748314606746</v>
          </cell>
          <cell r="BQ132">
            <v>-34.88991685393259</v>
          </cell>
          <cell r="BR132">
            <v>-35.011085393258426</v>
          </cell>
          <cell r="BS132">
            <v>-35.13225393258427</v>
          </cell>
          <cell r="BT132">
            <v>-35.253422471910113</v>
          </cell>
          <cell r="BU132">
            <v>-35.374591011235957</v>
          </cell>
          <cell r="BV132">
            <v>-35.4957595505618</v>
          </cell>
          <cell r="BW132">
            <v>-35.616928089887644</v>
          </cell>
          <cell r="BX132">
            <v>-35.738096629213487</v>
          </cell>
          <cell r="BY132">
            <v>-35.859265168539331</v>
          </cell>
          <cell r="BZ132">
            <v>-35.980433707865167</v>
          </cell>
          <cell r="CA132">
            <v>-36.101602247191011</v>
          </cell>
          <cell r="CB132">
            <v>-36.222770786516854</v>
          </cell>
          <cell r="CC132">
            <v>-36.343939325842697</v>
          </cell>
          <cell r="CD132">
            <v>-36.465107865168541</v>
          </cell>
          <cell r="CE132">
            <v>-36.586276404494384</v>
          </cell>
          <cell r="CF132">
            <v>-36.707444943820228</v>
          </cell>
          <cell r="CG132">
            <v>-36.825319819819818</v>
          </cell>
          <cell r="CH132">
            <v>-36.940214714714713</v>
          </cell>
          <cell r="CI132">
            <v>-37.055109609609609</v>
          </cell>
          <cell r="CJ132">
            <v>-37.170004504504504</v>
          </cell>
          <cell r="CK132">
            <v>-36.080475247524753</v>
          </cell>
          <cell r="CL132">
            <v>-36.193346534653465</v>
          </cell>
        </row>
        <row r="133">
          <cell r="B133">
            <v>-21.943243243243245</v>
          </cell>
          <cell r="C133">
            <v>-21.741441441441442</v>
          </cell>
          <cell r="D133">
            <v>-21.539639639639642</v>
          </cell>
          <cell r="E133">
            <v>-21.337837837837839</v>
          </cell>
          <cell r="F133">
            <v>-21.317514970059882</v>
          </cell>
          <cell r="G133">
            <v>-21.339071856287426</v>
          </cell>
          <cell r="H133">
            <v>-21.360628742514972</v>
          </cell>
          <cell r="I133">
            <v>-21.382185628742516</v>
          </cell>
          <cell r="J133">
            <v>-21.452604790419162</v>
          </cell>
          <cell r="K133">
            <v>-21.550808383233534</v>
          </cell>
          <cell r="L133">
            <v>-21.649011976047905</v>
          </cell>
          <cell r="M133">
            <v>-21.747215568862277</v>
          </cell>
          <cell r="N133">
            <v>-21.843203592814373</v>
          </cell>
          <cell r="O133">
            <v>-21.936616766467068</v>
          </cell>
          <cell r="P133">
            <v>-22.030029940119761</v>
          </cell>
          <cell r="Q133">
            <v>-22.123443113772456</v>
          </cell>
          <cell r="R133">
            <v>-22.209970059880241</v>
          </cell>
          <cell r="S133">
            <v>-22.279431137724551</v>
          </cell>
          <cell r="T133">
            <v>-22.348892215568863</v>
          </cell>
          <cell r="U133">
            <v>-22.418353293413173</v>
          </cell>
          <cell r="V133">
            <v>-22.488353293413173</v>
          </cell>
          <cell r="W133">
            <v>-22.562604790419162</v>
          </cell>
          <cell r="X133">
            <v>-22.63685628742515</v>
          </cell>
          <cell r="Y133">
            <v>-22.711107784431139</v>
          </cell>
          <cell r="Z133">
            <v>-22.785359281437124</v>
          </cell>
          <cell r="AA133">
            <v>-22.846306306306307</v>
          </cell>
          <cell r="AB133">
            <v>-22.906366366366367</v>
          </cell>
          <cell r="AC133">
            <v>-22.966426426426427</v>
          </cell>
          <cell r="AD133">
            <v>-23.026486486486487</v>
          </cell>
          <cell r="AE133">
            <v>-23.130958083832336</v>
          </cell>
          <cell r="AF133">
            <v>-23.248323353293415</v>
          </cell>
          <cell r="AG133">
            <v>-23.36568862275449</v>
          </cell>
          <cell r="AH133">
            <v>-23.483053892215569</v>
          </cell>
          <cell r="AI133">
            <v>-23.60185628742515</v>
          </cell>
          <cell r="AJ133">
            <v>-23.721616766467065</v>
          </cell>
          <cell r="AK133">
            <v>-23.841377245508983</v>
          </cell>
          <cell r="AL133">
            <v>-23.961137724550898</v>
          </cell>
          <cell r="AM133">
            <v>-24.078862275449104</v>
          </cell>
          <cell r="AN133">
            <v>-24.193832335329343</v>
          </cell>
          <cell r="AO133">
            <v>-24.308802395209582</v>
          </cell>
          <cell r="AP133">
            <v>-24.423772455089821</v>
          </cell>
          <cell r="AQ133">
            <v>-24.53874251497006</v>
          </cell>
          <cell r="AR133">
            <v>-24.653712574850299</v>
          </cell>
          <cell r="AS133">
            <v>-24.768682634730538</v>
          </cell>
          <cell r="AT133">
            <v>-24.883652694610777</v>
          </cell>
          <cell r="AU133">
            <v>-24.998622754491016</v>
          </cell>
          <cell r="AV133">
            <v>-25.113592814371255</v>
          </cell>
          <cell r="AW133">
            <v>-25.228562874251494</v>
          </cell>
          <cell r="AX133">
            <v>-25.343532934131737</v>
          </cell>
          <cell r="AY133">
            <v>-25.458502994011976</v>
          </cell>
          <cell r="AZ133">
            <v>-25.567617977528091</v>
          </cell>
          <cell r="BA133">
            <v>-25.676082397003746</v>
          </cell>
          <cell r="BB133">
            <v>-25.784546816479402</v>
          </cell>
          <cell r="BC133">
            <v>-25.893011235955058</v>
          </cell>
          <cell r="BD133">
            <v>-26.001475655430713</v>
          </cell>
          <cell r="BE133">
            <v>-26.109940074906369</v>
          </cell>
          <cell r="BF133">
            <v>-26.218404494382021</v>
          </cell>
          <cell r="BG133">
            <v>-26.326868913857677</v>
          </cell>
          <cell r="BH133">
            <v>-26.435333333333332</v>
          </cell>
          <cell r="BI133">
            <v>-26.543797752808988</v>
          </cell>
          <cell r="BJ133">
            <v>-26.652262172284644</v>
          </cell>
          <cell r="BK133">
            <v>-26.760726591760299</v>
          </cell>
          <cell r="BL133">
            <v>-26.869191011235955</v>
          </cell>
          <cell r="BM133">
            <v>-26.977655430711611</v>
          </cell>
          <cell r="BN133">
            <v>-27.086119850187266</v>
          </cell>
          <cell r="BO133">
            <v>-27.194584269662922</v>
          </cell>
          <cell r="BP133">
            <v>-27.301902621722849</v>
          </cell>
          <cell r="BQ133">
            <v>-27.404973782771538</v>
          </cell>
          <cell r="BR133">
            <v>-27.508044943820227</v>
          </cell>
          <cell r="BS133">
            <v>-27.611116104868916</v>
          </cell>
          <cell r="BT133">
            <v>-27.714187265917605</v>
          </cell>
          <cell r="BU133">
            <v>-27.817258426966294</v>
          </cell>
          <cell r="BV133">
            <v>-27.920329588014983</v>
          </cell>
          <cell r="BW133">
            <v>-28.023400749063672</v>
          </cell>
          <cell r="BX133">
            <v>-28.126471910112361</v>
          </cell>
          <cell r="BY133">
            <v>-28.22954307116105</v>
          </cell>
          <cell r="BZ133">
            <v>-28.332614232209739</v>
          </cell>
          <cell r="CA133">
            <v>-28.435685393258428</v>
          </cell>
          <cell r="CB133">
            <v>-28.538756554307117</v>
          </cell>
          <cell r="CC133">
            <v>-28.641827715355806</v>
          </cell>
          <cell r="CD133">
            <v>-28.744898876404495</v>
          </cell>
          <cell r="CE133">
            <v>-28.847970037453184</v>
          </cell>
          <cell r="CF133">
            <v>-28.951041198501873</v>
          </cell>
          <cell r="CG133">
            <v>-29.051396396396395</v>
          </cell>
          <cell r="CH133">
            <v>-29.149294294294293</v>
          </cell>
          <cell r="CI133">
            <v>-29.247192192192191</v>
          </cell>
          <cell r="CJ133">
            <v>-29.345090090090089</v>
          </cell>
          <cell r="CK133">
            <v>-8.1209504950495059</v>
          </cell>
          <cell r="CL133">
            <v>-8.1466930693069308</v>
          </cell>
        </row>
        <row r="134">
          <cell r="B134">
            <v>-184.14450450450451</v>
          </cell>
          <cell r="C134">
            <v>-180.19015015015015</v>
          </cell>
          <cell r="D134">
            <v>-176.23579579579581</v>
          </cell>
          <cell r="E134">
            <v>-172.28144144144147</v>
          </cell>
          <cell r="F134">
            <v>-168.94194610778445</v>
          </cell>
          <cell r="G134">
            <v>-165.74434131736527</v>
          </cell>
          <cell r="H134">
            <v>-162.54673652694612</v>
          </cell>
          <cell r="I134">
            <v>-159.34913173652694</v>
          </cell>
          <cell r="J134">
            <v>-156.51188622754489</v>
          </cell>
          <cell r="K134">
            <v>-153.87955089820358</v>
          </cell>
          <cell r="L134">
            <v>-151.24721556886226</v>
          </cell>
          <cell r="M134">
            <v>-148.61488023952094</v>
          </cell>
          <cell r="N134">
            <v>-146.17973053892214</v>
          </cell>
          <cell r="O134">
            <v>-143.97374251497007</v>
          </cell>
          <cell r="P134">
            <v>-141.76775449101797</v>
          </cell>
          <cell r="Q134">
            <v>-139.56176646706587</v>
          </cell>
          <cell r="R134">
            <v>-137.45494011976049</v>
          </cell>
          <cell r="S134">
            <v>-135.59386227544911</v>
          </cell>
          <cell r="T134">
            <v>-133.73278443113773</v>
          </cell>
          <cell r="U134">
            <v>-131.87170658682635</v>
          </cell>
          <cell r="V134">
            <v>-130.04404191616766</v>
          </cell>
          <cell r="W134">
            <v>-128.47997005988023</v>
          </cell>
          <cell r="X134">
            <v>-126.91589820359282</v>
          </cell>
          <cell r="Y134">
            <v>-125.35182634730539</v>
          </cell>
          <cell r="Z134">
            <v>-123.78775449101796</v>
          </cell>
          <cell r="AA134">
            <v>-123.46702702702703</v>
          </cell>
          <cell r="AB134">
            <v>-123.22918918918919</v>
          </cell>
          <cell r="AC134">
            <v>-122.99135135135135</v>
          </cell>
          <cell r="AD134">
            <v>-122.75351351351351</v>
          </cell>
          <cell r="AE134">
            <v>-123.46293413173653</v>
          </cell>
          <cell r="AF134">
            <v>-124.44736526946109</v>
          </cell>
          <cell r="AG134">
            <v>-125.43179640718563</v>
          </cell>
          <cell r="AH134">
            <v>-126.41622754491017</v>
          </cell>
          <cell r="AI134">
            <v>-127.39922155688622</v>
          </cell>
          <cell r="AJ134">
            <v>-128.38125748502995</v>
          </cell>
          <cell r="AK134">
            <v>-129.36329341317364</v>
          </cell>
          <cell r="AL134">
            <v>-130.34532934131735</v>
          </cell>
          <cell r="AM134">
            <v>-131.31718562874252</v>
          </cell>
          <cell r="AN134">
            <v>-132.27526946107784</v>
          </cell>
          <cell r="AO134">
            <v>-133.23335329341316</v>
          </cell>
          <cell r="AP134">
            <v>-134.19143712574851</v>
          </cell>
          <cell r="AQ134">
            <v>-135.14592814371258</v>
          </cell>
          <cell r="AR134">
            <v>-136.08964071856286</v>
          </cell>
          <cell r="AS134">
            <v>-137.03335329341317</v>
          </cell>
          <cell r="AT134">
            <v>-137.97706586826348</v>
          </cell>
          <cell r="AU134">
            <v>-138.91970059880239</v>
          </cell>
          <cell r="AV134">
            <v>-139.84904191616766</v>
          </cell>
          <cell r="AW134">
            <v>-140.77838323353294</v>
          </cell>
          <cell r="AX134">
            <v>-141.70772455089821</v>
          </cell>
          <cell r="AY134">
            <v>-142.63706586826348</v>
          </cell>
          <cell r="AZ134">
            <v>-143.50932584269663</v>
          </cell>
          <cell r="BA134">
            <v>-144.37524344569289</v>
          </cell>
          <cell r="BB134">
            <v>-145.24116104868915</v>
          </cell>
          <cell r="BC134">
            <v>-146.10707865168538</v>
          </cell>
          <cell r="BD134">
            <v>-146.97299625468165</v>
          </cell>
          <cell r="BE134">
            <v>-147.83891385767791</v>
          </cell>
          <cell r="BF134">
            <v>-148.70483146067417</v>
          </cell>
          <cell r="BG134">
            <v>-149.57074906367041</v>
          </cell>
          <cell r="BH134">
            <v>-150.43666666666667</v>
          </cell>
          <cell r="BI134">
            <v>-151.30258426966293</v>
          </cell>
          <cell r="BJ134">
            <v>-152.16850187265919</v>
          </cell>
          <cell r="BK134">
            <v>-153.03441947565543</v>
          </cell>
          <cell r="BL134">
            <v>-153.90033707865169</v>
          </cell>
          <cell r="BM134">
            <v>-154.76625468164795</v>
          </cell>
          <cell r="BN134">
            <v>-155.63217228464421</v>
          </cell>
          <cell r="BO134">
            <v>-156.49808988764045</v>
          </cell>
          <cell r="BP134">
            <v>-157.34146816479401</v>
          </cell>
          <cell r="BQ134">
            <v>-158.10131835205993</v>
          </cell>
          <cell r="BR134">
            <v>-158.86116853932586</v>
          </cell>
          <cell r="BS134">
            <v>-159.62101872659179</v>
          </cell>
          <cell r="BT134">
            <v>-160.38086891385768</v>
          </cell>
          <cell r="BU134">
            <v>-161.14071910112361</v>
          </cell>
          <cell r="BV134">
            <v>-161.90056928838953</v>
          </cell>
          <cell r="BW134">
            <v>-162.66041947565543</v>
          </cell>
          <cell r="BX134">
            <v>-163.42026966292136</v>
          </cell>
          <cell r="BY134">
            <v>-164.18011985018728</v>
          </cell>
          <cell r="BZ134">
            <v>-164.93997003745321</v>
          </cell>
          <cell r="CA134">
            <v>-165.6998202247191</v>
          </cell>
          <cell r="CB134">
            <v>-166.45967041198503</v>
          </cell>
          <cell r="CC134">
            <v>-167.21952059925096</v>
          </cell>
          <cell r="CD134">
            <v>-167.97937078651688</v>
          </cell>
          <cell r="CE134">
            <v>-168.73922097378278</v>
          </cell>
          <cell r="CF134">
            <v>-169.4990711610487</v>
          </cell>
          <cell r="CG134">
            <v>-170.1970720720721</v>
          </cell>
          <cell r="CH134">
            <v>-170.83911411411412</v>
          </cell>
          <cell r="CI134">
            <v>-171.48115615615617</v>
          </cell>
          <cell r="CJ134">
            <v>-172.12319819819822</v>
          </cell>
          <cell r="CK134">
            <v>-28.733663366336632</v>
          </cell>
          <cell r="CL134">
            <v>-28.828712871287127</v>
          </cell>
        </row>
        <row r="135">
          <cell r="B135">
            <v>-15.512792792792792</v>
          </cell>
          <cell r="C135">
            <v>-15.013093093093092</v>
          </cell>
          <cell r="D135">
            <v>-14.513393393393393</v>
          </cell>
          <cell r="E135">
            <v>-14.013693693693693</v>
          </cell>
          <cell r="F135">
            <v>-13.456826347305389</v>
          </cell>
          <cell r="G135">
            <v>-12.886766467065867</v>
          </cell>
          <cell r="H135">
            <v>-12.316706586826346</v>
          </cell>
          <cell r="I135">
            <v>-11.746646706586823</v>
          </cell>
          <cell r="J135">
            <v>-11.204988023952094</v>
          </cell>
          <cell r="K135">
            <v>-10.679479041916167</v>
          </cell>
          <cell r="L135">
            <v>-10.153970059880239</v>
          </cell>
          <cell r="M135">
            <v>-9.628461077844312</v>
          </cell>
          <cell r="N135">
            <v>-9.1539101796407198</v>
          </cell>
          <cell r="O135">
            <v>-8.7385808383233528</v>
          </cell>
          <cell r="P135">
            <v>-8.3232514970059874</v>
          </cell>
          <cell r="Q135">
            <v>-7.9079221556886221</v>
          </cell>
          <cell r="R135">
            <v>-7.5390748502994009</v>
          </cell>
          <cell r="S135">
            <v>-7.2854221556886225</v>
          </cell>
          <cell r="T135">
            <v>-7.031769461077845</v>
          </cell>
          <cell r="U135">
            <v>-6.7781167664670665</v>
          </cell>
          <cell r="V135">
            <v>-6.5428413173652693</v>
          </cell>
          <cell r="W135">
            <v>-6.4525419161676645</v>
          </cell>
          <cell r="X135">
            <v>-6.3622425149700597</v>
          </cell>
          <cell r="Y135">
            <v>-6.2719431137724548</v>
          </cell>
          <cell r="Z135">
            <v>-6.18164371257485</v>
          </cell>
          <cell r="AA135">
            <v>-6.3239729729729737</v>
          </cell>
          <cell r="AB135">
            <v>-6.4818108108108117</v>
          </cell>
          <cell r="AC135">
            <v>-6.6396486486486497</v>
          </cell>
          <cell r="AD135">
            <v>-6.7974864864864877</v>
          </cell>
          <cell r="AE135">
            <v>-6.8348562874251497</v>
          </cell>
          <cell r="AF135">
            <v>-6.8372514970059886</v>
          </cell>
          <cell r="AG135">
            <v>-6.8396467065868265</v>
          </cell>
          <cell r="AH135">
            <v>-6.8420419161676644</v>
          </cell>
          <cell r="AI135">
            <v>-6.8517664670658682</v>
          </cell>
          <cell r="AJ135">
            <v>-6.866377245508982</v>
          </cell>
          <cell r="AK135">
            <v>-6.8809880239520957</v>
          </cell>
          <cell r="AL135">
            <v>-6.8955988023952095</v>
          </cell>
          <cell r="AM135">
            <v>-6.911838323353293</v>
          </cell>
          <cell r="AN135">
            <v>-6.930281437125748</v>
          </cell>
          <cell r="AO135">
            <v>-6.9487245508982038</v>
          </cell>
          <cell r="AP135">
            <v>-6.9671676646706588</v>
          </cell>
          <cell r="AQ135">
            <v>-6.9858502994011973</v>
          </cell>
          <cell r="AR135">
            <v>-7.0052514970059878</v>
          </cell>
          <cell r="AS135">
            <v>-7.0246526946107783</v>
          </cell>
          <cell r="AT135">
            <v>-7.0440538922155689</v>
          </cell>
          <cell r="AU135">
            <v>-7.0634550898203594</v>
          </cell>
          <cell r="AV135">
            <v>-7.0828562874251499</v>
          </cell>
          <cell r="AW135">
            <v>-7.1022574850299405</v>
          </cell>
          <cell r="AX135">
            <v>-7.1216586826347301</v>
          </cell>
          <cell r="AY135">
            <v>-7.1410598802395207</v>
          </cell>
          <cell r="AZ135">
            <v>-7.1602584269662923</v>
          </cell>
          <cell r="BA135">
            <v>-7.1794344569288393</v>
          </cell>
          <cell r="BB135">
            <v>-7.1986104868913854</v>
          </cell>
          <cell r="BC135">
            <v>-7.2177865168539324</v>
          </cell>
          <cell r="BD135">
            <v>-7.2369625468164793</v>
          </cell>
          <cell r="BE135">
            <v>-7.2561385767790263</v>
          </cell>
          <cell r="BF135">
            <v>-7.2753146067415733</v>
          </cell>
          <cell r="BG135">
            <v>-7.2944906367041202</v>
          </cell>
          <cell r="BH135">
            <v>-7.3136666666666663</v>
          </cell>
          <cell r="BI135">
            <v>-7.3328426966292133</v>
          </cell>
          <cell r="BJ135">
            <v>-7.3520187265917603</v>
          </cell>
          <cell r="BK135">
            <v>-7.3711947565543072</v>
          </cell>
          <cell r="BL135">
            <v>-7.3903707865168542</v>
          </cell>
          <cell r="BM135">
            <v>-7.4095468164794012</v>
          </cell>
          <cell r="BN135">
            <v>-7.4287228464419481</v>
          </cell>
          <cell r="BO135">
            <v>-7.4478988764044942</v>
          </cell>
          <cell r="BP135">
            <v>-7.4668456928838953</v>
          </cell>
          <cell r="BQ135">
            <v>-7.484943071161049</v>
          </cell>
          <cell r="BR135">
            <v>-7.5030404494382026</v>
          </cell>
          <cell r="BS135">
            <v>-7.5211378277153562</v>
          </cell>
          <cell r="BT135">
            <v>-7.5392352059925098</v>
          </cell>
          <cell r="BU135">
            <v>-7.5573325842696626</v>
          </cell>
          <cell r="BV135">
            <v>-7.5754299625468162</v>
          </cell>
          <cell r="BW135">
            <v>-7.5935273408239699</v>
          </cell>
          <cell r="BX135">
            <v>-7.6116247191011235</v>
          </cell>
          <cell r="BY135">
            <v>-7.6297220973782771</v>
          </cell>
          <cell r="BZ135">
            <v>-7.6478194756554307</v>
          </cell>
          <cell r="CA135">
            <v>-7.6659168539325844</v>
          </cell>
          <cell r="CB135">
            <v>-7.684014232209738</v>
          </cell>
          <cell r="CC135">
            <v>-7.7021116104868916</v>
          </cell>
          <cell r="CD135">
            <v>-7.7202089887640444</v>
          </cell>
          <cell r="CE135">
            <v>-7.738306367041198</v>
          </cell>
          <cell r="CF135">
            <v>-7.7564037453183516</v>
          </cell>
          <cell r="CG135">
            <v>-7.7739234234234234</v>
          </cell>
          <cell r="CH135">
            <v>-7.7909204204204201</v>
          </cell>
          <cell r="CI135">
            <v>-7.8079174174174168</v>
          </cell>
          <cell r="CJ135">
            <v>-7.8249144144144145</v>
          </cell>
          <cell r="CK135">
            <v>-64.814138613861388</v>
          </cell>
          <cell r="CL135">
            <v>-65.022059405940595</v>
          </cell>
        </row>
        <row r="136">
          <cell r="B136">
            <v>-18.877657657657657</v>
          </cell>
          <cell r="C136">
            <v>-18.875255255255254</v>
          </cell>
          <cell r="D136">
            <v>-18.872852852852855</v>
          </cell>
          <cell r="E136">
            <v>-18.870450450450452</v>
          </cell>
          <cell r="F136">
            <v>-18.875838323353292</v>
          </cell>
          <cell r="G136">
            <v>-18.883023952095808</v>
          </cell>
          <cell r="H136">
            <v>-18.890209580838324</v>
          </cell>
          <cell r="I136">
            <v>-18.897395209580836</v>
          </cell>
          <cell r="J136">
            <v>-18.906107784431136</v>
          </cell>
          <cell r="K136">
            <v>-18.915688622754491</v>
          </cell>
          <cell r="L136">
            <v>-18.925269461077846</v>
          </cell>
          <cell r="M136">
            <v>-18.934850299401198</v>
          </cell>
          <cell r="N136">
            <v>-18.945538922155688</v>
          </cell>
          <cell r="O136">
            <v>-18.957514970059879</v>
          </cell>
          <cell r="P136">
            <v>-18.969491017964071</v>
          </cell>
          <cell r="Q136">
            <v>-18.981467065868262</v>
          </cell>
          <cell r="R136">
            <v>-18.993443113772454</v>
          </cell>
          <cell r="S136">
            <v>-19.005419161676645</v>
          </cell>
          <cell r="T136">
            <v>-19.017395209580837</v>
          </cell>
          <cell r="U136">
            <v>-19.029371257485028</v>
          </cell>
          <cell r="V136">
            <v>-19.040808383233532</v>
          </cell>
          <cell r="W136">
            <v>-19.047994011976048</v>
          </cell>
          <cell r="X136">
            <v>-19.055179640718563</v>
          </cell>
          <cell r="Y136">
            <v>-19.062365269461079</v>
          </cell>
          <cell r="Z136">
            <v>-19.069550898203595</v>
          </cell>
          <cell r="AA136">
            <v>-19.045225225225227</v>
          </cell>
          <cell r="AB136">
            <v>-19.018798798798798</v>
          </cell>
          <cell r="AC136">
            <v>-18.992372372372373</v>
          </cell>
          <cell r="AD136">
            <v>-18.965945945945947</v>
          </cell>
          <cell r="AE136">
            <v>-18.972994011976049</v>
          </cell>
          <cell r="AF136">
            <v>-18.989760479041916</v>
          </cell>
          <cell r="AG136">
            <v>-19.006526946107787</v>
          </cell>
          <cell r="AH136">
            <v>-19.023293413173654</v>
          </cell>
          <cell r="AI136">
            <v>-19.040059880239522</v>
          </cell>
          <cell r="AJ136">
            <v>-19.056826347305389</v>
          </cell>
          <cell r="AK136">
            <v>-19.07359281437126</v>
          </cell>
          <cell r="AL136">
            <v>-19.090359281437127</v>
          </cell>
          <cell r="AM136">
            <v>-19.107125748502995</v>
          </cell>
          <cell r="AN136">
            <v>-19.123892215568866</v>
          </cell>
          <cell r="AO136">
            <v>-19.140658682634733</v>
          </cell>
          <cell r="AP136">
            <v>-19.1574251497006</v>
          </cell>
          <cell r="AQ136">
            <v>-19.174191616766468</v>
          </cell>
          <cell r="AR136">
            <v>-19.190958083832335</v>
          </cell>
          <cell r="AS136">
            <v>-19.207724550898202</v>
          </cell>
          <cell r="AT136">
            <v>-19.22449101796407</v>
          </cell>
          <cell r="AU136">
            <v>-19.241257485029937</v>
          </cell>
          <cell r="AV136">
            <v>-19.258023952095808</v>
          </cell>
          <cell r="AW136">
            <v>-19.274790419161675</v>
          </cell>
          <cell r="AX136">
            <v>-19.291556886227543</v>
          </cell>
          <cell r="AY136">
            <v>-19.30832335329341</v>
          </cell>
          <cell r="AZ136">
            <v>-19.324022471910112</v>
          </cell>
          <cell r="BA136">
            <v>-19.33960299625468</v>
          </cell>
          <cell r="BB136">
            <v>-19.355183520599251</v>
          </cell>
          <cell r="BC136">
            <v>-19.370764044943819</v>
          </cell>
          <cell r="BD136">
            <v>-19.38634456928839</v>
          </cell>
          <cell r="BE136">
            <v>-19.401925093632958</v>
          </cell>
          <cell r="BF136">
            <v>-19.417505617977529</v>
          </cell>
          <cell r="BG136">
            <v>-19.433086142322097</v>
          </cell>
          <cell r="BH136">
            <v>-19.448666666666668</v>
          </cell>
          <cell r="BI136">
            <v>-19.464247191011236</v>
          </cell>
          <cell r="BJ136">
            <v>-19.479827715355807</v>
          </cell>
          <cell r="BK136">
            <v>-19.495408239700375</v>
          </cell>
          <cell r="BL136">
            <v>-19.510988764044942</v>
          </cell>
          <cell r="BM136">
            <v>-19.526569288389513</v>
          </cell>
          <cell r="BN136">
            <v>-19.542149812734081</v>
          </cell>
          <cell r="BO136">
            <v>-19.557730337078652</v>
          </cell>
          <cell r="BP136">
            <v>-19.573183520599251</v>
          </cell>
          <cell r="BQ136">
            <v>-19.58816479400749</v>
          </cell>
          <cell r="BR136">
            <v>-19.603146067415732</v>
          </cell>
          <cell r="BS136">
            <v>-19.618127340823971</v>
          </cell>
          <cell r="BT136">
            <v>-19.63310861423221</v>
          </cell>
          <cell r="BU136">
            <v>-19.648089887640449</v>
          </cell>
          <cell r="BV136">
            <v>-19.663071161048691</v>
          </cell>
          <cell r="BW136">
            <v>-19.67805243445693</v>
          </cell>
          <cell r="BX136">
            <v>-19.693033707865169</v>
          </cell>
          <cell r="BY136">
            <v>-19.708014981273408</v>
          </cell>
          <cell r="BZ136">
            <v>-19.722996254681647</v>
          </cell>
          <cell r="CA136">
            <v>-19.737977528089889</v>
          </cell>
          <cell r="CB136">
            <v>-19.752958801498128</v>
          </cell>
          <cell r="CC136">
            <v>-19.767940074906367</v>
          </cell>
          <cell r="CD136">
            <v>-19.782921348314606</v>
          </cell>
          <cell r="CE136">
            <v>-19.797902621722848</v>
          </cell>
          <cell r="CF136">
            <v>-19.812883895131087</v>
          </cell>
          <cell r="CG136">
            <v>-19.827252252252254</v>
          </cell>
          <cell r="CH136">
            <v>-19.841066066066066</v>
          </cell>
          <cell r="CI136">
            <v>-19.854879879879881</v>
          </cell>
          <cell r="CJ136">
            <v>-19.868693693693693</v>
          </cell>
          <cell r="CK136">
            <v>-102.44289108910891</v>
          </cell>
          <cell r="CL136">
            <v>-102.77952475247524</v>
          </cell>
        </row>
        <row r="137">
          <cell r="B137">
            <v>-59.399279279279277</v>
          </cell>
          <cell r="C137">
            <v>-58.495975975975981</v>
          </cell>
          <cell r="D137">
            <v>-57.592672672672677</v>
          </cell>
          <cell r="E137">
            <v>-56.689369369369373</v>
          </cell>
          <cell r="F137">
            <v>-56.091856287425152</v>
          </cell>
          <cell r="G137">
            <v>-55.564910179640719</v>
          </cell>
          <cell r="H137">
            <v>-55.037964071856287</v>
          </cell>
          <cell r="I137">
            <v>-54.511017964071854</v>
          </cell>
          <cell r="J137">
            <v>-54.110197604790422</v>
          </cell>
          <cell r="K137">
            <v>-53.781095808383235</v>
          </cell>
          <cell r="L137">
            <v>-53.451994011976048</v>
          </cell>
          <cell r="M137">
            <v>-53.122892215568861</v>
          </cell>
          <cell r="N137">
            <v>-52.840317365269463</v>
          </cell>
          <cell r="O137">
            <v>-52.611814371257488</v>
          </cell>
          <cell r="P137">
            <v>-52.383311377245512</v>
          </cell>
          <cell r="Q137">
            <v>-52.154808383233537</v>
          </cell>
          <cell r="R137">
            <v>-51.959014970059883</v>
          </cell>
          <cell r="S137">
            <v>-51.84428443113773</v>
          </cell>
          <cell r="T137">
            <v>-51.72955389221557</v>
          </cell>
          <cell r="U137">
            <v>-51.61482335329341</v>
          </cell>
          <cell r="V137">
            <v>-51.519547904191612</v>
          </cell>
          <cell r="W137">
            <v>-51.577751497005984</v>
          </cell>
          <cell r="X137">
            <v>-51.635955089820357</v>
          </cell>
          <cell r="Y137">
            <v>-51.694158682634729</v>
          </cell>
          <cell r="Z137">
            <v>-51.752362275449102</v>
          </cell>
          <cell r="AA137">
            <v>-52.016585585585588</v>
          </cell>
          <cell r="AB137">
            <v>-52.29454354354354</v>
          </cell>
          <cell r="AC137">
            <v>-52.572501501501499</v>
          </cell>
          <cell r="AD137">
            <v>-52.850459459459458</v>
          </cell>
          <cell r="AE137">
            <v>-53.09677245508982</v>
          </cell>
          <cell r="AF137">
            <v>-53.333898203592817</v>
          </cell>
          <cell r="AG137">
            <v>-53.571023952095814</v>
          </cell>
          <cell r="AH137">
            <v>-53.808149700598804</v>
          </cell>
          <cell r="AI137">
            <v>-54.055479041916172</v>
          </cell>
          <cell r="AJ137">
            <v>-54.309610778443115</v>
          </cell>
          <cell r="AK137">
            <v>-54.563742514970059</v>
          </cell>
          <cell r="AL137">
            <v>-54.817874251497003</v>
          </cell>
          <cell r="AM137">
            <v>-55.069562874251496</v>
          </cell>
          <cell r="AN137">
            <v>-55.317946107784429</v>
          </cell>
          <cell r="AO137">
            <v>-55.56632934131737</v>
          </cell>
          <cell r="AP137">
            <v>-55.814712574850304</v>
          </cell>
          <cell r="AQ137">
            <v>-56.063335329341321</v>
          </cell>
          <cell r="AR137">
            <v>-56.312676646706592</v>
          </cell>
          <cell r="AS137">
            <v>-56.562017964071856</v>
          </cell>
          <cell r="AT137">
            <v>-56.81135928143712</v>
          </cell>
          <cell r="AU137">
            <v>-57.060700598802391</v>
          </cell>
          <cell r="AV137">
            <v>-57.310041916167663</v>
          </cell>
          <cell r="AW137">
            <v>-57.559383233532934</v>
          </cell>
          <cell r="AX137">
            <v>-57.808724550898205</v>
          </cell>
          <cell r="AY137">
            <v>-58.058065868263469</v>
          </cell>
          <cell r="AZ137">
            <v>-58.295494382022468</v>
          </cell>
          <cell r="BA137">
            <v>-58.531599250936331</v>
          </cell>
          <cell r="BB137">
            <v>-58.767704119850187</v>
          </cell>
          <cell r="BC137">
            <v>-59.003808988764042</v>
          </cell>
          <cell r="BD137">
            <v>-59.239913857677905</v>
          </cell>
          <cell r="BE137">
            <v>-59.476018726591761</v>
          </cell>
          <cell r="BF137">
            <v>-59.712123595505616</v>
          </cell>
          <cell r="BG137">
            <v>-59.948228464419479</v>
          </cell>
          <cell r="BH137">
            <v>-60.184333333333335</v>
          </cell>
          <cell r="BI137">
            <v>-60.42043820224719</v>
          </cell>
          <cell r="BJ137">
            <v>-60.656543071161053</v>
          </cell>
          <cell r="BK137">
            <v>-60.892647940074909</v>
          </cell>
          <cell r="BL137">
            <v>-61.128752808988764</v>
          </cell>
          <cell r="BM137">
            <v>-61.364857677902627</v>
          </cell>
          <cell r="BN137">
            <v>-61.600962546816483</v>
          </cell>
          <cell r="BO137">
            <v>-61.837067415730338</v>
          </cell>
          <cell r="BP137">
            <v>-62.070650936329592</v>
          </cell>
          <cell r="BQ137">
            <v>-62.294890636704125</v>
          </cell>
          <cell r="BR137">
            <v>-62.519130337078657</v>
          </cell>
          <cell r="BS137">
            <v>-62.74337003745319</v>
          </cell>
          <cell r="BT137">
            <v>-62.967609737827722</v>
          </cell>
          <cell r="BU137">
            <v>-63.191849438202254</v>
          </cell>
          <cell r="BV137">
            <v>-63.41608913857678</v>
          </cell>
          <cell r="BW137">
            <v>-63.640328838951312</v>
          </cell>
          <cell r="BX137">
            <v>-63.864568539325845</v>
          </cell>
          <cell r="BY137">
            <v>-64.088808239700384</v>
          </cell>
          <cell r="BZ137">
            <v>-64.31304794007491</v>
          </cell>
          <cell r="CA137">
            <v>-64.537287640449435</v>
          </cell>
          <cell r="CB137">
            <v>-64.761527340823974</v>
          </cell>
          <cell r="CC137">
            <v>-64.9857670411985</v>
          </cell>
          <cell r="CD137">
            <v>-65.210006741573039</v>
          </cell>
          <cell r="CE137">
            <v>-65.434246441947565</v>
          </cell>
          <cell r="CF137">
            <v>-65.658486142322104</v>
          </cell>
          <cell r="CG137">
            <v>-65.876716216216224</v>
          </cell>
          <cell r="CH137">
            <v>-66.089509009009006</v>
          </cell>
          <cell r="CI137">
            <v>-66.302301801801804</v>
          </cell>
          <cell r="CJ137">
            <v>-66.515094594594601</v>
          </cell>
          <cell r="CK137">
            <v>-44.975564356435648</v>
          </cell>
          <cell r="CL137">
            <v>-45.122099009900992</v>
          </cell>
        </row>
        <row r="138">
          <cell r="B138">
            <v>-37.456036036036032</v>
          </cell>
          <cell r="C138">
            <v>-36.754534534534535</v>
          </cell>
          <cell r="D138">
            <v>-36.053033033033032</v>
          </cell>
          <cell r="E138">
            <v>-35.351531531531528</v>
          </cell>
          <cell r="F138">
            <v>-34.77434131736527</v>
          </cell>
          <cell r="G138">
            <v>-34.225838323353294</v>
          </cell>
          <cell r="H138">
            <v>-33.677335329341318</v>
          </cell>
          <cell r="I138">
            <v>-33.128832335329342</v>
          </cell>
          <cell r="J138">
            <v>-32.657592814371256</v>
          </cell>
          <cell r="K138">
            <v>-32.230287425149697</v>
          </cell>
          <cell r="L138">
            <v>-31.802982035928146</v>
          </cell>
          <cell r="M138">
            <v>-31.375676646706587</v>
          </cell>
          <cell r="N138">
            <v>-30.997113772455091</v>
          </cell>
          <cell r="O138">
            <v>-30.675197604790419</v>
          </cell>
          <cell r="P138">
            <v>-30.353281437125748</v>
          </cell>
          <cell r="Q138">
            <v>-30.031365269461077</v>
          </cell>
          <cell r="R138">
            <v>-29.749044910179641</v>
          </cell>
          <cell r="S138">
            <v>-29.564853293413172</v>
          </cell>
          <cell r="T138">
            <v>-29.380661676646707</v>
          </cell>
          <cell r="U138">
            <v>-29.196470059880241</v>
          </cell>
          <cell r="V138">
            <v>-29.031194610778446</v>
          </cell>
          <cell r="W138">
            <v>-29.015146706586826</v>
          </cell>
          <cell r="X138">
            <v>-28.99909880239521</v>
          </cell>
          <cell r="Y138">
            <v>-28.983050898203594</v>
          </cell>
          <cell r="Z138">
            <v>-28.967002994011978</v>
          </cell>
          <cell r="AA138">
            <v>-29.170279279279281</v>
          </cell>
          <cell r="AB138">
            <v>-29.388177177177177</v>
          </cell>
          <cell r="AC138">
            <v>-29.606075075075076</v>
          </cell>
          <cell r="AD138">
            <v>-29.823972972972971</v>
          </cell>
          <cell r="AE138">
            <v>-29.965814371257483</v>
          </cell>
          <cell r="AF138">
            <v>-30.085574850299402</v>
          </cell>
          <cell r="AG138">
            <v>-30.205335329341317</v>
          </cell>
          <cell r="AH138">
            <v>-30.325095808383235</v>
          </cell>
          <cell r="AI138">
            <v>-30.453622754491018</v>
          </cell>
          <cell r="AJ138">
            <v>-30.587994011976047</v>
          </cell>
          <cell r="AK138">
            <v>-30.722365269461079</v>
          </cell>
          <cell r="AL138">
            <v>-30.856736526946108</v>
          </cell>
          <cell r="AM138">
            <v>-30.990700598802395</v>
          </cell>
          <cell r="AN138">
            <v>-31.12411377245509</v>
          </cell>
          <cell r="AO138">
            <v>-31.257526946107784</v>
          </cell>
          <cell r="AP138">
            <v>-31.390940119760479</v>
          </cell>
          <cell r="AQ138">
            <v>-31.524592814371257</v>
          </cell>
          <cell r="AR138">
            <v>-31.658964071856285</v>
          </cell>
          <cell r="AS138">
            <v>-31.793335329341318</v>
          </cell>
          <cell r="AT138">
            <v>-31.927706586826346</v>
          </cell>
          <cell r="AU138">
            <v>-32.062077844311375</v>
          </cell>
          <cell r="AV138">
            <v>-32.196449101796411</v>
          </cell>
          <cell r="AW138">
            <v>-32.330820359281439</v>
          </cell>
          <cell r="AX138">
            <v>-32.465191616766468</v>
          </cell>
          <cell r="AY138">
            <v>-32.599562874251497</v>
          </cell>
          <cell r="AZ138">
            <v>-32.727876404494381</v>
          </cell>
          <cell r="BA138">
            <v>-32.855516853932585</v>
          </cell>
          <cell r="BB138">
            <v>-32.983157303370788</v>
          </cell>
          <cell r="BC138">
            <v>-33.110797752808992</v>
          </cell>
          <cell r="BD138">
            <v>-33.238438202247195</v>
          </cell>
          <cell r="BE138">
            <v>-33.366078651685392</v>
          </cell>
          <cell r="BF138">
            <v>-33.493719101123595</v>
          </cell>
          <cell r="BG138">
            <v>-33.621359550561799</v>
          </cell>
          <cell r="BH138">
            <v>-33.749000000000002</v>
          </cell>
          <cell r="BI138">
            <v>-33.876640449438206</v>
          </cell>
          <cell r="BJ138">
            <v>-34.004280898876409</v>
          </cell>
          <cell r="BK138">
            <v>-34.131921348314606</v>
          </cell>
          <cell r="BL138">
            <v>-34.259561797752809</v>
          </cell>
          <cell r="BM138">
            <v>-34.387202247191013</v>
          </cell>
          <cell r="BN138">
            <v>-34.514842696629216</v>
          </cell>
          <cell r="BO138">
            <v>-34.64248314606742</v>
          </cell>
          <cell r="BP138">
            <v>-34.768748314606746</v>
          </cell>
          <cell r="BQ138">
            <v>-34.88991685393259</v>
          </cell>
          <cell r="BR138">
            <v>-35.011085393258426</v>
          </cell>
          <cell r="BS138">
            <v>-35.13225393258427</v>
          </cell>
          <cell r="BT138">
            <v>-35.253422471910113</v>
          </cell>
          <cell r="BU138">
            <v>-35.374591011235957</v>
          </cell>
          <cell r="BV138">
            <v>-35.4957595505618</v>
          </cell>
          <cell r="BW138">
            <v>-35.616928089887644</v>
          </cell>
          <cell r="BX138">
            <v>-35.738096629213487</v>
          </cell>
          <cell r="BY138">
            <v>-35.859265168539331</v>
          </cell>
          <cell r="BZ138">
            <v>-35.980433707865167</v>
          </cell>
          <cell r="CA138">
            <v>-36.101602247191011</v>
          </cell>
          <cell r="CB138">
            <v>-36.222770786516854</v>
          </cell>
          <cell r="CC138">
            <v>-36.343939325842697</v>
          </cell>
          <cell r="CD138">
            <v>-36.465107865168541</v>
          </cell>
          <cell r="CE138">
            <v>-36.586276404494384</v>
          </cell>
          <cell r="CF138">
            <v>-36.707444943820228</v>
          </cell>
          <cell r="CG138">
            <v>-36.825319819819818</v>
          </cell>
          <cell r="CH138">
            <v>-36.940214714714713</v>
          </cell>
          <cell r="CI138">
            <v>-37.055109609609609</v>
          </cell>
          <cell r="CJ138">
            <v>-37.170004504504504</v>
          </cell>
          <cell r="CK138">
            <v>-8.1209504950495059</v>
          </cell>
          <cell r="CL138">
            <v>-8.1466930693069308</v>
          </cell>
        </row>
        <row r="139">
          <cell r="B139">
            <v>-184.14450450450451</v>
          </cell>
          <cell r="C139">
            <v>-180.19015015015015</v>
          </cell>
          <cell r="D139">
            <v>-176.23579579579581</v>
          </cell>
          <cell r="E139">
            <v>-172.28144144144147</v>
          </cell>
          <cell r="F139">
            <v>-168.94194610778445</v>
          </cell>
          <cell r="G139">
            <v>-165.74434131736527</v>
          </cell>
          <cell r="H139">
            <v>-162.54673652694612</v>
          </cell>
          <cell r="I139">
            <v>-159.34913173652694</v>
          </cell>
          <cell r="J139">
            <v>-156.51188622754489</v>
          </cell>
          <cell r="K139">
            <v>-153.87955089820358</v>
          </cell>
          <cell r="L139">
            <v>-151.24721556886226</v>
          </cell>
          <cell r="M139">
            <v>-148.61488023952094</v>
          </cell>
          <cell r="N139">
            <v>-146.17973053892214</v>
          </cell>
          <cell r="O139">
            <v>-143.97374251497007</v>
          </cell>
          <cell r="P139">
            <v>-141.76775449101797</v>
          </cell>
          <cell r="Q139">
            <v>-139.56176646706587</v>
          </cell>
          <cell r="R139">
            <v>-137.45494011976049</v>
          </cell>
          <cell r="S139">
            <v>-135.59386227544911</v>
          </cell>
          <cell r="T139">
            <v>-133.73278443113773</v>
          </cell>
          <cell r="U139">
            <v>-131.87170658682635</v>
          </cell>
          <cell r="V139">
            <v>-130.04404191616766</v>
          </cell>
          <cell r="W139">
            <v>-128.47997005988023</v>
          </cell>
          <cell r="X139">
            <v>-126.91589820359282</v>
          </cell>
          <cell r="Y139">
            <v>-125.35182634730539</v>
          </cell>
          <cell r="Z139">
            <v>-123.78775449101796</v>
          </cell>
          <cell r="AA139">
            <v>-123.46702702702703</v>
          </cell>
          <cell r="AB139">
            <v>-123.22918918918919</v>
          </cell>
          <cell r="AC139">
            <v>-122.99135135135135</v>
          </cell>
          <cell r="AD139">
            <v>-122.75351351351351</v>
          </cell>
          <cell r="AE139">
            <v>-123.46293413173653</v>
          </cell>
          <cell r="AF139">
            <v>-124.44736526946109</v>
          </cell>
          <cell r="AG139">
            <v>-125.43179640718563</v>
          </cell>
          <cell r="AH139">
            <v>-126.41622754491017</v>
          </cell>
          <cell r="AI139">
            <v>-127.39922155688622</v>
          </cell>
          <cell r="AJ139">
            <v>-128.38125748502995</v>
          </cell>
          <cell r="AK139">
            <v>-129.36329341317364</v>
          </cell>
          <cell r="AL139">
            <v>-130.34532934131735</v>
          </cell>
          <cell r="AM139">
            <v>-131.31718562874252</v>
          </cell>
          <cell r="AN139">
            <v>-132.27526946107784</v>
          </cell>
          <cell r="AO139">
            <v>-133.23335329341316</v>
          </cell>
          <cell r="AP139">
            <v>-134.19143712574851</v>
          </cell>
          <cell r="AQ139">
            <v>-135.14592814371258</v>
          </cell>
          <cell r="AR139">
            <v>-136.08964071856286</v>
          </cell>
          <cell r="AS139">
            <v>-137.03335329341317</v>
          </cell>
          <cell r="AT139">
            <v>-137.97706586826348</v>
          </cell>
          <cell r="AU139">
            <v>-138.91970059880239</v>
          </cell>
          <cell r="AV139">
            <v>-139.84904191616766</v>
          </cell>
          <cell r="AW139">
            <v>-140.77838323353294</v>
          </cell>
          <cell r="AX139">
            <v>-141.70772455089821</v>
          </cell>
          <cell r="AY139">
            <v>-142.63706586826348</v>
          </cell>
          <cell r="AZ139">
            <v>-143.50932584269663</v>
          </cell>
          <cell r="BA139">
            <v>-144.37524344569289</v>
          </cell>
          <cell r="BB139">
            <v>-145.24116104868915</v>
          </cell>
          <cell r="BC139">
            <v>-146.10707865168538</v>
          </cell>
          <cell r="BD139">
            <v>-146.97299625468165</v>
          </cell>
          <cell r="BE139">
            <v>-147.83891385767791</v>
          </cell>
          <cell r="BF139">
            <v>-148.70483146067417</v>
          </cell>
          <cell r="BG139">
            <v>-149.57074906367041</v>
          </cell>
          <cell r="BH139">
            <v>-150.43666666666667</v>
          </cell>
          <cell r="BI139">
            <v>-151.30258426966293</v>
          </cell>
          <cell r="BJ139">
            <v>-152.16850187265919</v>
          </cell>
          <cell r="BK139">
            <v>-153.03441947565543</v>
          </cell>
          <cell r="BL139">
            <v>-153.90033707865169</v>
          </cell>
          <cell r="BM139">
            <v>-154.76625468164795</v>
          </cell>
          <cell r="BN139">
            <v>-155.63217228464421</v>
          </cell>
          <cell r="BO139">
            <v>-156.49808988764045</v>
          </cell>
          <cell r="BP139">
            <v>-157.34146816479401</v>
          </cell>
          <cell r="BQ139">
            <v>-158.10131835205993</v>
          </cell>
          <cell r="BR139">
            <v>-158.86116853932586</v>
          </cell>
          <cell r="BS139">
            <v>-159.62101872659179</v>
          </cell>
          <cell r="BT139">
            <v>-160.38086891385768</v>
          </cell>
          <cell r="BU139">
            <v>-161.14071910112361</v>
          </cell>
          <cell r="BV139">
            <v>-161.90056928838953</v>
          </cell>
          <cell r="BW139">
            <v>-162.66041947565543</v>
          </cell>
          <cell r="BX139">
            <v>-163.42026966292136</v>
          </cell>
          <cell r="BY139">
            <v>-164.18011985018728</v>
          </cell>
          <cell r="BZ139">
            <v>-164.93997003745321</v>
          </cell>
          <cell r="CA139">
            <v>-165.6998202247191</v>
          </cell>
          <cell r="CB139">
            <v>-166.45967041198503</v>
          </cell>
          <cell r="CC139">
            <v>-167.21952059925096</v>
          </cell>
          <cell r="CD139">
            <v>-167.97937078651688</v>
          </cell>
          <cell r="CE139">
            <v>-168.73922097378278</v>
          </cell>
          <cell r="CF139">
            <v>-169.4990711610487</v>
          </cell>
          <cell r="CG139">
            <v>-170.1970720720721</v>
          </cell>
          <cell r="CH139">
            <v>-170.83911411411412</v>
          </cell>
          <cell r="CI139">
            <v>-171.48115615615617</v>
          </cell>
          <cell r="CJ139">
            <v>-172.12319819819822</v>
          </cell>
          <cell r="CK139">
            <v>-19.85920792079208</v>
          </cell>
          <cell r="CL139">
            <v>-19.871089108910891</v>
          </cell>
        </row>
        <row r="140">
          <cell r="B140">
            <v>-15.512792792792792</v>
          </cell>
          <cell r="C140">
            <v>-15.013093093093092</v>
          </cell>
          <cell r="D140">
            <v>-14.513393393393393</v>
          </cell>
          <cell r="E140">
            <v>-14.013693693693693</v>
          </cell>
          <cell r="F140">
            <v>-13.456826347305389</v>
          </cell>
          <cell r="G140">
            <v>-12.886766467065867</v>
          </cell>
          <cell r="H140">
            <v>-12.316706586826346</v>
          </cell>
          <cell r="I140">
            <v>-11.746646706586823</v>
          </cell>
          <cell r="J140">
            <v>-11.204988023952094</v>
          </cell>
          <cell r="K140">
            <v>-10.679479041916167</v>
          </cell>
          <cell r="L140">
            <v>-10.153970059880239</v>
          </cell>
          <cell r="M140">
            <v>-9.628461077844312</v>
          </cell>
          <cell r="N140">
            <v>-9.1539101796407198</v>
          </cell>
          <cell r="O140">
            <v>-8.7385808383233528</v>
          </cell>
          <cell r="P140">
            <v>-8.3232514970059874</v>
          </cell>
          <cell r="Q140">
            <v>-7.9079221556886221</v>
          </cell>
          <cell r="R140">
            <v>-7.5390748502994009</v>
          </cell>
          <cell r="S140">
            <v>-7.2854221556886225</v>
          </cell>
          <cell r="T140">
            <v>-7.031769461077845</v>
          </cell>
          <cell r="U140">
            <v>-6.7781167664670665</v>
          </cell>
          <cell r="V140">
            <v>-6.5428413173652693</v>
          </cell>
          <cell r="W140">
            <v>-6.4525419161676645</v>
          </cell>
          <cell r="X140">
            <v>-6.3622425149700597</v>
          </cell>
          <cell r="Y140">
            <v>-6.2719431137724548</v>
          </cell>
          <cell r="Z140">
            <v>-6.18164371257485</v>
          </cell>
          <cell r="AA140">
            <v>-6.3239729729729737</v>
          </cell>
          <cell r="AB140">
            <v>-6.4818108108108117</v>
          </cell>
          <cell r="AC140">
            <v>-6.6396486486486497</v>
          </cell>
          <cell r="AD140">
            <v>-6.7974864864864877</v>
          </cell>
          <cell r="AE140">
            <v>-6.8348562874251497</v>
          </cell>
          <cell r="AF140">
            <v>-6.8372514970059886</v>
          </cell>
          <cell r="AG140">
            <v>-6.8396467065868265</v>
          </cell>
          <cell r="AH140">
            <v>-6.8420419161676644</v>
          </cell>
          <cell r="AI140">
            <v>-6.8517664670658682</v>
          </cell>
          <cell r="AJ140">
            <v>-6.866377245508982</v>
          </cell>
          <cell r="AK140">
            <v>-6.8809880239520957</v>
          </cell>
          <cell r="AL140">
            <v>-6.8955988023952095</v>
          </cell>
          <cell r="AM140">
            <v>-6.911838323353293</v>
          </cell>
          <cell r="AN140">
            <v>-6.930281437125748</v>
          </cell>
          <cell r="AO140">
            <v>-6.9487245508982038</v>
          </cell>
          <cell r="AP140">
            <v>-6.9671676646706588</v>
          </cell>
          <cell r="AQ140">
            <v>-6.9858502994011973</v>
          </cell>
          <cell r="AR140">
            <v>-7.0052514970059878</v>
          </cell>
          <cell r="AS140">
            <v>-7.0246526946107783</v>
          </cell>
          <cell r="AT140">
            <v>-7.0440538922155689</v>
          </cell>
          <cell r="AU140">
            <v>-7.0634550898203594</v>
          </cell>
          <cell r="AV140">
            <v>-7.0828562874251499</v>
          </cell>
          <cell r="AW140">
            <v>-7.1022574850299405</v>
          </cell>
          <cell r="AX140">
            <v>-7.1216586826347301</v>
          </cell>
          <cell r="AY140">
            <v>-7.1410598802395207</v>
          </cell>
          <cell r="AZ140">
            <v>-7.1602584269662923</v>
          </cell>
          <cell r="BA140">
            <v>-7.1794344569288393</v>
          </cell>
          <cell r="BB140">
            <v>-7.1986104868913854</v>
          </cell>
          <cell r="BC140">
            <v>-7.2177865168539324</v>
          </cell>
          <cell r="BD140">
            <v>-7.2369625468164793</v>
          </cell>
          <cell r="BE140">
            <v>-7.2561385767790263</v>
          </cell>
          <cell r="BF140">
            <v>-7.2753146067415733</v>
          </cell>
          <cell r="BG140">
            <v>-7.2944906367041202</v>
          </cell>
          <cell r="BH140">
            <v>-7.3136666666666663</v>
          </cell>
          <cell r="BI140">
            <v>-7.3328426966292133</v>
          </cell>
          <cell r="BJ140">
            <v>-7.3520187265917603</v>
          </cell>
          <cell r="BK140">
            <v>-7.3711947565543072</v>
          </cell>
          <cell r="BL140">
            <v>-7.3903707865168542</v>
          </cell>
          <cell r="BM140">
            <v>-7.4095468164794012</v>
          </cell>
          <cell r="BN140">
            <v>-7.4287228464419481</v>
          </cell>
          <cell r="BO140">
            <v>-7.4478988764044942</v>
          </cell>
          <cell r="BP140">
            <v>-7.4668456928838953</v>
          </cell>
          <cell r="BQ140">
            <v>-7.484943071161049</v>
          </cell>
          <cell r="BR140">
            <v>-7.5030404494382026</v>
          </cell>
          <cell r="BS140">
            <v>-7.5211378277153562</v>
          </cell>
          <cell r="BT140">
            <v>-7.5392352059925098</v>
          </cell>
          <cell r="BU140">
            <v>-7.5573325842696626</v>
          </cell>
          <cell r="BV140">
            <v>-7.5754299625468162</v>
          </cell>
          <cell r="BW140">
            <v>-7.5935273408239699</v>
          </cell>
          <cell r="BX140">
            <v>-7.6116247191011235</v>
          </cell>
          <cell r="BY140">
            <v>-7.6297220973782771</v>
          </cell>
          <cell r="BZ140">
            <v>-7.6478194756554307</v>
          </cell>
          <cell r="CA140">
            <v>-7.6659168539325844</v>
          </cell>
          <cell r="CB140">
            <v>-7.684014232209738</v>
          </cell>
          <cell r="CC140">
            <v>-7.7021116104868916</v>
          </cell>
          <cell r="CD140">
            <v>-7.7202089887640444</v>
          </cell>
          <cell r="CE140">
            <v>-7.738306367041198</v>
          </cell>
          <cell r="CF140">
            <v>-7.7564037453183516</v>
          </cell>
          <cell r="CG140">
            <v>-7.7739234234234234</v>
          </cell>
          <cell r="CH140">
            <v>-7.7909204204204201</v>
          </cell>
          <cell r="CI140">
            <v>-7.8079174174174168</v>
          </cell>
          <cell r="CJ140">
            <v>-7.8249144144144145</v>
          </cell>
          <cell r="CK140">
            <v>-64.814138613861388</v>
          </cell>
          <cell r="CL140">
            <v>-65.022059405940595</v>
          </cell>
        </row>
        <row r="141">
          <cell r="B141">
            <v>-59.157387387387388</v>
          </cell>
          <cell r="C141">
            <v>-57.482912912912909</v>
          </cell>
          <cell r="D141">
            <v>-55.808438438438436</v>
          </cell>
          <cell r="E141">
            <v>-54.133963963963964</v>
          </cell>
          <cell r="F141">
            <v>-52.494700598802396</v>
          </cell>
          <cell r="G141">
            <v>-50.863562874251492</v>
          </cell>
          <cell r="H141">
            <v>-49.232425149700596</v>
          </cell>
          <cell r="I141">
            <v>-47.601287425149692</v>
          </cell>
          <cell r="J141">
            <v>-46.077035928143708</v>
          </cell>
          <cell r="K141">
            <v>-44.613562874251492</v>
          </cell>
          <cell r="L141">
            <v>-43.150089820359277</v>
          </cell>
          <cell r="M141">
            <v>-41.686616766467068</v>
          </cell>
          <cell r="N141">
            <v>-40.325059880239522</v>
          </cell>
          <cell r="O141">
            <v>-39.081946107784432</v>
          </cell>
          <cell r="P141">
            <v>-37.838832335329343</v>
          </cell>
          <cell r="Q141">
            <v>-36.595718562874254</v>
          </cell>
          <cell r="R141">
            <v>-35.412514970059881</v>
          </cell>
          <cell r="S141">
            <v>-34.377784431137727</v>
          </cell>
          <cell r="T141">
            <v>-33.343053892215572</v>
          </cell>
          <cell r="U141">
            <v>-32.308323353293417</v>
          </cell>
          <cell r="V141">
            <v>-31.289491017964075</v>
          </cell>
          <cell r="W141">
            <v>-30.396077844311378</v>
          </cell>
          <cell r="X141">
            <v>-29.502664670658685</v>
          </cell>
          <cell r="Y141">
            <v>-28.609251497005989</v>
          </cell>
          <cell r="Z141">
            <v>-27.715838323353292</v>
          </cell>
          <cell r="AA141">
            <v>-27.464054054054053</v>
          </cell>
          <cell r="AB141">
            <v>-27.255045045045044</v>
          </cell>
          <cell r="AC141">
            <v>-27.046036036036035</v>
          </cell>
          <cell r="AD141">
            <v>-26.837027027027027</v>
          </cell>
          <cell r="AE141">
            <v>-27.03502994011976</v>
          </cell>
          <cell r="AF141">
            <v>-27.351197604790418</v>
          </cell>
          <cell r="AG141">
            <v>-27.667365269461076</v>
          </cell>
          <cell r="AH141">
            <v>-27.983532934131734</v>
          </cell>
          <cell r="AI141">
            <v>-28.296826347305387</v>
          </cell>
          <cell r="AJ141">
            <v>-28.60820359281437</v>
          </cell>
          <cell r="AK141">
            <v>-28.919580838323352</v>
          </cell>
          <cell r="AL141">
            <v>-29.230958083832334</v>
          </cell>
          <cell r="AM141">
            <v>-29.540299401197604</v>
          </cell>
          <cell r="AN141">
            <v>-29.84688622754491</v>
          </cell>
          <cell r="AO141">
            <v>-30.153473053892217</v>
          </cell>
          <cell r="AP141">
            <v>-30.460059880239523</v>
          </cell>
          <cell r="AQ141">
            <v>-30.7648502994012</v>
          </cell>
          <cell r="AR141">
            <v>-31.064251497005991</v>
          </cell>
          <cell r="AS141">
            <v>-31.363652694610781</v>
          </cell>
          <cell r="AT141">
            <v>-31.663053892215572</v>
          </cell>
          <cell r="AU141">
            <v>-31.961916167664672</v>
          </cell>
          <cell r="AV141">
            <v>-32.254131736526951</v>
          </cell>
          <cell r="AW141">
            <v>-32.546347305389219</v>
          </cell>
          <cell r="AX141">
            <v>-32.838562874251494</v>
          </cell>
          <cell r="AY141">
            <v>-33.130778443113769</v>
          </cell>
          <cell r="AZ141">
            <v>-33.403235955056175</v>
          </cell>
          <cell r="BA141">
            <v>-33.673498127340821</v>
          </cell>
          <cell r="BB141">
            <v>-33.943760299625467</v>
          </cell>
          <cell r="BC141">
            <v>-34.214022471910113</v>
          </cell>
          <cell r="BD141">
            <v>-34.484284644194759</v>
          </cell>
          <cell r="BE141">
            <v>-34.754546816479397</v>
          </cell>
          <cell r="BF141">
            <v>-35.024808988764043</v>
          </cell>
          <cell r="BG141">
            <v>-35.295071161048689</v>
          </cell>
          <cell r="BH141">
            <v>-35.565333333333335</v>
          </cell>
          <cell r="BI141">
            <v>-35.835595505617981</v>
          </cell>
          <cell r="BJ141">
            <v>-36.10585767790262</v>
          </cell>
          <cell r="BK141">
            <v>-36.376119850187266</v>
          </cell>
          <cell r="BL141">
            <v>-36.646382022471911</v>
          </cell>
          <cell r="BM141">
            <v>-36.916644194756557</v>
          </cell>
          <cell r="BN141">
            <v>-37.186906367041203</v>
          </cell>
          <cell r="BO141">
            <v>-37.457168539325849</v>
          </cell>
          <cell r="BP141">
            <v>-37.717880149812736</v>
          </cell>
          <cell r="BQ141">
            <v>-37.943198501872665</v>
          </cell>
          <cell r="BR141">
            <v>-38.168516853932587</v>
          </cell>
          <cell r="BS141">
            <v>-38.393835205992509</v>
          </cell>
          <cell r="BT141">
            <v>-38.619153558052439</v>
          </cell>
          <cell r="BU141">
            <v>-38.844471910112361</v>
          </cell>
          <cell r="BV141">
            <v>-39.06979026217229</v>
          </cell>
          <cell r="BW141">
            <v>-39.295108614232213</v>
          </cell>
          <cell r="BX141">
            <v>-39.520426966292135</v>
          </cell>
          <cell r="BY141">
            <v>-39.745745318352064</v>
          </cell>
          <cell r="BZ141">
            <v>-39.971063670411986</v>
          </cell>
          <cell r="CA141">
            <v>-40.196382022471909</v>
          </cell>
          <cell r="CB141">
            <v>-40.421700374531838</v>
          </cell>
          <cell r="CC141">
            <v>-40.64701872659176</v>
          </cell>
          <cell r="CD141">
            <v>-40.87233707865169</v>
          </cell>
          <cell r="CE141">
            <v>-41.097655430711612</v>
          </cell>
          <cell r="CF141">
            <v>-41.322973782771534</v>
          </cell>
          <cell r="CG141">
            <v>-41.521441441441439</v>
          </cell>
          <cell r="CH141">
            <v>-41.695615615615615</v>
          </cell>
          <cell r="CI141">
            <v>-41.869789789789792</v>
          </cell>
          <cell r="CJ141">
            <v>-42.043963963963961</v>
          </cell>
          <cell r="CK141">
            <v>-36.080475247524753</v>
          </cell>
          <cell r="CL141">
            <v>-36.193346534653465</v>
          </cell>
        </row>
        <row r="142">
          <cell r="B142">
            <v>-21.943243243243245</v>
          </cell>
          <cell r="C142">
            <v>-21.741441441441442</v>
          </cell>
          <cell r="D142">
            <v>-21.539639639639642</v>
          </cell>
          <cell r="E142">
            <v>-21.337837837837839</v>
          </cell>
          <cell r="F142">
            <v>-21.317514970059882</v>
          </cell>
          <cell r="G142">
            <v>-21.339071856287426</v>
          </cell>
          <cell r="H142">
            <v>-21.360628742514972</v>
          </cell>
          <cell r="I142">
            <v>-21.382185628742516</v>
          </cell>
          <cell r="J142">
            <v>-21.452604790419162</v>
          </cell>
          <cell r="K142">
            <v>-21.550808383233534</v>
          </cell>
          <cell r="L142">
            <v>-21.649011976047905</v>
          </cell>
          <cell r="M142">
            <v>-21.747215568862277</v>
          </cell>
          <cell r="N142">
            <v>-21.843203592814373</v>
          </cell>
          <cell r="O142">
            <v>-21.936616766467068</v>
          </cell>
          <cell r="P142">
            <v>-22.030029940119761</v>
          </cell>
          <cell r="Q142">
            <v>-22.123443113772456</v>
          </cell>
          <cell r="R142">
            <v>-22.209970059880241</v>
          </cell>
          <cell r="S142">
            <v>-22.279431137724551</v>
          </cell>
          <cell r="T142">
            <v>-22.348892215568863</v>
          </cell>
          <cell r="U142">
            <v>-22.418353293413173</v>
          </cell>
          <cell r="V142">
            <v>-22.488353293413173</v>
          </cell>
          <cell r="W142">
            <v>-22.562604790419162</v>
          </cell>
          <cell r="X142">
            <v>-22.63685628742515</v>
          </cell>
          <cell r="Y142">
            <v>-22.711107784431139</v>
          </cell>
          <cell r="Z142">
            <v>-22.785359281437124</v>
          </cell>
          <cell r="AA142">
            <v>-22.846306306306307</v>
          </cell>
          <cell r="AB142">
            <v>-22.906366366366367</v>
          </cell>
          <cell r="AC142">
            <v>-22.966426426426427</v>
          </cell>
          <cell r="AD142">
            <v>-23.026486486486487</v>
          </cell>
          <cell r="AE142">
            <v>-23.130958083832336</v>
          </cell>
          <cell r="AF142">
            <v>-23.248323353293415</v>
          </cell>
          <cell r="AG142">
            <v>-23.36568862275449</v>
          </cell>
          <cell r="AH142">
            <v>-23.483053892215569</v>
          </cell>
          <cell r="AI142">
            <v>-23.60185628742515</v>
          </cell>
          <cell r="AJ142">
            <v>-23.721616766467065</v>
          </cell>
          <cell r="AK142">
            <v>-23.841377245508983</v>
          </cell>
          <cell r="AL142">
            <v>-23.961137724550898</v>
          </cell>
          <cell r="AM142">
            <v>-24.078862275449104</v>
          </cell>
          <cell r="AN142">
            <v>-24.193832335329343</v>
          </cell>
          <cell r="AO142">
            <v>-24.308802395209582</v>
          </cell>
          <cell r="AP142">
            <v>-24.423772455089821</v>
          </cell>
          <cell r="AQ142">
            <v>-24.53874251497006</v>
          </cell>
          <cell r="AR142">
            <v>-24.653712574850299</v>
          </cell>
          <cell r="AS142">
            <v>-24.768682634730538</v>
          </cell>
          <cell r="AT142">
            <v>-24.883652694610777</v>
          </cell>
          <cell r="AU142">
            <v>-24.998622754491016</v>
          </cell>
          <cell r="AV142">
            <v>-25.113592814371255</v>
          </cell>
          <cell r="AW142">
            <v>-25.228562874251494</v>
          </cell>
          <cell r="AX142">
            <v>-25.343532934131737</v>
          </cell>
          <cell r="AY142">
            <v>-25.458502994011976</v>
          </cell>
          <cell r="AZ142">
            <v>-25.567617977528091</v>
          </cell>
          <cell r="BA142">
            <v>-25.676082397003746</v>
          </cell>
          <cell r="BB142">
            <v>-25.784546816479402</v>
          </cell>
          <cell r="BC142">
            <v>-25.893011235955058</v>
          </cell>
          <cell r="BD142">
            <v>-26.001475655430713</v>
          </cell>
          <cell r="BE142">
            <v>-26.109940074906369</v>
          </cell>
          <cell r="BF142">
            <v>-26.218404494382021</v>
          </cell>
          <cell r="BG142">
            <v>-26.326868913857677</v>
          </cell>
          <cell r="BH142">
            <v>-26.435333333333332</v>
          </cell>
          <cell r="BI142">
            <v>-26.543797752808988</v>
          </cell>
          <cell r="BJ142">
            <v>-26.652262172284644</v>
          </cell>
          <cell r="BK142">
            <v>-26.760726591760299</v>
          </cell>
          <cell r="BL142">
            <v>-26.869191011235955</v>
          </cell>
          <cell r="BM142">
            <v>-26.977655430711611</v>
          </cell>
          <cell r="BN142">
            <v>-27.086119850187266</v>
          </cell>
          <cell r="BO142">
            <v>-27.194584269662922</v>
          </cell>
          <cell r="BP142">
            <v>-27.301902621722849</v>
          </cell>
          <cell r="BQ142">
            <v>-27.404973782771538</v>
          </cell>
          <cell r="BR142">
            <v>-27.508044943820227</v>
          </cell>
          <cell r="BS142">
            <v>-27.611116104868916</v>
          </cell>
          <cell r="BT142">
            <v>-27.714187265917605</v>
          </cell>
          <cell r="BU142">
            <v>-27.817258426966294</v>
          </cell>
          <cell r="BV142">
            <v>-27.920329588014983</v>
          </cell>
          <cell r="BW142">
            <v>-28.023400749063672</v>
          </cell>
          <cell r="BX142">
            <v>-28.126471910112361</v>
          </cell>
          <cell r="BY142">
            <v>-28.22954307116105</v>
          </cell>
          <cell r="BZ142">
            <v>-28.332614232209739</v>
          </cell>
          <cell r="CA142">
            <v>-28.435685393258428</v>
          </cell>
          <cell r="CB142">
            <v>-28.538756554307117</v>
          </cell>
          <cell r="CC142">
            <v>-28.641827715355806</v>
          </cell>
          <cell r="CD142">
            <v>-28.744898876404495</v>
          </cell>
          <cell r="CE142">
            <v>-28.847970037453184</v>
          </cell>
          <cell r="CF142">
            <v>-28.951041198501873</v>
          </cell>
          <cell r="CG142">
            <v>-29.051396396396395</v>
          </cell>
          <cell r="CH142">
            <v>-29.149294294294293</v>
          </cell>
          <cell r="CI142">
            <v>-29.247192192192191</v>
          </cell>
          <cell r="CJ142">
            <v>-29.345090090090089</v>
          </cell>
          <cell r="CK142">
            <v>-102.44289108910891</v>
          </cell>
          <cell r="CL142">
            <v>-102.77952475247524</v>
          </cell>
        </row>
        <row r="143">
          <cell r="B143">
            <v>-21.943243243243245</v>
          </cell>
          <cell r="C143">
            <v>-21.741441441441442</v>
          </cell>
          <cell r="D143">
            <v>-21.539639639639642</v>
          </cell>
          <cell r="E143">
            <v>-21.337837837837839</v>
          </cell>
          <cell r="F143">
            <v>-21.317514970059882</v>
          </cell>
          <cell r="G143">
            <v>-21.339071856287426</v>
          </cell>
          <cell r="H143">
            <v>-21.360628742514972</v>
          </cell>
          <cell r="I143">
            <v>-21.382185628742516</v>
          </cell>
          <cell r="J143">
            <v>-21.452604790419162</v>
          </cell>
          <cell r="K143">
            <v>-21.550808383233534</v>
          </cell>
          <cell r="L143">
            <v>-21.649011976047905</v>
          </cell>
          <cell r="M143">
            <v>-21.747215568862277</v>
          </cell>
          <cell r="N143">
            <v>-21.843203592814373</v>
          </cell>
          <cell r="O143">
            <v>-21.936616766467068</v>
          </cell>
          <cell r="P143">
            <v>-22.030029940119761</v>
          </cell>
          <cell r="Q143">
            <v>-22.123443113772456</v>
          </cell>
          <cell r="R143">
            <v>-22.209970059880241</v>
          </cell>
          <cell r="S143">
            <v>-22.279431137724551</v>
          </cell>
          <cell r="T143">
            <v>-22.348892215568863</v>
          </cell>
          <cell r="U143">
            <v>-22.418353293413173</v>
          </cell>
          <cell r="V143">
            <v>-22.488353293413173</v>
          </cell>
          <cell r="W143">
            <v>-22.562604790419162</v>
          </cell>
          <cell r="X143">
            <v>-22.63685628742515</v>
          </cell>
          <cell r="Y143">
            <v>-22.711107784431139</v>
          </cell>
          <cell r="Z143">
            <v>-22.785359281437124</v>
          </cell>
          <cell r="AA143">
            <v>-22.846306306306307</v>
          </cell>
          <cell r="AB143">
            <v>-22.906366366366367</v>
          </cell>
          <cell r="AC143">
            <v>-22.966426426426427</v>
          </cell>
          <cell r="AD143">
            <v>-23.026486486486487</v>
          </cell>
          <cell r="AE143">
            <v>-23.130958083832336</v>
          </cell>
          <cell r="AF143">
            <v>-23.248323353293415</v>
          </cell>
          <cell r="AG143">
            <v>-23.36568862275449</v>
          </cell>
          <cell r="AH143">
            <v>-23.483053892215569</v>
          </cell>
          <cell r="AI143">
            <v>-23.60185628742515</v>
          </cell>
          <cell r="AJ143">
            <v>-23.721616766467065</v>
          </cell>
          <cell r="AK143">
            <v>-23.841377245508983</v>
          </cell>
          <cell r="AL143">
            <v>-23.961137724550898</v>
          </cell>
          <cell r="AM143">
            <v>-24.078862275449104</v>
          </cell>
          <cell r="AN143">
            <v>-24.193832335329343</v>
          </cell>
          <cell r="AO143">
            <v>-24.308802395209582</v>
          </cell>
          <cell r="AP143">
            <v>-24.423772455089821</v>
          </cell>
          <cell r="AQ143">
            <v>-24.53874251497006</v>
          </cell>
          <cell r="AR143">
            <v>-24.653712574850299</v>
          </cell>
          <cell r="AS143">
            <v>-24.768682634730538</v>
          </cell>
          <cell r="AT143">
            <v>-24.883652694610777</v>
          </cell>
          <cell r="AU143">
            <v>-24.998622754491016</v>
          </cell>
          <cell r="AV143">
            <v>-25.113592814371255</v>
          </cell>
          <cell r="AW143">
            <v>-25.228562874251494</v>
          </cell>
          <cell r="AX143">
            <v>-25.343532934131737</v>
          </cell>
          <cell r="AY143">
            <v>-25.458502994011976</v>
          </cell>
          <cell r="AZ143">
            <v>-25.567617977528091</v>
          </cell>
          <cell r="BA143">
            <v>-25.676082397003746</v>
          </cell>
          <cell r="BB143">
            <v>-25.784546816479402</v>
          </cell>
          <cell r="BC143">
            <v>-25.893011235955058</v>
          </cell>
          <cell r="BD143">
            <v>-26.001475655430713</v>
          </cell>
          <cell r="BE143">
            <v>-26.109940074906369</v>
          </cell>
          <cell r="BF143">
            <v>-26.218404494382021</v>
          </cell>
          <cell r="BG143">
            <v>-26.326868913857677</v>
          </cell>
          <cell r="BH143">
            <v>-26.435333333333332</v>
          </cell>
          <cell r="BI143">
            <v>-26.543797752808988</v>
          </cell>
          <cell r="BJ143">
            <v>-26.652262172284644</v>
          </cell>
          <cell r="BK143">
            <v>-26.760726591760299</v>
          </cell>
          <cell r="BL143">
            <v>-26.869191011235955</v>
          </cell>
          <cell r="BM143">
            <v>-26.977655430711611</v>
          </cell>
          <cell r="BN143">
            <v>-27.086119850187266</v>
          </cell>
          <cell r="BO143">
            <v>-27.194584269662922</v>
          </cell>
          <cell r="BP143">
            <v>-27.301902621722849</v>
          </cell>
          <cell r="BQ143">
            <v>-27.404973782771538</v>
          </cell>
          <cell r="BR143">
            <v>-27.508044943820227</v>
          </cell>
          <cell r="BS143">
            <v>-27.611116104868916</v>
          </cell>
          <cell r="BT143">
            <v>-27.714187265917605</v>
          </cell>
          <cell r="BU143">
            <v>-27.817258426966294</v>
          </cell>
          <cell r="BV143">
            <v>-27.920329588014983</v>
          </cell>
          <cell r="BW143">
            <v>-28.023400749063672</v>
          </cell>
          <cell r="BX143">
            <v>-28.126471910112361</v>
          </cell>
          <cell r="BY143">
            <v>-28.22954307116105</v>
          </cell>
          <cell r="BZ143">
            <v>-28.332614232209739</v>
          </cell>
          <cell r="CA143">
            <v>-28.435685393258428</v>
          </cell>
          <cell r="CB143">
            <v>-28.538756554307117</v>
          </cell>
          <cell r="CC143">
            <v>-28.641827715355806</v>
          </cell>
          <cell r="CD143">
            <v>-28.744898876404495</v>
          </cell>
          <cell r="CE143">
            <v>-28.847970037453184</v>
          </cell>
          <cell r="CF143">
            <v>-28.951041198501873</v>
          </cell>
          <cell r="CG143">
            <v>-29.051396396396395</v>
          </cell>
          <cell r="CH143">
            <v>-29.149294294294293</v>
          </cell>
          <cell r="CI143">
            <v>-29.247192192192191</v>
          </cell>
          <cell r="CJ143">
            <v>-29.345090090090089</v>
          </cell>
          <cell r="CK143">
            <v>-44.975564356435648</v>
          </cell>
          <cell r="CL143">
            <v>-45.122099009900992</v>
          </cell>
        </row>
        <row r="144">
          <cell r="B144">
            <v>-21.943243243243245</v>
          </cell>
          <cell r="C144">
            <v>-21.741441441441442</v>
          </cell>
          <cell r="D144">
            <v>-21.539639639639642</v>
          </cell>
          <cell r="E144">
            <v>-21.337837837837839</v>
          </cell>
          <cell r="F144">
            <v>-21.317514970059882</v>
          </cell>
          <cell r="G144">
            <v>-21.339071856287426</v>
          </cell>
          <cell r="H144">
            <v>-21.360628742514972</v>
          </cell>
          <cell r="I144">
            <v>-21.382185628742516</v>
          </cell>
          <cell r="J144">
            <v>-21.452604790419162</v>
          </cell>
          <cell r="K144">
            <v>-21.550808383233534</v>
          </cell>
          <cell r="L144">
            <v>-21.649011976047905</v>
          </cell>
          <cell r="M144">
            <v>-21.747215568862277</v>
          </cell>
          <cell r="N144">
            <v>-21.843203592814373</v>
          </cell>
          <cell r="O144">
            <v>-21.936616766467068</v>
          </cell>
          <cell r="P144">
            <v>-22.030029940119761</v>
          </cell>
          <cell r="Q144">
            <v>-22.123443113772456</v>
          </cell>
          <cell r="R144">
            <v>-22.209970059880241</v>
          </cell>
          <cell r="S144">
            <v>-22.279431137724551</v>
          </cell>
          <cell r="T144">
            <v>-22.348892215568863</v>
          </cell>
          <cell r="U144">
            <v>-22.418353293413173</v>
          </cell>
          <cell r="V144">
            <v>-22.488353293413173</v>
          </cell>
          <cell r="W144">
            <v>-22.562604790419162</v>
          </cell>
          <cell r="X144">
            <v>-22.63685628742515</v>
          </cell>
          <cell r="Y144">
            <v>-22.711107784431139</v>
          </cell>
          <cell r="Z144">
            <v>-22.785359281437124</v>
          </cell>
          <cell r="AA144">
            <v>-22.846306306306307</v>
          </cell>
          <cell r="AB144">
            <v>-22.906366366366367</v>
          </cell>
          <cell r="AC144">
            <v>-22.966426426426427</v>
          </cell>
          <cell r="AD144">
            <v>-23.026486486486487</v>
          </cell>
          <cell r="AE144">
            <v>-23.130958083832336</v>
          </cell>
          <cell r="AF144">
            <v>-23.248323353293415</v>
          </cell>
          <cell r="AG144">
            <v>-23.36568862275449</v>
          </cell>
          <cell r="AH144">
            <v>-23.483053892215569</v>
          </cell>
          <cell r="AI144">
            <v>-23.60185628742515</v>
          </cell>
          <cell r="AJ144">
            <v>-23.721616766467065</v>
          </cell>
          <cell r="AK144">
            <v>-23.841377245508983</v>
          </cell>
          <cell r="AL144">
            <v>-23.961137724550898</v>
          </cell>
          <cell r="AM144">
            <v>-24.078862275449104</v>
          </cell>
          <cell r="AN144">
            <v>-24.193832335329343</v>
          </cell>
          <cell r="AO144">
            <v>-24.308802395209582</v>
          </cell>
          <cell r="AP144">
            <v>-24.423772455089821</v>
          </cell>
          <cell r="AQ144">
            <v>-24.53874251497006</v>
          </cell>
          <cell r="AR144">
            <v>-24.653712574850299</v>
          </cell>
          <cell r="AS144">
            <v>-24.768682634730538</v>
          </cell>
          <cell r="AT144">
            <v>-24.883652694610777</v>
          </cell>
          <cell r="AU144">
            <v>-24.998622754491016</v>
          </cell>
          <cell r="AV144">
            <v>-25.113592814371255</v>
          </cell>
          <cell r="AW144">
            <v>-25.228562874251494</v>
          </cell>
          <cell r="AX144">
            <v>-25.343532934131737</v>
          </cell>
          <cell r="AY144">
            <v>-25.458502994011976</v>
          </cell>
          <cell r="AZ144">
            <v>-25.567617977528091</v>
          </cell>
          <cell r="BA144">
            <v>-25.676082397003746</v>
          </cell>
          <cell r="BB144">
            <v>-25.784546816479402</v>
          </cell>
          <cell r="BC144">
            <v>-25.893011235955058</v>
          </cell>
          <cell r="BD144">
            <v>-26.001475655430713</v>
          </cell>
          <cell r="BE144">
            <v>-26.109940074906369</v>
          </cell>
          <cell r="BF144">
            <v>-26.218404494382021</v>
          </cell>
          <cell r="BG144">
            <v>-26.326868913857677</v>
          </cell>
          <cell r="BH144">
            <v>-26.435333333333332</v>
          </cell>
          <cell r="BI144">
            <v>-26.543797752808988</v>
          </cell>
          <cell r="BJ144">
            <v>-26.652262172284644</v>
          </cell>
          <cell r="BK144">
            <v>-26.760726591760299</v>
          </cell>
          <cell r="BL144">
            <v>-26.869191011235955</v>
          </cell>
          <cell r="BM144">
            <v>-26.977655430711611</v>
          </cell>
          <cell r="BN144">
            <v>-27.086119850187266</v>
          </cell>
          <cell r="BO144">
            <v>-27.194584269662922</v>
          </cell>
          <cell r="BP144">
            <v>-27.301902621722849</v>
          </cell>
          <cell r="BQ144">
            <v>-27.404973782771538</v>
          </cell>
          <cell r="BR144">
            <v>-27.508044943820227</v>
          </cell>
          <cell r="BS144">
            <v>-27.611116104868916</v>
          </cell>
          <cell r="BT144">
            <v>-27.714187265917605</v>
          </cell>
          <cell r="BU144">
            <v>-27.817258426966294</v>
          </cell>
          <cell r="BV144">
            <v>-27.920329588014983</v>
          </cell>
          <cell r="BW144">
            <v>-28.023400749063672</v>
          </cell>
          <cell r="BX144">
            <v>-28.126471910112361</v>
          </cell>
          <cell r="BY144">
            <v>-28.22954307116105</v>
          </cell>
          <cell r="BZ144">
            <v>-28.332614232209739</v>
          </cell>
          <cell r="CA144">
            <v>-28.435685393258428</v>
          </cell>
          <cell r="CB144">
            <v>-28.538756554307117</v>
          </cell>
          <cell r="CC144">
            <v>-28.641827715355806</v>
          </cell>
          <cell r="CD144">
            <v>-28.744898876404495</v>
          </cell>
          <cell r="CE144">
            <v>-28.847970037453184</v>
          </cell>
          <cell r="CF144">
            <v>-28.951041198501873</v>
          </cell>
          <cell r="CG144">
            <v>-29.051396396396395</v>
          </cell>
          <cell r="CH144">
            <v>-29.149294294294293</v>
          </cell>
          <cell r="CI144">
            <v>-29.247192192192191</v>
          </cell>
          <cell r="CJ144">
            <v>-29.345090090090089</v>
          </cell>
          <cell r="CK144">
            <v>-7.3468118811881187</v>
          </cell>
          <cell r="CL144">
            <v>-7.3646336633663365</v>
          </cell>
        </row>
        <row r="145">
          <cell r="B145">
            <v>-21.943243243243245</v>
          </cell>
          <cell r="C145">
            <v>-21.741441441441442</v>
          </cell>
          <cell r="D145">
            <v>-21.539639639639642</v>
          </cell>
          <cell r="E145">
            <v>-21.337837837837839</v>
          </cell>
          <cell r="F145">
            <v>-21.317514970059882</v>
          </cell>
          <cell r="G145">
            <v>-21.339071856287426</v>
          </cell>
          <cell r="H145">
            <v>-21.360628742514972</v>
          </cell>
          <cell r="I145">
            <v>-21.382185628742516</v>
          </cell>
          <cell r="J145">
            <v>-21.452604790419162</v>
          </cell>
          <cell r="K145">
            <v>-21.550808383233534</v>
          </cell>
          <cell r="L145">
            <v>-21.649011976047905</v>
          </cell>
          <cell r="M145">
            <v>-21.747215568862277</v>
          </cell>
          <cell r="N145">
            <v>-21.843203592814373</v>
          </cell>
          <cell r="O145">
            <v>-21.936616766467068</v>
          </cell>
          <cell r="P145">
            <v>-22.030029940119761</v>
          </cell>
          <cell r="Q145">
            <v>-22.123443113772456</v>
          </cell>
          <cell r="R145">
            <v>-22.209970059880241</v>
          </cell>
          <cell r="S145">
            <v>-22.279431137724551</v>
          </cell>
          <cell r="T145">
            <v>-22.348892215568863</v>
          </cell>
          <cell r="U145">
            <v>-22.418353293413173</v>
          </cell>
          <cell r="V145">
            <v>-22.488353293413173</v>
          </cell>
          <cell r="W145">
            <v>-22.562604790419162</v>
          </cell>
          <cell r="X145">
            <v>-22.63685628742515</v>
          </cell>
          <cell r="Y145">
            <v>-22.711107784431139</v>
          </cell>
          <cell r="Z145">
            <v>-22.785359281437124</v>
          </cell>
          <cell r="AA145">
            <v>-22.846306306306307</v>
          </cell>
          <cell r="AB145">
            <v>-22.906366366366367</v>
          </cell>
          <cell r="AC145">
            <v>-22.966426426426427</v>
          </cell>
          <cell r="AD145">
            <v>-23.026486486486487</v>
          </cell>
          <cell r="AE145">
            <v>-23.130958083832336</v>
          </cell>
          <cell r="AF145">
            <v>-23.248323353293415</v>
          </cell>
          <cell r="AG145">
            <v>-23.36568862275449</v>
          </cell>
          <cell r="AH145">
            <v>-23.483053892215569</v>
          </cell>
          <cell r="AI145">
            <v>-23.60185628742515</v>
          </cell>
          <cell r="AJ145">
            <v>-23.721616766467065</v>
          </cell>
          <cell r="AK145">
            <v>-23.841377245508983</v>
          </cell>
          <cell r="AL145">
            <v>-23.961137724550898</v>
          </cell>
          <cell r="AM145">
            <v>-24.078862275449104</v>
          </cell>
          <cell r="AN145">
            <v>-24.193832335329343</v>
          </cell>
          <cell r="AO145">
            <v>-24.308802395209582</v>
          </cell>
          <cell r="AP145">
            <v>-24.423772455089821</v>
          </cell>
          <cell r="AQ145">
            <v>-24.53874251497006</v>
          </cell>
          <cell r="AR145">
            <v>-24.653712574850299</v>
          </cell>
          <cell r="AS145">
            <v>-24.768682634730538</v>
          </cell>
          <cell r="AT145">
            <v>-24.883652694610777</v>
          </cell>
          <cell r="AU145">
            <v>-24.998622754491016</v>
          </cell>
          <cell r="AV145">
            <v>-25.113592814371255</v>
          </cell>
          <cell r="AW145">
            <v>-25.228562874251494</v>
          </cell>
          <cell r="AX145">
            <v>-25.343532934131737</v>
          </cell>
          <cell r="AY145">
            <v>-25.458502994011976</v>
          </cell>
          <cell r="AZ145">
            <v>-25.567617977528091</v>
          </cell>
          <cell r="BA145">
            <v>-25.676082397003746</v>
          </cell>
          <cell r="BB145">
            <v>-25.784546816479402</v>
          </cell>
          <cell r="BC145">
            <v>-25.893011235955058</v>
          </cell>
          <cell r="BD145">
            <v>-26.001475655430713</v>
          </cell>
          <cell r="BE145">
            <v>-26.109940074906369</v>
          </cell>
          <cell r="BF145">
            <v>-26.218404494382021</v>
          </cell>
          <cell r="BG145">
            <v>-26.326868913857677</v>
          </cell>
          <cell r="BH145">
            <v>-26.435333333333332</v>
          </cell>
          <cell r="BI145">
            <v>-26.543797752808988</v>
          </cell>
          <cell r="BJ145">
            <v>-26.652262172284644</v>
          </cell>
          <cell r="BK145">
            <v>-26.760726591760299</v>
          </cell>
          <cell r="BL145">
            <v>-26.869191011235955</v>
          </cell>
          <cell r="BM145">
            <v>-26.977655430711611</v>
          </cell>
          <cell r="BN145">
            <v>-27.086119850187266</v>
          </cell>
          <cell r="BO145">
            <v>-27.194584269662922</v>
          </cell>
          <cell r="BP145">
            <v>-27.301902621722849</v>
          </cell>
          <cell r="BQ145">
            <v>-27.404973782771538</v>
          </cell>
          <cell r="BR145">
            <v>-27.508044943820227</v>
          </cell>
          <cell r="BS145">
            <v>-27.611116104868916</v>
          </cell>
          <cell r="BT145">
            <v>-27.714187265917605</v>
          </cell>
          <cell r="BU145">
            <v>-27.817258426966294</v>
          </cell>
          <cell r="BV145">
            <v>-27.920329588014983</v>
          </cell>
          <cell r="BW145">
            <v>-28.023400749063672</v>
          </cell>
          <cell r="BX145">
            <v>-28.126471910112361</v>
          </cell>
          <cell r="BY145">
            <v>-28.22954307116105</v>
          </cell>
          <cell r="BZ145">
            <v>-28.332614232209739</v>
          </cell>
          <cell r="CA145">
            <v>-28.435685393258428</v>
          </cell>
          <cell r="CB145">
            <v>-28.538756554307117</v>
          </cell>
          <cell r="CC145">
            <v>-28.641827715355806</v>
          </cell>
          <cell r="CD145">
            <v>-28.744898876404495</v>
          </cell>
          <cell r="CE145">
            <v>-28.847970037453184</v>
          </cell>
          <cell r="CF145">
            <v>-28.951041198501873</v>
          </cell>
          <cell r="CG145">
            <v>-29.051396396396395</v>
          </cell>
          <cell r="CH145">
            <v>-29.149294294294293</v>
          </cell>
          <cell r="CI145">
            <v>-29.247192192192191</v>
          </cell>
          <cell r="CJ145">
            <v>-29.345090090090089</v>
          </cell>
          <cell r="CK145">
            <v>-8.1209504950495059</v>
          </cell>
          <cell r="CL145">
            <v>-8.1466930693069308</v>
          </cell>
        </row>
        <row r="146">
          <cell r="B146">
            <v>-15.512792792792792</v>
          </cell>
          <cell r="C146">
            <v>-15.013093093093092</v>
          </cell>
          <cell r="D146">
            <v>-14.513393393393393</v>
          </cell>
          <cell r="E146">
            <v>-14.013693693693693</v>
          </cell>
          <cell r="F146">
            <v>-13.456826347305389</v>
          </cell>
          <cell r="G146">
            <v>-12.886766467065867</v>
          </cell>
          <cell r="H146">
            <v>-12.316706586826346</v>
          </cell>
          <cell r="I146">
            <v>-11.746646706586823</v>
          </cell>
          <cell r="J146">
            <v>-11.204988023952094</v>
          </cell>
          <cell r="K146">
            <v>-10.679479041916167</v>
          </cell>
          <cell r="L146">
            <v>-10.153970059880239</v>
          </cell>
          <cell r="M146">
            <v>-9.628461077844312</v>
          </cell>
          <cell r="N146">
            <v>-9.1539101796407198</v>
          </cell>
          <cell r="O146">
            <v>-8.7385808383233528</v>
          </cell>
          <cell r="P146">
            <v>-8.3232514970059874</v>
          </cell>
          <cell r="Q146">
            <v>-7.9079221556886221</v>
          </cell>
          <cell r="R146">
            <v>-7.5390748502994009</v>
          </cell>
          <cell r="S146">
            <v>-7.2854221556886225</v>
          </cell>
          <cell r="T146">
            <v>-7.031769461077845</v>
          </cell>
          <cell r="U146">
            <v>-6.7781167664670665</v>
          </cell>
          <cell r="V146">
            <v>-6.5428413173652693</v>
          </cell>
          <cell r="W146">
            <v>-6.4525419161676645</v>
          </cell>
          <cell r="X146">
            <v>-6.3622425149700597</v>
          </cell>
          <cell r="Y146">
            <v>-6.2719431137724548</v>
          </cell>
          <cell r="Z146">
            <v>-6.18164371257485</v>
          </cell>
          <cell r="AA146">
            <v>-6.3239729729729737</v>
          </cell>
          <cell r="AB146">
            <v>-6.4818108108108117</v>
          </cell>
          <cell r="AC146">
            <v>-6.6396486486486497</v>
          </cell>
          <cell r="AD146">
            <v>-6.7974864864864877</v>
          </cell>
          <cell r="AE146">
            <v>-6.8348562874251497</v>
          </cell>
          <cell r="AF146">
            <v>-6.8372514970059886</v>
          </cell>
          <cell r="AG146">
            <v>-6.8396467065868265</v>
          </cell>
          <cell r="AH146">
            <v>-6.8420419161676644</v>
          </cell>
          <cell r="AI146">
            <v>-6.8517664670658682</v>
          </cell>
          <cell r="AJ146">
            <v>-6.866377245508982</v>
          </cell>
          <cell r="AK146">
            <v>-6.8809880239520957</v>
          </cell>
          <cell r="AL146">
            <v>-6.8955988023952095</v>
          </cell>
          <cell r="AM146">
            <v>-6.911838323353293</v>
          </cell>
          <cell r="AN146">
            <v>-6.930281437125748</v>
          </cell>
          <cell r="AO146">
            <v>-6.9487245508982038</v>
          </cell>
          <cell r="AP146">
            <v>-6.9671676646706588</v>
          </cell>
          <cell r="AQ146">
            <v>-6.9858502994011973</v>
          </cell>
          <cell r="AR146">
            <v>-7.0052514970059878</v>
          </cell>
          <cell r="AS146">
            <v>-7.0246526946107783</v>
          </cell>
          <cell r="AT146">
            <v>-7.0440538922155689</v>
          </cell>
          <cell r="AU146">
            <v>-7.0634550898203594</v>
          </cell>
          <cell r="AV146">
            <v>-7.0828562874251499</v>
          </cell>
          <cell r="AW146">
            <v>-7.1022574850299405</v>
          </cell>
          <cell r="AX146">
            <v>-7.1216586826347301</v>
          </cell>
          <cell r="AY146">
            <v>-7.1410598802395207</v>
          </cell>
          <cell r="AZ146">
            <v>-7.1602584269662923</v>
          </cell>
          <cell r="BA146">
            <v>-7.1794344569288393</v>
          </cell>
          <cell r="BB146">
            <v>-7.1986104868913854</v>
          </cell>
          <cell r="BC146">
            <v>-7.2177865168539324</v>
          </cell>
          <cell r="BD146">
            <v>-7.2369625468164793</v>
          </cell>
          <cell r="BE146">
            <v>-7.2561385767790263</v>
          </cell>
          <cell r="BF146">
            <v>-7.2753146067415733</v>
          </cell>
          <cell r="BG146">
            <v>-7.2944906367041202</v>
          </cell>
          <cell r="BH146">
            <v>-7.3136666666666663</v>
          </cell>
          <cell r="BI146">
            <v>-7.3328426966292133</v>
          </cell>
          <cell r="BJ146">
            <v>-7.3520187265917603</v>
          </cell>
          <cell r="BK146">
            <v>-7.3711947565543072</v>
          </cell>
          <cell r="BL146">
            <v>-7.3903707865168542</v>
          </cell>
          <cell r="BM146">
            <v>-7.4095468164794012</v>
          </cell>
          <cell r="BN146">
            <v>-7.4287228464419481</v>
          </cell>
          <cell r="BO146">
            <v>-7.4478988764044942</v>
          </cell>
          <cell r="BP146">
            <v>-7.4668456928838953</v>
          </cell>
          <cell r="BQ146">
            <v>-7.484943071161049</v>
          </cell>
          <cell r="BR146">
            <v>-7.5030404494382026</v>
          </cell>
          <cell r="BS146">
            <v>-7.5211378277153562</v>
          </cell>
          <cell r="BT146">
            <v>-7.5392352059925098</v>
          </cell>
          <cell r="BU146">
            <v>-7.5573325842696626</v>
          </cell>
          <cell r="BV146">
            <v>-7.5754299625468162</v>
          </cell>
          <cell r="BW146">
            <v>-7.5935273408239699</v>
          </cell>
          <cell r="BX146">
            <v>-7.6116247191011235</v>
          </cell>
          <cell r="BY146">
            <v>-7.6297220973782771</v>
          </cell>
          <cell r="BZ146">
            <v>-7.6478194756554307</v>
          </cell>
          <cell r="CA146">
            <v>-7.6659168539325844</v>
          </cell>
          <cell r="CB146">
            <v>-7.684014232209738</v>
          </cell>
          <cell r="CC146">
            <v>-7.7021116104868916</v>
          </cell>
          <cell r="CD146">
            <v>-7.7202089887640444</v>
          </cell>
          <cell r="CE146">
            <v>-7.738306367041198</v>
          </cell>
          <cell r="CF146">
            <v>-7.7564037453183516</v>
          </cell>
          <cell r="CG146">
            <v>-7.7739234234234234</v>
          </cell>
          <cell r="CH146">
            <v>-7.7909204204204201</v>
          </cell>
          <cell r="CI146">
            <v>-7.8079174174174168</v>
          </cell>
          <cell r="CJ146">
            <v>-7.8249144144144145</v>
          </cell>
          <cell r="CK146">
            <v>-28.733663366336632</v>
          </cell>
          <cell r="CL146">
            <v>-28.828712871287127</v>
          </cell>
        </row>
        <row r="147">
          <cell r="B147">
            <v>-18.877657657657657</v>
          </cell>
          <cell r="C147">
            <v>-18.875255255255254</v>
          </cell>
          <cell r="D147">
            <v>-18.872852852852855</v>
          </cell>
          <cell r="E147">
            <v>-18.870450450450452</v>
          </cell>
          <cell r="F147">
            <v>-18.875838323353292</v>
          </cell>
          <cell r="G147">
            <v>-18.883023952095808</v>
          </cell>
          <cell r="H147">
            <v>-18.890209580838324</v>
          </cell>
          <cell r="I147">
            <v>-18.897395209580836</v>
          </cell>
          <cell r="J147">
            <v>-18.906107784431136</v>
          </cell>
          <cell r="K147">
            <v>-18.915688622754491</v>
          </cell>
          <cell r="L147">
            <v>-18.925269461077846</v>
          </cell>
          <cell r="M147">
            <v>-18.934850299401198</v>
          </cell>
          <cell r="N147">
            <v>-18.945538922155688</v>
          </cell>
          <cell r="O147">
            <v>-18.957514970059879</v>
          </cell>
          <cell r="P147">
            <v>-18.969491017964071</v>
          </cell>
          <cell r="Q147">
            <v>-18.981467065868262</v>
          </cell>
          <cell r="R147">
            <v>-18.993443113772454</v>
          </cell>
          <cell r="S147">
            <v>-19.005419161676645</v>
          </cell>
          <cell r="T147">
            <v>-19.017395209580837</v>
          </cell>
          <cell r="U147">
            <v>-19.029371257485028</v>
          </cell>
          <cell r="V147">
            <v>-19.040808383233532</v>
          </cell>
          <cell r="W147">
            <v>-19.047994011976048</v>
          </cell>
          <cell r="X147">
            <v>-19.055179640718563</v>
          </cell>
          <cell r="Y147">
            <v>-19.062365269461079</v>
          </cell>
          <cell r="Z147">
            <v>-19.069550898203595</v>
          </cell>
          <cell r="AA147">
            <v>-19.045225225225227</v>
          </cell>
          <cell r="AB147">
            <v>-19.018798798798798</v>
          </cell>
          <cell r="AC147">
            <v>-18.992372372372373</v>
          </cell>
          <cell r="AD147">
            <v>-18.965945945945947</v>
          </cell>
          <cell r="AE147">
            <v>-18.972994011976049</v>
          </cell>
          <cell r="AF147">
            <v>-18.989760479041916</v>
          </cell>
          <cell r="AG147">
            <v>-19.006526946107787</v>
          </cell>
          <cell r="AH147">
            <v>-19.023293413173654</v>
          </cell>
          <cell r="AI147">
            <v>-19.040059880239522</v>
          </cell>
          <cell r="AJ147">
            <v>-19.056826347305389</v>
          </cell>
          <cell r="AK147">
            <v>-19.07359281437126</v>
          </cell>
          <cell r="AL147">
            <v>-19.090359281437127</v>
          </cell>
          <cell r="AM147">
            <v>-19.107125748502995</v>
          </cell>
          <cell r="AN147">
            <v>-19.123892215568866</v>
          </cell>
          <cell r="AO147">
            <v>-19.140658682634733</v>
          </cell>
          <cell r="AP147">
            <v>-19.1574251497006</v>
          </cell>
          <cell r="AQ147">
            <v>-19.174191616766468</v>
          </cell>
          <cell r="AR147">
            <v>-19.190958083832335</v>
          </cell>
          <cell r="AS147">
            <v>-19.207724550898202</v>
          </cell>
          <cell r="AT147">
            <v>-19.22449101796407</v>
          </cell>
          <cell r="AU147">
            <v>-19.241257485029937</v>
          </cell>
          <cell r="AV147">
            <v>-19.258023952095808</v>
          </cell>
          <cell r="AW147">
            <v>-19.274790419161675</v>
          </cell>
          <cell r="AX147">
            <v>-19.291556886227543</v>
          </cell>
          <cell r="AY147">
            <v>-19.30832335329341</v>
          </cell>
          <cell r="AZ147">
            <v>-19.324022471910112</v>
          </cell>
          <cell r="BA147">
            <v>-19.33960299625468</v>
          </cell>
          <cell r="BB147">
            <v>-19.355183520599251</v>
          </cell>
          <cell r="BC147">
            <v>-19.370764044943819</v>
          </cell>
          <cell r="BD147">
            <v>-19.38634456928839</v>
          </cell>
          <cell r="BE147">
            <v>-19.401925093632958</v>
          </cell>
          <cell r="BF147">
            <v>-19.417505617977529</v>
          </cell>
          <cell r="BG147">
            <v>-19.433086142322097</v>
          </cell>
          <cell r="BH147">
            <v>-19.448666666666668</v>
          </cell>
          <cell r="BI147">
            <v>-19.464247191011236</v>
          </cell>
          <cell r="BJ147">
            <v>-19.479827715355807</v>
          </cell>
          <cell r="BK147">
            <v>-19.495408239700375</v>
          </cell>
          <cell r="BL147">
            <v>-19.510988764044942</v>
          </cell>
          <cell r="BM147">
            <v>-19.526569288389513</v>
          </cell>
          <cell r="BN147">
            <v>-19.542149812734081</v>
          </cell>
          <cell r="BO147">
            <v>-19.557730337078652</v>
          </cell>
          <cell r="BP147">
            <v>-19.573183520599251</v>
          </cell>
          <cell r="BQ147">
            <v>-19.58816479400749</v>
          </cell>
          <cell r="BR147">
            <v>-19.603146067415732</v>
          </cell>
          <cell r="BS147">
            <v>-19.618127340823971</v>
          </cell>
          <cell r="BT147">
            <v>-19.63310861423221</v>
          </cell>
          <cell r="BU147">
            <v>-19.648089887640449</v>
          </cell>
          <cell r="BV147">
            <v>-19.663071161048691</v>
          </cell>
          <cell r="BW147">
            <v>-19.67805243445693</v>
          </cell>
          <cell r="BX147">
            <v>-19.693033707865169</v>
          </cell>
          <cell r="BY147">
            <v>-19.708014981273408</v>
          </cell>
          <cell r="BZ147">
            <v>-19.722996254681647</v>
          </cell>
          <cell r="CA147">
            <v>-19.737977528089889</v>
          </cell>
          <cell r="CB147">
            <v>-19.752958801498128</v>
          </cell>
          <cell r="CC147">
            <v>-19.767940074906367</v>
          </cell>
          <cell r="CD147">
            <v>-19.782921348314606</v>
          </cell>
          <cell r="CE147">
            <v>-19.797902621722848</v>
          </cell>
          <cell r="CF147">
            <v>-19.812883895131087</v>
          </cell>
          <cell r="CG147">
            <v>-19.827252252252254</v>
          </cell>
          <cell r="CH147">
            <v>-19.841066066066066</v>
          </cell>
          <cell r="CI147">
            <v>-19.854879879879881</v>
          </cell>
          <cell r="CJ147">
            <v>-19.868693693693693</v>
          </cell>
          <cell r="CK147">
            <v>-28.733663366336632</v>
          </cell>
          <cell r="CL147">
            <v>-28.828712871287127</v>
          </cell>
        </row>
        <row r="148">
          <cell r="B148">
            <v>-59.157387387387388</v>
          </cell>
          <cell r="C148">
            <v>-57.482912912912909</v>
          </cell>
          <cell r="D148">
            <v>-55.808438438438436</v>
          </cell>
          <cell r="E148">
            <v>-54.133963963963964</v>
          </cell>
          <cell r="F148">
            <v>-52.494700598802396</v>
          </cell>
          <cell r="G148">
            <v>-50.863562874251492</v>
          </cell>
          <cell r="H148">
            <v>-49.232425149700596</v>
          </cell>
          <cell r="I148">
            <v>-47.601287425149692</v>
          </cell>
          <cell r="J148">
            <v>-46.077035928143708</v>
          </cell>
          <cell r="K148">
            <v>-44.613562874251492</v>
          </cell>
          <cell r="L148">
            <v>-43.150089820359277</v>
          </cell>
          <cell r="M148">
            <v>-41.686616766467068</v>
          </cell>
          <cell r="N148">
            <v>-40.325059880239522</v>
          </cell>
          <cell r="O148">
            <v>-39.081946107784432</v>
          </cell>
          <cell r="P148">
            <v>-37.838832335329343</v>
          </cell>
          <cell r="Q148">
            <v>-36.595718562874254</v>
          </cell>
          <cell r="R148">
            <v>-35.412514970059881</v>
          </cell>
          <cell r="S148">
            <v>-34.377784431137727</v>
          </cell>
          <cell r="T148">
            <v>-33.343053892215572</v>
          </cell>
          <cell r="U148">
            <v>-32.308323353293417</v>
          </cell>
          <cell r="V148">
            <v>-31.289491017964075</v>
          </cell>
          <cell r="W148">
            <v>-30.396077844311378</v>
          </cell>
          <cell r="X148">
            <v>-29.502664670658685</v>
          </cell>
          <cell r="Y148">
            <v>-28.609251497005989</v>
          </cell>
          <cell r="Z148">
            <v>-27.715838323353292</v>
          </cell>
          <cell r="AA148">
            <v>-27.464054054054053</v>
          </cell>
          <cell r="AB148">
            <v>-27.255045045045044</v>
          </cell>
          <cell r="AC148">
            <v>-27.046036036036035</v>
          </cell>
          <cell r="AD148">
            <v>-26.837027027027027</v>
          </cell>
          <cell r="AE148">
            <v>-27.03502994011976</v>
          </cell>
          <cell r="AF148">
            <v>-27.351197604790418</v>
          </cell>
          <cell r="AG148">
            <v>-27.667365269461076</v>
          </cell>
          <cell r="AH148">
            <v>-27.983532934131734</v>
          </cell>
          <cell r="AI148">
            <v>-28.296826347305387</v>
          </cell>
          <cell r="AJ148">
            <v>-28.60820359281437</v>
          </cell>
          <cell r="AK148">
            <v>-28.919580838323352</v>
          </cell>
          <cell r="AL148">
            <v>-29.230958083832334</v>
          </cell>
          <cell r="AM148">
            <v>-29.540299401197604</v>
          </cell>
          <cell r="AN148">
            <v>-29.84688622754491</v>
          </cell>
          <cell r="AO148">
            <v>-30.153473053892217</v>
          </cell>
          <cell r="AP148">
            <v>-30.460059880239523</v>
          </cell>
          <cell r="AQ148">
            <v>-30.7648502994012</v>
          </cell>
          <cell r="AR148">
            <v>-31.064251497005991</v>
          </cell>
          <cell r="AS148">
            <v>-31.363652694610781</v>
          </cell>
          <cell r="AT148">
            <v>-31.663053892215572</v>
          </cell>
          <cell r="AU148">
            <v>-31.961916167664672</v>
          </cell>
          <cell r="AV148">
            <v>-32.254131736526951</v>
          </cell>
          <cell r="AW148">
            <v>-32.546347305389219</v>
          </cell>
          <cell r="AX148">
            <v>-32.838562874251494</v>
          </cell>
          <cell r="AY148">
            <v>-33.130778443113769</v>
          </cell>
          <cell r="AZ148">
            <v>-33.403235955056175</v>
          </cell>
          <cell r="BA148">
            <v>-33.673498127340821</v>
          </cell>
          <cell r="BB148">
            <v>-33.943760299625467</v>
          </cell>
          <cell r="BC148">
            <v>-34.214022471910113</v>
          </cell>
          <cell r="BD148">
            <v>-34.484284644194759</v>
          </cell>
          <cell r="BE148">
            <v>-34.754546816479397</v>
          </cell>
          <cell r="BF148">
            <v>-35.024808988764043</v>
          </cell>
          <cell r="BG148">
            <v>-35.295071161048689</v>
          </cell>
          <cell r="BH148">
            <v>-35.565333333333335</v>
          </cell>
          <cell r="BI148">
            <v>-35.835595505617981</v>
          </cell>
          <cell r="BJ148">
            <v>-36.10585767790262</v>
          </cell>
          <cell r="BK148">
            <v>-36.376119850187266</v>
          </cell>
          <cell r="BL148">
            <v>-36.646382022471911</v>
          </cell>
          <cell r="BM148">
            <v>-36.916644194756557</v>
          </cell>
          <cell r="BN148">
            <v>-37.186906367041203</v>
          </cell>
          <cell r="BO148">
            <v>-37.457168539325849</v>
          </cell>
          <cell r="BP148">
            <v>-37.717880149812736</v>
          </cell>
          <cell r="BQ148">
            <v>-37.943198501872665</v>
          </cell>
          <cell r="BR148">
            <v>-38.168516853932587</v>
          </cell>
          <cell r="BS148">
            <v>-38.393835205992509</v>
          </cell>
          <cell r="BT148">
            <v>-38.619153558052439</v>
          </cell>
          <cell r="BU148">
            <v>-38.844471910112361</v>
          </cell>
          <cell r="BV148">
            <v>-39.06979026217229</v>
          </cell>
          <cell r="BW148">
            <v>-39.295108614232213</v>
          </cell>
          <cell r="BX148">
            <v>-39.520426966292135</v>
          </cell>
          <cell r="BY148">
            <v>-39.745745318352064</v>
          </cell>
          <cell r="BZ148">
            <v>-39.971063670411986</v>
          </cell>
          <cell r="CA148">
            <v>-40.196382022471909</v>
          </cell>
          <cell r="CB148">
            <v>-40.421700374531838</v>
          </cell>
          <cell r="CC148">
            <v>-40.64701872659176</v>
          </cell>
          <cell r="CD148">
            <v>-40.87233707865169</v>
          </cell>
          <cell r="CE148">
            <v>-41.097655430711612</v>
          </cell>
          <cell r="CF148">
            <v>-41.322973782771534</v>
          </cell>
          <cell r="CG148">
            <v>-41.521441441441439</v>
          </cell>
          <cell r="CH148">
            <v>-41.695615615615615</v>
          </cell>
          <cell r="CI148">
            <v>-41.869789789789792</v>
          </cell>
          <cell r="CJ148">
            <v>-42.043963963963961</v>
          </cell>
          <cell r="CK148">
            <v>-28.733663366336632</v>
          </cell>
          <cell r="CL148">
            <v>-28.828712871287127</v>
          </cell>
        </row>
        <row r="149">
          <cell r="B149">
            <v>-15.512792792792792</v>
          </cell>
          <cell r="C149">
            <v>-15.013093093093092</v>
          </cell>
          <cell r="D149">
            <v>-14.513393393393393</v>
          </cell>
          <cell r="E149">
            <v>-14.013693693693693</v>
          </cell>
          <cell r="F149">
            <v>-13.456826347305389</v>
          </cell>
          <cell r="G149">
            <v>-12.886766467065867</v>
          </cell>
          <cell r="H149">
            <v>-12.316706586826346</v>
          </cell>
          <cell r="I149">
            <v>-11.746646706586823</v>
          </cell>
          <cell r="J149">
            <v>-11.204988023952094</v>
          </cell>
          <cell r="K149">
            <v>-10.679479041916167</v>
          </cell>
          <cell r="L149">
            <v>-10.153970059880239</v>
          </cell>
          <cell r="M149">
            <v>-9.628461077844312</v>
          </cell>
          <cell r="N149">
            <v>-9.1539101796407198</v>
          </cell>
          <cell r="O149">
            <v>-8.7385808383233528</v>
          </cell>
          <cell r="P149">
            <v>-8.3232514970059874</v>
          </cell>
          <cell r="Q149">
            <v>-7.9079221556886221</v>
          </cell>
          <cell r="R149">
            <v>-7.5390748502994009</v>
          </cell>
          <cell r="S149">
            <v>-7.2854221556886225</v>
          </cell>
          <cell r="T149">
            <v>-7.031769461077845</v>
          </cell>
          <cell r="U149">
            <v>-6.7781167664670665</v>
          </cell>
          <cell r="V149">
            <v>-6.5428413173652693</v>
          </cell>
          <cell r="W149">
            <v>-6.4525419161676645</v>
          </cell>
          <cell r="X149">
            <v>-6.3622425149700597</v>
          </cell>
          <cell r="Y149">
            <v>-6.2719431137724548</v>
          </cell>
          <cell r="Z149">
            <v>-6.18164371257485</v>
          </cell>
          <cell r="AA149">
            <v>-6.3239729729729737</v>
          </cell>
          <cell r="AB149">
            <v>-6.4818108108108117</v>
          </cell>
          <cell r="AC149">
            <v>-6.6396486486486497</v>
          </cell>
          <cell r="AD149">
            <v>-6.7974864864864877</v>
          </cell>
          <cell r="AE149">
            <v>-6.8348562874251497</v>
          </cell>
          <cell r="AF149">
            <v>-6.8372514970059886</v>
          </cell>
          <cell r="AG149">
            <v>-6.8396467065868265</v>
          </cell>
          <cell r="AH149">
            <v>-6.8420419161676644</v>
          </cell>
          <cell r="AI149">
            <v>-6.8517664670658682</v>
          </cell>
          <cell r="AJ149">
            <v>-6.866377245508982</v>
          </cell>
          <cell r="AK149">
            <v>-6.8809880239520957</v>
          </cell>
          <cell r="AL149">
            <v>-6.8955988023952095</v>
          </cell>
          <cell r="AM149">
            <v>-6.911838323353293</v>
          </cell>
          <cell r="AN149">
            <v>-6.930281437125748</v>
          </cell>
          <cell r="AO149">
            <v>-6.9487245508982038</v>
          </cell>
          <cell r="AP149">
            <v>-6.9671676646706588</v>
          </cell>
          <cell r="AQ149">
            <v>-6.9858502994011973</v>
          </cell>
          <cell r="AR149">
            <v>-7.0052514970059878</v>
          </cell>
          <cell r="AS149">
            <v>-7.0246526946107783</v>
          </cell>
          <cell r="AT149">
            <v>-7.0440538922155689</v>
          </cell>
          <cell r="AU149">
            <v>-7.0634550898203594</v>
          </cell>
          <cell r="AV149">
            <v>-7.0828562874251499</v>
          </cell>
          <cell r="AW149">
            <v>-7.1022574850299405</v>
          </cell>
          <cell r="AX149">
            <v>-7.1216586826347301</v>
          </cell>
          <cell r="AY149">
            <v>-7.1410598802395207</v>
          </cell>
          <cell r="AZ149">
            <v>-7.1602584269662923</v>
          </cell>
          <cell r="BA149">
            <v>-7.1794344569288393</v>
          </cell>
          <cell r="BB149">
            <v>-7.1986104868913854</v>
          </cell>
          <cell r="BC149">
            <v>-7.2177865168539324</v>
          </cell>
          <cell r="BD149">
            <v>-7.2369625468164793</v>
          </cell>
          <cell r="BE149">
            <v>-7.2561385767790263</v>
          </cell>
          <cell r="BF149">
            <v>-7.2753146067415733</v>
          </cell>
          <cell r="BG149">
            <v>-7.2944906367041202</v>
          </cell>
          <cell r="BH149">
            <v>-7.3136666666666663</v>
          </cell>
          <cell r="BI149">
            <v>-7.3328426966292133</v>
          </cell>
          <cell r="BJ149">
            <v>-7.3520187265917603</v>
          </cell>
          <cell r="BK149">
            <v>-7.3711947565543072</v>
          </cell>
          <cell r="BL149">
            <v>-7.3903707865168542</v>
          </cell>
          <cell r="BM149">
            <v>-7.4095468164794012</v>
          </cell>
          <cell r="BN149">
            <v>-7.4287228464419481</v>
          </cell>
          <cell r="BO149">
            <v>-7.4478988764044942</v>
          </cell>
          <cell r="BP149">
            <v>-7.4668456928838953</v>
          </cell>
          <cell r="BQ149">
            <v>-7.484943071161049</v>
          </cell>
          <cell r="BR149">
            <v>-7.5030404494382026</v>
          </cell>
          <cell r="BS149">
            <v>-7.5211378277153562</v>
          </cell>
          <cell r="BT149">
            <v>-7.5392352059925098</v>
          </cell>
          <cell r="BU149">
            <v>-7.5573325842696626</v>
          </cell>
          <cell r="BV149">
            <v>-7.5754299625468162</v>
          </cell>
          <cell r="BW149">
            <v>-7.5935273408239699</v>
          </cell>
          <cell r="BX149">
            <v>-7.6116247191011235</v>
          </cell>
          <cell r="BY149">
            <v>-7.6297220973782771</v>
          </cell>
          <cell r="BZ149">
            <v>-7.6478194756554307</v>
          </cell>
          <cell r="CA149">
            <v>-7.6659168539325844</v>
          </cell>
          <cell r="CB149">
            <v>-7.684014232209738</v>
          </cell>
          <cell r="CC149">
            <v>-7.7021116104868916</v>
          </cell>
          <cell r="CD149">
            <v>-7.7202089887640444</v>
          </cell>
          <cell r="CE149">
            <v>-7.738306367041198</v>
          </cell>
          <cell r="CF149">
            <v>-7.7564037453183516</v>
          </cell>
          <cell r="CG149">
            <v>-7.7739234234234234</v>
          </cell>
          <cell r="CH149">
            <v>-7.7909204204204201</v>
          </cell>
          <cell r="CI149">
            <v>-7.8079174174174168</v>
          </cell>
          <cell r="CJ149">
            <v>-7.8249144144144145</v>
          </cell>
          <cell r="CK149">
            <v>-28.733663366336632</v>
          </cell>
          <cell r="CL149">
            <v>-28.828712871287127</v>
          </cell>
        </row>
        <row r="150">
          <cell r="B150">
            <v>-21.943243243243245</v>
          </cell>
          <cell r="C150">
            <v>-21.741441441441442</v>
          </cell>
          <cell r="D150">
            <v>-21.539639639639642</v>
          </cell>
          <cell r="E150">
            <v>-21.337837837837839</v>
          </cell>
          <cell r="F150">
            <v>-21.317514970059882</v>
          </cell>
          <cell r="G150">
            <v>-21.339071856287426</v>
          </cell>
          <cell r="H150">
            <v>-21.360628742514972</v>
          </cell>
          <cell r="I150">
            <v>-21.382185628742516</v>
          </cell>
          <cell r="J150">
            <v>-21.452604790419162</v>
          </cell>
          <cell r="K150">
            <v>-21.550808383233534</v>
          </cell>
          <cell r="L150">
            <v>-21.649011976047905</v>
          </cell>
          <cell r="M150">
            <v>-21.747215568862277</v>
          </cell>
          <cell r="N150">
            <v>-21.843203592814373</v>
          </cell>
          <cell r="O150">
            <v>-21.936616766467068</v>
          </cell>
          <cell r="P150">
            <v>-22.030029940119761</v>
          </cell>
          <cell r="Q150">
            <v>-22.123443113772456</v>
          </cell>
          <cell r="R150">
            <v>-22.209970059880241</v>
          </cell>
          <cell r="S150">
            <v>-22.279431137724551</v>
          </cell>
          <cell r="T150">
            <v>-22.348892215568863</v>
          </cell>
          <cell r="U150">
            <v>-22.418353293413173</v>
          </cell>
          <cell r="V150">
            <v>-22.488353293413173</v>
          </cell>
          <cell r="W150">
            <v>-22.562604790419162</v>
          </cell>
          <cell r="X150">
            <v>-22.63685628742515</v>
          </cell>
          <cell r="Y150">
            <v>-22.711107784431139</v>
          </cell>
          <cell r="Z150">
            <v>-22.785359281437124</v>
          </cell>
          <cell r="AA150">
            <v>-22.846306306306307</v>
          </cell>
          <cell r="AB150">
            <v>-22.906366366366367</v>
          </cell>
          <cell r="AC150">
            <v>-22.966426426426427</v>
          </cell>
          <cell r="AD150">
            <v>-23.026486486486487</v>
          </cell>
          <cell r="AE150">
            <v>-23.130958083832336</v>
          </cell>
          <cell r="AF150">
            <v>-23.248323353293415</v>
          </cell>
          <cell r="AG150">
            <v>-23.36568862275449</v>
          </cell>
          <cell r="AH150">
            <v>-23.483053892215569</v>
          </cell>
          <cell r="AI150">
            <v>-23.60185628742515</v>
          </cell>
          <cell r="AJ150">
            <v>-23.721616766467065</v>
          </cell>
          <cell r="AK150">
            <v>-23.841377245508983</v>
          </cell>
          <cell r="AL150">
            <v>-23.961137724550898</v>
          </cell>
          <cell r="AM150">
            <v>-24.078862275449104</v>
          </cell>
          <cell r="AN150">
            <v>-24.193832335329343</v>
          </cell>
          <cell r="AO150">
            <v>-24.308802395209582</v>
          </cell>
          <cell r="AP150">
            <v>-24.423772455089821</v>
          </cell>
          <cell r="AQ150">
            <v>-24.53874251497006</v>
          </cell>
          <cell r="AR150">
            <v>-24.653712574850299</v>
          </cell>
          <cell r="AS150">
            <v>-24.768682634730538</v>
          </cell>
          <cell r="AT150">
            <v>-24.883652694610777</v>
          </cell>
          <cell r="AU150">
            <v>-24.998622754491016</v>
          </cell>
          <cell r="AV150">
            <v>-25.113592814371255</v>
          </cell>
          <cell r="AW150">
            <v>-25.228562874251494</v>
          </cell>
          <cell r="AX150">
            <v>-25.343532934131737</v>
          </cell>
          <cell r="AY150">
            <v>-25.458502994011976</v>
          </cell>
          <cell r="AZ150">
            <v>-25.567617977528091</v>
          </cell>
          <cell r="BA150">
            <v>-25.676082397003746</v>
          </cell>
          <cell r="BB150">
            <v>-25.784546816479402</v>
          </cell>
          <cell r="BC150">
            <v>-25.893011235955058</v>
          </cell>
          <cell r="BD150">
            <v>-26.001475655430713</v>
          </cell>
          <cell r="BE150">
            <v>-26.109940074906369</v>
          </cell>
          <cell r="BF150">
            <v>-26.218404494382021</v>
          </cell>
          <cell r="BG150">
            <v>-26.326868913857677</v>
          </cell>
          <cell r="BH150">
            <v>-26.435333333333332</v>
          </cell>
          <cell r="BI150">
            <v>-26.543797752808988</v>
          </cell>
          <cell r="BJ150">
            <v>-26.652262172284644</v>
          </cell>
          <cell r="BK150">
            <v>-26.760726591760299</v>
          </cell>
          <cell r="BL150">
            <v>-26.869191011235955</v>
          </cell>
          <cell r="BM150">
            <v>-26.977655430711611</v>
          </cell>
          <cell r="BN150">
            <v>-27.086119850187266</v>
          </cell>
          <cell r="BO150">
            <v>-27.194584269662922</v>
          </cell>
          <cell r="BP150">
            <v>-27.301902621722849</v>
          </cell>
          <cell r="BQ150">
            <v>-27.404973782771538</v>
          </cell>
          <cell r="BR150">
            <v>-27.508044943820227</v>
          </cell>
          <cell r="BS150">
            <v>-27.611116104868916</v>
          </cell>
          <cell r="BT150">
            <v>-27.714187265917605</v>
          </cell>
          <cell r="BU150">
            <v>-27.817258426966294</v>
          </cell>
          <cell r="BV150">
            <v>-27.920329588014983</v>
          </cell>
          <cell r="BW150">
            <v>-28.023400749063672</v>
          </cell>
          <cell r="BX150">
            <v>-28.126471910112361</v>
          </cell>
          <cell r="BY150">
            <v>-28.22954307116105</v>
          </cell>
          <cell r="BZ150">
            <v>-28.332614232209739</v>
          </cell>
          <cell r="CA150">
            <v>-28.435685393258428</v>
          </cell>
          <cell r="CB150">
            <v>-28.538756554307117</v>
          </cell>
          <cell r="CC150">
            <v>-28.641827715355806</v>
          </cell>
          <cell r="CD150">
            <v>-28.744898876404495</v>
          </cell>
          <cell r="CE150">
            <v>-28.847970037453184</v>
          </cell>
          <cell r="CF150">
            <v>-28.951041198501873</v>
          </cell>
          <cell r="CG150">
            <v>-29.051396396396395</v>
          </cell>
          <cell r="CH150">
            <v>-29.149294294294293</v>
          </cell>
          <cell r="CI150">
            <v>-29.247192192192191</v>
          </cell>
          <cell r="CJ150">
            <v>-29.345090090090089</v>
          </cell>
          <cell r="CK150">
            <v>-7.3468118811881187</v>
          </cell>
          <cell r="CL150">
            <v>-7.3646336633663365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3"/>
  <sheetViews>
    <sheetView zoomScale="115" zoomScaleNormal="115" workbookViewId="0">
      <selection activeCell="F15" sqref="F15"/>
    </sheetView>
  </sheetViews>
  <sheetFormatPr defaultRowHeight="21" x14ac:dyDescent="0.35"/>
  <cols>
    <col min="1" max="1" width="22" customWidth="1"/>
  </cols>
  <sheetData>
    <row r="1" spans="1:7" ht="30" thickTop="1" thickBot="1" x14ac:dyDescent="0.4">
      <c r="A1" s="39" t="s">
        <v>33</v>
      </c>
      <c r="B1">
        <v>700</v>
      </c>
      <c r="D1" s="107" t="s">
        <v>23</v>
      </c>
      <c r="E1" s="108"/>
      <c r="F1" s="108"/>
      <c r="G1" s="108"/>
    </row>
    <row r="2" spans="1:7" ht="21.75" thickTop="1" x14ac:dyDescent="0.35">
      <c r="A2" t="s">
        <v>71</v>
      </c>
      <c r="D2" s="18" t="s">
        <v>1</v>
      </c>
      <c r="E2" s="18" t="s">
        <v>3</v>
      </c>
      <c r="F2" s="18" t="s">
        <v>4</v>
      </c>
      <c r="G2" s="18" t="s">
        <v>2</v>
      </c>
    </row>
    <row r="3" spans="1:7" ht="27.75" customHeight="1" x14ac:dyDescent="0.35">
      <c r="D3" s="62">
        <v>25</v>
      </c>
      <c r="E3" s="62">
        <v>25</v>
      </c>
      <c r="F3" s="62">
        <v>15</v>
      </c>
      <c r="G3" s="62">
        <v>60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BB149"/>
  <sheetViews>
    <sheetView zoomScale="85" zoomScaleNormal="85" zoomScaleSheetLayoutView="25" workbookViewId="0">
      <selection activeCell="AY124" sqref="AY124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50" hidden="1" customWidth="1"/>
    <col min="22" max="22" width="8.6328125" style="51" hidden="1" customWidth="1"/>
    <col min="23" max="23" width="8.6328125" style="100" hidden="1" customWidth="1"/>
    <col min="24" max="37" width="8.6328125" hidden="1" customWidth="1"/>
    <col min="38" max="38" width="8.6328125" customWidth="1"/>
  </cols>
  <sheetData>
    <row r="1" spans="1:54" ht="29.25" customHeight="1" thickBot="1" x14ac:dyDescent="0.4">
      <c r="A1" s="111" t="s">
        <v>31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</row>
    <row r="2" spans="1:54" ht="21" customHeight="1" thickBot="1" x14ac:dyDescent="0.45">
      <c r="A2" s="28" t="e">
        <f>Values!#REF!</f>
        <v>#REF!</v>
      </c>
      <c r="B2" s="41">
        <v>8.3145000000000007</v>
      </c>
      <c r="C2" s="3"/>
      <c r="D2" s="3"/>
      <c r="E2" s="4" t="s">
        <v>26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89"/>
      <c r="V2" s="90"/>
      <c r="W2" s="2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7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9"/>
    </row>
    <row r="3" spans="1:54" ht="21" customHeight="1" outlineLevel="1" thickTop="1" thickBot="1" x14ac:dyDescent="0.4">
      <c r="A3" s="64" t="s">
        <v>1</v>
      </c>
      <c r="B3" s="64" t="s">
        <v>2</v>
      </c>
      <c r="C3" s="64" t="s">
        <v>3</v>
      </c>
      <c r="D3" s="65" t="s">
        <v>4</v>
      </c>
      <c r="E3" s="9"/>
      <c r="F3" s="8">
        <v>273.10000000000002</v>
      </c>
      <c r="G3" s="8">
        <v>293.3</v>
      </c>
      <c r="H3" s="8">
        <v>313.5</v>
      </c>
      <c r="I3" s="8">
        <v>333.7</v>
      </c>
      <c r="J3" s="8">
        <v>353.9</v>
      </c>
      <c r="K3" s="8">
        <v>374.1</v>
      </c>
      <c r="L3" s="8">
        <v>394.3</v>
      </c>
      <c r="M3" s="8">
        <v>414.5</v>
      </c>
      <c r="N3" s="8">
        <v>434.7</v>
      </c>
      <c r="O3" s="8">
        <v>454.9</v>
      </c>
      <c r="P3" s="8">
        <v>475.1</v>
      </c>
      <c r="Q3" s="8">
        <v>495.2</v>
      </c>
      <c r="R3" s="8">
        <v>515.4</v>
      </c>
      <c r="S3" s="8">
        <v>535.6</v>
      </c>
      <c r="T3" s="86">
        <v>555.79999999999995</v>
      </c>
      <c r="U3" s="91">
        <v>576</v>
      </c>
      <c r="V3" s="92">
        <v>596.20000000000005</v>
      </c>
      <c r="W3" s="1">
        <v>616.4</v>
      </c>
      <c r="X3" s="87">
        <v>636.6</v>
      </c>
      <c r="Y3" s="8">
        <v>656.8</v>
      </c>
      <c r="Z3" s="8">
        <v>677</v>
      </c>
      <c r="AA3" s="8">
        <v>757.7</v>
      </c>
      <c r="AB3" s="9">
        <v>838.5</v>
      </c>
      <c r="AC3" s="9">
        <v>919.2</v>
      </c>
      <c r="AD3" s="9">
        <v>1000</v>
      </c>
      <c r="AE3" s="9"/>
      <c r="AF3" s="9"/>
      <c r="AG3" s="9"/>
      <c r="AH3" s="9"/>
      <c r="AI3" s="9"/>
      <c r="AJ3" s="9"/>
      <c r="AK3" s="9"/>
      <c r="AL3" s="40"/>
      <c r="AM3" s="50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2"/>
    </row>
    <row r="4" spans="1:54" ht="21" customHeight="1" outlineLevel="1" thickTop="1" thickBot="1" x14ac:dyDescent="0.4">
      <c r="A4" s="66">
        <f>IF( ISNUMBER( FIND(A$3,$E4,1)),   IF( ISNUMBER( VALUE(MID($E4,FIND(A$3,$E4,1)+2,1)) ), VALUE( MID($E4,FIND(A$3,$E4,1)+2,1) ),1),0)</f>
        <v>0</v>
      </c>
      <c r="B4" s="66">
        <f t="shared" ref="B4:D19" si="0">IF( ISNUMBER( FIND(B$3,$E4,1)),   IF( ISNUMBER( VALUE(MID($E4,FIND(B$3,$E4,1)+2,1)) ), VALUE( MID($E4,FIND(B$3,$E4,1)+2,1) ),1),0)</f>
        <v>1</v>
      </c>
      <c r="C4" s="66">
        <f t="shared" si="0"/>
        <v>1</v>
      </c>
      <c r="D4" s="66">
        <f t="shared" si="0"/>
        <v>0</v>
      </c>
      <c r="E4" s="72" t="s">
        <v>47</v>
      </c>
      <c r="F4" s="12">
        <v>3.9942999999999998E-10</v>
      </c>
      <c r="G4" s="12">
        <v>2.5219000000000002E-9</v>
      </c>
      <c r="H4" s="12">
        <v>1.0384000000000001E-8</v>
      </c>
      <c r="I4" s="12">
        <v>1.0686000000000001E-8</v>
      </c>
      <c r="J4" s="12">
        <v>2.3143999999999999E-8</v>
      </c>
      <c r="K4" s="12">
        <v>1.7389000000000001E-8</v>
      </c>
      <c r="L4" s="12">
        <v>1.7010000000000001E-8</v>
      </c>
      <c r="M4" s="12">
        <v>1.7843E-8</v>
      </c>
      <c r="N4" s="12">
        <v>1.2772E-8</v>
      </c>
      <c r="O4" s="12">
        <v>1.4369000000000001E-9</v>
      </c>
      <c r="P4" s="12">
        <v>1.1633E-13</v>
      </c>
      <c r="Q4" s="12">
        <v>2.7724000000000002E-21</v>
      </c>
      <c r="R4" s="12">
        <v>6.1169999999999998E-36</v>
      </c>
      <c r="S4" s="12">
        <v>0</v>
      </c>
      <c r="T4" s="12">
        <v>0</v>
      </c>
      <c r="U4" s="12">
        <v>0</v>
      </c>
      <c r="V4" s="12">
        <v>0</v>
      </c>
      <c r="W4" s="12">
        <v>0</v>
      </c>
      <c r="X4" s="12">
        <v>0</v>
      </c>
      <c r="Y4" s="12">
        <v>0</v>
      </c>
      <c r="Z4" s="12">
        <v>0</v>
      </c>
      <c r="AA4" s="12">
        <v>0</v>
      </c>
      <c r="AB4" s="12">
        <v>0</v>
      </c>
      <c r="AC4" s="12">
        <v>0</v>
      </c>
      <c r="AD4" s="12">
        <v>0</v>
      </c>
      <c r="AE4" s="12"/>
      <c r="AF4" s="12"/>
      <c r="AG4" s="12"/>
      <c r="AH4" s="12"/>
      <c r="AI4" s="12"/>
      <c r="AJ4" s="12"/>
      <c r="AK4" s="12"/>
      <c r="AM4" s="50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2"/>
    </row>
    <row r="5" spans="1:54" ht="21" customHeight="1" outlineLevel="1" thickBot="1" x14ac:dyDescent="0.4">
      <c r="A5" s="66">
        <f t="shared" ref="A5:D27" si="1">IF( ISNUMBER( FIND(A$3,$E5,1)),   IF( ISNUMBER( VALUE(MID($E5,FIND(A$3,$E5,1)+2,1)) ), VALUE( MID($E5,FIND(A$3,$E5,1)+2,1) ),1),0)</f>
        <v>0</v>
      </c>
      <c r="B5" s="66">
        <f t="shared" si="0"/>
        <v>1</v>
      </c>
      <c r="C5" s="66">
        <f t="shared" si="0"/>
        <v>0</v>
      </c>
      <c r="D5" s="66">
        <f t="shared" si="0"/>
        <v>0</v>
      </c>
      <c r="E5" s="72" t="s">
        <v>45</v>
      </c>
      <c r="F5" s="12">
        <v>0</v>
      </c>
      <c r="G5" s="12">
        <v>2.6328000000000001E-31</v>
      </c>
      <c r="H5" s="12">
        <v>3.9345999999999998E-23</v>
      </c>
      <c r="I5" s="12">
        <v>1.8021999999999999E-20</v>
      </c>
      <c r="J5" s="12">
        <v>2.006E-18</v>
      </c>
      <c r="K5" s="12">
        <v>4.8617000000000001E-18</v>
      </c>
      <c r="L5" s="12">
        <v>2.4299E-17</v>
      </c>
      <c r="M5" s="12">
        <v>8.4137E-16</v>
      </c>
      <c r="N5" s="12">
        <v>4.1477999999999998E-13</v>
      </c>
      <c r="O5" s="12">
        <v>4.1627999999999998E-10</v>
      </c>
      <c r="P5" s="12">
        <v>4.6131000000000001E-9</v>
      </c>
      <c r="Q5" s="12">
        <v>1.0662999999999999E-8</v>
      </c>
      <c r="R5" s="12">
        <v>1.7808E-8</v>
      </c>
      <c r="S5" s="12">
        <v>2.3066E-8</v>
      </c>
      <c r="T5" s="12">
        <v>1.8885E-8</v>
      </c>
      <c r="U5" s="12">
        <v>2.3164000000000001E-8</v>
      </c>
      <c r="V5" s="12">
        <v>2.5265999999999999E-8</v>
      </c>
      <c r="W5" s="12">
        <v>2.5232000000000001E-8</v>
      </c>
      <c r="X5" s="12">
        <v>2.4207E-8</v>
      </c>
      <c r="Y5" s="12">
        <v>2.3803000000000001E-8</v>
      </c>
      <c r="Z5" s="12">
        <v>2.3175999999999999E-8</v>
      </c>
      <c r="AA5" s="12">
        <v>2.1223999999999999E-8</v>
      </c>
      <c r="AB5" s="12">
        <v>3.2181000000000002E-8</v>
      </c>
      <c r="AC5" s="12">
        <v>2.9338999999999999E-8</v>
      </c>
      <c r="AD5" s="12">
        <v>2.8792000000000001E-8</v>
      </c>
      <c r="AE5" s="12"/>
      <c r="AF5" s="12"/>
      <c r="AG5" s="12"/>
      <c r="AH5" s="12"/>
      <c r="AI5" s="12"/>
      <c r="AJ5" s="12"/>
      <c r="AK5" s="12"/>
      <c r="AM5" s="50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2"/>
    </row>
    <row r="6" spans="1:54" ht="21" customHeight="1" outlineLevel="1" thickBot="1" x14ac:dyDescent="0.4">
      <c r="A6" s="66">
        <f t="shared" si="1"/>
        <v>0</v>
      </c>
      <c r="B6" s="66">
        <f t="shared" si="0"/>
        <v>2</v>
      </c>
      <c r="C6" s="66">
        <f t="shared" si="0"/>
        <v>1</v>
      </c>
      <c r="D6" s="66">
        <f t="shared" si="0"/>
        <v>0</v>
      </c>
      <c r="E6" s="72" t="s">
        <v>58</v>
      </c>
      <c r="F6" s="12">
        <v>1.9182999999999999E-9</v>
      </c>
      <c r="G6" s="12">
        <v>4.2475000000000001E-10</v>
      </c>
      <c r="H6" s="12">
        <v>2.1857E-13</v>
      </c>
      <c r="I6" s="12">
        <v>3.7018000000000002E-22</v>
      </c>
      <c r="J6" s="12">
        <v>1.3102999999999999E-33</v>
      </c>
      <c r="K6" s="12">
        <v>0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0</v>
      </c>
      <c r="Y6" s="12">
        <v>0</v>
      </c>
      <c r="Z6" s="12">
        <v>0</v>
      </c>
      <c r="AA6" s="12">
        <v>0</v>
      </c>
      <c r="AB6" s="12">
        <v>0</v>
      </c>
      <c r="AC6" s="12">
        <v>0</v>
      </c>
      <c r="AD6" s="12">
        <v>0</v>
      </c>
      <c r="AE6" s="12"/>
      <c r="AF6" s="12"/>
      <c r="AG6" s="12"/>
      <c r="AH6" s="12"/>
      <c r="AI6" s="12"/>
      <c r="AJ6" s="12"/>
      <c r="AK6" s="12"/>
      <c r="AM6" s="50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2"/>
    </row>
    <row r="7" spans="1:54" ht="21" customHeight="1" outlineLevel="1" thickBot="1" x14ac:dyDescent="0.4">
      <c r="A7" s="66">
        <f t="shared" si="1"/>
        <v>0</v>
      </c>
      <c r="B7" s="66">
        <f t="shared" si="0"/>
        <v>3</v>
      </c>
      <c r="C7" s="66">
        <f t="shared" si="0"/>
        <v>0</v>
      </c>
      <c r="D7" s="66">
        <f t="shared" si="0"/>
        <v>2</v>
      </c>
      <c r="E7" s="72" t="s">
        <v>57</v>
      </c>
      <c r="F7" s="12">
        <v>2.9857000000000002E-2</v>
      </c>
      <c r="G7" s="12">
        <v>2.9388000000000001E-2</v>
      </c>
      <c r="H7" s="12">
        <v>2.8185999999999999E-2</v>
      </c>
      <c r="I7" s="12">
        <v>2.6471000000000001E-2</v>
      </c>
      <c r="J7" s="12">
        <v>2.5118999999999999E-2</v>
      </c>
      <c r="K7" s="12">
        <v>2.4421999999999999E-2</v>
      </c>
      <c r="L7" s="12">
        <v>2.4072E-2</v>
      </c>
      <c r="M7" s="12">
        <v>2.3723999999999999E-2</v>
      </c>
      <c r="N7" s="12">
        <v>2.3074000000000001E-2</v>
      </c>
      <c r="O7" s="12">
        <v>2.1937000000000002E-2</v>
      </c>
      <c r="P7" s="12">
        <v>2.0412E-2</v>
      </c>
      <c r="Q7" s="12">
        <v>1.7909000000000001E-2</v>
      </c>
      <c r="R7" s="12">
        <v>5.4866999999999997E-3</v>
      </c>
      <c r="S7" s="12">
        <v>3.3152999999999999E-5</v>
      </c>
      <c r="T7" s="12">
        <v>1.2323E-7</v>
      </c>
      <c r="U7" s="12">
        <v>5.8855999999999998E-10</v>
      </c>
      <c r="V7" s="12">
        <v>3.5497000000000001E-12</v>
      </c>
      <c r="W7" s="12">
        <v>2.6532000000000001E-14</v>
      </c>
      <c r="X7" s="12">
        <v>2.4176999999999998E-16</v>
      </c>
      <c r="Y7" s="12">
        <v>2.6477999999999999E-18</v>
      </c>
      <c r="Z7" s="12">
        <v>3.4417999999999998E-20</v>
      </c>
      <c r="AA7" s="12">
        <v>4.4587000000000003E-27</v>
      </c>
      <c r="AB7" s="12">
        <v>4.5323999999999997E-33</v>
      </c>
      <c r="AC7" s="12">
        <v>0</v>
      </c>
      <c r="AD7" s="12">
        <v>0</v>
      </c>
      <c r="AE7" s="12"/>
      <c r="AF7" s="12"/>
      <c r="AG7" s="12"/>
      <c r="AH7" s="12"/>
      <c r="AI7" s="12"/>
      <c r="AJ7" s="12"/>
      <c r="AK7" s="12"/>
      <c r="AM7" s="50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2"/>
    </row>
    <row r="8" spans="1:54" ht="21" customHeight="1" outlineLevel="1" thickBot="1" x14ac:dyDescent="0.4">
      <c r="A8" s="66">
        <f t="shared" si="1"/>
        <v>1</v>
      </c>
      <c r="B8" s="66">
        <f t="shared" si="0"/>
        <v>0</v>
      </c>
      <c r="C8" s="66">
        <f t="shared" si="0"/>
        <v>0</v>
      </c>
      <c r="D8" s="66">
        <f t="shared" si="0"/>
        <v>0</v>
      </c>
      <c r="E8" s="72" t="s">
        <v>1</v>
      </c>
      <c r="F8" s="12">
        <v>0.2</v>
      </c>
      <c r="G8" s="12">
        <v>0.2</v>
      </c>
      <c r="H8" s="12">
        <v>0.2</v>
      </c>
      <c r="I8" s="12">
        <v>0.2</v>
      </c>
      <c r="J8" s="12">
        <v>0.2</v>
      </c>
      <c r="K8" s="12">
        <v>0.2</v>
      </c>
      <c r="L8" s="12">
        <v>0.2</v>
      </c>
      <c r="M8" s="12">
        <v>0.2</v>
      </c>
      <c r="N8" s="12">
        <v>0.2</v>
      </c>
      <c r="O8" s="12">
        <v>0.2</v>
      </c>
      <c r="P8" s="12">
        <v>0.2</v>
      </c>
      <c r="Q8" s="12">
        <v>0.2</v>
      </c>
      <c r="R8" s="12">
        <v>0.2</v>
      </c>
      <c r="S8" s="12">
        <v>0.2</v>
      </c>
      <c r="T8" s="12">
        <v>0.2</v>
      </c>
      <c r="U8" s="12">
        <v>0.2</v>
      </c>
      <c r="V8" s="12">
        <v>0.2</v>
      </c>
      <c r="W8" s="12">
        <v>0.2</v>
      </c>
      <c r="X8" s="12">
        <v>0.2</v>
      </c>
      <c r="Y8" s="12">
        <v>0.2</v>
      </c>
      <c r="Z8" s="12">
        <v>0.2</v>
      </c>
      <c r="AA8" s="12">
        <v>0.2</v>
      </c>
      <c r="AB8" s="12">
        <v>0.2</v>
      </c>
      <c r="AC8" s="12">
        <v>0.2</v>
      </c>
      <c r="AD8" s="12">
        <v>0.2</v>
      </c>
      <c r="AE8" s="12"/>
      <c r="AF8" s="12"/>
      <c r="AG8" s="12"/>
      <c r="AH8" s="12"/>
      <c r="AI8" s="12"/>
      <c r="AJ8" s="12"/>
      <c r="AK8" s="12"/>
      <c r="AM8" s="50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2"/>
    </row>
    <row r="9" spans="1:54" ht="21" customHeight="1" outlineLevel="1" thickBot="1" x14ac:dyDescent="0.4">
      <c r="A9" s="66">
        <f t="shared" si="1"/>
        <v>0</v>
      </c>
      <c r="B9" s="66">
        <f t="shared" si="0"/>
        <v>2</v>
      </c>
      <c r="C9" s="66">
        <f t="shared" si="0"/>
        <v>1</v>
      </c>
      <c r="D9" s="66">
        <f t="shared" si="0"/>
        <v>0</v>
      </c>
      <c r="E9" s="72" t="s">
        <v>69</v>
      </c>
      <c r="F9" s="12">
        <v>9.8088999999999996E-2</v>
      </c>
      <c r="G9" s="12">
        <v>9.1676999999999995E-2</v>
      </c>
      <c r="H9" s="12">
        <v>7.4269000000000002E-2</v>
      </c>
      <c r="I9" s="12">
        <v>4.6704000000000002E-2</v>
      </c>
      <c r="J9" s="12">
        <v>2.2398000000000001E-2</v>
      </c>
      <c r="K9" s="12">
        <v>9.1797000000000007E-3</v>
      </c>
      <c r="L9" s="12">
        <v>3.6418000000000002E-3</v>
      </c>
      <c r="M9" s="12">
        <v>1.4894999999999999E-3</v>
      </c>
      <c r="N9" s="12">
        <v>6.3650999999999996E-4</v>
      </c>
      <c r="O9" s="12">
        <v>2.7374000000000002E-4</v>
      </c>
      <c r="P9" s="12">
        <v>1.0883E-4</v>
      </c>
      <c r="Q9" s="12">
        <v>3.7472999999999998E-5</v>
      </c>
      <c r="R9" s="12">
        <v>1.2257E-5</v>
      </c>
      <c r="S9" s="12">
        <v>3.3971000000000001E-6</v>
      </c>
      <c r="T9" s="12">
        <v>8.7889999999999996E-7</v>
      </c>
      <c r="U9" s="12">
        <v>2.3389000000000001E-7</v>
      </c>
      <c r="V9" s="12">
        <v>6.5110000000000005E-8</v>
      </c>
      <c r="W9" s="12">
        <v>1.9051E-8</v>
      </c>
      <c r="X9" s="12">
        <v>5.8558000000000004E-9</v>
      </c>
      <c r="Y9" s="12">
        <v>1.8864E-9</v>
      </c>
      <c r="Z9" s="12">
        <v>6.3496000000000005E-10</v>
      </c>
      <c r="AA9" s="12">
        <v>1.1909E-11</v>
      </c>
      <c r="AB9" s="12">
        <v>3.6376000000000001E-13</v>
      </c>
      <c r="AC9" s="12">
        <v>1.6063999999999999E-14</v>
      </c>
      <c r="AD9" s="12">
        <v>9.4275999999999996E-16</v>
      </c>
      <c r="AE9" s="12"/>
      <c r="AF9" s="12"/>
      <c r="AG9" s="12"/>
      <c r="AH9" s="12"/>
      <c r="AI9" s="12"/>
      <c r="AJ9" s="12"/>
      <c r="AK9" s="12"/>
      <c r="AM9" s="50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2"/>
    </row>
    <row r="10" spans="1:54" ht="21" customHeight="1" outlineLevel="1" thickBot="1" x14ac:dyDescent="0.4">
      <c r="A10" s="66">
        <f t="shared" si="1"/>
        <v>0</v>
      </c>
      <c r="B10" s="66">
        <f t="shared" si="0"/>
        <v>1</v>
      </c>
      <c r="C10" s="66">
        <f t="shared" si="0"/>
        <v>1</v>
      </c>
      <c r="D10" s="66">
        <f t="shared" si="0"/>
        <v>0</v>
      </c>
      <c r="E10" s="72" t="s">
        <v>56</v>
      </c>
      <c r="F10" s="12">
        <v>0.10191</v>
      </c>
      <c r="G10" s="12">
        <v>0.10832</v>
      </c>
      <c r="H10" s="12">
        <v>0.12573000000000001</v>
      </c>
      <c r="I10" s="12">
        <v>0.15326999999999999</v>
      </c>
      <c r="J10" s="12">
        <v>0.17748</v>
      </c>
      <c r="K10" s="12">
        <v>0.19028</v>
      </c>
      <c r="L10" s="12">
        <v>0.19422</v>
      </c>
      <c r="M10" s="12">
        <v>0.19120999999999999</v>
      </c>
      <c r="N10" s="12">
        <v>0.17865</v>
      </c>
      <c r="O10" s="12">
        <v>0.15248</v>
      </c>
      <c r="P10" s="12">
        <v>0.11351</v>
      </c>
      <c r="Q10" s="12">
        <v>7.1696999999999997E-2</v>
      </c>
      <c r="R10" s="12">
        <v>4.0767999999999999E-2</v>
      </c>
      <c r="S10" s="12">
        <v>2.0518000000000002E-2</v>
      </c>
      <c r="T10" s="12">
        <v>9.7532000000000001E-3</v>
      </c>
      <c r="U10" s="12">
        <v>4.6608999999999999E-3</v>
      </c>
      <c r="V10" s="12">
        <v>2.2764999999999999E-3</v>
      </c>
      <c r="W10" s="12">
        <v>1.1428E-3</v>
      </c>
      <c r="X10" s="12">
        <v>5.9024999999999995E-4</v>
      </c>
      <c r="Y10" s="12">
        <v>3.1335999999999999E-4</v>
      </c>
      <c r="Z10" s="12">
        <v>1.7071999999999999E-4</v>
      </c>
      <c r="AA10" s="12">
        <v>1.8828E-5</v>
      </c>
      <c r="AB10" s="12">
        <v>2.7707999999999998E-6</v>
      </c>
      <c r="AC10" s="12">
        <v>5.0663000000000003E-7</v>
      </c>
      <c r="AD10" s="12">
        <v>1.0947E-7</v>
      </c>
      <c r="AE10" s="12"/>
      <c r="AF10" s="12"/>
      <c r="AG10" s="12"/>
      <c r="AH10" s="12"/>
      <c r="AI10" s="12"/>
      <c r="AJ10" s="12"/>
      <c r="AK10" s="12"/>
      <c r="AM10" s="50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2"/>
    </row>
    <row r="11" spans="1:54" ht="21" customHeight="1" outlineLevel="1" thickBot="1" x14ac:dyDescent="0.4">
      <c r="A11" s="66">
        <f t="shared" si="1"/>
        <v>0</v>
      </c>
      <c r="B11" s="66">
        <f t="shared" si="0"/>
        <v>3</v>
      </c>
      <c r="C11" s="66">
        <f t="shared" si="0"/>
        <v>0</v>
      </c>
      <c r="D11" s="66">
        <f t="shared" si="0"/>
        <v>2</v>
      </c>
      <c r="E11" s="72" t="s">
        <v>70</v>
      </c>
      <c r="F11" s="12">
        <v>3.0143E-2</v>
      </c>
      <c r="G11" s="12">
        <v>3.0612E-2</v>
      </c>
      <c r="H11" s="12">
        <v>3.1814000000000002E-2</v>
      </c>
      <c r="I11" s="12">
        <v>3.3529000000000003E-2</v>
      </c>
      <c r="J11" s="12">
        <v>3.4881000000000002E-2</v>
      </c>
      <c r="K11" s="12">
        <v>3.5577999999999999E-2</v>
      </c>
      <c r="L11" s="12">
        <v>3.5928000000000002E-2</v>
      </c>
      <c r="M11" s="12">
        <v>3.6276000000000003E-2</v>
      </c>
      <c r="N11" s="12">
        <v>3.6926E-2</v>
      </c>
      <c r="O11" s="12">
        <v>3.8059000000000003E-2</v>
      </c>
      <c r="P11" s="12">
        <v>3.9477999999999999E-2</v>
      </c>
      <c r="Q11" s="12">
        <v>3.9503999999999997E-2</v>
      </c>
      <c r="R11" s="12">
        <v>1.7654E-2</v>
      </c>
      <c r="S11" s="12">
        <v>1.2907000000000001E-4</v>
      </c>
      <c r="T11" s="12">
        <v>4.8691999999999997E-7</v>
      </c>
      <c r="U11" s="12">
        <v>2.3404999999999999E-9</v>
      </c>
      <c r="V11" s="12">
        <v>1.4159000000000001E-11</v>
      </c>
      <c r="W11" s="12">
        <v>1.0597999999999999E-13</v>
      </c>
      <c r="X11" s="12">
        <v>9.6636999999999996E-16</v>
      </c>
      <c r="Y11" s="12">
        <v>1.0587000000000001E-17</v>
      </c>
      <c r="Z11" s="12">
        <v>1.3763999999999999E-19</v>
      </c>
      <c r="AA11" s="12">
        <v>1.7834E-26</v>
      </c>
      <c r="AB11" s="12">
        <v>1.8129999999999999E-32</v>
      </c>
      <c r="AC11" s="12">
        <v>0</v>
      </c>
      <c r="AD11" s="12">
        <v>0</v>
      </c>
      <c r="AE11" s="12"/>
      <c r="AF11" s="12"/>
      <c r="AG11" s="12"/>
      <c r="AH11" s="12"/>
      <c r="AI11" s="12"/>
      <c r="AJ11" s="12"/>
      <c r="AK11" s="12"/>
      <c r="AM11" s="50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2"/>
    </row>
    <row r="12" spans="1:54" ht="21" customHeight="1" outlineLevel="1" thickBot="1" x14ac:dyDescent="0.4">
      <c r="A12" s="66">
        <f t="shared" si="1"/>
        <v>0</v>
      </c>
      <c r="B12" s="66">
        <f t="shared" si="0"/>
        <v>0</v>
      </c>
      <c r="C12" s="66">
        <f t="shared" si="0"/>
        <v>1</v>
      </c>
      <c r="D12" s="66">
        <f t="shared" si="0"/>
        <v>0</v>
      </c>
      <c r="E12" s="72" t="s">
        <v>55</v>
      </c>
      <c r="F12" s="12">
        <v>3.7991999999999998E-7</v>
      </c>
      <c r="G12" s="12">
        <v>9.8213999999999993E-7</v>
      </c>
      <c r="H12" s="12">
        <v>3.1576999999999999E-6</v>
      </c>
      <c r="I12" s="12">
        <v>1.3287E-5</v>
      </c>
      <c r="J12" s="12">
        <v>6.1799999999999998E-5</v>
      </c>
      <c r="K12" s="12">
        <v>2.7237000000000002E-4</v>
      </c>
      <c r="L12" s="12">
        <v>1.0713999999999999E-3</v>
      </c>
      <c r="M12" s="12">
        <v>3.6508999999999999E-3</v>
      </c>
      <c r="N12" s="12">
        <v>1.0354E-2</v>
      </c>
      <c r="O12" s="12">
        <v>2.3622000000000001E-2</v>
      </c>
      <c r="P12" s="12">
        <v>4.3187999999999997E-2</v>
      </c>
      <c r="Q12" s="12">
        <v>6.4132999999999996E-2</v>
      </c>
      <c r="R12" s="12">
        <v>7.961E-2</v>
      </c>
      <c r="S12" s="12">
        <v>8.9738999999999999E-2</v>
      </c>
      <c r="T12" s="12">
        <v>9.5122999999999999E-2</v>
      </c>
      <c r="U12" s="12">
        <v>9.7669000000000006E-2</v>
      </c>
      <c r="V12" s="12">
        <v>9.8862000000000005E-2</v>
      </c>
      <c r="W12" s="12">
        <v>9.9429000000000003E-2</v>
      </c>
      <c r="X12" s="12">
        <v>9.9705000000000002E-2</v>
      </c>
      <c r="Y12" s="12">
        <v>9.9843000000000001E-2</v>
      </c>
      <c r="Z12" s="12">
        <v>9.9915000000000004E-2</v>
      </c>
      <c r="AA12" s="12">
        <v>9.9990999999999997E-2</v>
      </c>
      <c r="AB12" s="12">
        <v>9.9999000000000005E-2</v>
      </c>
      <c r="AC12" s="12">
        <v>0.1</v>
      </c>
      <c r="AD12" s="12">
        <v>0.1</v>
      </c>
      <c r="AE12" s="12"/>
      <c r="AF12" s="12"/>
      <c r="AG12" s="12"/>
      <c r="AH12" s="12"/>
      <c r="AI12" s="12"/>
      <c r="AJ12" s="12"/>
      <c r="AK12" s="12"/>
      <c r="AM12" s="50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2"/>
    </row>
    <row r="13" spans="1:54" ht="21" customHeight="1" outlineLevel="1" thickBot="1" x14ac:dyDescent="0.4">
      <c r="A13" s="66">
        <f t="shared" si="1"/>
        <v>0</v>
      </c>
      <c r="B13" s="66">
        <f t="shared" si="0"/>
        <v>0</v>
      </c>
      <c r="C13" s="66">
        <f t="shared" si="0"/>
        <v>0</v>
      </c>
      <c r="D13" s="66">
        <f t="shared" si="0"/>
        <v>1</v>
      </c>
      <c r="E13" s="72" t="s">
        <v>54</v>
      </c>
      <c r="F13" s="12">
        <v>1.2208999999999999E-23</v>
      </c>
      <c r="G13" s="12">
        <v>2.1536000000000001E-21</v>
      </c>
      <c r="H13" s="12">
        <v>3.2388999999999999E-19</v>
      </c>
      <c r="I13" s="12">
        <v>5.0439000000000001E-17</v>
      </c>
      <c r="J13" s="12">
        <v>7.4418999999999997E-15</v>
      </c>
      <c r="K13" s="12">
        <v>8.8381999999999996E-13</v>
      </c>
      <c r="L13" s="12">
        <v>7.7714000000000004E-11</v>
      </c>
      <c r="M13" s="12">
        <v>4.9525999999999996E-9</v>
      </c>
      <c r="N13" s="12">
        <v>2.2877999999999999E-7</v>
      </c>
      <c r="O13" s="12">
        <v>7.9127999999999999E-6</v>
      </c>
      <c r="P13" s="12">
        <v>2.2018E-4</v>
      </c>
      <c r="Q13" s="12">
        <v>5.1728E-3</v>
      </c>
      <c r="R13" s="12">
        <v>7.3719999999999994E-2</v>
      </c>
      <c r="S13" s="12">
        <v>0.11967999999999999</v>
      </c>
      <c r="T13" s="12">
        <v>0.12</v>
      </c>
      <c r="U13" s="12">
        <v>0.12</v>
      </c>
      <c r="V13" s="12">
        <v>0.12</v>
      </c>
      <c r="W13" s="12">
        <v>0.12</v>
      </c>
      <c r="X13" s="12">
        <v>0.12</v>
      </c>
      <c r="Y13" s="12">
        <v>0.12</v>
      </c>
      <c r="Z13" s="12">
        <v>0.12</v>
      </c>
      <c r="AA13" s="12">
        <v>0.12</v>
      </c>
      <c r="AB13" s="12">
        <v>0.12</v>
      </c>
      <c r="AC13" s="12">
        <v>0.12</v>
      </c>
      <c r="AD13" s="12">
        <v>0.12</v>
      </c>
      <c r="AE13" s="12"/>
      <c r="AF13" s="12"/>
      <c r="AG13" s="12"/>
      <c r="AH13" s="12"/>
      <c r="AI13" s="12"/>
      <c r="AJ13" s="12"/>
      <c r="AK13" s="12"/>
      <c r="AM13" s="50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2"/>
    </row>
    <row r="14" spans="1:54" ht="21" customHeight="1" outlineLevel="1" thickBot="1" x14ac:dyDescent="0.4">
      <c r="A14" s="66">
        <f t="shared" si="1"/>
        <v>0</v>
      </c>
      <c r="B14" s="66">
        <f t="shared" si="0"/>
        <v>1</v>
      </c>
      <c r="C14" s="66">
        <f t="shared" si="0"/>
        <v>0</v>
      </c>
      <c r="D14" s="66">
        <f t="shared" si="0"/>
        <v>0</v>
      </c>
      <c r="E14" s="72" t="s">
        <v>53</v>
      </c>
      <c r="F14" s="12">
        <v>2.2208E-9</v>
      </c>
      <c r="G14" s="12">
        <v>7.6164000000000003E-9</v>
      </c>
      <c r="H14" s="12">
        <v>1.8320999999999999E-8</v>
      </c>
      <c r="I14" s="12">
        <v>2.9294000000000001E-8</v>
      </c>
      <c r="J14" s="12">
        <v>3.2794000000000002E-8</v>
      </c>
      <c r="K14" s="12">
        <v>2.9528000000000001E-8</v>
      </c>
      <c r="L14" s="12">
        <v>2.4362E-8</v>
      </c>
      <c r="M14" s="12">
        <v>2.0033000000000001E-8</v>
      </c>
      <c r="N14" s="12">
        <v>1.7421999999999999E-8</v>
      </c>
      <c r="O14" s="12">
        <v>1.6374000000000002E-8</v>
      </c>
      <c r="P14" s="12">
        <v>1.5996E-8</v>
      </c>
      <c r="Q14" s="12">
        <v>1.5650999999999999E-8</v>
      </c>
      <c r="R14" s="12">
        <v>2.0135000000000001E-8</v>
      </c>
      <c r="S14" s="12">
        <v>2.0514000000000001E-8</v>
      </c>
      <c r="T14" s="12">
        <v>1.7252999999999999E-8</v>
      </c>
      <c r="U14" s="12">
        <v>1.4321E-8</v>
      </c>
      <c r="V14" s="12">
        <v>1.1824000000000001E-8</v>
      </c>
      <c r="W14" s="12">
        <v>9.7431000000000004E-9</v>
      </c>
      <c r="X14" s="12">
        <v>8.0239999999999996E-9</v>
      </c>
      <c r="Y14" s="12">
        <v>6.6095000000000004E-9</v>
      </c>
      <c r="Z14" s="12">
        <v>5.4473000000000004E-9</v>
      </c>
      <c r="AA14" s="12">
        <v>2.5335E-9</v>
      </c>
      <c r="AB14" s="12">
        <v>1.1950999999999999E-9</v>
      </c>
      <c r="AC14" s="12">
        <v>5.7156000000000004E-10</v>
      </c>
      <c r="AD14" s="12">
        <v>2.7672999999999998E-10</v>
      </c>
      <c r="AE14" s="12"/>
      <c r="AF14" s="12"/>
      <c r="AG14" s="12"/>
      <c r="AH14" s="12"/>
      <c r="AI14" s="12"/>
      <c r="AJ14" s="12"/>
      <c r="AK14" s="12"/>
      <c r="AM14" s="50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2"/>
    </row>
    <row r="15" spans="1:54" ht="21" customHeight="1" outlineLevel="1" thickBot="1" x14ac:dyDescent="0.4">
      <c r="A15" s="66">
        <f t="shared" si="1"/>
        <v>0</v>
      </c>
      <c r="B15" s="66">
        <f t="shared" si="0"/>
        <v>1</v>
      </c>
      <c r="C15" s="66">
        <f t="shared" si="0"/>
        <v>0</v>
      </c>
      <c r="D15" s="66">
        <f t="shared" si="0"/>
        <v>0</v>
      </c>
      <c r="E15" s="72" t="s">
        <v>52</v>
      </c>
      <c r="F15" s="12">
        <v>5.1187999999999999E-10</v>
      </c>
      <c r="G15" s="12">
        <v>2.0419000000000002E-9</v>
      </c>
      <c r="H15" s="12">
        <v>5.6094000000000001E-9</v>
      </c>
      <c r="I15" s="12">
        <v>1.0088000000000001E-8</v>
      </c>
      <c r="J15" s="12">
        <v>1.2542000000000001E-8</v>
      </c>
      <c r="K15" s="12">
        <v>1.2407E-8</v>
      </c>
      <c r="L15" s="12">
        <v>1.1141E-8</v>
      </c>
      <c r="M15" s="12">
        <v>9.8918999999999997E-9</v>
      </c>
      <c r="N15" s="12">
        <v>9.2240000000000004E-9</v>
      </c>
      <c r="O15" s="12">
        <v>9.2382000000000006E-9</v>
      </c>
      <c r="P15" s="12">
        <v>9.5659000000000006E-9</v>
      </c>
      <c r="Q15" s="12">
        <v>9.8455000000000004E-9</v>
      </c>
      <c r="R15" s="12">
        <v>1.2537E-8</v>
      </c>
      <c r="S15" s="12">
        <v>1.2633999999999999E-8</v>
      </c>
      <c r="T15" s="12">
        <v>1.0503999999999999E-8</v>
      </c>
      <c r="U15" s="12">
        <v>8.6163000000000005E-9</v>
      </c>
      <c r="V15" s="12">
        <v>7.0284000000000003E-9</v>
      </c>
      <c r="W15" s="12">
        <v>5.7204999999999998E-9</v>
      </c>
      <c r="X15" s="12">
        <v>4.6531E-9</v>
      </c>
      <c r="Y15" s="12">
        <v>3.7855000000000002E-9</v>
      </c>
      <c r="Z15" s="12">
        <v>3.0813000000000001E-9</v>
      </c>
      <c r="AA15" s="12">
        <v>1.3644E-9</v>
      </c>
      <c r="AB15" s="12">
        <v>6.1378000000000002E-10</v>
      </c>
      <c r="AC15" s="12">
        <v>2.8039999999999998E-10</v>
      </c>
      <c r="AD15" s="12">
        <v>1.2985E-10</v>
      </c>
      <c r="AE15" s="12"/>
      <c r="AF15" s="12"/>
      <c r="AG15" s="12"/>
      <c r="AH15" s="12"/>
      <c r="AI15" s="12"/>
      <c r="AJ15" s="12"/>
      <c r="AK15" s="12"/>
      <c r="AM15" s="50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2"/>
    </row>
    <row r="16" spans="1:54" ht="21" customHeight="1" outlineLevel="1" thickBot="1" x14ac:dyDescent="0.4">
      <c r="A16" s="66">
        <f t="shared" si="1"/>
        <v>0</v>
      </c>
      <c r="B16" s="66">
        <f t="shared" si="0"/>
        <v>1</v>
      </c>
      <c r="C16" s="66">
        <f t="shared" si="0"/>
        <v>0</v>
      </c>
      <c r="D16" s="66">
        <f t="shared" si="0"/>
        <v>0</v>
      </c>
      <c r="E16" s="72" t="s">
        <v>59</v>
      </c>
      <c r="F16" s="12">
        <v>1.9122E-3</v>
      </c>
      <c r="G16" s="12">
        <v>8.3245000000000003E-3</v>
      </c>
      <c r="H16" s="12">
        <v>2.5738E-2</v>
      </c>
      <c r="I16" s="12">
        <v>5.3322000000000001E-2</v>
      </c>
      <c r="J16" s="12">
        <v>7.7726000000000003E-2</v>
      </c>
      <c r="K16" s="12">
        <v>9.1365000000000002E-2</v>
      </c>
      <c r="L16" s="12">
        <v>9.8501000000000005E-2</v>
      </c>
      <c r="M16" s="12">
        <v>0.10581</v>
      </c>
      <c r="N16" s="12">
        <v>0.12007</v>
      </c>
      <c r="O16" s="12">
        <v>0.14698</v>
      </c>
      <c r="P16" s="12">
        <v>0.18659999999999999</v>
      </c>
      <c r="Q16" s="12">
        <v>0.23599000000000001</v>
      </c>
      <c r="R16" s="12">
        <v>0.36979000000000001</v>
      </c>
      <c r="S16" s="12">
        <v>0.45899000000000001</v>
      </c>
      <c r="T16" s="12">
        <v>0.47023999999999999</v>
      </c>
      <c r="U16" s="12">
        <v>0.47533999999999998</v>
      </c>
      <c r="V16" s="12">
        <v>0.47771999999999998</v>
      </c>
      <c r="W16" s="12">
        <v>0.47886000000000001</v>
      </c>
      <c r="X16" s="12">
        <v>0.47941</v>
      </c>
      <c r="Y16" s="12">
        <v>0.47969000000000001</v>
      </c>
      <c r="Z16" s="12">
        <v>0.47982999999999998</v>
      </c>
      <c r="AA16" s="12">
        <v>0.47998000000000002</v>
      </c>
      <c r="AB16" s="12">
        <v>0.48</v>
      </c>
      <c r="AC16" s="12">
        <v>0.48</v>
      </c>
      <c r="AD16" s="12">
        <v>0.48</v>
      </c>
      <c r="AE16" s="12"/>
      <c r="AF16" s="12"/>
      <c r="AG16" s="12"/>
      <c r="AH16" s="12"/>
      <c r="AI16" s="12"/>
      <c r="AJ16" s="12"/>
      <c r="AK16" s="12"/>
      <c r="AM16" s="50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2"/>
    </row>
    <row r="17" spans="1:54" ht="21" customHeight="1" outlineLevel="1" thickBot="1" x14ac:dyDescent="0.4">
      <c r="A17" s="66">
        <f t="shared" si="1"/>
        <v>0</v>
      </c>
      <c r="B17" s="66">
        <f t="shared" si="0"/>
        <v>1</v>
      </c>
      <c r="C17" s="66">
        <f t="shared" si="0"/>
        <v>0</v>
      </c>
      <c r="D17" s="66">
        <f t="shared" si="0"/>
        <v>0</v>
      </c>
      <c r="E17" s="72" t="s">
        <v>51</v>
      </c>
      <c r="F17" s="12">
        <v>5.6787E-12</v>
      </c>
      <c r="G17" s="12">
        <v>3.1711000000000002E-11</v>
      </c>
      <c r="H17" s="12">
        <v>1.1762E-10</v>
      </c>
      <c r="I17" s="12">
        <v>2.7716999999999998E-10</v>
      </c>
      <c r="J17" s="12">
        <v>4.4024000000000002E-10</v>
      </c>
      <c r="K17" s="12">
        <v>5.4453999999999996E-10</v>
      </c>
      <c r="L17" s="12">
        <v>6.0030999999999997E-10</v>
      </c>
      <c r="M17" s="12">
        <v>6.4397E-10</v>
      </c>
      <c r="N17" s="12">
        <v>7.1548999999999998E-10</v>
      </c>
      <c r="O17" s="12">
        <v>8.4346E-10</v>
      </c>
      <c r="P17" s="12">
        <v>1.0169000000000001E-9</v>
      </c>
      <c r="Q17" s="12">
        <v>1.2071000000000001E-9</v>
      </c>
      <c r="R17" s="12">
        <v>1.7573999999999999E-9</v>
      </c>
      <c r="S17" s="12">
        <v>2.0094000000000001E-9</v>
      </c>
      <c r="T17" s="12">
        <v>1.8824E-9</v>
      </c>
      <c r="U17" s="12">
        <v>1.7288000000000001E-9</v>
      </c>
      <c r="V17" s="12">
        <v>1.5698999999999999E-9</v>
      </c>
      <c r="W17" s="12">
        <v>1.4151E-9</v>
      </c>
      <c r="X17" s="12">
        <v>1.2685999999999999E-9</v>
      </c>
      <c r="Y17" s="12">
        <v>1.1323999999999999E-9</v>
      </c>
      <c r="Z17" s="12">
        <v>1.0074000000000001E-9</v>
      </c>
      <c r="AA17" s="12">
        <v>6.1449000000000002E-10</v>
      </c>
      <c r="AB17" s="12">
        <v>3.6402E-10</v>
      </c>
      <c r="AC17" s="12">
        <v>2.1152000000000001E-10</v>
      </c>
      <c r="AD17" s="12">
        <v>1.2123E-10</v>
      </c>
      <c r="AE17" s="12"/>
      <c r="AF17" s="12"/>
      <c r="AG17" s="12"/>
      <c r="AH17" s="12"/>
      <c r="AI17" s="12"/>
      <c r="AJ17" s="12"/>
      <c r="AK17" s="12"/>
      <c r="AM17" s="50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2"/>
    </row>
    <row r="18" spans="1:54" ht="21" customHeight="1" outlineLevel="1" thickBot="1" x14ac:dyDescent="0.4">
      <c r="A18" s="66">
        <f t="shared" si="1"/>
        <v>0</v>
      </c>
      <c r="B18" s="66">
        <f t="shared" si="0"/>
        <v>0</v>
      </c>
      <c r="C18" s="66">
        <f t="shared" si="0"/>
        <v>1</v>
      </c>
      <c r="D18" s="66">
        <f t="shared" si="0"/>
        <v>0</v>
      </c>
      <c r="E18" s="72" t="s">
        <v>68</v>
      </c>
      <c r="F18" s="12">
        <v>3.7991999999999998E-7</v>
      </c>
      <c r="G18" s="12">
        <v>9.8213999999999993E-7</v>
      </c>
      <c r="H18" s="12">
        <v>3.1576999999999999E-6</v>
      </c>
      <c r="I18" s="12">
        <v>1.3287E-5</v>
      </c>
      <c r="J18" s="12">
        <v>6.1799999999999998E-5</v>
      </c>
      <c r="K18" s="12">
        <v>2.7237000000000002E-4</v>
      </c>
      <c r="L18" s="12">
        <v>1.0713999999999999E-3</v>
      </c>
      <c r="M18" s="12">
        <v>3.6508999999999999E-3</v>
      </c>
      <c r="N18" s="12">
        <v>1.0354E-2</v>
      </c>
      <c r="O18" s="12">
        <v>2.3622000000000001E-2</v>
      </c>
      <c r="P18" s="12">
        <v>4.3187999999999997E-2</v>
      </c>
      <c r="Q18" s="12">
        <v>6.4132999999999996E-2</v>
      </c>
      <c r="R18" s="12">
        <v>7.961E-2</v>
      </c>
      <c r="S18" s="12">
        <v>8.9738999999999999E-2</v>
      </c>
      <c r="T18" s="12">
        <v>9.5122999999999999E-2</v>
      </c>
      <c r="U18" s="12">
        <v>9.7669000000000006E-2</v>
      </c>
      <c r="V18" s="12">
        <v>9.8862000000000005E-2</v>
      </c>
      <c r="W18" s="12">
        <v>9.9429000000000003E-2</v>
      </c>
      <c r="X18" s="12">
        <v>9.9705000000000002E-2</v>
      </c>
      <c r="Y18" s="12">
        <v>9.9843000000000001E-2</v>
      </c>
      <c r="Z18" s="12">
        <v>9.9915000000000004E-2</v>
      </c>
      <c r="AA18" s="12">
        <v>9.9990999999999997E-2</v>
      </c>
      <c r="AB18" s="12">
        <v>9.9999000000000005E-2</v>
      </c>
      <c r="AC18" s="12">
        <v>0.1</v>
      </c>
      <c r="AD18" s="12">
        <v>0.1</v>
      </c>
      <c r="AE18" s="12"/>
      <c r="AF18" s="12"/>
      <c r="AG18" s="12"/>
      <c r="AH18" s="12"/>
      <c r="AI18" s="12"/>
      <c r="AJ18" s="12"/>
      <c r="AK18" s="12"/>
      <c r="AM18" s="50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2"/>
    </row>
    <row r="19" spans="1:54" ht="21" customHeight="1" outlineLevel="1" thickBot="1" x14ac:dyDescent="0.4">
      <c r="A19" s="66">
        <f t="shared" si="1"/>
        <v>1</v>
      </c>
      <c r="B19" s="66">
        <f t="shared" si="0"/>
        <v>0</v>
      </c>
      <c r="C19" s="66">
        <f t="shared" si="0"/>
        <v>0</v>
      </c>
      <c r="D19" s="66">
        <f t="shared" si="0"/>
        <v>0</v>
      </c>
      <c r="E19" s="72" t="s">
        <v>34</v>
      </c>
      <c r="F19" s="12">
        <v>-18.760000000000002</v>
      </c>
      <c r="G19" s="12">
        <v>-18.75</v>
      </c>
      <c r="H19" s="12">
        <v>-18.75</v>
      </c>
      <c r="I19" s="12">
        <v>-18.75</v>
      </c>
      <c r="J19" s="12">
        <v>-18.760000000000002</v>
      </c>
      <c r="K19" s="12">
        <v>-18.79</v>
      </c>
      <c r="L19" s="12">
        <v>-18.809999999999999</v>
      </c>
      <c r="M19" s="12">
        <v>-18.850000000000001</v>
      </c>
      <c r="N19" s="12">
        <v>-18.88</v>
      </c>
      <c r="O19" s="12">
        <v>-18.91</v>
      </c>
      <c r="P19" s="12">
        <v>-18.940000000000001</v>
      </c>
      <c r="Q19" s="12">
        <v>-18.97</v>
      </c>
      <c r="R19" s="12">
        <v>-18.95</v>
      </c>
      <c r="S19" s="12">
        <v>-18.97</v>
      </c>
      <c r="T19" s="12">
        <v>-19.010000000000002</v>
      </c>
      <c r="U19" s="12">
        <v>-19.05</v>
      </c>
      <c r="V19" s="12">
        <v>-19.09</v>
      </c>
      <c r="W19" s="12">
        <v>-19.14</v>
      </c>
      <c r="X19" s="12">
        <v>-19.18</v>
      </c>
      <c r="Y19" s="12">
        <v>-19.22</v>
      </c>
      <c r="Z19" s="12">
        <v>-19.260000000000002</v>
      </c>
      <c r="AA19" s="12">
        <v>-19.43</v>
      </c>
      <c r="AB19" s="12">
        <v>-19.59</v>
      </c>
      <c r="AC19" s="12">
        <v>-19.739999999999998</v>
      </c>
      <c r="AD19" s="12">
        <v>-19.88</v>
      </c>
      <c r="AE19" s="12"/>
      <c r="AF19" s="12"/>
      <c r="AG19" s="12"/>
      <c r="AH19" s="12"/>
      <c r="AI19" s="12"/>
      <c r="AJ19" s="12"/>
      <c r="AK19" s="12"/>
      <c r="AM19" s="50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2"/>
    </row>
    <row r="20" spans="1:54" ht="21" customHeight="1" outlineLevel="1" thickBot="1" x14ac:dyDescent="0.4">
      <c r="A20" s="66">
        <f t="shared" si="1"/>
        <v>0</v>
      </c>
      <c r="B20" s="66">
        <f t="shared" si="1"/>
        <v>0</v>
      </c>
      <c r="C20" s="66">
        <f t="shared" si="1"/>
        <v>0</v>
      </c>
      <c r="D20" s="66">
        <f t="shared" si="1"/>
        <v>1</v>
      </c>
      <c r="E20" s="72" t="s">
        <v>5</v>
      </c>
      <c r="F20" s="12">
        <v>-66.53</v>
      </c>
      <c r="G20" s="12">
        <v>-62.13</v>
      </c>
      <c r="H20" s="12">
        <v>-57.96</v>
      </c>
      <c r="I20" s="12">
        <v>-53.8</v>
      </c>
      <c r="J20" s="12">
        <v>-49.68</v>
      </c>
      <c r="K20" s="12">
        <v>-45.74</v>
      </c>
      <c r="L20" s="12">
        <v>-42.09</v>
      </c>
      <c r="M20" s="12">
        <v>-38.770000000000003</v>
      </c>
      <c r="N20" s="12">
        <v>-35.78</v>
      </c>
      <c r="O20" s="12">
        <v>-33.130000000000003</v>
      </c>
      <c r="P20" s="12">
        <v>-30.71</v>
      </c>
      <c r="Q20" s="12">
        <v>-28.49</v>
      </c>
      <c r="R20" s="12">
        <v>-26.95</v>
      </c>
      <c r="S20" s="12">
        <v>-27.44</v>
      </c>
      <c r="T20" s="12">
        <v>-28.24</v>
      </c>
      <c r="U20" s="12">
        <v>-29.04</v>
      </c>
      <c r="V20" s="12">
        <v>-29.83</v>
      </c>
      <c r="W20" s="12">
        <v>-30.61</v>
      </c>
      <c r="X20" s="12">
        <v>-31.38</v>
      </c>
      <c r="Y20" s="12">
        <v>-32.130000000000003</v>
      </c>
      <c r="Z20" s="12">
        <v>-32.880000000000003</v>
      </c>
      <c r="AA20" s="12">
        <v>-35.74</v>
      </c>
      <c r="AB20" s="12">
        <v>-38.369999999999997</v>
      </c>
      <c r="AC20" s="12">
        <v>-40.72</v>
      </c>
      <c r="AD20" s="12">
        <v>-42.77</v>
      </c>
      <c r="AE20" s="12"/>
      <c r="AF20" s="12"/>
      <c r="AG20" s="12"/>
      <c r="AH20" s="12"/>
      <c r="AI20" s="12"/>
      <c r="AJ20" s="12"/>
      <c r="AK20" s="12"/>
      <c r="AM20" s="50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2"/>
    </row>
    <row r="21" spans="1:54" ht="21" customHeight="1" outlineLevel="1" thickBot="1" x14ac:dyDescent="0.4">
      <c r="A21" s="66">
        <f t="shared" si="1"/>
        <v>0</v>
      </c>
      <c r="B21" s="66">
        <f t="shared" si="1"/>
        <v>0</v>
      </c>
      <c r="C21" s="66">
        <f t="shared" si="1"/>
        <v>1</v>
      </c>
      <c r="D21" s="66">
        <f t="shared" si="1"/>
        <v>0</v>
      </c>
      <c r="E21" s="72" t="s">
        <v>72</v>
      </c>
      <c r="F21" s="12">
        <v>-17.07</v>
      </c>
      <c r="G21" s="12">
        <v>-16.14</v>
      </c>
      <c r="H21" s="12">
        <v>-15.05</v>
      </c>
      <c r="I21" s="12">
        <v>-13.74</v>
      </c>
      <c r="J21" s="12">
        <v>-12.31</v>
      </c>
      <c r="K21" s="12">
        <v>-10.9</v>
      </c>
      <c r="L21" s="12">
        <v>-9.5839999999999996</v>
      </c>
      <c r="M21" s="12">
        <v>-8.4179999999999993</v>
      </c>
      <c r="N21" s="12">
        <v>-7.4589999999999996</v>
      </c>
      <c r="O21" s="12">
        <v>-6.7530000000000001</v>
      </c>
      <c r="P21" s="12">
        <v>-6.2969999999999997</v>
      </c>
      <c r="Q21" s="12">
        <v>-6.0679999999999996</v>
      </c>
      <c r="R21" s="12">
        <v>-6.2190000000000003</v>
      </c>
      <c r="S21" s="12">
        <v>-6.3109999999999999</v>
      </c>
      <c r="T21" s="12">
        <v>-6.3170000000000002</v>
      </c>
      <c r="U21" s="12">
        <v>-6.3460000000000001</v>
      </c>
      <c r="V21" s="12">
        <v>-6.3869999999999996</v>
      </c>
      <c r="W21" s="12">
        <v>-6.4329999999999998</v>
      </c>
      <c r="X21" s="12">
        <v>-6.4809999999999999</v>
      </c>
      <c r="Y21" s="12">
        <v>-6.53</v>
      </c>
      <c r="Z21" s="12">
        <v>-6.5789999999999997</v>
      </c>
      <c r="AA21" s="12">
        <v>-6.7750000000000004</v>
      </c>
      <c r="AB21" s="12">
        <v>-6.9660000000000002</v>
      </c>
      <c r="AC21" s="12">
        <v>-7.1509999999999998</v>
      </c>
      <c r="AD21" s="12">
        <v>-7.3280000000000003</v>
      </c>
      <c r="AE21" s="12"/>
      <c r="AF21" s="12"/>
      <c r="AG21" s="12"/>
      <c r="AH21" s="12"/>
      <c r="AI21" s="12"/>
      <c r="AJ21" s="12"/>
      <c r="AK21" s="12"/>
      <c r="AM21" s="50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2"/>
    </row>
    <row r="22" spans="1:54" ht="21" customHeight="1" outlineLevel="1" thickBot="1" x14ac:dyDescent="0.4">
      <c r="A22" s="66">
        <f t="shared" si="1"/>
        <v>0</v>
      </c>
      <c r="B22" s="66">
        <f t="shared" si="1"/>
        <v>1</v>
      </c>
      <c r="C22" s="66">
        <f t="shared" si="1"/>
        <v>0</v>
      </c>
      <c r="D22" s="66">
        <f t="shared" si="1"/>
        <v>0</v>
      </c>
      <c r="E22" s="72" t="s">
        <v>7</v>
      </c>
      <c r="F22" s="12">
        <v>-23.56</v>
      </c>
      <c r="G22" s="12">
        <v>-22.35</v>
      </c>
      <c r="H22" s="12">
        <v>-21.55</v>
      </c>
      <c r="I22" s="12">
        <v>-21.2</v>
      </c>
      <c r="J22" s="12">
        <v>-21.2</v>
      </c>
      <c r="K22" s="12">
        <v>-21.38</v>
      </c>
      <c r="L22" s="12">
        <v>-21.63</v>
      </c>
      <c r="M22" s="12">
        <v>-21.89</v>
      </c>
      <c r="N22" s="12">
        <v>-22.11</v>
      </c>
      <c r="O22" s="12">
        <v>-22.3</v>
      </c>
      <c r="P22" s="12">
        <v>-22.47</v>
      </c>
      <c r="Q22" s="12">
        <v>-22.67</v>
      </c>
      <c r="R22" s="12">
        <v>-22.85</v>
      </c>
      <c r="S22" s="12">
        <v>-23.1</v>
      </c>
      <c r="T22" s="12">
        <v>-23.4</v>
      </c>
      <c r="U22" s="12">
        <v>-23.69</v>
      </c>
      <c r="V22" s="12">
        <v>-23.99</v>
      </c>
      <c r="W22" s="12">
        <v>-24.29</v>
      </c>
      <c r="X22" s="12">
        <v>-24.58</v>
      </c>
      <c r="Y22" s="12">
        <v>-24.87</v>
      </c>
      <c r="Z22" s="12">
        <v>-25.16</v>
      </c>
      <c r="AA22" s="12">
        <v>-26.28</v>
      </c>
      <c r="AB22" s="12">
        <v>-27.37</v>
      </c>
      <c r="AC22" s="12">
        <v>-28.41</v>
      </c>
      <c r="AD22" s="12">
        <v>-29.42</v>
      </c>
      <c r="AE22" s="12"/>
      <c r="AF22" s="12"/>
      <c r="AG22" s="12"/>
      <c r="AH22" s="12"/>
      <c r="AI22" s="12"/>
      <c r="AJ22" s="12"/>
      <c r="AK22" s="12"/>
      <c r="AM22" s="50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2"/>
    </row>
    <row r="23" spans="1:54" ht="21" customHeight="1" outlineLevel="1" thickBot="1" x14ac:dyDescent="0.4">
      <c r="A23" s="66">
        <f t="shared" si="1"/>
        <v>0</v>
      </c>
      <c r="B23" s="66">
        <f t="shared" si="1"/>
        <v>0</v>
      </c>
      <c r="C23" s="66">
        <f t="shared" si="1"/>
        <v>0</v>
      </c>
      <c r="D23" s="66">
        <f t="shared" si="1"/>
        <v>0</v>
      </c>
      <c r="E23" s="63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M23" s="50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2"/>
    </row>
    <row r="24" spans="1:54" ht="21" customHeight="1" outlineLevel="1" thickBot="1" x14ac:dyDescent="0.4">
      <c r="A24" s="66">
        <f t="shared" si="1"/>
        <v>0</v>
      </c>
      <c r="B24" s="66">
        <f t="shared" si="1"/>
        <v>0</v>
      </c>
      <c r="C24" s="66">
        <f t="shared" si="1"/>
        <v>0</v>
      </c>
      <c r="D24" s="66">
        <f t="shared" si="1"/>
        <v>0</v>
      </c>
      <c r="E24" s="63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M24" s="50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2"/>
    </row>
    <row r="25" spans="1:54" ht="21" customHeight="1" outlineLevel="1" thickBot="1" x14ac:dyDescent="0.4">
      <c r="A25" s="66">
        <f t="shared" si="1"/>
        <v>0</v>
      </c>
      <c r="B25" s="66">
        <f t="shared" si="1"/>
        <v>0</v>
      </c>
      <c r="C25" s="66">
        <f t="shared" si="1"/>
        <v>0</v>
      </c>
      <c r="D25" s="66">
        <f t="shared" si="1"/>
        <v>0</v>
      </c>
      <c r="E25" s="63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M25" s="50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2"/>
    </row>
    <row r="26" spans="1:54" ht="21" customHeight="1" outlineLevel="1" thickBot="1" x14ac:dyDescent="0.4">
      <c r="A26" s="66">
        <f t="shared" si="1"/>
        <v>0</v>
      </c>
      <c r="B26" s="66">
        <f t="shared" si="1"/>
        <v>0</v>
      </c>
      <c r="C26" s="66">
        <f t="shared" si="1"/>
        <v>0</v>
      </c>
      <c r="D26" s="66">
        <f t="shared" si="1"/>
        <v>0</v>
      </c>
      <c r="E26" s="63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M26" s="50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2"/>
    </row>
    <row r="27" spans="1:54" ht="21" customHeight="1" outlineLevel="1" thickBot="1" x14ac:dyDescent="0.4">
      <c r="A27" s="66">
        <f t="shared" si="1"/>
        <v>0</v>
      </c>
      <c r="B27" s="66">
        <f t="shared" si="1"/>
        <v>0</v>
      </c>
      <c r="C27" s="66">
        <f t="shared" si="1"/>
        <v>0</v>
      </c>
      <c r="D27" s="66">
        <f t="shared" si="1"/>
        <v>0</v>
      </c>
      <c r="E27" s="63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M27" s="50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2"/>
    </row>
    <row r="28" spans="1:54" ht="21" customHeight="1" outlineLevel="1" thickBot="1" x14ac:dyDescent="0.4">
      <c r="A28" s="66">
        <f t="shared" ref="A28:D32" si="2">IF( ISNUMBER( FIND(A$3,$E28,1)),   IF( ISNUMBER( VALUE(MID($E28,FIND(A$3,$E28,1)+2,1)) ), VALUE( MID($E28,FIND(A$3,$E28,1)+2,1) ),1),0)</f>
        <v>0</v>
      </c>
      <c r="B28" s="66">
        <f t="shared" si="2"/>
        <v>0</v>
      </c>
      <c r="C28" s="66">
        <f t="shared" si="2"/>
        <v>0</v>
      </c>
      <c r="D28" s="66">
        <f t="shared" si="2"/>
        <v>0</v>
      </c>
      <c r="E28" s="63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M28" s="50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2"/>
    </row>
    <row r="29" spans="1:54" ht="21" customHeight="1" outlineLevel="1" thickBot="1" x14ac:dyDescent="0.4">
      <c r="A29" s="66">
        <f t="shared" si="2"/>
        <v>0</v>
      </c>
      <c r="B29" s="66">
        <f t="shared" si="2"/>
        <v>0</v>
      </c>
      <c r="C29" s="66">
        <f t="shared" si="2"/>
        <v>0</v>
      </c>
      <c r="D29" s="66">
        <f t="shared" si="2"/>
        <v>0</v>
      </c>
      <c r="E29" s="63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M29" s="50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2"/>
    </row>
    <row r="30" spans="1:54" ht="21" customHeight="1" outlineLevel="1" thickBot="1" x14ac:dyDescent="0.4">
      <c r="A30" s="66">
        <f t="shared" si="2"/>
        <v>0</v>
      </c>
      <c r="B30" s="66">
        <f t="shared" si="2"/>
        <v>0</v>
      </c>
      <c r="C30" s="66">
        <f t="shared" si="2"/>
        <v>0</v>
      </c>
      <c r="D30" s="66">
        <f t="shared" si="2"/>
        <v>0</v>
      </c>
      <c r="E30" s="63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M30" s="50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2"/>
    </row>
    <row r="31" spans="1:54" ht="21" customHeight="1" outlineLevel="1" thickBot="1" x14ac:dyDescent="0.4">
      <c r="A31" s="66">
        <f t="shared" si="2"/>
        <v>0</v>
      </c>
      <c r="B31" s="66">
        <f t="shared" si="2"/>
        <v>0</v>
      </c>
      <c r="C31" s="66">
        <f t="shared" si="2"/>
        <v>0</v>
      </c>
      <c r="D31" s="66">
        <f t="shared" si="2"/>
        <v>0</v>
      </c>
      <c r="E31" s="63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M31" s="50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2"/>
    </row>
    <row r="32" spans="1:54" ht="21" customHeight="1" outlineLevel="1" thickBot="1" x14ac:dyDescent="0.4">
      <c r="A32" s="66">
        <f t="shared" si="2"/>
        <v>0</v>
      </c>
      <c r="B32" s="66">
        <f t="shared" si="2"/>
        <v>0</v>
      </c>
      <c r="C32" s="66">
        <f t="shared" si="2"/>
        <v>0</v>
      </c>
      <c r="D32" s="66">
        <f t="shared" si="2"/>
        <v>0</v>
      </c>
      <c r="E32" s="63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M32" s="50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2"/>
    </row>
    <row r="33" spans="1:54" ht="21" customHeight="1" outlineLevel="1" thickBot="1" x14ac:dyDescent="0.4">
      <c r="A33" s="66">
        <f t="shared" ref="A33:D33" si="3">IF( ISNUMBER( FIND(A$3,$E33,1)),   IF( ISNUMBER( VALUE(MID($E33,FIND(A$3,$E33,1)+2,1)) ), VALUE( MID($E33,FIND(A$3,$E33,1)+2,1) ),1),0)</f>
        <v>0</v>
      </c>
      <c r="B33" s="66">
        <f t="shared" si="3"/>
        <v>0</v>
      </c>
      <c r="C33" s="66">
        <f t="shared" si="3"/>
        <v>0</v>
      </c>
      <c r="D33" s="66">
        <f t="shared" si="3"/>
        <v>0</v>
      </c>
      <c r="E33" s="63">
        <v>1</v>
      </c>
      <c r="AM33" s="50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2"/>
    </row>
    <row r="34" spans="1:54" ht="21" customHeight="1" outlineLevel="1" x14ac:dyDescent="0.35">
      <c r="A34" s="47" t="e">
        <f>$A$2</f>
        <v>#REF!</v>
      </c>
      <c r="B34" s="49">
        <v>0</v>
      </c>
      <c r="C34" s="23" t="s">
        <v>34</v>
      </c>
      <c r="D34" s="71">
        <f>MATCH(C34,$E$4:$E$33)</f>
        <v>16</v>
      </c>
      <c r="E34" s="23" t="str">
        <f ca="1">OFFSET($E$3:$AL$3,$D34,0)</f>
        <v>H (Ar)</v>
      </c>
      <c r="F34" s="26">
        <f t="shared" ref="F34:AL37" ca="1" si="4">OFFSET($E$3:$AL$3,$D34,0)</f>
        <v>-18.760000000000002</v>
      </c>
      <c r="G34" s="26">
        <f t="shared" ca="1" si="4"/>
        <v>-18.75</v>
      </c>
      <c r="H34" s="26">
        <f t="shared" ca="1" si="4"/>
        <v>-18.75</v>
      </c>
      <c r="I34" s="26">
        <f t="shared" ca="1" si="4"/>
        <v>-18.75</v>
      </c>
      <c r="J34" s="26">
        <f t="shared" ca="1" si="4"/>
        <v>-18.760000000000002</v>
      </c>
      <c r="K34" s="26">
        <f t="shared" ca="1" si="4"/>
        <v>-18.79</v>
      </c>
      <c r="L34" s="26">
        <f t="shared" ca="1" si="4"/>
        <v>-18.809999999999999</v>
      </c>
      <c r="M34" s="26">
        <f t="shared" ca="1" si="4"/>
        <v>-18.850000000000001</v>
      </c>
      <c r="N34" s="26">
        <f t="shared" ca="1" si="4"/>
        <v>-18.88</v>
      </c>
      <c r="O34" s="26">
        <f t="shared" ca="1" si="4"/>
        <v>-18.91</v>
      </c>
      <c r="P34" s="26">
        <f t="shared" ca="1" si="4"/>
        <v>-18.940000000000001</v>
      </c>
      <c r="Q34" s="26">
        <f t="shared" ca="1" si="4"/>
        <v>-18.97</v>
      </c>
      <c r="R34" s="26">
        <f t="shared" ca="1" si="4"/>
        <v>-18.95</v>
      </c>
      <c r="S34" s="26">
        <f t="shared" ca="1" si="4"/>
        <v>-18.97</v>
      </c>
      <c r="T34" s="26">
        <f t="shared" ca="1" si="4"/>
        <v>-19.010000000000002</v>
      </c>
      <c r="U34" s="93">
        <f t="shared" ca="1" si="4"/>
        <v>-19.05</v>
      </c>
      <c r="V34" s="94">
        <f t="shared" ca="1" si="4"/>
        <v>-19.09</v>
      </c>
      <c r="W34" s="99">
        <f t="shared" ca="1" si="4"/>
        <v>-19.14</v>
      </c>
      <c r="X34" s="26">
        <f t="shared" ca="1" si="4"/>
        <v>-19.18</v>
      </c>
      <c r="Y34" s="26">
        <f t="shared" ca="1" si="4"/>
        <v>-19.22</v>
      </c>
      <c r="Z34" s="26">
        <f t="shared" ca="1" si="4"/>
        <v>-19.260000000000002</v>
      </c>
      <c r="AA34" s="26">
        <f t="shared" ca="1" si="4"/>
        <v>-19.43</v>
      </c>
      <c r="AB34" s="26">
        <f t="shared" ca="1" si="4"/>
        <v>-19.59</v>
      </c>
      <c r="AC34" s="26">
        <f t="shared" ca="1" si="4"/>
        <v>-19.739999999999998</v>
      </c>
      <c r="AD34" s="26">
        <f t="shared" ca="1" si="4"/>
        <v>-19.88</v>
      </c>
      <c r="AE34" s="26">
        <f t="shared" ca="1" si="4"/>
        <v>0</v>
      </c>
      <c r="AF34" s="26">
        <f t="shared" ca="1" si="4"/>
        <v>0</v>
      </c>
      <c r="AG34" s="26">
        <f t="shared" ca="1" si="4"/>
        <v>0</v>
      </c>
      <c r="AH34" s="26">
        <f t="shared" ca="1" si="4"/>
        <v>0</v>
      </c>
      <c r="AI34" s="26">
        <f t="shared" ca="1" si="4"/>
        <v>0</v>
      </c>
      <c r="AJ34" s="26">
        <f t="shared" ca="1" si="4"/>
        <v>0</v>
      </c>
      <c r="AK34" s="26">
        <f t="shared" ca="1" si="4"/>
        <v>0</v>
      </c>
      <c r="AL34" s="26">
        <f t="shared" ca="1" si="4"/>
        <v>0</v>
      </c>
      <c r="AM34" s="50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2"/>
    </row>
    <row r="35" spans="1:54" s="59" customFormat="1" ht="21" customHeight="1" outlineLevel="1" thickBot="1" x14ac:dyDescent="0.4">
      <c r="A35" s="53" t="e">
        <f>$A$2</f>
        <v>#REF!</v>
      </c>
      <c r="B35" s="85">
        <v>1</v>
      </c>
      <c r="C35" s="23" t="s">
        <v>5</v>
      </c>
      <c r="D35" s="71">
        <f t="shared" ref="D35:D37" si="5">MATCH(C35,$E$4:$E$33)</f>
        <v>17</v>
      </c>
      <c r="E35" s="23" t="str">
        <f t="shared" ref="E35:E37" ca="1" si="6">OFFSET($E$3:$AL$3,$D35,0)</f>
        <v>H (Ga)</v>
      </c>
      <c r="F35" s="26">
        <f t="shared" ca="1" si="4"/>
        <v>-66.53</v>
      </c>
      <c r="G35" s="26">
        <f t="shared" ca="1" si="4"/>
        <v>-62.13</v>
      </c>
      <c r="H35" s="26">
        <f t="shared" ca="1" si="4"/>
        <v>-57.96</v>
      </c>
      <c r="I35" s="26">
        <f t="shared" ca="1" si="4"/>
        <v>-53.8</v>
      </c>
      <c r="J35" s="26">
        <f t="shared" ca="1" si="4"/>
        <v>-49.68</v>
      </c>
      <c r="K35" s="26">
        <f t="shared" ca="1" si="4"/>
        <v>-45.74</v>
      </c>
      <c r="L35" s="26">
        <f t="shared" ca="1" si="4"/>
        <v>-42.09</v>
      </c>
      <c r="M35" s="26">
        <f t="shared" ca="1" si="4"/>
        <v>-38.770000000000003</v>
      </c>
      <c r="N35" s="26">
        <f t="shared" ca="1" si="4"/>
        <v>-35.78</v>
      </c>
      <c r="O35" s="26">
        <f t="shared" ca="1" si="4"/>
        <v>-33.130000000000003</v>
      </c>
      <c r="P35" s="26">
        <f t="shared" ca="1" si="4"/>
        <v>-30.71</v>
      </c>
      <c r="Q35" s="26">
        <f t="shared" ca="1" si="4"/>
        <v>-28.49</v>
      </c>
      <c r="R35" s="26">
        <f t="shared" ca="1" si="4"/>
        <v>-26.95</v>
      </c>
      <c r="S35" s="26">
        <f t="shared" ca="1" si="4"/>
        <v>-27.44</v>
      </c>
      <c r="T35" s="26">
        <f t="shared" ca="1" si="4"/>
        <v>-28.24</v>
      </c>
      <c r="U35" s="93">
        <f t="shared" ca="1" si="4"/>
        <v>-29.04</v>
      </c>
      <c r="V35" s="94">
        <f t="shared" ca="1" si="4"/>
        <v>-29.83</v>
      </c>
      <c r="W35" s="99">
        <f t="shared" ca="1" si="4"/>
        <v>-30.61</v>
      </c>
      <c r="X35" s="26">
        <f t="shared" ca="1" si="4"/>
        <v>-31.38</v>
      </c>
      <c r="Y35" s="26">
        <f t="shared" ca="1" si="4"/>
        <v>-32.130000000000003</v>
      </c>
      <c r="Z35" s="26">
        <f t="shared" ca="1" si="4"/>
        <v>-32.880000000000003</v>
      </c>
      <c r="AA35" s="26">
        <f t="shared" ca="1" si="4"/>
        <v>-35.74</v>
      </c>
      <c r="AB35" s="26">
        <f t="shared" ca="1" si="4"/>
        <v>-38.369999999999997</v>
      </c>
      <c r="AC35" s="26">
        <f t="shared" ca="1" si="4"/>
        <v>-40.72</v>
      </c>
      <c r="AD35" s="26">
        <f t="shared" ca="1" si="4"/>
        <v>-42.77</v>
      </c>
      <c r="AE35" s="26">
        <f t="shared" ca="1" si="4"/>
        <v>0</v>
      </c>
      <c r="AF35" s="26">
        <f t="shared" ca="1" si="4"/>
        <v>0</v>
      </c>
      <c r="AG35" s="26">
        <f t="shared" ca="1" si="4"/>
        <v>0</v>
      </c>
      <c r="AH35" s="26">
        <f t="shared" ca="1" si="4"/>
        <v>0</v>
      </c>
      <c r="AI35" s="26">
        <f t="shared" ca="1" si="4"/>
        <v>0</v>
      </c>
      <c r="AJ35" s="26">
        <f t="shared" ca="1" si="4"/>
        <v>0</v>
      </c>
      <c r="AK35" s="26">
        <f t="shared" ca="1" si="4"/>
        <v>0</v>
      </c>
      <c r="AL35" s="26">
        <f t="shared" ca="1" si="4"/>
        <v>0</v>
      </c>
      <c r="AM35" s="50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2"/>
    </row>
    <row r="36" spans="1:54" s="59" customFormat="1" ht="21" customHeight="1" outlineLevel="1" x14ac:dyDescent="0.35">
      <c r="C36" s="23" t="s">
        <v>6</v>
      </c>
      <c r="D36" s="71">
        <f t="shared" si="5"/>
        <v>17</v>
      </c>
      <c r="E36" s="23" t="str">
        <f t="shared" ca="1" si="6"/>
        <v>H (Ga)</v>
      </c>
      <c r="F36" s="26">
        <f t="shared" ca="1" si="4"/>
        <v>-66.53</v>
      </c>
      <c r="G36" s="26">
        <f t="shared" ca="1" si="4"/>
        <v>-62.13</v>
      </c>
      <c r="H36" s="26">
        <f t="shared" ca="1" si="4"/>
        <v>-57.96</v>
      </c>
      <c r="I36" s="26">
        <f t="shared" ca="1" si="4"/>
        <v>-53.8</v>
      </c>
      <c r="J36" s="26">
        <f t="shared" ca="1" si="4"/>
        <v>-49.68</v>
      </c>
      <c r="K36" s="26">
        <f t="shared" ca="1" si="4"/>
        <v>-45.74</v>
      </c>
      <c r="L36" s="26">
        <f t="shared" ca="1" si="4"/>
        <v>-42.09</v>
      </c>
      <c r="M36" s="26">
        <f t="shared" ca="1" si="4"/>
        <v>-38.770000000000003</v>
      </c>
      <c r="N36" s="26">
        <f t="shared" ca="1" si="4"/>
        <v>-35.78</v>
      </c>
      <c r="O36" s="26">
        <f t="shared" ca="1" si="4"/>
        <v>-33.130000000000003</v>
      </c>
      <c r="P36" s="26">
        <f t="shared" ca="1" si="4"/>
        <v>-30.71</v>
      </c>
      <c r="Q36" s="26">
        <f t="shared" ca="1" si="4"/>
        <v>-28.49</v>
      </c>
      <c r="R36" s="26">
        <f t="shared" ca="1" si="4"/>
        <v>-26.95</v>
      </c>
      <c r="S36" s="26">
        <f t="shared" ca="1" si="4"/>
        <v>-27.44</v>
      </c>
      <c r="T36" s="26">
        <f t="shared" ca="1" si="4"/>
        <v>-28.24</v>
      </c>
      <c r="U36" s="94">
        <f t="shared" ca="1" si="4"/>
        <v>-29.04</v>
      </c>
      <c r="V36" s="94">
        <f t="shared" ca="1" si="4"/>
        <v>-29.83</v>
      </c>
      <c r="W36" s="99">
        <f t="shared" ca="1" si="4"/>
        <v>-30.61</v>
      </c>
      <c r="X36" s="26">
        <f t="shared" ca="1" si="4"/>
        <v>-31.38</v>
      </c>
      <c r="Y36" s="26">
        <f t="shared" ca="1" si="4"/>
        <v>-32.130000000000003</v>
      </c>
      <c r="Z36" s="26">
        <f t="shared" ca="1" si="4"/>
        <v>-32.880000000000003</v>
      </c>
      <c r="AA36" s="26">
        <f t="shared" ca="1" si="4"/>
        <v>-35.74</v>
      </c>
      <c r="AB36" s="26">
        <f t="shared" ca="1" si="4"/>
        <v>-38.369999999999997</v>
      </c>
      <c r="AC36" s="26">
        <f t="shared" ca="1" si="4"/>
        <v>-40.72</v>
      </c>
      <c r="AD36" s="26">
        <f t="shared" ca="1" si="4"/>
        <v>-42.77</v>
      </c>
      <c r="AE36" s="26">
        <f t="shared" ca="1" si="4"/>
        <v>0</v>
      </c>
      <c r="AF36" s="26">
        <f t="shared" ca="1" si="4"/>
        <v>0</v>
      </c>
      <c r="AG36" s="26">
        <f t="shared" ca="1" si="4"/>
        <v>0</v>
      </c>
      <c r="AH36" s="26">
        <f t="shared" ca="1" si="4"/>
        <v>0</v>
      </c>
      <c r="AI36" s="26">
        <f t="shared" ca="1" si="4"/>
        <v>0</v>
      </c>
      <c r="AJ36" s="26">
        <f t="shared" ca="1" si="4"/>
        <v>0</v>
      </c>
      <c r="AK36" s="26">
        <f t="shared" ca="1" si="4"/>
        <v>0</v>
      </c>
      <c r="AL36" s="26">
        <f t="shared" ca="1" si="4"/>
        <v>0</v>
      </c>
      <c r="AM36" s="50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2"/>
    </row>
    <row r="37" spans="1:54" ht="21" customHeight="1" outlineLevel="1" thickBot="1" x14ac:dyDescent="0.4">
      <c r="C37" s="23" t="s">
        <v>7</v>
      </c>
      <c r="D37" s="71">
        <f t="shared" si="5"/>
        <v>19</v>
      </c>
      <c r="E37" s="23" t="str">
        <f t="shared" ca="1" si="6"/>
        <v>H (Se)</v>
      </c>
      <c r="F37" s="26">
        <f t="shared" ca="1" si="4"/>
        <v>-23.56</v>
      </c>
      <c r="G37" s="26">
        <f t="shared" ca="1" si="4"/>
        <v>-22.35</v>
      </c>
      <c r="H37" s="26">
        <f t="shared" ca="1" si="4"/>
        <v>-21.55</v>
      </c>
      <c r="I37" s="26">
        <f t="shared" ca="1" si="4"/>
        <v>-21.2</v>
      </c>
      <c r="J37" s="26">
        <f t="shared" ca="1" si="4"/>
        <v>-21.2</v>
      </c>
      <c r="K37" s="26">
        <f t="shared" ca="1" si="4"/>
        <v>-21.38</v>
      </c>
      <c r="L37" s="26">
        <f t="shared" ca="1" si="4"/>
        <v>-21.63</v>
      </c>
      <c r="M37" s="26">
        <f t="shared" ca="1" si="4"/>
        <v>-21.89</v>
      </c>
      <c r="N37" s="26">
        <f t="shared" ca="1" si="4"/>
        <v>-22.11</v>
      </c>
      <c r="O37" s="26">
        <f t="shared" ca="1" si="4"/>
        <v>-22.3</v>
      </c>
      <c r="P37" s="26">
        <f t="shared" ca="1" si="4"/>
        <v>-22.47</v>
      </c>
      <c r="Q37" s="26">
        <f t="shared" ca="1" si="4"/>
        <v>-22.67</v>
      </c>
      <c r="R37" s="26">
        <f t="shared" ca="1" si="4"/>
        <v>-22.85</v>
      </c>
      <c r="S37" s="26">
        <f t="shared" ca="1" si="4"/>
        <v>-23.1</v>
      </c>
      <c r="T37" s="26">
        <f t="shared" ca="1" si="4"/>
        <v>-23.4</v>
      </c>
      <c r="U37" s="94">
        <f t="shared" ca="1" si="4"/>
        <v>-23.69</v>
      </c>
      <c r="V37" s="94">
        <f t="shared" ca="1" si="4"/>
        <v>-23.99</v>
      </c>
      <c r="W37" s="99">
        <f t="shared" ca="1" si="4"/>
        <v>-24.29</v>
      </c>
      <c r="X37" s="26">
        <f t="shared" ca="1" si="4"/>
        <v>-24.58</v>
      </c>
      <c r="Y37" s="26">
        <f t="shared" ca="1" si="4"/>
        <v>-24.87</v>
      </c>
      <c r="Z37" s="26">
        <f t="shared" ca="1" si="4"/>
        <v>-25.16</v>
      </c>
      <c r="AA37" s="26">
        <f t="shared" ca="1" si="4"/>
        <v>-26.28</v>
      </c>
      <c r="AB37" s="26">
        <f t="shared" ca="1" si="4"/>
        <v>-27.37</v>
      </c>
      <c r="AC37" s="26">
        <f t="shared" ca="1" si="4"/>
        <v>-28.41</v>
      </c>
      <c r="AD37" s="26">
        <f t="shared" ca="1" si="4"/>
        <v>-29.42</v>
      </c>
      <c r="AE37" s="26">
        <f t="shared" ca="1" si="4"/>
        <v>0</v>
      </c>
      <c r="AF37" s="26">
        <f t="shared" ca="1" si="4"/>
        <v>0</v>
      </c>
      <c r="AG37" s="26">
        <f t="shared" ca="1" si="4"/>
        <v>0</v>
      </c>
      <c r="AH37" s="26">
        <f t="shared" ca="1" si="4"/>
        <v>0</v>
      </c>
      <c r="AI37" s="26">
        <f t="shared" ca="1" si="4"/>
        <v>0</v>
      </c>
      <c r="AJ37" s="26">
        <f t="shared" ca="1" si="4"/>
        <v>0</v>
      </c>
      <c r="AK37" s="26">
        <f t="shared" ca="1" si="4"/>
        <v>0</v>
      </c>
      <c r="AL37" s="26">
        <f t="shared" ca="1" si="4"/>
        <v>0</v>
      </c>
      <c r="AM37" s="53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5"/>
    </row>
    <row r="38" spans="1:54" s="59" customFormat="1" ht="21" customHeight="1" thickBot="1" x14ac:dyDescent="0.4"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27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17"/>
      <c r="AN39" s="17"/>
      <c r="AO39" s="17"/>
      <c r="AP39" s="17"/>
      <c r="AQ39" s="17"/>
      <c r="AR39" s="17"/>
    </row>
    <row r="40" spans="1:54" ht="2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7">G3</f>
        <v>293.3</v>
      </c>
      <c r="H40" s="19">
        <f t="shared" si="7"/>
        <v>313.5</v>
      </c>
      <c r="I40" s="19">
        <f t="shared" si="7"/>
        <v>333.7</v>
      </c>
      <c r="J40" s="19">
        <f t="shared" si="7"/>
        <v>353.9</v>
      </c>
      <c r="K40" s="19">
        <f t="shared" si="7"/>
        <v>374.1</v>
      </c>
      <c r="L40" s="19">
        <f t="shared" si="7"/>
        <v>394.3</v>
      </c>
      <c r="M40" s="19">
        <f t="shared" si="7"/>
        <v>414.5</v>
      </c>
      <c r="N40" s="19">
        <f t="shared" si="7"/>
        <v>434.7</v>
      </c>
      <c r="O40" s="19">
        <f t="shared" si="7"/>
        <v>454.9</v>
      </c>
      <c r="P40" s="19">
        <f t="shared" si="7"/>
        <v>475.1</v>
      </c>
      <c r="Q40" s="19">
        <f t="shared" si="7"/>
        <v>495.2</v>
      </c>
      <c r="R40" s="19">
        <f t="shared" si="7"/>
        <v>515.4</v>
      </c>
      <c r="S40" s="19">
        <f t="shared" si="7"/>
        <v>535.6</v>
      </c>
      <c r="T40" s="19">
        <f t="shared" si="7"/>
        <v>555.79999999999995</v>
      </c>
      <c r="U40" s="19">
        <f t="shared" si="7"/>
        <v>576</v>
      </c>
      <c r="V40" s="19">
        <f t="shared" si="7"/>
        <v>596.20000000000005</v>
      </c>
      <c r="W40" s="19">
        <f t="shared" si="7"/>
        <v>616.4</v>
      </c>
      <c r="X40" s="19">
        <f t="shared" si="7"/>
        <v>636.6</v>
      </c>
      <c r="Y40" s="19">
        <f t="shared" si="7"/>
        <v>656.8</v>
      </c>
      <c r="Z40" s="19">
        <f t="shared" si="7"/>
        <v>677</v>
      </c>
      <c r="AA40" s="19">
        <f t="shared" si="7"/>
        <v>757.7</v>
      </c>
      <c r="AB40" s="19">
        <f t="shared" si="7"/>
        <v>838.5</v>
      </c>
      <c r="AC40" s="19">
        <f t="shared" si="7"/>
        <v>919.2</v>
      </c>
      <c r="AD40" s="19">
        <f t="shared" si="7"/>
        <v>1000</v>
      </c>
      <c r="AE40" s="19">
        <f t="shared" si="7"/>
        <v>0</v>
      </c>
      <c r="AF40" s="19">
        <f t="shared" si="7"/>
        <v>0</v>
      </c>
      <c r="AG40" s="19">
        <f t="shared" si="7"/>
        <v>0</v>
      </c>
      <c r="AH40" s="19">
        <f t="shared" si="7"/>
        <v>0</v>
      </c>
      <c r="AI40" s="19">
        <f t="shared" si="7"/>
        <v>0</v>
      </c>
      <c r="AJ40" s="19">
        <f t="shared" si="7"/>
        <v>0</v>
      </c>
      <c r="AK40" s="19">
        <f t="shared" si="7"/>
        <v>0</v>
      </c>
      <c r="AL40" s="19">
        <f t="shared" si="7"/>
        <v>0</v>
      </c>
    </row>
    <row r="41" spans="1:54" ht="21" customHeight="1" outlineLevel="1" thickTop="1" x14ac:dyDescent="0.35">
      <c r="A41" s="20">
        <f>A45/$B45</f>
        <v>1</v>
      </c>
      <c r="B41" s="20">
        <f>B45/$B45</f>
        <v>1</v>
      </c>
      <c r="C41" s="20">
        <f>C45/$B45</f>
        <v>0.6</v>
      </c>
      <c r="D41" s="20">
        <f>D45/$B45</f>
        <v>2.4</v>
      </c>
      <c r="E41" s="20">
        <f>SUM(A41:D41)</f>
        <v>5</v>
      </c>
      <c r="F41" s="21">
        <f t="shared" ref="F41:AL41" ca="1" si="8">($B$41*H.Ge+$C$41*H.Ga+$D$41*H.Se)*F$40*$B$2/1000</f>
        <v>-370.10429633040008</v>
      </c>
      <c r="G41" s="21">
        <f t="shared" ca="1" si="8"/>
        <v>-373.22941090680001</v>
      </c>
      <c r="H41" s="21">
        <f t="shared" ca="1" si="8"/>
        <v>-376.53839566199997</v>
      </c>
      <c r="I41" s="21">
        <f t="shared" ca="1" si="8"/>
        <v>-380.00218310399993</v>
      </c>
      <c r="J41" s="21">
        <f t="shared" ca="1" si="8"/>
        <v>-383.60804207039996</v>
      </c>
      <c r="K41" s="21">
        <f t="shared" ca="1" si="8"/>
        <v>-387.23913720720003</v>
      </c>
      <c r="L41" s="21">
        <f t="shared" ca="1" si="8"/>
        <v>-390.96974693160001</v>
      </c>
      <c r="M41" s="21">
        <f t="shared" ca="1" si="8"/>
        <v>-394.84260112200002</v>
      </c>
      <c r="N41" s="21">
        <f t="shared" ca="1" si="8"/>
        <v>-398.70211220280004</v>
      </c>
      <c r="O41" s="21">
        <f t="shared" ca="1" si="8"/>
        <v>-402.91723777440006</v>
      </c>
      <c r="P41" s="21">
        <f t="shared" ca="1" si="8"/>
        <v>-407.12536586279998</v>
      </c>
      <c r="Q41" s="21">
        <f t="shared" ca="1" si="8"/>
        <v>-411.70110127680005</v>
      </c>
      <c r="R41" s="21">
        <f t="shared" ca="1" si="8"/>
        <v>-419.78733166800004</v>
      </c>
      <c r="S41" s="21">
        <f t="shared" ca="1" si="8"/>
        <v>-442.40329049280001</v>
      </c>
      <c r="T41" s="21">
        <f t="shared" ca="1" si="8"/>
        <v>-468.33080159039991</v>
      </c>
      <c r="U41" s="21">
        <f t="shared" ca="1" si="8"/>
        <v>-494.81518463999998</v>
      </c>
      <c r="V41" s="21">
        <f t="shared" ca="1" si="8"/>
        <v>-522.00297438960001</v>
      </c>
      <c r="W41" s="21">
        <f t="shared" ca="1" si="8"/>
        <v>-549.77520032159998</v>
      </c>
      <c r="X41" s="21">
        <f t="shared" ca="1" si="8"/>
        <v>-577.99676843999998</v>
      </c>
      <c r="Y41" s="21">
        <f t="shared" ca="1" si="8"/>
        <v>-606.69121210560002</v>
      </c>
      <c r="Z41" s="21">
        <f t="shared" ca="1" si="8"/>
        <v>-636.02253316800011</v>
      </c>
      <c r="AA41" s="21">
        <f t="shared" ca="1" si="8"/>
        <v>-757.60037154240013</v>
      </c>
      <c r="AB41" s="21">
        <f t="shared" ca="1" si="8"/>
        <v>-885.96468441000013</v>
      </c>
      <c r="AC41" s="21">
        <f t="shared" ca="1" si="8"/>
        <v>-1019.0455005024004</v>
      </c>
      <c r="AD41" s="21">
        <f t="shared" ca="1" si="8"/>
        <v>-1156.0480800000003</v>
      </c>
      <c r="AE41" s="21">
        <f t="shared" ca="1" si="8"/>
        <v>0</v>
      </c>
      <c r="AF41" s="21">
        <f t="shared" ca="1" si="8"/>
        <v>0</v>
      </c>
      <c r="AG41" s="21">
        <f t="shared" ca="1" si="8"/>
        <v>0</v>
      </c>
      <c r="AH41" s="21">
        <f t="shared" ca="1" si="8"/>
        <v>0</v>
      </c>
      <c r="AI41" s="21">
        <f t="shared" ca="1" si="8"/>
        <v>0</v>
      </c>
      <c r="AJ41" s="21">
        <f t="shared" ca="1" si="8"/>
        <v>0</v>
      </c>
      <c r="AK41" s="21">
        <f t="shared" ca="1" si="8"/>
        <v>0</v>
      </c>
      <c r="AL41" s="21">
        <f t="shared" ca="1" si="8"/>
        <v>0</v>
      </c>
    </row>
    <row r="42" spans="1:54" ht="21" customHeight="1" outlineLevel="1" x14ac:dyDescent="0.35"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81"/>
      <c r="AL42" s="81"/>
    </row>
    <row r="43" spans="1:54" ht="21" customHeight="1" outlineLevel="1" thickBot="1" x14ac:dyDescent="0.4">
      <c r="A43" s="15" t="s">
        <v>10</v>
      </c>
      <c r="B43" s="15"/>
      <c r="C43" s="15"/>
      <c r="D43" s="69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</row>
    <row r="44" spans="1:54" ht="2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  <c r="E44" s="59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81"/>
      <c r="AL44" s="81"/>
    </row>
    <row r="45" spans="1:54" ht="21" customHeight="1" outlineLevel="1" thickTop="1" x14ac:dyDescent="0.35">
      <c r="A45" s="23">
        <f t="array" ref="A45:D45">Values!D3:G3</f>
        <v>25</v>
      </c>
      <c r="B45" s="23">
        <v>25</v>
      </c>
      <c r="C45" s="23">
        <v>15</v>
      </c>
      <c r="D45" s="23">
        <v>60</v>
      </c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81"/>
    </row>
    <row r="46" spans="1:54" ht="21" customHeight="1" outlineLevel="1" x14ac:dyDescent="0.35"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  <c r="AJ46" s="81"/>
      <c r="AK46" s="81"/>
      <c r="AL46" s="81"/>
    </row>
    <row r="47" spans="1:54" ht="21" customHeight="1" x14ac:dyDescent="0.35"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J47" s="81"/>
      <c r="AK47" s="81"/>
      <c r="AL47" s="81"/>
    </row>
    <row r="48" spans="1:54" ht="21" customHeight="1" x14ac:dyDescent="0.4">
      <c r="A48" s="3"/>
      <c r="B48" s="3"/>
      <c r="C48" s="3"/>
      <c r="D48" s="3"/>
      <c r="E48" s="4" t="s">
        <v>28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</row>
    <row r="49" spans="1:38" ht="21" hidden="1" customHeight="1" outlineLevel="1" thickTop="1" thickBot="1" x14ac:dyDescent="0.4">
      <c r="A49" s="24" t="s">
        <v>1</v>
      </c>
      <c r="B49" s="24" t="s">
        <v>2</v>
      </c>
      <c r="C49" s="24" t="s">
        <v>3</v>
      </c>
      <c r="D49" s="25" t="s">
        <v>4</v>
      </c>
      <c r="E49" s="8">
        <f t="shared" ref="E49:F49" si="9">E3</f>
        <v>0</v>
      </c>
      <c r="F49" s="8">
        <f t="shared" si="9"/>
        <v>273.10000000000002</v>
      </c>
      <c r="G49" s="8">
        <f t="shared" ref="G49:AL49" si="10">G3</f>
        <v>293.3</v>
      </c>
      <c r="H49" s="8">
        <f t="shared" si="10"/>
        <v>313.5</v>
      </c>
      <c r="I49" s="8">
        <f t="shared" si="10"/>
        <v>333.7</v>
      </c>
      <c r="J49" s="8">
        <f t="shared" si="10"/>
        <v>353.9</v>
      </c>
      <c r="K49" s="8">
        <f t="shared" si="10"/>
        <v>374.1</v>
      </c>
      <c r="L49" s="8">
        <f t="shared" si="10"/>
        <v>394.3</v>
      </c>
      <c r="M49" s="8">
        <f t="shared" si="10"/>
        <v>414.5</v>
      </c>
      <c r="N49" s="8">
        <f t="shared" si="10"/>
        <v>434.7</v>
      </c>
      <c r="O49" s="8">
        <f t="shared" si="10"/>
        <v>454.9</v>
      </c>
      <c r="P49" s="8">
        <f t="shared" si="10"/>
        <v>475.1</v>
      </c>
      <c r="Q49" s="8">
        <f t="shared" si="10"/>
        <v>495.2</v>
      </c>
      <c r="R49" s="8">
        <f t="shared" si="10"/>
        <v>515.4</v>
      </c>
      <c r="S49" s="8">
        <f t="shared" si="10"/>
        <v>535.6</v>
      </c>
      <c r="T49" s="8">
        <f t="shared" si="10"/>
        <v>555.79999999999995</v>
      </c>
      <c r="U49" s="8">
        <f t="shared" si="10"/>
        <v>576</v>
      </c>
      <c r="V49" s="8">
        <f t="shared" si="10"/>
        <v>596.20000000000005</v>
      </c>
      <c r="W49" s="8">
        <f t="shared" si="10"/>
        <v>616.4</v>
      </c>
      <c r="X49" s="8">
        <f t="shared" si="10"/>
        <v>636.6</v>
      </c>
      <c r="Y49" s="8">
        <f t="shared" si="10"/>
        <v>656.8</v>
      </c>
      <c r="Z49" s="8">
        <f t="shared" si="10"/>
        <v>677</v>
      </c>
      <c r="AA49" s="8">
        <f t="shared" si="10"/>
        <v>757.7</v>
      </c>
      <c r="AB49" s="8">
        <f t="shared" si="10"/>
        <v>838.5</v>
      </c>
      <c r="AC49" s="8">
        <f t="shared" si="10"/>
        <v>919.2</v>
      </c>
      <c r="AD49" s="8">
        <f t="shared" si="10"/>
        <v>1000</v>
      </c>
      <c r="AE49" s="8">
        <f t="shared" si="10"/>
        <v>0</v>
      </c>
      <c r="AF49" s="8">
        <f t="shared" si="10"/>
        <v>0</v>
      </c>
      <c r="AG49" s="8">
        <f t="shared" si="10"/>
        <v>0</v>
      </c>
      <c r="AH49" s="8">
        <f t="shared" si="10"/>
        <v>0</v>
      </c>
      <c r="AI49" s="8">
        <f t="shared" si="10"/>
        <v>0</v>
      </c>
      <c r="AJ49" s="8">
        <f t="shared" si="10"/>
        <v>0</v>
      </c>
      <c r="AK49" s="8">
        <f t="shared" si="10"/>
        <v>0</v>
      </c>
      <c r="AL49" s="8">
        <f t="shared" si="10"/>
        <v>0</v>
      </c>
    </row>
    <row r="50" spans="1:38" ht="21" hidden="1" customHeight="1" outlineLevel="1" thickTop="1" thickBot="1" x14ac:dyDescent="0.4">
      <c r="A50" s="10">
        <f t="shared" ref="A50:E59" si="11">A4</f>
        <v>0</v>
      </c>
      <c r="B50" s="10">
        <f t="shared" si="11"/>
        <v>1</v>
      </c>
      <c r="C50" s="10">
        <f t="shared" si="11"/>
        <v>1</v>
      </c>
      <c r="D50" s="10">
        <f t="shared" si="11"/>
        <v>0</v>
      </c>
      <c r="E50" s="11" t="str">
        <f t="shared" si="11"/>
        <v>*GeSe</v>
      </c>
      <c r="F50" s="26">
        <f t="shared" ref="F50:U59" ca="1" si="12">$A50*H.Ar + $B50*H.Se + $C50*H.Ge + $D50*H.Ga</f>
        <v>-90.09</v>
      </c>
      <c r="G50" s="26">
        <f t="shared" ca="1" si="12"/>
        <v>-84.48</v>
      </c>
      <c r="H50" s="26">
        <f t="shared" ca="1" si="12"/>
        <v>-79.510000000000005</v>
      </c>
      <c r="I50" s="26">
        <f t="shared" ca="1" si="12"/>
        <v>-75</v>
      </c>
      <c r="J50" s="26">
        <f t="shared" ca="1" si="12"/>
        <v>-70.88</v>
      </c>
      <c r="K50" s="26">
        <f t="shared" ca="1" si="12"/>
        <v>-67.12</v>
      </c>
      <c r="L50" s="26">
        <f t="shared" ca="1" si="12"/>
        <v>-63.72</v>
      </c>
      <c r="M50" s="26">
        <f t="shared" ca="1" si="12"/>
        <v>-60.660000000000004</v>
      </c>
      <c r="N50" s="26">
        <f t="shared" ca="1" si="12"/>
        <v>-57.89</v>
      </c>
      <c r="O50" s="26">
        <f t="shared" ca="1" si="12"/>
        <v>-55.430000000000007</v>
      </c>
      <c r="P50" s="26">
        <f t="shared" ca="1" si="12"/>
        <v>-53.18</v>
      </c>
      <c r="Q50" s="26">
        <f t="shared" ca="1" si="12"/>
        <v>-51.16</v>
      </c>
      <c r="R50" s="26">
        <f t="shared" ca="1" si="12"/>
        <v>-49.8</v>
      </c>
      <c r="S50" s="26">
        <f t="shared" ca="1" si="12"/>
        <v>-50.540000000000006</v>
      </c>
      <c r="T50" s="26">
        <f t="shared" ca="1" si="12"/>
        <v>-51.64</v>
      </c>
      <c r="U50" s="26">
        <f t="shared" ca="1" si="12"/>
        <v>-52.730000000000004</v>
      </c>
      <c r="V50" s="26">
        <f t="shared" ref="G50:AL58" ca="1" si="13">$A50*H.Ar + $B50*H.Se + $C50*H.Ge + $D50*H.Ga</f>
        <v>-53.819999999999993</v>
      </c>
      <c r="W50" s="26">
        <f t="shared" ca="1" si="13"/>
        <v>-54.9</v>
      </c>
      <c r="X50" s="26">
        <f t="shared" ca="1" si="13"/>
        <v>-55.959999999999994</v>
      </c>
      <c r="Y50" s="26">
        <f t="shared" ca="1" si="13"/>
        <v>-57</v>
      </c>
      <c r="Z50" s="26">
        <f t="shared" ca="1" si="13"/>
        <v>-58.040000000000006</v>
      </c>
      <c r="AA50" s="26">
        <f t="shared" ca="1" si="13"/>
        <v>-62.02</v>
      </c>
      <c r="AB50" s="26">
        <f t="shared" ca="1" si="13"/>
        <v>-65.739999999999995</v>
      </c>
      <c r="AC50" s="26">
        <f t="shared" ca="1" si="13"/>
        <v>-69.13</v>
      </c>
      <c r="AD50" s="26">
        <f t="shared" ca="1" si="13"/>
        <v>-72.19</v>
      </c>
      <c r="AE50" s="26">
        <f t="shared" ca="1" si="13"/>
        <v>0</v>
      </c>
      <c r="AF50" s="26">
        <f t="shared" ca="1" si="13"/>
        <v>0</v>
      </c>
      <c r="AG50" s="26">
        <f t="shared" ca="1" si="13"/>
        <v>0</v>
      </c>
      <c r="AH50" s="26">
        <f t="shared" ca="1" si="13"/>
        <v>0</v>
      </c>
      <c r="AI50" s="26">
        <f t="shared" ca="1" si="13"/>
        <v>0</v>
      </c>
      <c r="AJ50" s="26">
        <f t="shared" ca="1" si="13"/>
        <v>0</v>
      </c>
      <c r="AK50" s="26">
        <f t="shared" ca="1" si="13"/>
        <v>0</v>
      </c>
      <c r="AL50" s="26">
        <f t="shared" ca="1" si="13"/>
        <v>0</v>
      </c>
    </row>
    <row r="51" spans="1:38" ht="21" hidden="1" customHeight="1" outlineLevel="1" thickBot="1" x14ac:dyDescent="0.4">
      <c r="A51" s="10">
        <f t="shared" si="11"/>
        <v>0</v>
      </c>
      <c r="B51" s="10">
        <f t="shared" si="11"/>
        <v>1</v>
      </c>
      <c r="C51" s="10">
        <f t="shared" si="11"/>
        <v>0</v>
      </c>
      <c r="D51" s="10">
        <f t="shared" si="11"/>
        <v>0</v>
      </c>
      <c r="E51" s="11" t="str">
        <f t="shared" si="11"/>
        <v>*Se[m]</v>
      </c>
      <c r="F51" s="26">
        <f t="shared" ca="1" si="12"/>
        <v>-23.56</v>
      </c>
      <c r="G51" s="26">
        <f t="shared" ca="1" si="13"/>
        <v>-22.35</v>
      </c>
      <c r="H51" s="26">
        <f t="shared" ca="1" si="13"/>
        <v>-21.55</v>
      </c>
      <c r="I51" s="26">
        <f t="shared" ca="1" si="13"/>
        <v>-21.2</v>
      </c>
      <c r="J51" s="26">
        <f t="shared" ca="1" si="13"/>
        <v>-21.2</v>
      </c>
      <c r="K51" s="26">
        <f t="shared" ca="1" si="13"/>
        <v>-21.38</v>
      </c>
      <c r="L51" s="26">
        <f t="shared" ca="1" si="13"/>
        <v>-21.63</v>
      </c>
      <c r="M51" s="26">
        <f t="shared" ca="1" si="13"/>
        <v>-21.89</v>
      </c>
      <c r="N51" s="26">
        <f t="shared" ca="1" si="13"/>
        <v>-22.11</v>
      </c>
      <c r="O51" s="26">
        <f t="shared" ca="1" si="13"/>
        <v>-22.3</v>
      </c>
      <c r="P51" s="26">
        <f t="shared" ca="1" si="13"/>
        <v>-22.47</v>
      </c>
      <c r="Q51" s="26">
        <f t="shared" ca="1" si="13"/>
        <v>-22.67</v>
      </c>
      <c r="R51" s="26">
        <f t="shared" ca="1" si="13"/>
        <v>-22.85</v>
      </c>
      <c r="S51" s="26">
        <f t="shared" ca="1" si="13"/>
        <v>-23.1</v>
      </c>
      <c r="T51" s="26">
        <f t="shared" ca="1" si="13"/>
        <v>-23.4</v>
      </c>
      <c r="U51" s="26">
        <f t="shared" ca="1" si="13"/>
        <v>-23.69</v>
      </c>
      <c r="V51" s="26">
        <f t="shared" ca="1" si="13"/>
        <v>-23.99</v>
      </c>
      <c r="W51" s="26">
        <f t="shared" ca="1" si="13"/>
        <v>-24.29</v>
      </c>
      <c r="X51" s="26">
        <f t="shared" ca="1" si="13"/>
        <v>-24.58</v>
      </c>
      <c r="Y51" s="26">
        <f t="shared" ca="1" si="13"/>
        <v>-24.87</v>
      </c>
      <c r="Z51" s="26">
        <f t="shared" ca="1" si="13"/>
        <v>-25.16</v>
      </c>
      <c r="AA51" s="26">
        <f t="shared" ca="1" si="13"/>
        <v>-26.28</v>
      </c>
      <c r="AB51" s="26">
        <f t="shared" ca="1" si="13"/>
        <v>-27.37</v>
      </c>
      <c r="AC51" s="26">
        <f t="shared" ca="1" si="13"/>
        <v>-28.41</v>
      </c>
      <c r="AD51" s="26">
        <f t="shared" ca="1" si="13"/>
        <v>-29.42</v>
      </c>
      <c r="AE51" s="26">
        <f t="shared" ca="1" si="13"/>
        <v>0</v>
      </c>
      <c r="AF51" s="26">
        <f t="shared" ca="1" si="13"/>
        <v>0</v>
      </c>
      <c r="AG51" s="26">
        <f t="shared" ca="1" si="13"/>
        <v>0</v>
      </c>
      <c r="AH51" s="26">
        <f t="shared" ca="1" si="13"/>
        <v>0</v>
      </c>
      <c r="AI51" s="26">
        <f t="shared" ca="1" si="13"/>
        <v>0</v>
      </c>
      <c r="AJ51" s="26">
        <f t="shared" ca="1" si="13"/>
        <v>0</v>
      </c>
      <c r="AK51" s="26">
        <f t="shared" ca="1" si="13"/>
        <v>0</v>
      </c>
      <c r="AL51" s="26">
        <f t="shared" ca="1" si="13"/>
        <v>0</v>
      </c>
    </row>
    <row r="52" spans="1:38" ht="21" hidden="1" customHeight="1" outlineLevel="1" thickBot="1" x14ac:dyDescent="0.4">
      <c r="A52" s="10">
        <f t="shared" si="11"/>
        <v>0</v>
      </c>
      <c r="B52" s="10">
        <f t="shared" si="11"/>
        <v>2</v>
      </c>
      <c r="C52" s="10">
        <f t="shared" si="11"/>
        <v>1</v>
      </c>
      <c r="D52" s="10">
        <f t="shared" si="11"/>
        <v>0</v>
      </c>
      <c r="E52" s="11" t="str">
        <f t="shared" si="11"/>
        <v>*GeSe2</v>
      </c>
      <c r="F52" s="26">
        <f t="shared" ca="1" si="12"/>
        <v>-113.65</v>
      </c>
      <c r="G52" s="26">
        <f t="shared" ca="1" si="13"/>
        <v>-106.83000000000001</v>
      </c>
      <c r="H52" s="26">
        <f t="shared" ca="1" si="13"/>
        <v>-101.06</v>
      </c>
      <c r="I52" s="26">
        <f t="shared" ca="1" si="13"/>
        <v>-96.199999999999989</v>
      </c>
      <c r="J52" s="26">
        <f t="shared" ca="1" si="13"/>
        <v>-92.08</v>
      </c>
      <c r="K52" s="26">
        <f t="shared" ca="1" si="13"/>
        <v>-88.5</v>
      </c>
      <c r="L52" s="26">
        <f t="shared" ca="1" si="13"/>
        <v>-85.35</v>
      </c>
      <c r="M52" s="26">
        <f t="shared" ca="1" si="13"/>
        <v>-82.550000000000011</v>
      </c>
      <c r="N52" s="26">
        <f t="shared" ca="1" si="13"/>
        <v>-80</v>
      </c>
      <c r="O52" s="26">
        <f t="shared" ca="1" si="13"/>
        <v>-77.73</v>
      </c>
      <c r="P52" s="26">
        <f t="shared" ca="1" si="13"/>
        <v>-75.650000000000006</v>
      </c>
      <c r="Q52" s="26">
        <f t="shared" ca="1" si="13"/>
        <v>-73.83</v>
      </c>
      <c r="R52" s="26">
        <f t="shared" ca="1" si="13"/>
        <v>-72.650000000000006</v>
      </c>
      <c r="S52" s="26">
        <f t="shared" ca="1" si="13"/>
        <v>-73.64</v>
      </c>
      <c r="T52" s="26">
        <f t="shared" ca="1" si="13"/>
        <v>-75.039999999999992</v>
      </c>
      <c r="U52" s="26">
        <f t="shared" ca="1" si="13"/>
        <v>-76.42</v>
      </c>
      <c r="V52" s="26">
        <f t="shared" ca="1" si="13"/>
        <v>-77.81</v>
      </c>
      <c r="W52" s="26">
        <f t="shared" ca="1" si="13"/>
        <v>-79.19</v>
      </c>
      <c r="X52" s="26">
        <f t="shared" ca="1" si="13"/>
        <v>-80.539999999999992</v>
      </c>
      <c r="Y52" s="26">
        <f t="shared" ca="1" si="13"/>
        <v>-81.87</v>
      </c>
      <c r="Z52" s="26">
        <f t="shared" ca="1" si="13"/>
        <v>-83.2</v>
      </c>
      <c r="AA52" s="26">
        <f t="shared" ca="1" si="13"/>
        <v>-88.300000000000011</v>
      </c>
      <c r="AB52" s="26">
        <f t="shared" ca="1" si="13"/>
        <v>-93.11</v>
      </c>
      <c r="AC52" s="26">
        <f t="shared" ca="1" si="13"/>
        <v>-97.539999999999992</v>
      </c>
      <c r="AD52" s="26">
        <f t="shared" ca="1" si="13"/>
        <v>-101.61000000000001</v>
      </c>
      <c r="AE52" s="26">
        <f t="shared" ca="1" si="13"/>
        <v>0</v>
      </c>
      <c r="AF52" s="26">
        <f t="shared" ca="1" si="13"/>
        <v>0</v>
      </c>
      <c r="AG52" s="26">
        <f t="shared" ca="1" si="13"/>
        <v>0</v>
      </c>
      <c r="AH52" s="26">
        <f t="shared" ca="1" si="13"/>
        <v>0</v>
      </c>
      <c r="AI52" s="26">
        <f t="shared" ca="1" si="13"/>
        <v>0</v>
      </c>
      <c r="AJ52" s="26">
        <f t="shared" ca="1" si="13"/>
        <v>0</v>
      </c>
      <c r="AK52" s="26">
        <f t="shared" ca="1" si="13"/>
        <v>0</v>
      </c>
      <c r="AL52" s="26">
        <f t="shared" ca="1" si="13"/>
        <v>0</v>
      </c>
    </row>
    <row r="53" spans="1:38" ht="21" hidden="1" customHeight="1" outlineLevel="1" thickBot="1" x14ac:dyDescent="0.4">
      <c r="A53" s="10">
        <f t="shared" si="11"/>
        <v>0</v>
      </c>
      <c r="B53" s="10">
        <f t="shared" si="11"/>
        <v>3</v>
      </c>
      <c r="C53" s="10">
        <f t="shared" si="11"/>
        <v>0</v>
      </c>
      <c r="D53" s="10">
        <f t="shared" si="11"/>
        <v>2</v>
      </c>
      <c r="E53" s="11" t="str">
        <f t="shared" si="11"/>
        <v>Ga2Se3</v>
      </c>
      <c r="F53" s="26">
        <f t="shared" ca="1" si="12"/>
        <v>-203.74</v>
      </c>
      <c r="G53" s="26">
        <f t="shared" ca="1" si="13"/>
        <v>-191.31</v>
      </c>
      <c r="H53" s="26">
        <f t="shared" ca="1" si="13"/>
        <v>-180.57</v>
      </c>
      <c r="I53" s="26">
        <f t="shared" ca="1" si="13"/>
        <v>-171.2</v>
      </c>
      <c r="J53" s="26">
        <f t="shared" ca="1" si="13"/>
        <v>-162.95999999999998</v>
      </c>
      <c r="K53" s="26">
        <f t="shared" ca="1" si="13"/>
        <v>-155.62</v>
      </c>
      <c r="L53" s="26">
        <f t="shared" ca="1" si="13"/>
        <v>-149.07</v>
      </c>
      <c r="M53" s="26">
        <f t="shared" ca="1" si="13"/>
        <v>-143.21</v>
      </c>
      <c r="N53" s="26">
        <f t="shared" ca="1" si="13"/>
        <v>-137.88999999999999</v>
      </c>
      <c r="O53" s="26">
        <f t="shared" ca="1" si="13"/>
        <v>-133.16000000000003</v>
      </c>
      <c r="P53" s="26">
        <f t="shared" ca="1" si="13"/>
        <v>-128.82999999999998</v>
      </c>
      <c r="Q53" s="26">
        <f t="shared" ca="1" si="13"/>
        <v>-124.99000000000001</v>
      </c>
      <c r="R53" s="26">
        <f t="shared" ca="1" si="13"/>
        <v>-122.45000000000002</v>
      </c>
      <c r="S53" s="26">
        <f t="shared" ca="1" si="13"/>
        <v>-124.18</v>
      </c>
      <c r="T53" s="26">
        <f t="shared" ca="1" si="13"/>
        <v>-126.67999999999998</v>
      </c>
      <c r="U53" s="26">
        <f t="shared" ca="1" si="13"/>
        <v>-129.15</v>
      </c>
      <c r="V53" s="26">
        <f t="shared" ca="1" si="13"/>
        <v>-131.63</v>
      </c>
      <c r="W53" s="26">
        <f t="shared" ca="1" si="13"/>
        <v>-134.09</v>
      </c>
      <c r="X53" s="26">
        <f t="shared" ca="1" si="13"/>
        <v>-136.5</v>
      </c>
      <c r="Y53" s="26">
        <f t="shared" ca="1" si="13"/>
        <v>-138.87</v>
      </c>
      <c r="Z53" s="26">
        <f t="shared" ca="1" si="13"/>
        <v>-141.24</v>
      </c>
      <c r="AA53" s="26">
        <f t="shared" ca="1" si="13"/>
        <v>-150.32</v>
      </c>
      <c r="AB53" s="26">
        <f t="shared" ca="1" si="13"/>
        <v>-158.85</v>
      </c>
      <c r="AC53" s="26">
        <f t="shared" ca="1" si="13"/>
        <v>-166.67000000000002</v>
      </c>
      <c r="AD53" s="26">
        <f t="shared" ca="1" si="13"/>
        <v>-173.8</v>
      </c>
      <c r="AE53" s="26">
        <f t="shared" ca="1" si="13"/>
        <v>0</v>
      </c>
      <c r="AF53" s="26">
        <f t="shared" ca="1" si="13"/>
        <v>0</v>
      </c>
      <c r="AG53" s="26">
        <f t="shared" ca="1" si="13"/>
        <v>0</v>
      </c>
      <c r="AH53" s="26">
        <f t="shared" ca="1" si="13"/>
        <v>0</v>
      </c>
      <c r="AI53" s="26">
        <f t="shared" ca="1" si="13"/>
        <v>0</v>
      </c>
      <c r="AJ53" s="26">
        <f t="shared" ca="1" si="13"/>
        <v>0</v>
      </c>
      <c r="AK53" s="26">
        <f t="shared" ca="1" si="13"/>
        <v>0</v>
      </c>
      <c r="AL53" s="26">
        <f t="shared" ca="1" si="13"/>
        <v>0</v>
      </c>
    </row>
    <row r="54" spans="1:38" ht="21" hidden="1" customHeight="1" outlineLevel="1" thickBot="1" x14ac:dyDescent="0.4">
      <c r="A54" s="10">
        <f t="shared" si="11"/>
        <v>1</v>
      </c>
      <c r="B54" s="10">
        <f t="shared" si="11"/>
        <v>0</v>
      </c>
      <c r="C54" s="10">
        <f t="shared" si="11"/>
        <v>0</v>
      </c>
      <c r="D54" s="10">
        <f t="shared" si="11"/>
        <v>0</v>
      </c>
      <c r="E54" s="11" t="str">
        <f t="shared" si="11"/>
        <v>Ar</v>
      </c>
      <c r="F54" s="26">
        <f t="shared" ca="1" si="12"/>
        <v>-18.760000000000002</v>
      </c>
      <c r="G54" s="26">
        <f t="shared" ca="1" si="13"/>
        <v>-18.75</v>
      </c>
      <c r="H54" s="26">
        <f t="shared" ca="1" si="13"/>
        <v>-18.75</v>
      </c>
      <c r="I54" s="26">
        <f t="shared" ca="1" si="13"/>
        <v>-18.75</v>
      </c>
      <c r="J54" s="26">
        <f t="shared" ca="1" si="13"/>
        <v>-18.760000000000002</v>
      </c>
      <c r="K54" s="26">
        <f t="shared" ca="1" si="13"/>
        <v>-18.79</v>
      </c>
      <c r="L54" s="26">
        <f t="shared" ca="1" si="13"/>
        <v>-18.809999999999999</v>
      </c>
      <c r="M54" s="26">
        <f t="shared" ca="1" si="13"/>
        <v>-18.850000000000001</v>
      </c>
      <c r="N54" s="26">
        <f t="shared" ca="1" si="13"/>
        <v>-18.88</v>
      </c>
      <c r="O54" s="26">
        <f t="shared" ca="1" si="13"/>
        <v>-18.91</v>
      </c>
      <c r="P54" s="26">
        <f t="shared" ca="1" si="13"/>
        <v>-18.940000000000001</v>
      </c>
      <c r="Q54" s="26">
        <f t="shared" ca="1" si="13"/>
        <v>-18.97</v>
      </c>
      <c r="R54" s="26">
        <f t="shared" ca="1" si="13"/>
        <v>-18.95</v>
      </c>
      <c r="S54" s="26">
        <f t="shared" ca="1" si="13"/>
        <v>-18.97</v>
      </c>
      <c r="T54" s="26">
        <f t="shared" ca="1" si="13"/>
        <v>-19.010000000000002</v>
      </c>
      <c r="U54" s="26">
        <f t="shared" ca="1" si="13"/>
        <v>-19.05</v>
      </c>
      <c r="V54" s="26">
        <f t="shared" ca="1" si="13"/>
        <v>-19.09</v>
      </c>
      <c r="W54" s="26">
        <f t="shared" ca="1" si="13"/>
        <v>-19.14</v>
      </c>
      <c r="X54" s="26">
        <f t="shared" ca="1" si="13"/>
        <v>-19.18</v>
      </c>
      <c r="Y54" s="26">
        <f t="shared" ca="1" si="13"/>
        <v>-19.22</v>
      </c>
      <c r="Z54" s="26">
        <f t="shared" ca="1" si="13"/>
        <v>-19.260000000000002</v>
      </c>
      <c r="AA54" s="26">
        <f t="shared" ca="1" si="13"/>
        <v>-19.43</v>
      </c>
      <c r="AB54" s="26">
        <f t="shared" ca="1" si="13"/>
        <v>-19.59</v>
      </c>
      <c r="AC54" s="26">
        <f t="shared" ca="1" si="13"/>
        <v>-19.739999999999998</v>
      </c>
      <c r="AD54" s="26">
        <f t="shared" ca="1" si="13"/>
        <v>-19.88</v>
      </c>
      <c r="AE54" s="26">
        <f t="shared" ca="1" si="13"/>
        <v>0</v>
      </c>
      <c r="AF54" s="26">
        <f t="shared" ca="1" si="13"/>
        <v>0</v>
      </c>
      <c r="AG54" s="26">
        <f t="shared" ca="1" si="13"/>
        <v>0</v>
      </c>
      <c r="AH54" s="26">
        <f t="shared" ca="1" si="13"/>
        <v>0</v>
      </c>
      <c r="AI54" s="26">
        <f t="shared" ca="1" si="13"/>
        <v>0</v>
      </c>
      <c r="AJ54" s="26">
        <f t="shared" ca="1" si="13"/>
        <v>0</v>
      </c>
      <c r="AK54" s="26">
        <f t="shared" ca="1" si="13"/>
        <v>0</v>
      </c>
      <c r="AL54" s="26">
        <f t="shared" ca="1" si="13"/>
        <v>0</v>
      </c>
    </row>
    <row r="55" spans="1:38" ht="21" hidden="1" customHeight="1" outlineLevel="1" thickBot="1" x14ac:dyDescent="0.4">
      <c r="A55" s="10">
        <f t="shared" si="11"/>
        <v>0</v>
      </c>
      <c r="B55" s="10">
        <f t="shared" si="11"/>
        <v>2</v>
      </c>
      <c r="C55" s="10">
        <f t="shared" si="11"/>
        <v>1</v>
      </c>
      <c r="D55" s="10">
        <f t="shared" si="11"/>
        <v>0</v>
      </c>
      <c r="E55" s="11" t="str">
        <f t="shared" si="11"/>
        <v>(l)GeSe2</v>
      </c>
      <c r="F55" s="26">
        <f t="shared" ca="1" si="12"/>
        <v>-113.65</v>
      </c>
      <c r="G55" s="26">
        <f t="shared" ca="1" si="13"/>
        <v>-106.83000000000001</v>
      </c>
      <c r="H55" s="26">
        <f t="shared" ca="1" si="13"/>
        <v>-101.06</v>
      </c>
      <c r="I55" s="26">
        <f t="shared" ca="1" si="13"/>
        <v>-96.199999999999989</v>
      </c>
      <c r="J55" s="26">
        <f t="shared" ca="1" si="13"/>
        <v>-92.08</v>
      </c>
      <c r="K55" s="26">
        <f t="shared" ca="1" si="13"/>
        <v>-88.5</v>
      </c>
      <c r="L55" s="26">
        <f t="shared" ca="1" si="13"/>
        <v>-85.35</v>
      </c>
      <c r="M55" s="26">
        <f t="shared" ca="1" si="13"/>
        <v>-82.550000000000011</v>
      </c>
      <c r="N55" s="26">
        <f t="shared" ca="1" si="13"/>
        <v>-80</v>
      </c>
      <c r="O55" s="26">
        <f t="shared" ca="1" si="13"/>
        <v>-77.73</v>
      </c>
      <c r="P55" s="26">
        <f t="shared" ca="1" si="13"/>
        <v>-75.650000000000006</v>
      </c>
      <c r="Q55" s="26">
        <f t="shared" ca="1" si="13"/>
        <v>-73.83</v>
      </c>
      <c r="R55" s="26">
        <f t="shared" ca="1" si="13"/>
        <v>-72.650000000000006</v>
      </c>
      <c r="S55" s="26">
        <f t="shared" ca="1" si="13"/>
        <v>-73.64</v>
      </c>
      <c r="T55" s="26">
        <f t="shared" ca="1" si="13"/>
        <v>-75.039999999999992</v>
      </c>
      <c r="U55" s="26">
        <f t="shared" ca="1" si="13"/>
        <v>-76.42</v>
      </c>
      <c r="V55" s="26">
        <f t="shared" ca="1" si="13"/>
        <v>-77.81</v>
      </c>
      <c r="W55" s="26">
        <f t="shared" ca="1" si="13"/>
        <v>-79.19</v>
      </c>
      <c r="X55" s="26">
        <f t="shared" ca="1" si="13"/>
        <v>-80.539999999999992</v>
      </c>
      <c r="Y55" s="26">
        <f t="shared" ca="1" si="13"/>
        <v>-81.87</v>
      </c>
      <c r="Z55" s="26">
        <f t="shared" ca="1" si="13"/>
        <v>-83.2</v>
      </c>
      <c r="AA55" s="26">
        <f t="shared" ca="1" si="13"/>
        <v>-88.300000000000011</v>
      </c>
      <c r="AB55" s="26">
        <f t="shared" ca="1" si="13"/>
        <v>-93.11</v>
      </c>
      <c r="AC55" s="26">
        <f t="shared" ca="1" si="13"/>
        <v>-97.539999999999992</v>
      </c>
      <c r="AD55" s="26">
        <f t="shared" ca="1" si="13"/>
        <v>-101.61000000000001</v>
      </c>
      <c r="AE55" s="26">
        <f t="shared" ca="1" si="13"/>
        <v>0</v>
      </c>
      <c r="AF55" s="26">
        <f t="shared" ca="1" si="13"/>
        <v>0</v>
      </c>
      <c r="AG55" s="26">
        <f t="shared" ca="1" si="13"/>
        <v>0</v>
      </c>
      <c r="AH55" s="26">
        <f t="shared" ca="1" si="13"/>
        <v>0</v>
      </c>
      <c r="AI55" s="26">
        <f t="shared" ca="1" si="13"/>
        <v>0</v>
      </c>
      <c r="AJ55" s="26">
        <f t="shared" ca="1" si="13"/>
        <v>0</v>
      </c>
      <c r="AK55" s="26">
        <f t="shared" ca="1" si="13"/>
        <v>0</v>
      </c>
      <c r="AL55" s="26">
        <f t="shared" ca="1" si="13"/>
        <v>0</v>
      </c>
    </row>
    <row r="56" spans="1:38" ht="21" hidden="1" customHeight="1" outlineLevel="1" thickBot="1" x14ac:dyDescent="0.4">
      <c r="A56" s="10">
        <f t="shared" si="11"/>
        <v>0</v>
      </c>
      <c r="B56" s="10">
        <f t="shared" si="11"/>
        <v>1</v>
      </c>
      <c r="C56" s="10">
        <f t="shared" si="11"/>
        <v>1</v>
      </c>
      <c r="D56" s="10">
        <f t="shared" si="11"/>
        <v>0</v>
      </c>
      <c r="E56" s="11" t="str">
        <f t="shared" si="11"/>
        <v>(l)GeSe</v>
      </c>
      <c r="F56" s="26">
        <f t="shared" ca="1" si="12"/>
        <v>-90.09</v>
      </c>
      <c r="G56" s="26">
        <f t="shared" ca="1" si="13"/>
        <v>-84.48</v>
      </c>
      <c r="H56" s="26">
        <f t="shared" ca="1" si="13"/>
        <v>-79.510000000000005</v>
      </c>
      <c r="I56" s="26">
        <f t="shared" ca="1" si="13"/>
        <v>-75</v>
      </c>
      <c r="J56" s="26">
        <f t="shared" ca="1" si="13"/>
        <v>-70.88</v>
      </c>
      <c r="K56" s="26">
        <f t="shared" ca="1" si="13"/>
        <v>-67.12</v>
      </c>
      <c r="L56" s="26">
        <f t="shared" ca="1" si="13"/>
        <v>-63.72</v>
      </c>
      <c r="M56" s="26">
        <f t="shared" ca="1" si="13"/>
        <v>-60.660000000000004</v>
      </c>
      <c r="N56" s="26">
        <f t="shared" ca="1" si="13"/>
        <v>-57.89</v>
      </c>
      <c r="O56" s="26">
        <f t="shared" ca="1" si="13"/>
        <v>-55.430000000000007</v>
      </c>
      <c r="P56" s="26">
        <f t="shared" ca="1" si="13"/>
        <v>-53.18</v>
      </c>
      <c r="Q56" s="26">
        <f t="shared" ca="1" si="13"/>
        <v>-51.16</v>
      </c>
      <c r="R56" s="26">
        <f t="shared" ca="1" si="13"/>
        <v>-49.8</v>
      </c>
      <c r="S56" s="26">
        <f t="shared" ca="1" si="13"/>
        <v>-50.540000000000006</v>
      </c>
      <c r="T56" s="26">
        <f t="shared" ca="1" si="13"/>
        <v>-51.64</v>
      </c>
      <c r="U56" s="26">
        <f t="shared" ca="1" si="13"/>
        <v>-52.730000000000004</v>
      </c>
      <c r="V56" s="26">
        <f t="shared" ca="1" si="13"/>
        <v>-53.819999999999993</v>
      </c>
      <c r="W56" s="26">
        <f t="shared" ca="1" si="13"/>
        <v>-54.9</v>
      </c>
      <c r="X56" s="26">
        <f t="shared" ca="1" si="13"/>
        <v>-55.959999999999994</v>
      </c>
      <c r="Y56" s="26">
        <f t="shared" ca="1" si="13"/>
        <v>-57</v>
      </c>
      <c r="Z56" s="26">
        <f t="shared" ca="1" si="13"/>
        <v>-58.040000000000006</v>
      </c>
      <c r="AA56" s="26">
        <f t="shared" ca="1" si="13"/>
        <v>-62.02</v>
      </c>
      <c r="AB56" s="26">
        <f t="shared" ca="1" si="13"/>
        <v>-65.739999999999995</v>
      </c>
      <c r="AC56" s="26">
        <f t="shared" ca="1" si="13"/>
        <v>-69.13</v>
      </c>
      <c r="AD56" s="26">
        <f t="shared" ca="1" si="13"/>
        <v>-72.19</v>
      </c>
      <c r="AE56" s="26">
        <f t="shared" ca="1" si="13"/>
        <v>0</v>
      </c>
      <c r="AF56" s="26">
        <f t="shared" ca="1" si="13"/>
        <v>0</v>
      </c>
      <c r="AG56" s="26">
        <f t="shared" ca="1" si="13"/>
        <v>0</v>
      </c>
      <c r="AH56" s="26">
        <f t="shared" ca="1" si="13"/>
        <v>0</v>
      </c>
      <c r="AI56" s="26">
        <f t="shared" ca="1" si="13"/>
        <v>0</v>
      </c>
      <c r="AJ56" s="26">
        <f t="shared" ca="1" si="13"/>
        <v>0</v>
      </c>
      <c r="AK56" s="26">
        <f t="shared" ca="1" si="13"/>
        <v>0</v>
      </c>
      <c r="AL56" s="26">
        <f t="shared" ca="1" si="13"/>
        <v>0</v>
      </c>
    </row>
    <row r="57" spans="1:38" ht="21" hidden="1" customHeight="1" outlineLevel="1" thickBot="1" x14ac:dyDescent="0.4">
      <c r="A57" s="10">
        <f t="shared" si="11"/>
        <v>0</v>
      </c>
      <c r="B57" s="10">
        <f t="shared" si="11"/>
        <v>3</v>
      </c>
      <c r="C57" s="10">
        <f t="shared" si="11"/>
        <v>0</v>
      </c>
      <c r="D57" s="10">
        <f t="shared" si="11"/>
        <v>2</v>
      </c>
      <c r="E57" s="11" t="str">
        <f t="shared" si="11"/>
        <v>(l)Ga2Se3</v>
      </c>
      <c r="F57" s="26">
        <f t="shared" ca="1" si="12"/>
        <v>-203.74</v>
      </c>
      <c r="G57" s="26">
        <f t="shared" ca="1" si="13"/>
        <v>-191.31</v>
      </c>
      <c r="H57" s="26">
        <f t="shared" ca="1" si="13"/>
        <v>-180.57</v>
      </c>
      <c r="I57" s="26">
        <f t="shared" ca="1" si="13"/>
        <v>-171.2</v>
      </c>
      <c r="J57" s="26">
        <f t="shared" ca="1" si="13"/>
        <v>-162.95999999999998</v>
      </c>
      <c r="K57" s="26">
        <f t="shared" ca="1" si="13"/>
        <v>-155.62</v>
      </c>
      <c r="L57" s="26">
        <f t="shared" ca="1" si="13"/>
        <v>-149.07</v>
      </c>
      <c r="M57" s="26">
        <f t="shared" ca="1" si="13"/>
        <v>-143.21</v>
      </c>
      <c r="N57" s="26">
        <f t="shared" ca="1" si="13"/>
        <v>-137.88999999999999</v>
      </c>
      <c r="O57" s="26">
        <f t="shared" ca="1" si="13"/>
        <v>-133.16000000000003</v>
      </c>
      <c r="P57" s="26">
        <f t="shared" ca="1" si="13"/>
        <v>-128.82999999999998</v>
      </c>
      <c r="Q57" s="26">
        <f t="shared" ca="1" si="13"/>
        <v>-124.99000000000001</v>
      </c>
      <c r="R57" s="26">
        <f t="shared" ca="1" si="13"/>
        <v>-122.45000000000002</v>
      </c>
      <c r="S57" s="26">
        <f t="shared" ca="1" si="13"/>
        <v>-124.18</v>
      </c>
      <c r="T57" s="26">
        <f t="shared" ca="1" si="13"/>
        <v>-126.67999999999998</v>
      </c>
      <c r="U57" s="26">
        <f t="shared" ca="1" si="13"/>
        <v>-129.15</v>
      </c>
      <c r="V57" s="26">
        <f t="shared" ca="1" si="13"/>
        <v>-131.63</v>
      </c>
      <c r="W57" s="26">
        <f t="shared" ca="1" si="13"/>
        <v>-134.09</v>
      </c>
      <c r="X57" s="26">
        <f t="shared" ca="1" si="13"/>
        <v>-136.5</v>
      </c>
      <c r="Y57" s="26">
        <f t="shared" ca="1" si="13"/>
        <v>-138.87</v>
      </c>
      <c r="Z57" s="26">
        <f t="shared" ca="1" si="13"/>
        <v>-141.24</v>
      </c>
      <c r="AA57" s="26">
        <f t="shared" ca="1" si="13"/>
        <v>-150.32</v>
      </c>
      <c r="AB57" s="26">
        <f t="shared" ca="1" si="13"/>
        <v>-158.85</v>
      </c>
      <c r="AC57" s="26">
        <f t="shared" ca="1" si="13"/>
        <v>-166.67000000000002</v>
      </c>
      <c r="AD57" s="26">
        <f t="shared" ca="1" si="13"/>
        <v>-173.8</v>
      </c>
      <c r="AE57" s="26">
        <f t="shared" ca="1" si="13"/>
        <v>0</v>
      </c>
      <c r="AF57" s="26">
        <f t="shared" ca="1" si="13"/>
        <v>0</v>
      </c>
      <c r="AG57" s="26">
        <f t="shared" ca="1" si="13"/>
        <v>0</v>
      </c>
      <c r="AH57" s="26">
        <f t="shared" ca="1" si="13"/>
        <v>0</v>
      </c>
      <c r="AI57" s="26">
        <f t="shared" ca="1" si="13"/>
        <v>0</v>
      </c>
      <c r="AJ57" s="26">
        <f t="shared" ca="1" si="13"/>
        <v>0</v>
      </c>
      <c r="AK57" s="26">
        <f t="shared" ca="1" si="13"/>
        <v>0</v>
      </c>
      <c r="AL57" s="26">
        <f t="shared" ca="1" si="13"/>
        <v>0</v>
      </c>
    </row>
    <row r="58" spans="1:38" ht="21" hidden="1" customHeight="1" outlineLevel="1" thickBot="1" x14ac:dyDescent="0.4">
      <c r="A58" s="10">
        <f t="shared" si="11"/>
        <v>0</v>
      </c>
      <c r="B58" s="10">
        <f t="shared" si="11"/>
        <v>0</v>
      </c>
      <c r="C58" s="10">
        <f t="shared" si="11"/>
        <v>1</v>
      </c>
      <c r="D58" s="10">
        <f t="shared" si="11"/>
        <v>0</v>
      </c>
      <c r="E58" s="11" t="str">
        <f t="shared" si="11"/>
        <v>(l)Ge</v>
      </c>
      <c r="F58" s="26">
        <f t="shared" ca="1" si="12"/>
        <v>-66.53</v>
      </c>
      <c r="G58" s="26">
        <f t="shared" ca="1" si="13"/>
        <v>-62.13</v>
      </c>
      <c r="H58" s="26">
        <f t="shared" ca="1" si="13"/>
        <v>-57.96</v>
      </c>
      <c r="I58" s="26">
        <f t="shared" ca="1" si="13"/>
        <v>-53.8</v>
      </c>
      <c r="J58" s="26">
        <f t="shared" ca="1" si="13"/>
        <v>-49.68</v>
      </c>
      <c r="K58" s="26">
        <f t="shared" ca="1" si="13"/>
        <v>-45.74</v>
      </c>
      <c r="L58" s="26">
        <f t="shared" ca="1" si="13"/>
        <v>-42.09</v>
      </c>
      <c r="M58" s="26">
        <f t="shared" ca="1" si="13"/>
        <v>-38.770000000000003</v>
      </c>
      <c r="N58" s="26">
        <f t="shared" ca="1" si="13"/>
        <v>-35.78</v>
      </c>
      <c r="O58" s="26">
        <f t="shared" ca="1" si="13"/>
        <v>-33.130000000000003</v>
      </c>
      <c r="P58" s="26">
        <f t="shared" ca="1" si="13"/>
        <v>-30.71</v>
      </c>
      <c r="Q58" s="26">
        <f t="shared" ca="1" si="13"/>
        <v>-28.49</v>
      </c>
      <c r="R58" s="26">
        <f t="shared" ca="1" si="13"/>
        <v>-26.95</v>
      </c>
      <c r="S58" s="26">
        <f t="shared" ca="1" si="13"/>
        <v>-27.44</v>
      </c>
      <c r="T58" s="26">
        <f t="shared" ca="1" si="13"/>
        <v>-28.24</v>
      </c>
      <c r="U58" s="26">
        <f t="shared" ref="G58:AL66" ca="1" si="14">$A58*H.Ar + $B58*H.Se + $C58*H.Ge + $D58*H.Ga</f>
        <v>-29.04</v>
      </c>
      <c r="V58" s="26">
        <f t="shared" ca="1" si="14"/>
        <v>-29.83</v>
      </c>
      <c r="W58" s="26">
        <f t="shared" ca="1" si="14"/>
        <v>-30.61</v>
      </c>
      <c r="X58" s="26">
        <f t="shared" ca="1" si="14"/>
        <v>-31.38</v>
      </c>
      <c r="Y58" s="26">
        <f t="shared" ca="1" si="14"/>
        <v>-32.130000000000003</v>
      </c>
      <c r="Z58" s="26">
        <f t="shared" ca="1" si="14"/>
        <v>-32.880000000000003</v>
      </c>
      <c r="AA58" s="26">
        <f t="shared" ca="1" si="14"/>
        <v>-35.74</v>
      </c>
      <c r="AB58" s="26">
        <f t="shared" ca="1" si="14"/>
        <v>-38.369999999999997</v>
      </c>
      <c r="AC58" s="26">
        <f t="shared" ca="1" si="14"/>
        <v>-40.72</v>
      </c>
      <c r="AD58" s="26">
        <f t="shared" ca="1" si="14"/>
        <v>-42.77</v>
      </c>
      <c r="AE58" s="26">
        <f t="shared" ca="1" si="14"/>
        <v>0</v>
      </c>
      <c r="AF58" s="26">
        <f t="shared" ca="1" si="14"/>
        <v>0</v>
      </c>
      <c r="AG58" s="26">
        <f t="shared" ca="1" si="14"/>
        <v>0</v>
      </c>
      <c r="AH58" s="26">
        <f t="shared" ca="1" si="14"/>
        <v>0</v>
      </c>
      <c r="AI58" s="26">
        <f t="shared" ca="1" si="14"/>
        <v>0</v>
      </c>
      <c r="AJ58" s="26">
        <f t="shared" ca="1" si="14"/>
        <v>0</v>
      </c>
      <c r="AK58" s="26">
        <f t="shared" ca="1" si="14"/>
        <v>0</v>
      </c>
      <c r="AL58" s="26">
        <f t="shared" ca="1" si="14"/>
        <v>0</v>
      </c>
    </row>
    <row r="59" spans="1:38" ht="21" hidden="1" customHeight="1" outlineLevel="1" thickBot="1" x14ac:dyDescent="0.4">
      <c r="A59" s="10">
        <f t="shared" si="11"/>
        <v>0</v>
      </c>
      <c r="B59" s="10">
        <f t="shared" si="11"/>
        <v>0</v>
      </c>
      <c r="C59" s="10">
        <f t="shared" si="11"/>
        <v>0</v>
      </c>
      <c r="D59" s="10">
        <f t="shared" si="11"/>
        <v>1</v>
      </c>
      <c r="E59" s="11" t="str">
        <f t="shared" si="11"/>
        <v>(l)Ga</v>
      </c>
      <c r="F59" s="26">
        <f t="shared" ca="1" si="12"/>
        <v>-66.53</v>
      </c>
      <c r="G59" s="26">
        <f t="shared" ca="1" si="14"/>
        <v>-62.13</v>
      </c>
      <c r="H59" s="26">
        <f t="shared" ca="1" si="14"/>
        <v>-57.96</v>
      </c>
      <c r="I59" s="26">
        <f t="shared" ca="1" si="14"/>
        <v>-53.8</v>
      </c>
      <c r="J59" s="26">
        <f t="shared" ca="1" si="14"/>
        <v>-49.68</v>
      </c>
      <c r="K59" s="26">
        <f t="shared" ca="1" si="14"/>
        <v>-45.74</v>
      </c>
      <c r="L59" s="26">
        <f t="shared" ca="1" si="14"/>
        <v>-42.09</v>
      </c>
      <c r="M59" s="26">
        <f t="shared" ca="1" si="14"/>
        <v>-38.770000000000003</v>
      </c>
      <c r="N59" s="26">
        <f t="shared" ca="1" si="14"/>
        <v>-35.78</v>
      </c>
      <c r="O59" s="26">
        <f t="shared" ca="1" si="14"/>
        <v>-33.130000000000003</v>
      </c>
      <c r="P59" s="26">
        <f t="shared" ca="1" si="14"/>
        <v>-30.71</v>
      </c>
      <c r="Q59" s="26">
        <f t="shared" ca="1" si="14"/>
        <v>-28.49</v>
      </c>
      <c r="R59" s="26">
        <f t="shared" ca="1" si="14"/>
        <v>-26.95</v>
      </c>
      <c r="S59" s="26">
        <f t="shared" ca="1" si="14"/>
        <v>-27.44</v>
      </c>
      <c r="T59" s="26">
        <f t="shared" ca="1" si="14"/>
        <v>-28.24</v>
      </c>
      <c r="U59" s="26">
        <f t="shared" ca="1" si="14"/>
        <v>-29.04</v>
      </c>
      <c r="V59" s="26">
        <f t="shared" ca="1" si="14"/>
        <v>-29.83</v>
      </c>
      <c r="W59" s="26">
        <f t="shared" ca="1" si="14"/>
        <v>-30.61</v>
      </c>
      <c r="X59" s="26">
        <f t="shared" ca="1" si="14"/>
        <v>-31.38</v>
      </c>
      <c r="Y59" s="26">
        <f t="shared" ca="1" si="14"/>
        <v>-32.130000000000003</v>
      </c>
      <c r="Z59" s="26">
        <f t="shared" ca="1" si="14"/>
        <v>-32.880000000000003</v>
      </c>
      <c r="AA59" s="26">
        <f t="shared" ca="1" si="14"/>
        <v>-35.74</v>
      </c>
      <c r="AB59" s="26">
        <f t="shared" ca="1" si="14"/>
        <v>-38.369999999999997</v>
      </c>
      <c r="AC59" s="26">
        <f t="shared" ca="1" si="14"/>
        <v>-40.72</v>
      </c>
      <c r="AD59" s="26">
        <f t="shared" ca="1" si="14"/>
        <v>-42.77</v>
      </c>
      <c r="AE59" s="26">
        <f t="shared" ca="1" si="14"/>
        <v>0</v>
      </c>
      <c r="AF59" s="26">
        <f t="shared" ca="1" si="14"/>
        <v>0</v>
      </c>
      <c r="AG59" s="26">
        <f t="shared" ca="1" si="14"/>
        <v>0</v>
      </c>
      <c r="AH59" s="26">
        <f t="shared" ca="1" si="14"/>
        <v>0</v>
      </c>
      <c r="AI59" s="26">
        <f t="shared" ca="1" si="14"/>
        <v>0</v>
      </c>
      <c r="AJ59" s="26">
        <f t="shared" ca="1" si="14"/>
        <v>0</v>
      </c>
      <c r="AK59" s="26">
        <f t="shared" ca="1" si="14"/>
        <v>0</v>
      </c>
      <c r="AL59" s="26">
        <f t="shared" ca="1" si="14"/>
        <v>0</v>
      </c>
    </row>
    <row r="60" spans="1:38" ht="21" hidden="1" customHeight="1" outlineLevel="1" thickBot="1" x14ac:dyDescent="0.4">
      <c r="A60" s="10">
        <f t="shared" ref="A60:E69" si="15">A14</f>
        <v>0</v>
      </c>
      <c r="B60" s="10">
        <f t="shared" si="15"/>
        <v>1</v>
      </c>
      <c r="C60" s="10">
        <f t="shared" si="15"/>
        <v>0</v>
      </c>
      <c r="D60" s="10">
        <f t="shared" si="15"/>
        <v>0</v>
      </c>
      <c r="E60" s="11" t="str">
        <f t="shared" si="15"/>
        <v>(l)Se</v>
      </c>
      <c r="F60" s="26">
        <f t="shared" ref="F60:U69" ca="1" si="16">$A60*H.Ar + $B60*H.Se + $C60*H.Ge + $D60*H.Ga</f>
        <v>-23.56</v>
      </c>
      <c r="G60" s="26">
        <f t="shared" ca="1" si="16"/>
        <v>-22.35</v>
      </c>
      <c r="H60" s="26">
        <f t="shared" ca="1" si="16"/>
        <v>-21.55</v>
      </c>
      <c r="I60" s="26">
        <f t="shared" ca="1" si="16"/>
        <v>-21.2</v>
      </c>
      <c r="J60" s="26">
        <f t="shared" ca="1" si="16"/>
        <v>-21.2</v>
      </c>
      <c r="K60" s="26">
        <f t="shared" ca="1" si="16"/>
        <v>-21.38</v>
      </c>
      <c r="L60" s="26">
        <f t="shared" ca="1" si="16"/>
        <v>-21.63</v>
      </c>
      <c r="M60" s="26">
        <f t="shared" ca="1" si="16"/>
        <v>-21.89</v>
      </c>
      <c r="N60" s="26">
        <f t="shared" ca="1" si="16"/>
        <v>-22.11</v>
      </c>
      <c r="O60" s="26">
        <f t="shared" ca="1" si="16"/>
        <v>-22.3</v>
      </c>
      <c r="P60" s="26">
        <f t="shared" ca="1" si="16"/>
        <v>-22.47</v>
      </c>
      <c r="Q60" s="26">
        <f t="shared" ca="1" si="16"/>
        <v>-22.67</v>
      </c>
      <c r="R60" s="26">
        <f t="shared" ca="1" si="16"/>
        <v>-22.85</v>
      </c>
      <c r="S60" s="26">
        <f t="shared" ca="1" si="16"/>
        <v>-23.1</v>
      </c>
      <c r="T60" s="26">
        <f t="shared" ca="1" si="16"/>
        <v>-23.4</v>
      </c>
      <c r="U60" s="26">
        <f t="shared" ca="1" si="16"/>
        <v>-23.69</v>
      </c>
      <c r="V60" s="26">
        <f t="shared" ca="1" si="14"/>
        <v>-23.99</v>
      </c>
      <c r="W60" s="26">
        <f t="shared" ca="1" si="14"/>
        <v>-24.29</v>
      </c>
      <c r="X60" s="26">
        <f t="shared" ca="1" si="14"/>
        <v>-24.58</v>
      </c>
      <c r="Y60" s="26">
        <f t="shared" ca="1" si="14"/>
        <v>-24.87</v>
      </c>
      <c r="Z60" s="26">
        <f t="shared" ca="1" si="14"/>
        <v>-25.16</v>
      </c>
      <c r="AA60" s="26">
        <f t="shared" ca="1" si="14"/>
        <v>-26.28</v>
      </c>
      <c r="AB60" s="26">
        <f t="shared" ca="1" si="14"/>
        <v>-27.37</v>
      </c>
      <c r="AC60" s="26">
        <f t="shared" ca="1" si="14"/>
        <v>-28.41</v>
      </c>
      <c r="AD60" s="26">
        <f t="shared" ca="1" si="14"/>
        <v>-29.42</v>
      </c>
      <c r="AE60" s="26">
        <f t="shared" ca="1" si="14"/>
        <v>0</v>
      </c>
      <c r="AF60" s="26">
        <f t="shared" ca="1" si="14"/>
        <v>0</v>
      </c>
      <c r="AG60" s="26">
        <f t="shared" ca="1" si="14"/>
        <v>0</v>
      </c>
      <c r="AH60" s="26">
        <f t="shared" ca="1" si="14"/>
        <v>0</v>
      </c>
      <c r="AI60" s="26">
        <f t="shared" ca="1" si="14"/>
        <v>0</v>
      </c>
      <c r="AJ60" s="26">
        <f t="shared" ca="1" si="14"/>
        <v>0</v>
      </c>
      <c r="AK60" s="26">
        <f t="shared" ca="1" si="14"/>
        <v>0</v>
      </c>
      <c r="AL60" s="26">
        <f t="shared" ca="1" si="14"/>
        <v>0</v>
      </c>
    </row>
    <row r="61" spans="1:38" ht="21" hidden="1" customHeight="1" outlineLevel="1" thickBot="1" x14ac:dyDescent="0.4">
      <c r="A61" s="10">
        <f t="shared" si="15"/>
        <v>0</v>
      </c>
      <c r="B61" s="10">
        <f t="shared" si="15"/>
        <v>1</v>
      </c>
      <c r="C61" s="10">
        <f t="shared" si="15"/>
        <v>0</v>
      </c>
      <c r="D61" s="10">
        <f t="shared" si="15"/>
        <v>0</v>
      </c>
      <c r="E61" s="11" t="str">
        <f t="shared" si="15"/>
        <v>(l)Se[a]</v>
      </c>
      <c r="F61" s="26">
        <f t="shared" ca="1" si="16"/>
        <v>-23.56</v>
      </c>
      <c r="G61" s="26">
        <f t="shared" ca="1" si="14"/>
        <v>-22.35</v>
      </c>
      <c r="H61" s="26">
        <f t="shared" ca="1" si="14"/>
        <v>-21.55</v>
      </c>
      <c r="I61" s="26">
        <f t="shared" ca="1" si="14"/>
        <v>-21.2</v>
      </c>
      <c r="J61" s="26">
        <f t="shared" ca="1" si="14"/>
        <v>-21.2</v>
      </c>
      <c r="K61" s="26">
        <f t="shared" ca="1" si="14"/>
        <v>-21.38</v>
      </c>
      <c r="L61" s="26">
        <f t="shared" ca="1" si="14"/>
        <v>-21.63</v>
      </c>
      <c r="M61" s="26">
        <f t="shared" ca="1" si="14"/>
        <v>-21.89</v>
      </c>
      <c r="N61" s="26">
        <f t="shared" ca="1" si="14"/>
        <v>-22.11</v>
      </c>
      <c r="O61" s="26">
        <f t="shared" ca="1" si="14"/>
        <v>-22.3</v>
      </c>
      <c r="P61" s="26">
        <f t="shared" ca="1" si="14"/>
        <v>-22.47</v>
      </c>
      <c r="Q61" s="26">
        <f t="shared" ca="1" si="14"/>
        <v>-22.67</v>
      </c>
      <c r="R61" s="26">
        <f t="shared" ca="1" si="14"/>
        <v>-22.85</v>
      </c>
      <c r="S61" s="26">
        <f t="shared" ca="1" si="14"/>
        <v>-23.1</v>
      </c>
      <c r="T61" s="26">
        <f t="shared" ca="1" si="14"/>
        <v>-23.4</v>
      </c>
      <c r="U61" s="26">
        <f t="shared" ca="1" si="14"/>
        <v>-23.69</v>
      </c>
      <c r="V61" s="26">
        <f t="shared" ca="1" si="14"/>
        <v>-23.99</v>
      </c>
      <c r="W61" s="26">
        <f t="shared" ca="1" si="14"/>
        <v>-24.29</v>
      </c>
      <c r="X61" s="26">
        <f t="shared" ca="1" si="14"/>
        <v>-24.58</v>
      </c>
      <c r="Y61" s="26">
        <f t="shared" ca="1" si="14"/>
        <v>-24.87</v>
      </c>
      <c r="Z61" s="26">
        <f t="shared" ca="1" si="14"/>
        <v>-25.16</v>
      </c>
      <c r="AA61" s="26">
        <f t="shared" ca="1" si="14"/>
        <v>-26.28</v>
      </c>
      <c r="AB61" s="26">
        <f t="shared" ca="1" si="14"/>
        <v>-27.37</v>
      </c>
      <c r="AC61" s="26">
        <f t="shared" ca="1" si="14"/>
        <v>-28.41</v>
      </c>
      <c r="AD61" s="26">
        <f t="shared" ca="1" si="14"/>
        <v>-29.42</v>
      </c>
      <c r="AE61" s="26">
        <f t="shared" ca="1" si="14"/>
        <v>0</v>
      </c>
      <c r="AF61" s="26">
        <f t="shared" ca="1" si="14"/>
        <v>0</v>
      </c>
      <c r="AG61" s="26">
        <f t="shared" ca="1" si="14"/>
        <v>0</v>
      </c>
      <c r="AH61" s="26">
        <f t="shared" ca="1" si="14"/>
        <v>0</v>
      </c>
      <c r="AI61" s="26">
        <f t="shared" ca="1" si="14"/>
        <v>0</v>
      </c>
      <c r="AJ61" s="26">
        <f t="shared" ca="1" si="14"/>
        <v>0</v>
      </c>
      <c r="AK61" s="26">
        <f t="shared" ca="1" si="14"/>
        <v>0</v>
      </c>
      <c r="AL61" s="26">
        <f t="shared" ca="1" si="14"/>
        <v>0</v>
      </c>
    </row>
    <row r="62" spans="1:38" ht="21" hidden="1" customHeight="1" outlineLevel="1" thickBot="1" x14ac:dyDescent="0.4">
      <c r="A62" s="10">
        <f t="shared" si="15"/>
        <v>0</v>
      </c>
      <c r="B62" s="10">
        <f t="shared" si="15"/>
        <v>1</v>
      </c>
      <c r="C62" s="10">
        <f t="shared" si="15"/>
        <v>0</v>
      </c>
      <c r="D62" s="10">
        <f t="shared" si="15"/>
        <v>0</v>
      </c>
      <c r="E62" s="11" t="str">
        <f t="shared" si="15"/>
        <v>(l)Se[m]</v>
      </c>
      <c r="F62" s="26">
        <f t="shared" ca="1" si="16"/>
        <v>-23.56</v>
      </c>
      <c r="G62" s="26">
        <f t="shared" ca="1" si="14"/>
        <v>-22.35</v>
      </c>
      <c r="H62" s="26">
        <f t="shared" ca="1" si="14"/>
        <v>-21.55</v>
      </c>
      <c r="I62" s="26">
        <f t="shared" ca="1" si="14"/>
        <v>-21.2</v>
      </c>
      <c r="J62" s="26">
        <f t="shared" ca="1" si="14"/>
        <v>-21.2</v>
      </c>
      <c r="K62" s="26">
        <f t="shared" ca="1" si="14"/>
        <v>-21.38</v>
      </c>
      <c r="L62" s="26">
        <f t="shared" ca="1" si="14"/>
        <v>-21.63</v>
      </c>
      <c r="M62" s="26">
        <f t="shared" ca="1" si="14"/>
        <v>-21.89</v>
      </c>
      <c r="N62" s="26">
        <f t="shared" ca="1" si="14"/>
        <v>-22.11</v>
      </c>
      <c r="O62" s="26">
        <f t="shared" ca="1" si="14"/>
        <v>-22.3</v>
      </c>
      <c r="P62" s="26">
        <f t="shared" ca="1" si="14"/>
        <v>-22.47</v>
      </c>
      <c r="Q62" s="26">
        <f t="shared" ca="1" si="14"/>
        <v>-22.67</v>
      </c>
      <c r="R62" s="26">
        <f t="shared" ca="1" si="14"/>
        <v>-22.85</v>
      </c>
      <c r="S62" s="26">
        <f t="shared" ca="1" si="14"/>
        <v>-23.1</v>
      </c>
      <c r="T62" s="26">
        <f t="shared" ca="1" si="14"/>
        <v>-23.4</v>
      </c>
      <c r="U62" s="26">
        <f t="shared" ca="1" si="14"/>
        <v>-23.69</v>
      </c>
      <c r="V62" s="26">
        <f t="shared" ca="1" si="14"/>
        <v>-23.99</v>
      </c>
      <c r="W62" s="26">
        <f t="shared" ca="1" si="14"/>
        <v>-24.29</v>
      </c>
      <c r="X62" s="26">
        <f t="shared" ca="1" si="14"/>
        <v>-24.58</v>
      </c>
      <c r="Y62" s="26">
        <f t="shared" ca="1" si="14"/>
        <v>-24.87</v>
      </c>
      <c r="Z62" s="26">
        <f t="shared" ca="1" si="14"/>
        <v>-25.16</v>
      </c>
      <c r="AA62" s="26">
        <f t="shared" ca="1" si="14"/>
        <v>-26.28</v>
      </c>
      <c r="AB62" s="26">
        <f t="shared" ca="1" si="14"/>
        <v>-27.37</v>
      </c>
      <c r="AC62" s="26">
        <f t="shared" ca="1" si="14"/>
        <v>-28.41</v>
      </c>
      <c r="AD62" s="26">
        <f t="shared" ca="1" si="14"/>
        <v>-29.42</v>
      </c>
      <c r="AE62" s="26">
        <f t="shared" ca="1" si="14"/>
        <v>0</v>
      </c>
      <c r="AF62" s="26">
        <f t="shared" ca="1" si="14"/>
        <v>0</v>
      </c>
      <c r="AG62" s="26">
        <f t="shared" ca="1" si="14"/>
        <v>0</v>
      </c>
      <c r="AH62" s="26">
        <f t="shared" ca="1" si="14"/>
        <v>0</v>
      </c>
      <c r="AI62" s="26">
        <f t="shared" ca="1" si="14"/>
        <v>0</v>
      </c>
      <c r="AJ62" s="26">
        <f t="shared" ca="1" si="14"/>
        <v>0</v>
      </c>
      <c r="AK62" s="26">
        <f t="shared" ca="1" si="14"/>
        <v>0</v>
      </c>
      <c r="AL62" s="26">
        <f t="shared" ca="1" si="14"/>
        <v>0</v>
      </c>
    </row>
    <row r="63" spans="1:38" ht="21" hidden="1" customHeight="1" outlineLevel="1" thickBot="1" x14ac:dyDescent="0.4">
      <c r="A63" s="10">
        <f t="shared" si="15"/>
        <v>0</v>
      </c>
      <c r="B63" s="10">
        <f t="shared" si="15"/>
        <v>1</v>
      </c>
      <c r="C63" s="10">
        <f t="shared" si="15"/>
        <v>0</v>
      </c>
      <c r="D63" s="10">
        <f t="shared" si="15"/>
        <v>0</v>
      </c>
      <c r="E63" s="11" t="str">
        <f t="shared" si="15"/>
        <v>(l)Se[r]</v>
      </c>
      <c r="F63" s="26">
        <f t="shared" ca="1" si="16"/>
        <v>-23.56</v>
      </c>
      <c r="G63" s="26">
        <f t="shared" ca="1" si="14"/>
        <v>-22.35</v>
      </c>
      <c r="H63" s="26">
        <f t="shared" ca="1" si="14"/>
        <v>-21.55</v>
      </c>
      <c r="I63" s="26">
        <f t="shared" ca="1" si="14"/>
        <v>-21.2</v>
      </c>
      <c r="J63" s="26">
        <f t="shared" ca="1" si="14"/>
        <v>-21.2</v>
      </c>
      <c r="K63" s="26">
        <f t="shared" ca="1" si="14"/>
        <v>-21.38</v>
      </c>
      <c r="L63" s="26">
        <f t="shared" ca="1" si="14"/>
        <v>-21.63</v>
      </c>
      <c r="M63" s="26">
        <f t="shared" ca="1" si="14"/>
        <v>-21.89</v>
      </c>
      <c r="N63" s="26">
        <f t="shared" ca="1" si="14"/>
        <v>-22.11</v>
      </c>
      <c r="O63" s="26">
        <f t="shared" ca="1" si="14"/>
        <v>-22.3</v>
      </c>
      <c r="P63" s="26">
        <f t="shared" ca="1" si="14"/>
        <v>-22.47</v>
      </c>
      <c r="Q63" s="26">
        <f t="shared" ca="1" si="14"/>
        <v>-22.67</v>
      </c>
      <c r="R63" s="26">
        <f t="shared" ca="1" si="14"/>
        <v>-22.85</v>
      </c>
      <c r="S63" s="26">
        <f t="shared" ca="1" si="14"/>
        <v>-23.1</v>
      </c>
      <c r="T63" s="26">
        <f t="shared" ca="1" si="14"/>
        <v>-23.4</v>
      </c>
      <c r="U63" s="26">
        <f t="shared" ca="1" si="14"/>
        <v>-23.69</v>
      </c>
      <c r="V63" s="26">
        <f t="shared" ca="1" si="14"/>
        <v>-23.99</v>
      </c>
      <c r="W63" s="26">
        <f t="shared" ca="1" si="14"/>
        <v>-24.29</v>
      </c>
      <c r="X63" s="26">
        <f t="shared" ca="1" si="14"/>
        <v>-24.58</v>
      </c>
      <c r="Y63" s="26">
        <f t="shared" ca="1" si="14"/>
        <v>-24.87</v>
      </c>
      <c r="Z63" s="26">
        <f t="shared" ca="1" si="14"/>
        <v>-25.16</v>
      </c>
      <c r="AA63" s="26">
        <f t="shared" ca="1" si="14"/>
        <v>-26.28</v>
      </c>
      <c r="AB63" s="26">
        <f t="shared" ca="1" si="14"/>
        <v>-27.37</v>
      </c>
      <c r="AC63" s="26">
        <f t="shared" ca="1" si="14"/>
        <v>-28.41</v>
      </c>
      <c r="AD63" s="26">
        <f t="shared" ca="1" si="14"/>
        <v>-29.42</v>
      </c>
      <c r="AE63" s="26">
        <f t="shared" ca="1" si="14"/>
        <v>0</v>
      </c>
      <c r="AF63" s="26">
        <f t="shared" ca="1" si="14"/>
        <v>0</v>
      </c>
      <c r="AG63" s="26">
        <f t="shared" ca="1" si="14"/>
        <v>0</v>
      </c>
      <c r="AH63" s="26">
        <f t="shared" ca="1" si="14"/>
        <v>0</v>
      </c>
      <c r="AI63" s="26">
        <f t="shared" ca="1" si="14"/>
        <v>0</v>
      </c>
      <c r="AJ63" s="26">
        <f t="shared" ca="1" si="14"/>
        <v>0</v>
      </c>
      <c r="AK63" s="26">
        <f t="shared" ca="1" si="14"/>
        <v>0</v>
      </c>
      <c r="AL63" s="26">
        <f t="shared" ca="1" si="14"/>
        <v>0</v>
      </c>
    </row>
    <row r="64" spans="1:38" ht="21" hidden="1" customHeight="1" outlineLevel="1" thickBot="1" x14ac:dyDescent="0.4">
      <c r="A64" s="10">
        <f t="shared" si="15"/>
        <v>0</v>
      </c>
      <c r="B64" s="10">
        <f t="shared" si="15"/>
        <v>0</v>
      </c>
      <c r="C64" s="10">
        <f t="shared" si="15"/>
        <v>1</v>
      </c>
      <c r="D64" s="10">
        <f t="shared" si="15"/>
        <v>0</v>
      </c>
      <c r="E64" s="11" t="str">
        <f t="shared" si="15"/>
        <v>(l)Ge[c]</v>
      </c>
      <c r="F64" s="26">
        <f t="shared" ca="1" si="16"/>
        <v>-66.53</v>
      </c>
      <c r="G64" s="26">
        <f t="shared" ca="1" si="14"/>
        <v>-62.13</v>
      </c>
      <c r="H64" s="26">
        <f t="shared" ca="1" si="14"/>
        <v>-57.96</v>
      </c>
      <c r="I64" s="26">
        <f t="shared" ca="1" si="14"/>
        <v>-53.8</v>
      </c>
      <c r="J64" s="26">
        <f t="shared" ca="1" si="14"/>
        <v>-49.68</v>
      </c>
      <c r="K64" s="26">
        <f t="shared" ca="1" si="14"/>
        <v>-45.74</v>
      </c>
      <c r="L64" s="26">
        <f t="shared" ca="1" si="14"/>
        <v>-42.09</v>
      </c>
      <c r="M64" s="26">
        <f t="shared" ca="1" si="14"/>
        <v>-38.770000000000003</v>
      </c>
      <c r="N64" s="26">
        <f t="shared" ca="1" si="14"/>
        <v>-35.78</v>
      </c>
      <c r="O64" s="26">
        <f t="shared" ca="1" si="14"/>
        <v>-33.130000000000003</v>
      </c>
      <c r="P64" s="26">
        <f t="shared" ca="1" si="14"/>
        <v>-30.71</v>
      </c>
      <c r="Q64" s="26">
        <f t="shared" ca="1" si="14"/>
        <v>-28.49</v>
      </c>
      <c r="R64" s="26">
        <f t="shared" ca="1" si="14"/>
        <v>-26.95</v>
      </c>
      <c r="S64" s="26">
        <f t="shared" ca="1" si="14"/>
        <v>-27.44</v>
      </c>
      <c r="T64" s="26">
        <f t="shared" ca="1" si="14"/>
        <v>-28.24</v>
      </c>
      <c r="U64" s="26">
        <f t="shared" ca="1" si="14"/>
        <v>-29.04</v>
      </c>
      <c r="V64" s="26">
        <f t="shared" ca="1" si="14"/>
        <v>-29.83</v>
      </c>
      <c r="W64" s="26">
        <f t="shared" ca="1" si="14"/>
        <v>-30.61</v>
      </c>
      <c r="X64" s="26">
        <f t="shared" ca="1" si="14"/>
        <v>-31.38</v>
      </c>
      <c r="Y64" s="26">
        <f t="shared" ca="1" si="14"/>
        <v>-32.130000000000003</v>
      </c>
      <c r="Z64" s="26">
        <f t="shared" ca="1" si="14"/>
        <v>-32.880000000000003</v>
      </c>
      <c r="AA64" s="26">
        <f t="shared" ca="1" si="14"/>
        <v>-35.74</v>
      </c>
      <c r="AB64" s="26">
        <f t="shared" ca="1" si="14"/>
        <v>-38.369999999999997</v>
      </c>
      <c r="AC64" s="26">
        <f t="shared" ca="1" si="14"/>
        <v>-40.72</v>
      </c>
      <c r="AD64" s="26">
        <f t="shared" ca="1" si="14"/>
        <v>-42.77</v>
      </c>
      <c r="AE64" s="26">
        <f t="shared" ca="1" si="14"/>
        <v>0</v>
      </c>
      <c r="AF64" s="26">
        <f t="shared" ca="1" si="14"/>
        <v>0</v>
      </c>
      <c r="AG64" s="26">
        <f t="shared" ca="1" si="14"/>
        <v>0</v>
      </c>
      <c r="AH64" s="26">
        <f t="shared" ca="1" si="14"/>
        <v>0</v>
      </c>
      <c r="AI64" s="26">
        <f t="shared" ca="1" si="14"/>
        <v>0</v>
      </c>
      <c r="AJ64" s="26">
        <f t="shared" ca="1" si="14"/>
        <v>0</v>
      </c>
      <c r="AK64" s="26">
        <f t="shared" ca="1" si="14"/>
        <v>0</v>
      </c>
      <c r="AL64" s="26">
        <f t="shared" ca="1" si="14"/>
        <v>0</v>
      </c>
    </row>
    <row r="65" spans="1:38" ht="21" hidden="1" customHeight="1" outlineLevel="1" thickBot="1" x14ac:dyDescent="0.4">
      <c r="A65" s="10">
        <f t="shared" si="15"/>
        <v>1</v>
      </c>
      <c r="B65" s="10">
        <f t="shared" si="15"/>
        <v>0</v>
      </c>
      <c r="C65" s="10">
        <f t="shared" si="15"/>
        <v>0</v>
      </c>
      <c r="D65" s="10">
        <f t="shared" si="15"/>
        <v>0</v>
      </c>
      <c r="E65" s="11" t="str">
        <f t="shared" si="15"/>
        <v>H (Ar)</v>
      </c>
      <c r="F65" s="26">
        <f t="shared" ca="1" si="16"/>
        <v>-18.760000000000002</v>
      </c>
      <c r="G65" s="26">
        <f t="shared" ca="1" si="14"/>
        <v>-18.75</v>
      </c>
      <c r="H65" s="26">
        <f t="shared" ca="1" si="14"/>
        <v>-18.75</v>
      </c>
      <c r="I65" s="26">
        <f t="shared" ca="1" si="14"/>
        <v>-18.75</v>
      </c>
      <c r="J65" s="26">
        <f t="shared" ca="1" si="14"/>
        <v>-18.760000000000002</v>
      </c>
      <c r="K65" s="26">
        <f t="shared" ca="1" si="14"/>
        <v>-18.79</v>
      </c>
      <c r="L65" s="26">
        <f t="shared" ca="1" si="14"/>
        <v>-18.809999999999999</v>
      </c>
      <c r="M65" s="26">
        <f t="shared" ca="1" si="14"/>
        <v>-18.850000000000001</v>
      </c>
      <c r="N65" s="26">
        <f t="shared" ca="1" si="14"/>
        <v>-18.88</v>
      </c>
      <c r="O65" s="26">
        <f t="shared" ca="1" si="14"/>
        <v>-18.91</v>
      </c>
      <c r="P65" s="26">
        <f t="shared" ca="1" si="14"/>
        <v>-18.940000000000001</v>
      </c>
      <c r="Q65" s="26">
        <f t="shared" ca="1" si="14"/>
        <v>-18.97</v>
      </c>
      <c r="R65" s="26">
        <f t="shared" ca="1" si="14"/>
        <v>-18.95</v>
      </c>
      <c r="S65" s="26">
        <f t="shared" ca="1" si="14"/>
        <v>-18.97</v>
      </c>
      <c r="T65" s="26">
        <f t="shared" ca="1" si="14"/>
        <v>-19.010000000000002</v>
      </c>
      <c r="U65" s="26">
        <f t="shared" ca="1" si="14"/>
        <v>-19.05</v>
      </c>
      <c r="V65" s="26">
        <f t="shared" ca="1" si="14"/>
        <v>-19.09</v>
      </c>
      <c r="W65" s="26">
        <f t="shared" ca="1" si="14"/>
        <v>-19.14</v>
      </c>
      <c r="X65" s="26">
        <f t="shared" ca="1" si="14"/>
        <v>-19.18</v>
      </c>
      <c r="Y65" s="26">
        <f t="shared" ca="1" si="14"/>
        <v>-19.22</v>
      </c>
      <c r="Z65" s="26">
        <f t="shared" ca="1" si="14"/>
        <v>-19.260000000000002</v>
      </c>
      <c r="AA65" s="26">
        <f t="shared" ca="1" si="14"/>
        <v>-19.43</v>
      </c>
      <c r="AB65" s="26">
        <f t="shared" ca="1" si="14"/>
        <v>-19.59</v>
      </c>
      <c r="AC65" s="26">
        <f t="shared" ca="1" si="14"/>
        <v>-19.739999999999998</v>
      </c>
      <c r="AD65" s="26">
        <f t="shared" ca="1" si="14"/>
        <v>-19.88</v>
      </c>
      <c r="AE65" s="26">
        <f t="shared" ca="1" si="14"/>
        <v>0</v>
      </c>
      <c r="AF65" s="26">
        <f t="shared" ca="1" si="14"/>
        <v>0</v>
      </c>
      <c r="AG65" s="26">
        <f t="shared" ca="1" si="14"/>
        <v>0</v>
      </c>
      <c r="AH65" s="26">
        <f t="shared" ca="1" si="14"/>
        <v>0</v>
      </c>
      <c r="AI65" s="26">
        <f t="shared" ca="1" si="14"/>
        <v>0</v>
      </c>
      <c r="AJ65" s="26">
        <f t="shared" ca="1" si="14"/>
        <v>0</v>
      </c>
      <c r="AK65" s="26">
        <f t="shared" ca="1" si="14"/>
        <v>0</v>
      </c>
      <c r="AL65" s="26">
        <f t="shared" ca="1" si="14"/>
        <v>0</v>
      </c>
    </row>
    <row r="66" spans="1:38" ht="21" hidden="1" customHeight="1" outlineLevel="1" thickBot="1" x14ac:dyDescent="0.4">
      <c r="A66" s="10">
        <f t="shared" si="15"/>
        <v>0</v>
      </c>
      <c r="B66" s="10">
        <f t="shared" si="15"/>
        <v>0</v>
      </c>
      <c r="C66" s="10">
        <f t="shared" si="15"/>
        <v>0</v>
      </c>
      <c r="D66" s="10">
        <f t="shared" si="15"/>
        <v>1</v>
      </c>
      <c r="E66" s="11" t="str">
        <f t="shared" si="15"/>
        <v>H (Ga)</v>
      </c>
      <c r="F66" s="26">
        <f t="shared" ca="1" si="16"/>
        <v>-66.53</v>
      </c>
      <c r="G66" s="26">
        <f t="shared" ca="1" si="14"/>
        <v>-62.13</v>
      </c>
      <c r="H66" s="26">
        <f t="shared" ca="1" si="14"/>
        <v>-57.96</v>
      </c>
      <c r="I66" s="26">
        <f t="shared" ca="1" si="14"/>
        <v>-53.8</v>
      </c>
      <c r="J66" s="26">
        <f t="shared" ca="1" si="14"/>
        <v>-49.68</v>
      </c>
      <c r="K66" s="26">
        <f t="shared" ca="1" si="14"/>
        <v>-45.74</v>
      </c>
      <c r="L66" s="26">
        <f t="shared" ca="1" si="14"/>
        <v>-42.09</v>
      </c>
      <c r="M66" s="26">
        <f t="shared" ca="1" si="14"/>
        <v>-38.770000000000003</v>
      </c>
      <c r="N66" s="26">
        <f t="shared" ca="1" si="14"/>
        <v>-35.78</v>
      </c>
      <c r="O66" s="26">
        <f t="shared" ca="1" si="14"/>
        <v>-33.130000000000003</v>
      </c>
      <c r="P66" s="26">
        <f t="shared" ca="1" si="14"/>
        <v>-30.71</v>
      </c>
      <c r="Q66" s="26">
        <f t="shared" ca="1" si="14"/>
        <v>-28.49</v>
      </c>
      <c r="R66" s="26">
        <f t="shared" ca="1" si="14"/>
        <v>-26.95</v>
      </c>
      <c r="S66" s="26">
        <f t="shared" ca="1" si="14"/>
        <v>-27.44</v>
      </c>
      <c r="T66" s="26">
        <f t="shared" ca="1" si="14"/>
        <v>-28.24</v>
      </c>
      <c r="U66" s="26">
        <f t="shared" ca="1" si="14"/>
        <v>-29.04</v>
      </c>
      <c r="V66" s="26">
        <f t="shared" ca="1" si="14"/>
        <v>-29.83</v>
      </c>
      <c r="W66" s="26">
        <f t="shared" ca="1" si="14"/>
        <v>-30.61</v>
      </c>
      <c r="X66" s="26">
        <f t="shared" ca="1" si="14"/>
        <v>-31.38</v>
      </c>
      <c r="Y66" s="26">
        <f t="shared" ca="1" si="14"/>
        <v>-32.130000000000003</v>
      </c>
      <c r="Z66" s="26">
        <f t="shared" ca="1" si="14"/>
        <v>-32.880000000000003</v>
      </c>
      <c r="AA66" s="26">
        <f t="shared" ca="1" si="14"/>
        <v>-35.74</v>
      </c>
      <c r="AB66" s="26">
        <f t="shared" ca="1" si="14"/>
        <v>-38.369999999999997</v>
      </c>
      <c r="AC66" s="26">
        <f t="shared" ca="1" si="14"/>
        <v>-40.72</v>
      </c>
      <c r="AD66" s="26">
        <f t="shared" ca="1" si="14"/>
        <v>-42.77</v>
      </c>
      <c r="AE66" s="26">
        <f t="shared" ca="1" si="14"/>
        <v>0</v>
      </c>
      <c r="AF66" s="26">
        <f t="shared" ca="1" si="14"/>
        <v>0</v>
      </c>
      <c r="AG66" s="26">
        <f t="shared" ca="1" si="14"/>
        <v>0</v>
      </c>
      <c r="AH66" s="26">
        <f t="shared" ca="1" si="14"/>
        <v>0</v>
      </c>
      <c r="AI66" s="26">
        <f t="shared" ref="G66:AL75" ca="1" si="17">$A66*H.Ar + $B66*H.Se + $C66*H.Ge + $D66*H.Ga</f>
        <v>0</v>
      </c>
      <c r="AJ66" s="26">
        <f t="shared" ca="1" si="17"/>
        <v>0</v>
      </c>
      <c r="AK66" s="26">
        <f t="shared" ca="1" si="17"/>
        <v>0</v>
      </c>
      <c r="AL66" s="26">
        <f t="shared" ca="1" si="17"/>
        <v>0</v>
      </c>
    </row>
    <row r="67" spans="1:38" ht="21" hidden="1" customHeight="1" outlineLevel="1" thickBot="1" x14ac:dyDescent="0.4">
      <c r="A67" s="10">
        <f t="shared" si="15"/>
        <v>0</v>
      </c>
      <c r="B67" s="10">
        <f t="shared" si="15"/>
        <v>0</v>
      </c>
      <c r="C67" s="10">
        <f t="shared" si="15"/>
        <v>1</v>
      </c>
      <c r="D67" s="10">
        <f t="shared" si="15"/>
        <v>0</v>
      </c>
      <c r="E67" s="11" t="str">
        <f t="shared" si="15"/>
        <v>H Ge)</v>
      </c>
      <c r="F67" s="26">
        <f t="shared" ca="1" si="16"/>
        <v>-66.53</v>
      </c>
      <c r="G67" s="26">
        <f t="shared" ca="1" si="17"/>
        <v>-62.13</v>
      </c>
      <c r="H67" s="26">
        <f t="shared" ca="1" si="17"/>
        <v>-57.96</v>
      </c>
      <c r="I67" s="26">
        <f t="shared" ca="1" si="17"/>
        <v>-53.8</v>
      </c>
      <c r="J67" s="26">
        <f t="shared" ca="1" si="17"/>
        <v>-49.68</v>
      </c>
      <c r="K67" s="26">
        <f t="shared" ca="1" si="17"/>
        <v>-45.74</v>
      </c>
      <c r="L67" s="26">
        <f t="shared" ca="1" si="17"/>
        <v>-42.09</v>
      </c>
      <c r="M67" s="26">
        <f t="shared" ca="1" si="17"/>
        <v>-38.770000000000003</v>
      </c>
      <c r="N67" s="26">
        <f t="shared" ca="1" si="17"/>
        <v>-35.78</v>
      </c>
      <c r="O67" s="26">
        <f t="shared" ca="1" si="17"/>
        <v>-33.130000000000003</v>
      </c>
      <c r="P67" s="26">
        <f t="shared" ca="1" si="17"/>
        <v>-30.71</v>
      </c>
      <c r="Q67" s="26">
        <f t="shared" ca="1" si="17"/>
        <v>-28.49</v>
      </c>
      <c r="R67" s="26">
        <f t="shared" ca="1" si="17"/>
        <v>-26.95</v>
      </c>
      <c r="S67" s="26">
        <f t="shared" ca="1" si="17"/>
        <v>-27.44</v>
      </c>
      <c r="T67" s="26">
        <f t="shared" ca="1" si="17"/>
        <v>-28.24</v>
      </c>
      <c r="U67" s="26">
        <f t="shared" ca="1" si="17"/>
        <v>-29.04</v>
      </c>
      <c r="V67" s="26">
        <f t="shared" ca="1" si="17"/>
        <v>-29.83</v>
      </c>
      <c r="W67" s="26">
        <f t="shared" ca="1" si="17"/>
        <v>-30.61</v>
      </c>
      <c r="X67" s="26">
        <f t="shared" ca="1" si="17"/>
        <v>-31.38</v>
      </c>
      <c r="Y67" s="26">
        <f t="shared" ca="1" si="17"/>
        <v>-32.130000000000003</v>
      </c>
      <c r="Z67" s="26">
        <f t="shared" ca="1" si="17"/>
        <v>-32.880000000000003</v>
      </c>
      <c r="AA67" s="26">
        <f t="shared" ca="1" si="17"/>
        <v>-35.74</v>
      </c>
      <c r="AB67" s="26">
        <f t="shared" ca="1" si="17"/>
        <v>-38.369999999999997</v>
      </c>
      <c r="AC67" s="26">
        <f t="shared" ca="1" si="17"/>
        <v>-40.72</v>
      </c>
      <c r="AD67" s="26">
        <f t="shared" ca="1" si="17"/>
        <v>-42.77</v>
      </c>
      <c r="AE67" s="26">
        <f t="shared" ca="1" si="17"/>
        <v>0</v>
      </c>
      <c r="AF67" s="26">
        <f t="shared" ca="1" si="17"/>
        <v>0</v>
      </c>
      <c r="AG67" s="26">
        <f t="shared" ca="1" si="17"/>
        <v>0</v>
      </c>
      <c r="AH67" s="26">
        <f t="shared" ca="1" si="17"/>
        <v>0</v>
      </c>
      <c r="AI67" s="26">
        <f t="shared" ca="1" si="17"/>
        <v>0</v>
      </c>
      <c r="AJ67" s="26">
        <f t="shared" ca="1" si="17"/>
        <v>0</v>
      </c>
      <c r="AK67" s="26">
        <f t="shared" ca="1" si="17"/>
        <v>0</v>
      </c>
      <c r="AL67" s="26">
        <f t="shared" ca="1" si="17"/>
        <v>0</v>
      </c>
    </row>
    <row r="68" spans="1:38" ht="21" hidden="1" customHeight="1" outlineLevel="1" thickBot="1" x14ac:dyDescent="0.4">
      <c r="A68" s="10">
        <f t="shared" si="15"/>
        <v>0</v>
      </c>
      <c r="B68" s="10">
        <f t="shared" si="15"/>
        <v>1</v>
      </c>
      <c r="C68" s="10">
        <f t="shared" si="15"/>
        <v>0</v>
      </c>
      <c r="D68" s="10">
        <f t="shared" si="15"/>
        <v>0</v>
      </c>
      <c r="E68" s="11" t="str">
        <f t="shared" si="15"/>
        <v>H (Se)</v>
      </c>
      <c r="F68" s="26">
        <f t="shared" ca="1" si="16"/>
        <v>-23.56</v>
      </c>
      <c r="G68" s="26">
        <f t="shared" ca="1" si="17"/>
        <v>-22.35</v>
      </c>
      <c r="H68" s="26">
        <f t="shared" ca="1" si="17"/>
        <v>-21.55</v>
      </c>
      <c r="I68" s="26">
        <f t="shared" ca="1" si="17"/>
        <v>-21.2</v>
      </c>
      <c r="J68" s="26">
        <f t="shared" ca="1" si="17"/>
        <v>-21.2</v>
      </c>
      <c r="K68" s="26">
        <f t="shared" ca="1" si="17"/>
        <v>-21.38</v>
      </c>
      <c r="L68" s="26">
        <f t="shared" ca="1" si="17"/>
        <v>-21.63</v>
      </c>
      <c r="M68" s="26">
        <f t="shared" ca="1" si="17"/>
        <v>-21.89</v>
      </c>
      <c r="N68" s="26">
        <f t="shared" ca="1" si="17"/>
        <v>-22.11</v>
      </c>
      <c r="O68" s="26">
        <f t="shared" ca="1" si="17"/>
        <v>-22.3</v>
      </c>
      <c r="P68" s="26">
        <f t="shared" ca="1" si="17"/>
        <v>-22.47</v>
      </c>
      <c r="Q68" s="26">
        <f t="shared" ca="1" si="17"/>
        <v>-22.67</v>
      </c>
      <c r="R68" s="26">
        <f t="shared" ca="1" si="17"/>
        <v>-22.85</v>
      </c>
      <c r="S68" s="26">
        <f t="shared" ca="1" si="17"/>
        <v>-23.1</v>
      </c>
      <c r="T68" s="26">
        <f t="shared" ca="1" si="17"/>
        <v>-23.4</v>
      </c>
      <c r="U68" s="26">
        <f t="shared" ca="1" si="17"/>
        <v>-23.69</v>
      </c>
      <c r="V68" s="26">
        <f t="shared" ca="1" si="17"/>
        <v>-23.99</v>
      </c>
      <c r="W68" s="26">
        <f t="shared" ca="1" si="17"/>
        <v>-24.29</v>
      </c>
      <c r="X68" s="26">
        <f t="shared" ca="1" si="17"/>
        <v>-24.58</v>
      </c>
      <c r="Y68" s="26">
        <f t="shared" ca="1" si="17"/>
        <v>-24.87</v>
      </c>
      <c r="Z68" s="26">
        <f t="shared" ca="1" si="17"/>
        <v>-25.16</v>
      </c>
      <c r="AA68" s="26">
        <f t="shared" ca="1" si="17"/>
        <v>-26.28</v>
      </c>
      <c r="AB68" s="26">
        <f t="shared" ca="1" si="17"/>
        <v>-27.37</v>
      </c>
      <c r="AC68" s="26">
        <f t="shared" ca="1" si="17"/>
        <v>-28.41</v>
      </c>
      <c r="AD68" s="26">
        <f t="shared" ca="1" si="17"/>
        <v>-29.42</v>
      </c>
      <c r="AE68" s="26">
        <f t="shared" ca="1" si="17"/>
        <v>0</v>
      </c>
      <c r="AF68" s="26">
        <f t="shared" ca="1" si="17"/>
        <v>0</v>
      </c>
      <c r="AG68" s="26">
        <f t="shared" ca="1" si="17"/>
        <v>0</v>
      </c>
      <c r="AH68" s="26">
        <f t="shared" ca="1" si="17"/>
        <v>0</v>
      </c>
      <c r="AI68" s="26">
        <f t="shared" ca="1" si="17"/>
        <v>0</v>
      </c>
      <c r="AJ68" s="26">
        <f t="shared" ca="1" si="17"/>
        <v>0</v>
      </c>
      <c r="AK68" s="26">
        <f t="shared" ca="1" si="17"/>
        <v>0</v>
      </c>
      <c r="AL68" s="26">
        <f t="shared" ca="1" si="17"/>
        <v>0</v>
      </c>
    </row>
    <row r="69" spans="1:38" ht="21" hidden="1" customHeight="1" outlineLevel="1" thickBot="1" x14ac:dyDescent="0.4">
      <c r="A69" s="10">
        <f t="shared" si="15"/>
        <v>0</v>
      </c>
      <c r="B69" s="10">
        <f t="shared" si="15"/>
        <v>0</v>
      </c>
      <c r="C69" s="10">
        <f t="shared" si="15"/>
        <v>0</v>
      </c>
      <c r="D69" s="10">
        <f t="shared" si="15"/>
        <v>0</v>
      </c>
      <c r="E69" s="11">
        <f t="shared" si="15"/>
        <v>0</v>
      </c>
      <c r="F69" s="26">
        <f t="shared" ca="1" si="16"/>
        <v>0</v>
      </c>
      <c r="G69" s="26">
        <f t="shared" ca="1" si="17"/>
        <v>0</v>
      </c>
      <c r="H69" s="26">
        <f t="shared" ca="1" si="17"/>
        <v>0</v>
      </c>
      <c r="I69" s="26">
        <f t="shared" ca="1" si="17"/>
        <v>0</v>
      </c>
      <c r="J69" s="26">
        <f t="shared" ca="1" si="17"/>
        <v>0</v>
      </c>
      <c r="K69" s="26">
        <f t="shared" ca="1" si="17"/>
        <v>0</v>
      </c>
      <c r="L69" s="26">
        <f t="shared" ca="1" si="17"/>
        <v>0</v>
      </c>
      <c r="M69" s="26">
        <f t="shared" ca="1" si="17"/>
        <v>0</v>
      </c>
      <c r="N69" s="26">
        <f t="shared" ca="1" si="17"/>
        <v>0</v>
      </c>
      <c r="O69" s="26">
        <f t="shared" ca="1" si="17"/>
        <v>0</v>
      </c>
      <c r="P69" s="26">
        <f t="shared" ca="1" si="17"/>
        <v>0</v>
      </c>
      <c r="Q69" s="26">
        <f t="shared" ca="1" si="17"/>
        <v>0</v>
      </c>
      <c r="R69" s="26">
        <f t="shared" ca="1" si="17"/>
        <v>0</v>
      </c>
      <c r="S69" s="26">
        <f t="shared" ca="1" si="17"/>
        <v>0</v>
      </c>
      <c r="T69" s="26">
        <f t="shared" ca="1" si="17"/>
        <v>0</v>
      </c>
      <c r="U69" s="26">
        <f t="shared" ca="1" si="17"/>
        <v>0</v>
      </c>
      <c r="V69" s="26">
        <f t="shared" ca="1" si="17"/>
        <v>0</v>
      </c>
      <c r="W69" s="26">
        <f t="shared" ca="1" si="17"/>
        <v>0</v>
      </c>
      <c r="X69" s="26">
        <f t="shared" ca="1" si="17"/>
        <v>0</v>
      </c>
      <c r="Y69" s="26">
        <f t="shared" ca="1" si="17"/>
        <v>0</v>
      </c>
      <c r="Z69" s="26">
        <f t="shared" ca="1" si="17"/>
        <v>0</v>
      </c>
      <c r="AA69" s="26">
        <f t="shared" ca="1" si="17"/>
        <v>0</v>
      </c>
      <c r="AB69" s="26">
        <f t="shared" ca="1" si="17"/>
        <v>0</v>
      </c>
      <c r="AC69" s="26">
        <f t="shared" ca="1" si="17"/>
        <v>0</v>
      </c>
      <c r="AD69" s="26">
        <f t="shared" ca="1" si="17"/>
        <v>0</v>
      </c>
      <c r="AE69" s="26">
        <f t="shared" ca="1" si="17"/>
        <v>0</v>
      </c>
      <c r="AF69" s="26">
        <f t="shared" ca="1" si="17"/>
        <v>0</v>
      </c>
      <c r="AG69" s="26">
        <f t="shared" ca="1" si="17"/>
        <v>0</v>
      </c>
      <c r="AH69" s="26">
        <f t="shared" ca="1" si="17"/>
        <v>0</v>
      </c>
      <c r="AI69" s="26">
        <f t="shared" ca="1" si="17"/>
        <v>0</v>
      </c>
      <c r="AJ69" s="26">
        <f t="shared" ca="1" si="17"/>
        <v>0</v>
      </c>
      <c r="AK69" s="26">
        <f t="shared" ca="1" si="17"/>
        <v>0</v>
      </c>
      <c r="AL69" s="26">
        <f t="shared" ca="1" si="17"/>
        <v>0</v>
      </c>
    </row>
    <row r="70" spans="1:38" ht="21" hidden="1" customHeight="1" outlineLevel="1" thickBot="1" x14ac:dyDescent="0.4">
      <c r="A70" s="10">
        <f t="shared" ref="A70:E79" si="18">A24</f>
        <v>0</v>
      </c>
      <c r="B70" s="10">
        <f t="shared" si="18"/>
        <v>0</v>
      </c>
      <c r="C70" s="10">
        <f t="shared" si="18"/>
        <v>0</v>
      </c>
      <c r="D70" s="10">
        <f t="shared" si="18"/>
        <v>0</v>
      </c>
      <c r="E70" s="11">
        <f t="shared" si="18"/>
        <v>0</v>
      </c>
      <c r="F70" s="26">
        <f t="shared" ref="F70:U78" ca="1" si="19">$A70*H.Ar + $B70*H.Se + $C70*H.Ge + $D70*H.Ga</f>
        <v>0</v>
      </c>
      <c r="G70" s="26">
        <f t="shared" ca="1" si="19"/>
        <v>0</v>
      </c>
      <c r="H70" s="26">
        <f t="shared" ca="1" si="19"/>
        <v>0</v>
      </c>
      <c r="I70" s="26">
        <f t="shared" ca="1" si="19"/>
        <v>0</v>
      </c>
      <c r="J70" s="26">
        <f t="shared" ca="1" si="19"/>
        <v>0</v>
      </c>
      <c r="K70" s="26">
        <f t="shared" ca="1" si="19"/>
        <v>0</v>
      </c>
      <c r="L70" s="26">
        <f t="shared" ca="1" si="19"/>
        <v>0</v>
      </c>
      <c r="M70" s="26">
        <f t="shared" ca="1" si="19"/>
        <v>0</v>
      </c>
      <c r="N70" s="26">
        <f t="shared" ca="1" si="19"/>
        <v>0</v>
      </c>
      <c r="O70" s="26">
        <f t="shared" ca="1" si="19"/>
        <v>0</v>
      </c>
      <c r="P70" s="26">
        <f t="shared" ca="1" si="19"/>
        <v>0</v>
      </c>
      <c r="Q70" s="26">
        <f t="shared" ca="1" si="19"/>
        <v>0</v>
      </c>
      <c r="R70" s="26">
        <f t="shared" ca="1" si="19"/>
        <v>0</v>
      </c>
      <c r="S70" s="26">
        <f t="shared" ca="1" si="19"/>
        <v>0</v>
      </c>
      <c r="T70" s="26">
        <f t="shared" ca="1" si="19"/>
        <v>0</v>
      </c>
      <c r="U70" s="26">
        <f t="shared" ca="1" si="19"/>
        <v>0</v>
      </c>
      <c r="V70" s="26">
        <f t="shared" ca="1" si="17"/>
        <v>0</v>
      </c>
      <c r="W70" s="26">
        <f t="shared" ca="1" si="17"/>
        <v>0</v>
      </c>
      <c r="X70" s="26">
        <f t="shared" ca="1" si="17"/>
        <v>0</v>
      </c>
      <c r="Y70" s="26">
        <f t="shared" ca="1" si="17"/>
        <v>0</v>
      </c>
      <c r="Z70" s="26">
        <f t="shared" ca="1" si="17"/>
        <v>0</v>
      </c>
      <c r="AA70" s="26">
        <f t="shared" ca="1" si="17"/>
        <v>0</v>
      </c>
      <c r="AB70" s="26">
        <f t="shared" ca="1" si="17"/>
        <v>0</v>
      </c>
      <c r="AC70" s="26">
        <f t="shared" ca="1" si="17"/>
        <v>0</v>
      </c>
      <c r="AD70" s="26">
        <f t="shared" ca="1" si="17"/>
        <v>0</v>
      </c>
      <c r="AE70" s="26">
        <f t="shared" ca="1" si="17"/>
        <v>0</v>
      </c>
      <c r="AF70" s="26">
        <f t="shared" ca="1" si="17"/>
        <v>0</v>
      </c>
      <c r="AG70" s="26">
        <f t="shared" ca="1" si="17"/>
        <v>0</v>
      </c>
      <c r="AH70" s="26">
        <f t="shared" ca="1" si="17"/>
        <v>0</v>
      </c>
      <c r="AI70" s="26">
        <f t="shared" ca="1" si="17"/>
        <v>0</v>
      </c>
      <c r="AJ70" s="26">
        <f t="shared" ca="1" si="17"/>
        <v>0</v>
      </c>
      <c r="AK70" s="26">
        <f t="shared" ca="1" si="17"/>
        <v>0</v>
      </c>
      <c r="AL70" s="26">
        <f t="shared" ca="1" si="17"/>
        <v>0</v>
      </c>
    </row>
    <row r="71" spans="1:38" ht="21" hidden="1" customHeight="1" outlineLevel="1" thickBot="1" x14ac:dyDescent="0.4">
      <c r="A71" s="10">
        <f t="shared" si="18"/>
        <v>0</v>
      </c>
      <c r="B71" s="10">
        <f t="shared" si="18"/>
        <v>0</v>
      </c>
      <c r="C71" s="10">
        <f t="shared" si="18"/>
        <v>0</v>
      </c>
      <c r="D71" s="10">
        <f t="shared" si="18"/>
        <v>0</v>
      </c>
      <c r="E71" s="11">
        <f t="shared" si="18"/>
        <v>0</v>
      </c>
      <c r="F71" s="26">
        <f t="shared" ca="1" si="19"/>
        <v>0</v>
      </c>
      <c r="G71" s="26">
        <f t="shared" ca="1" si="17"/>
        <v>0</v>
      </c>
      <c r="H71" s="26">
        <f t="shared" ca="1" si="17"/>
        <v>0</v>
      </c>
      <c r="I71" s="26">
        <f t="shared" ca="1" si="17"/>
        <v>0</v>
      </c>
      <c r="J71" s="26">
        <f t="shared" ca="1" si="17"/>
        <v>0</v>
      </c>
      <c r="K71" s="26">
        <f t="shared" ca="1" si="17"/>
        <v>0</v>
      </c>
      <c r="L71" s="26">
        <f t="shared" ca="1" si="17"/>
        <v>0</v>
      </c>
      <c r="M71" s="26">
        <f t="shared" ca="1" si="17"/>
        <v>0</v>
      </c>
      <c r="N71" s="26">
        <f t="shared" ca="1" si="17"/>
        <v>0</v>
      </c>
      <c r="O71" s="26">
        <f t="shared" ca="1" si="17"/>
        <v>0</v>
      </c>
      <c r="P71" s="26">
        <f t="shared" ca="1" si="17"/>
        <v>0</v>
      </c>
      <c r="Q71" s="26">
        <f t="shared" ca="1" si="17"/>
        <v>0</v>
      </c>
      <c r="R71" s="26">
        <f t="shared" ca="1" si="17"/>
        <v>0</v>
      </c>
      <c r="S71" s="26">
        <f t="shared" ca="1" si="17"/>
        <v>0</v>
      </c>
      <c r="T71" s="26">
        <f t="shared" ca="1" si="17"/>
        <v>0</v>
      </c>
      <c r="U71" s="26">
        <f t="shared" ca="1" si="17"/>
        <v>0</v>
      </c>
      <c r="V71" s="26">
        <f t="shared" ca="1" si="17"/>
        <v>0</v>
      </c>
      <c r="W71" s="26">
        <f t="shared" ca="1" si="17"/>
        <v>0</v>
      </c>
      <c r="X71" s="26">
        <f t="shared" ca="1" si="17"/>
        <v>0</v>
      </c>
      <c r="Y71" s="26">
        <f t="shared" ca="1" si="17"/>
        <v>0</v>
      </c>
      <c r="Z71" s="26">
        <f t="shared" ca="1" si="17"/>
        <v>0</v>
      </c>
      <c r="AA71" s="26">
        <f t="shared" ca="1" si="17"/>
        <v>0</v>
      </c>
      <c r="AB71" s="26">
        <f t="shared" ca="1" si="17"/>
        <v>0</v>
      </c>
      <c r="AC71" s="26">
        <f t="shared" ca="1" si="17"/>
        <v>0</v>
      </c>
      <c r="AD71" s="26">
        <f t="shared" ca="1" si="17"/>
        <v>0</v>
      </c>
      <c r="AE71" s="26">
        <f t="shared" ca="1" si="17"/>
        <v>0</v>
      </c>
      <c r="AF71" s="26">
        <f t="shared" ca="1" si="17"/>
        <v>0</v>
      </c>
      <c r="AG71" s="26">
        <f t="shared" ca="1" si="17"/>
        <v>0</v>
      </c>
      <c r="AH71" s="26">
        <f t="shared" ca="1" si="17"/>
        <v>0</v>
      </c>
      <c r="AI71" s="26">
        <f t="shared" ca="1" si="17"/>
        <v>0</v>
      </c>
      <c r="AJ71" s="26">
        <f t="shared" ca="1" si="17"/>
        <v>0</v>
      </c>
      <c r="AK71" s="26">
        <f t="shared" ca="1" si="17"/>
        <v>0</v>
      </c>
      <c r="AL71" s="26">
        <f t="shared" ca="1" si="17"/>
        <v>0</v>
      </c>
    </row>
    <row r="72" spans="1:38" ht="21" hidden="1" customHeight="1" outlineLevel="1" thickBot="1" x14ac:dyDescent="0.4">
      <c r="A72" s="10">
        <f t="shared" si="18"/>
        <v>0</v>
      </c>
      <c r="B72" s="10">
        <f t="shared" si="18"/>
        <v>0</v>
      </c>
      <c r="C72" s="10">
        <f t="shared" si="18"/>
        <v>0</v>
      </c>
      <c r="D72" s="10">
        <f t="shared" si="18"/>
        <v>0</v>
      </c>
      <c r="E72" s="11">
        <f t="shared" si="18"/>
        <v>0</v>
      </c>
      <c r="F72" s="26">
        <f t="shared" ca="1" si="19"/>
        <v>0</v>
      </c>
      <c r="G72" s="26">
        <f t="shared" ca="1" si="17"/>
        <v>0</v>
      </c>
      <c r="H72" s="26">
        <f t="shared" ca="1" si="17"/>
        <v>0</v>
      </c>
      <c r="I72" s="26">
        <f t="shared" ca="1" si="17"/>
        <v>0</v>
      </c>
      <c r="J72" s="26">
        <f t="shared" ca="1" si="17"/>
        <v>0</v>
      </c>
      <c r="K72" s="26">
        <f t="shared" ca="1" si="17"/>
        <v>0</v>
      </c>
      <c r="L72" s="26">
        <f t="shared" ca="1" si="17"/>
        <v>0</v>
      </c>
      <c r="M72" s="26">
        <f t="shared" ca="1" si="17"/>
        <v>0</v>
      </c>
      <c r="N72" s="26">
        <f t="shared" ca="1" si="17"/>
        <v>0</v>
      </c>
      <c r="O72" s="26">
        <f t="shared" ca="1" si="17"/>
        <v>0</v>
      </c>
      <c r="P72" s="26">
        <f t="shared" ca="1" si="17"/>
        <v>0</v>
      </c>
      <c r="Q72" s="26">
        <f t="shared" ca="1" si="17"/>
        <v>0</v>
      </c>
      <c r="R72" s="26">
        <f t="shared" ca="1" si="17"/>
        <v>0</v>
      </c>
      <c r="S72" s="26">
        <f t="shared" ca="1" si="17"/>
        <v>0</v>
      </c>
      <c r="T72" s="26">
        <f t="shared" ca="1" si="17"/>
        <v>0</v>
      </c>
      <c r="U72" s="26">
        <f t="shared" ca="1" si="17"/>
        <v>0</v>
      </c>
      <c r="V72" s="26">
        <f t="shared" ca="1" si="17"/>
        <v>0</v>
      </c>
      <c r="W72" s="26">
        <f t="shared" ca="1" si="17"/>
        <v>0</v>
      </c>
      <c r="X72" s="26">
        <f t="shared" ca="1" si="17"/>
        <v>0</v>
      </c>
      <c r="Y72" s="26">
        <f t="shared" ca="1" si="17"/>
        <v>0</v>
      </c>
      <c r="Z72" s="26">
        <f t="shared" ca="1" si="17"/>
        <v>0</v>
      </c>
      <c r="AA72" s="26">
        <f t="shared" ca="1" si="17"/>
        <v>0</v>
      </c>
      <c r="AB72" s="26">
        <f t="shared" ca="1" si="17"/>
        <v>0</v>
      </c>
      <c r="AC72" s="26">
        <f t="shared" ca="1" si="17"/>
        <v>0</v>
      </c>
      <c r="AD72" s="26">
        <f t="shared" ca="1" si="17"/>
        <v>0</v>
      </c>
      <c r="AE72" s="26">
        <f t="shared" ca="1" si="17"/>
        <v>0</v>
      </c>
      <c r="AF72" s="26">
        <f t="shared" ca="1" si="17"/>
        <v>0</v>
      </c>
      <c r="AG72" s="26">
        <f t="shared" ca="1" si="17"/>
        <v>0</v>
      </c>
      <c r="AH72" s="26">
        <f t="shared" ca="1" si="17"/>
        <v>0</v>
      </c>
      <c r="AI72" s="26">
        <f t="shared" ca="1" si="17"/>
        <v>0</v>
      </c>
      <c r="AJ72" s="26">
        <f t="shared" ca="1" si="17"/>
        <v>0</v>
      </c>
      <c r="AK72" s="26">
        <f t="shared" ca="1" si="17"/>
        <v>0</v>
      </c>
      <c r="AL72" s="26">
        <f t="shared" ca="1" si="17"/>
        <v>0</v>
      </c>
    </row>
    <row r="73" spans="1:38" ht="21" hidden="1" customHeight="1" outlineLevel="1" thickBot="1" x14ac:dyDescent="0.4">
      <c r="A73" s="10">
        <f t="shared" si="18"/>
        <v>0</v>
      </c>
      <c r="B73" s="10">
        <f t="shared" si="18"/>
        <v>0</v>
      </c>
      <c r="C73" s="10">
        <f t="shared" si="18"/>
        <v>0</v>
      </c>
      <c r="D73" s="10">
        <f t="shared" si="18"/>
        <v>0</v>
      </c>
      <c r="E73" s="11">
        <f t="shared" si="18"/>
        <v>0</v>
      </c>
      <c r="F73" s="26">
        <f t="shared" ca="1" si="19"/>
        <v>0</v>
      </c>
      <c r="G73" s="26">
        <f t="shared" ca="1" si="17"/>
        <v>0</v>
      </c>
      <c r="H73" s="26">
        <f t="shared" ca="1" si="17"/>
        <v>0</v>
      </c>
      <c r="I73" s="26">
        <f t="shared" ca="1" si="17"/>
        <v>0</v>
      </c>
      <c r="J73" s="26">
        <f t="shared" ca="1" si="17"/>
        <v>0</v>
      </c>
      <c r="K73" s="26">
        <f t="shared" ca="1" si="17"/>
        <v>0</v>
      </c>
      <c r="L73" s="26">
        <f t="shared" ca="1" si="17"/>
        <v>0</v>
      </c>
      <c r="M73" s="26">
        <f t="shared" ca="1" si="17"/>
        <v>0</v>
      </c>
      <c r="N73" s="26">
        <f t="shared" ca="1" si="17"/>
        <v>0</v>
      </c>
      <c r="O73" s="26">
        <f t="shared" ca="1" si="17"/>
        <v>0</v>
      </c>
      <c r="P73" s="26">
        <f t="shared" ca="1" si="17"/>
        <v>0</v>
      </c>
      <c r="Q73" s="26">
        <f t="shared" ca="1" si="17"/>
        <v>0</v>
      </c>
      <c r="R73" s="26">
        <f t="shared" ca="1" si="17"/>
        <v>0</v>
      </c>
      <c r="S73" s="26">
        <f t="shared" ca="1" si="17"/>
        <v>0</v>
      </c>
      <c r="T73" s="26">
        <f t="shared" ca="1" si="17"/>
        <v>0</v>
      </c>
      <c r="U73" s="26">
        <f t="shared" ca="1" si="17"/>
        <v>0</v>
      </c>
      <c r="V73" s="26">
        <f t="shared" ca="1" si="17"/>
        <v>0</v>
      </c>
      <c r="W73" s="26">
        <f t="shared" ca="1" si="17"/>
        <v>0</v>
      </c>
      <c r="X73" s="26">
        <f t="shared" ca="1" si="17"/>
        <v>0</v>
      </c>
      <c r="Y73" s="26">
        <f t="shared" ca="1" si="17"/>
        <v>0</v>
      </c>
      <c r="Z73" s="26">
        <f t="shared" ca="1" si="17"/>
        <v>0</v>
      </c>
      <c r="AA73" s="26">
        <f t="shared" ca="1" si="17"/>
        <v>0</v>
      </c>
      <c r="AB73" s="26">
        <f t="shared" ca="1" si="17"/>
        <v>0</v>
      </c>
      <c r="AC73" s="26">
        <f t="shared" ca="1" si="17"/>
        <v>0</v>
      </c>
      <c r="AD73" s="26">
        <f t="shared" ca="1" si="17"/>
        <v>0</v>
      </c>
      <c r="AE73" s="26">
        <f t="shared" ca="1" si="17"/>
        <v>0</v>
      </c>
      <c r="AF73" s="26">
        <f t="shared" ca="1" si="17"/>
        <v>0</v>
      </c>
      <c r="AG73" s="26">
        <f t="shared" ca="1" si="17"/>
        <v>0</v>
      </c>
      <c r="AH73" s="26">
        <f t="shared" ca="1" si="17"/>
        <v>0</v>
      </c>
      <c r="AI73" s="26">
        <f t="shared" ca="1" si="17"/>
        <v>0</v>
      </c>
      <c r="AJ73" s="26">
        <f t="shared" ca="1" si="17"/>
        <v>0</v>
      </c>
      <c r="AK73" s="26">
        <f t="shared" ca="1" si="17"/>
        <v>0</v>
      </c>
      <c r="AL73" s="26">
        <f t="shared" ca="1" si="17"/>
        <v>0</v>
      </c>
    </row>
    <row r="74" spans="1:38" ht="21" hidden="1" customHeight="1" outlineLevel="1" thickBot="1" x14ac:dyDescent="0.4">
      <c r="A74" s="10">
        <f t="shared" si="18"/>
        <v>0</v>
      </c>
      <c r="B74" s="10">
        <f t="shared" si="18"/>
        <v>0</v>
      </c>
      <c r="C74" s="10">
        <f t="shared" si="18"/>
        <v>0</v>
      </c>
      <c r="D74" s="10">
        <f t="shared" si="18"/>
        <v>0</v>
      </c>
      <c r="E74" s="11">
        <f t="shared" si="18"/>
        <v>0</v>
      </c>
      <c r="F74" s="26">
        <f t="shared" ca="1" si="19"/>
        <v>0</v>
      </c>
      <c r="G74" s="26">
        <f t="shared" ca="1" si="17"/>
        <v>0</v>
      </c>
      <c r="H74" s="26">
        <f t="shared" ca="1" si="17"/>
        <v>0</v>
      </c>
      <c r="I74" s="26">
        <f t="shared" ca="1" si="17"/>
        <v>0</v>
      </c>
      <c r="J74" s="26">
        <f t="shared" ca="1" si="17"/>
        <v>0</v>
      </c>
      <c r="K74" s="26">
        <f t="shared" ca="1" si="17"/>
        <v>0</v>
      </c>
      <c r="L74" s="26">
        <f t="shared" ca="1" si="17"/>
        <v>0</v>
      </c>
      <c r="M74" s="26">
        <f t="shared" ca="1" si="17"/>
        <v>0</v>
      </c>
      <c r="N74" s="26">
        <f t="shared" ca="1" si="17"/>
        <v>0</v>
      </c>
      <c r="O74" s="26">
        <f t="shared" ca="1" si="17"/>
        <v>0</v>
      </c>
      <c r="P74" s="26">
        <f t="shared" ca="1" si="17"/>
        <v>0</v>
      </c>
      <c r="Q74" s="26">
        <f t="shared" ca="1" si="17"/>
        <v>0</v>
      </c>
      <c r="R74" s="26">
        <f t="shared" ca="1" si="17"/>
        <v>0</v>
      </c>
      <c r="S74" s="26">
        <f t="shared" ca="1" si="17"/>
        <v>0</v>
      </c>
      <c r="T74" s="26">
        <f t="shared" ca="1" si="17"/>
        <v>0</v>
      </c>
      <c r="U74" s="26">
        <f t="shared" ca="1" si="17"/>
        <v>0</v>
      </c>
      <c r="V74" s="26">
        <f t="shared" ca="1" si="17"/>
        <v>0</v>
      </c>
      <c r="W74" s="26">
        <f t="shared" ca="1" si="17"/>
        <v>0</v>
      </c>
      <c r="X74" s="26">
        <f t="shared" ca="1" si="17"/>
        <v>0</v>
      </c>
      <c r="Y74" s="26">
        <f t="shared" ca="1" si="17"/>
        <v>0</v>
      </c>
      <c r="Z74" s="26">
        <f t="shared" ca="1" si="17"/>
        <v>0</v>
      </c>
      <c r="AA74" s="26">
        <f t="shared" ca="1" si="17"/>
        <v>0</v>
      </c>
      <c r="AB74" s="26">
        <f t="shared" ca="1" si="17"/>
        <v>0</v>
      </c>
      <c r="AC74" s="26">
        <f t="shared" ca="1" si="17"/>
        <v>0</v>
      </c>
      <c r="AD74" s="26">
        <f t="shared" ca="1" si="17"/>
        <v>0</v>
      </c>
      <c r="AE74" s="26">
        <f t="shared" ca="1" si="17"/>
        <v>0</v>
      </c>
      <c r="AF74" s="26">
        <f t="shared" ca="1" si="17"/>
        <v>0</v>
      </c>
      <c r="AG74" s="26">
        <f t="shared" ca="1" si="17"/>
        <v>0</v>
      </c>
      <c r="AH74" s="26">
        <f t="shared" ca="1" si="17"/>
        <v>0</v>
      </c>
      <c r="AI74" s="26">
        <f t="shared" ca="1" si="17"/>
        <v>0</v>
      </c>
      <c r="AJ74" s="26">
        <f t="shared" ca="1" si="17"/>
        <v>0</v>
      </c>
      <c r="AK74" s="26">
        <f t="shared" ca="1" si="17"/>
        <v>0</v>
      </c>
      <c r="AL74" s="26">
        <f t="shared" ca="1" si="17"/>
        <v>0</v>
      </c>
    </row>
    <row r="75" spans="1:38" ht="21" hidden="1" customHeight="1" outlineLevel="1" thickBot="1" x14ac:dyDescent="0.4">
      <c r="A75" s="10">
        <f t="shared" si="18"/>
        <v>0</v>
      </c>
      <c r="B75" s="10">
        <f t="shared" si="18"/>
        <v>0</v>
      </c>
      <c r="C75" s="10">
        <f t="shared" si="18"/>
        <v>0</v>
      </c>
      <c r="D75" s="10">
        <f t="shared" si="18"/>
        <v>0</v>
      </c>
      <c r="E75" s="11">
        <f t="shared" si="18"/>
        <v>0</v>
      </c>
      <c r="F75" s="26">
        <f t="shared" ca="1" si="19"/>
        <v>0</v>
      </c>
      <c r="G75" s="26">
        <f t="shared" ca="1" si="17"/>
        <v>0</v>
      </c>
      <c r="H75" s="26">
        <f t="shared" ca="1" si="17"/>
        <v>0</v>
      </c>
      <c r="I75" s="26">
        <f t="shared" ca="1" si="17"/>
        <v>0</v>
      </c>
      <c r="J75" s="26">
        <f t="shared" ca="1" si="17"/>
        <v>0</v>
      </c>
      <c r="K75" s="26">
        <f t="shared" ca="1" si="17"/>
        <v>0</v>
      </c>
      <c r="L75" s="26">
        <f t="shared" ca="1" si="17"/>
        <v>0</v>
      </c>
      <c r="M75" s="26">
        <f t="shared" ca="1" si="17"/>
        <v>0</v>
      </c>
      <c r="N75" s="26">
        <f t="shared" ca="1" si="17"/>
        <v>0</v>
      </c>
      <c r="O75" s="26">
        <f t="shared" ca="1" si="17"/>
        <v>0</v>
      </c>
      <c r="P75" s="26">
        <f t="shared" ca="1" si="17"/>
        <v>0</v>
      </c>
      <c r="Q75" s="26">
        <f t="shared" ref="G75:AL78" ca="1" si="20">$A75*H.Ar + $B75*H.Se + $C75*H.Ge + $D75*H.Ga</f>
        <v>0</v>
      </c>
      <c r="R75" s="26">
        <f t="shared" ca="1" si="20"/>
        <v>0</v>
      </c>
      <c r="S75" s="26">
        <f t="shared" ca="1" si="20"/>
        <v>0</v>
      </c>
      <c r="T75" s="26">
        <f t="shared" ca="1" si="20"/>
        <v>0</v>
      </c>
      <c r="U75" s="26">
        <f t="shared" ca="1" si="20"/>
        <v>0</v>
      </c>
      <c r="V75" s="26">
        <f t="shared" ca="1" si="20"/>
        <v>0</v>
      </c>
      <c r="W75" s="26">
        <f t="shared" ca="1" si="20"/>
        <v>0</v>
      </c>
      <c r="X75" s="26">
        <f t="shared" ca="1" si="20"/>
        <v>0</v>
      </c>
      <c r="Y75" s="26">
        <f t="shared" ca="1" si="20"/>
        <v>0</v>
      </c>
      <c r="Z75" s="26">
        <f t="shared" ca="1" si="20"/>
        <v>0</v>
      </c>
      <c r="AA75" s="26">
        <f t="shared" ca="1" si="20"/>
        <v>0</v>
      </c>
      <c r="AB75" s="26">
        <f t="shared" ca="1" si="20"/>
        <v>0</v>
      </c>
      <c r="AC75" s="26">
        <f t="shared" ca="1" si="20"/>
        <v>0</v>
      </c>
      <c r="AD75" s="26">
        <f t="shared" ca="1" si="20"/>
        <v>0</v>
      </c>
      <c r="AE75" s="26">
        <f t="shared" ca="1" si="20"/>
        <v>0</v>
      </c>
      <c r="AF75" s="26">
        <f t="shared" ca="1" si="20"/>
        <v>0</v>
      </c>
      <c r="AG75" s="26">
        <f t="shared" ca="1" si="20"/>
        <v>0</v>
      </c>
      <c r="AH75" s="26">
        <f t="shared" ca="1" si="20"/>
        <v>0</v>
      </c>
      <c r="AI75" s="26">
        <f t="shared" ca="1" si="20"/>
        <v>0</v>
      </c>
      <c r="AJ75" s="26">
        <f t="shared" ca="1" si="20"/>
        <v>0</v>
      </c>
      <c r="AK75" s="26">
        <f t="shared" ca="1" si="20"/>
        <v>0</v>
      </c>
      <c r="AL75" s="26">
        <f t="shared" ca="1" si="20"/>
        <v>0</v>
      </c>
    </row>
    <row r="76" spans="1:38" ht="21" hidden="1" customHeight="1" outlineLevel="1" thickBot="1" x14ac:dyDescent="0.4">
      <c r="A76" s="10">
        <f t="shared" si="18"/>
        <v>0</v>
      </c>
      <c r="B76" s="10">
        <f t="shared" si="18"/>
        <v>0</v>
      </c>
      <c r="C76" s="10">
        <f t="shared" si="18"/>
        <v>0</v>
      </c>
      <c r="D76" s="10">
        <f t="shared" si="18"/>
        <v>0</v>
      </c>
      <c r="E76" s="11">
        <f t="shared" si="18"/>
        <v>0</v>
      </c>
      <c r="F76" s="26">
        <f t="shared" ca="1" si="19"/>
        <v>0</v>
      </c>
      <c r="G76" s="26">
        <f t="shared" ca="1" si="20"/>
        <v>0</v>
      </c>
      <c r="H76" s="26">
        <f t="shared" ca="1" si="20"/>
        <v>0</v>
      </c>
      <c r="I76" s="26">
        <f t="shared" ca="1" si="20"/>
        <v>0</v>
      </c>
      <c r="J76" s="26">
        <f t="shared" ca="1" si="20"/>
        <v>0</v>
      </c>
      <c r="K76" s="26">
        <f t="shared" ca="1" si="20"/>
        <v>0</v>
      </c>
      <c r="L76" s="26">
        <f t="shared" ca="1" si="20"/>
        <v>0</v>
      </c>
      <c r="M76" s="26">
        <f t="shared" ca="1" si="20"/>
        <v>0</v>
      </c>
      <c r="N76" s="26">
        <f t="shared" ca="1" si="20"/>
        <v>0</v>
      </c>
      <c r="O76" s="26">
        <f t="shared" ca="1" si="20"/>
        <v>0</v>
      </c>
      <c r="P76" s="26">
        <f t="shared" ca="1" si="20"/>
        <v>0</v>
      </c>
      <c r="Q76" s="26">
        <f t="shared" ca="1" si="20"/>
        <v>0</v>
      </c>
      <c r="R76" s="26">
        <f t="shared" ca="1" si="20"/>
        <v>0</v>
      </c>
      <c r="S76" s="26">
        <f t="shared" ca="1" si="20"/>
        <v>0</v>
      </c>
      <c r="T76" s="26">
        <f t="shared" ca="1" si="20"/>
        <v>0</v>
      </c>
      <c r="U76" s="26">
        <f t="shared" ca="1" si="20"/>
        <v>0</v>
      </c>
      <c r="V76" s="26">
        <f t="shared" ca="1" si="20"/>
        <v>0</v>
      </c>
      <c r="W76" s="26">
        <f t="shared" ca="1" si="20"/>
        <v>0</v>
      </c>
      <c r="X76" s="26">
        <f t="shared" ca="1" si="20"/>
        <v>0</v>
      </c>
      <c r="Y76" s="26">
        <f t="shared" ca="1" si="20"/>
        <v>0</v>
      </c>
      <c r="Z76" s="26">
        <f t="shared" ca="1" si="20"/>
        <v>0</v>
      </c>
      <c r="AA76" s="26">
        <f t="shared" ca="1" si="20"/>
        <v>0</v>
      </c>
      <c r="AB76" s="26">
        <f t="shared" ca="1" si="20"/>
        <v>0</v>
      </c>
      <c r="AC76" s="26">
        <f t="shared" ca="1" si="20"/>
        <v>0</v>
      </c>
      <c r="AD76" s="26">
        <f t="shared" ca="1" si="20"/>
        <v>0</v>
      </c>
      <c r="AE76" s="26">
        <f t="shared" ca="1" si="20"/>
        <v>0</v>
      </c>
      <c r="AF76" s="26">
        <f t="shared" ca="1" si="20"/>
        <v>0</v>
      </c>
      <c r="AG76" s="26">
        <f t="shared" ca="1" si="20"/>
        <v>0</v>
      </c>
      <c r="AH76" s="26">
        <f t="shared" ca="1" si="20"/>
        <v>0</v>
      </c>
      <c r="AI76" s="26">
        <f t="shared" ca="1" si="20"/>
        <v>0</v>
      </c>
      <c r="AJ76" s="26">
        <f t="shared" ca="1" si="20"/>
        <v>0</v>
      </c>
      <c r="AK76" s="26">
        <f t="shared" ca="1" si="20"/>
        <v>0</v>
      </c>
      <c r="AL76" s="26">
        <f t="shared" ca="1" si="20"/>
        <v>0</v>
      </c>
    </row>
    <row r="77" spans="1:38" ht="21" hidden="1" customHeight="1" outlineLevel="1" thickBot="1" x14ac:dyDescent="0.4">
      <c r="A77" s="10">
        <f t="shared" si="18"/>
        <v>0</v>
      </c>
      <c r="B77" s="10">
        <f t="shared" si="18"/>
        <v>0</v>
      </c>
      <c r="C77" s="10">
        <f t="shared" si="18"/>
        <v>0</v>
      </c>
      <c r="D77" s="10">
        <f t="shared" si="18"/>
        <v>0</v>
      </c>
      <c r="E77" s="11">
        <f t="shared" si="18"/>
        <v>0</v>
      </c>
      <c r="F77" s="26">
        <f t="shared" ca="1" si="19"/>
        <v>0</v>
      </c>
      <c r="G77" s="26">
        <f t="shared" ca="1" si="20"/>
        <v>0</v>
      </c>
      <c r="H77" s="26">
        <f t="shared" ca="1" si="20"/>
        <v>0</v>
      </c>
      <c r="I77" s="26">
        <f t="shared" ca="1" si="20"/>
        <v>0</v>
      </c>
      <c r="J77" s="26">
        <f t="shared" ca="1" si="20"/>
        <v>0</v>
      </c>
      <c r="K77" s="26">
        <f t="shared" ca="1" si="20"/>
        <v>0</v>
      </c>
      <c r="L77" s="26">
        <f t="shared" ca="1" si="20"/>
        <v>0</v>
      </c>
      <c r="M77" s="26">
        <f t="shared" ca="1" si="20"/>
        <v>0</v>
      </c>
      <c r="N77" s="26">
        <f t="shared" ca="1" si="20"/>
        <v>0</v>
      </c>
      <c r="O77" s="26">
        <f t="shared" ca="1" si="20"/>
        <v>0</v>
      </c>
      <c r="P77" s="26">
        <f t="shared" ca="1" si="20"/>
        <v>0</v>
      </c>
      <c r="Q77" s="26">
        <f t="shared" ca="1" si="20"/>
        <v>0</v>
      </c>
      <c r="R77" s="26">
        <f t="shared" ca="1" si="20"/>
        <v>0</v>
      </c>
      <c r="S77" s="26">
        <f t="shared" ca="1" si="20"/>
        <v>0</v>
      </c>
      <c r="T77" s="26">
        <f t="shared" ca="1" si="20"/>
        <v>0</v>
      </c>
      <c r="U77" s="26">
        <f t="shared" ca="1" si="20"/>
        <v>0</v>
      </c>
      <c r="V77" s="26">
        <f t="shared" ca="1" si="20"/>
        <v>0</v>
      </c>
      <c r="W77" s="26">
        <f t="shared" ca="1" si="20"/>
        <v>0</v>
      </c>
      <c r="X77" s="26">
        <f t="shared" ca="1" si="20"/>
        <v>0</v>
      </c>
      <c r="Y77" s="26">
        <f t="shared" ca="1" si="20"/>
        <v>0</v>
      </c>
      <c r="Z77" s="26">
        <f t="shared" ca="1" si="20"/>
        <v>0</v>
      </c>
      <c r="AA77" s="26">
        <f t="shared" ca="1" si="20"/>
        <v>0</v>
      </c>
      <c r="AB77" s="26">
        <f t="shared" ca="1" si="20"/>
        <v>0</v>
      </c>
      <c r="AC77" s="26">
        <f t="shared" ca="1" si="20"/>
        <v>0</v>
      </c>
      <c r="AD77" s="26">
        <f t="shared" ca="1" si="20"/>
        <v>0</v>
      </c>
      <c r="AE77" s="26">
        <f t="shared" ca="1" si="20"/>
        <v>0</v>
      </c>
      <c r="AF77" s="26">
        <f t="shared" ca="1" si="20"/>
        <v>0</v>
      </c>
      <c r="AG77" s="26">
        <f t="shared" ca="1" si="20"/>
        <v>0</v>
      </c>
      <c r="AH77" s="26">
        <f t="shared" ca="1" si="20"/>
        <v>0</v>
      </c>
      <c r="AI77" s="26">
        <f t="shared" ca="1" si="20"/>
        <v>0</v>
      </c>
      <c r="AJ77" s="26">
        <f t="shared" ca="1" si="20"/>
        <v>0</v>
      </c>
      <c r="AK77" s="26">
        <f t="shared" ca="1" si="20"/>
        <v>0</v>
      </c>
      <c r="AL77" s="26">
        <f t="shared" ca="1" si="20"/>
        <v>0</v>
      </c>
    </row>
    <row r="78" spans="1:38" ht="21" hidden="1" customHeight="1" outlineLevel="1" thickBot="1" x14ac:dyDescent="0.4">
      <c r="A78" s="10">
        <f t="shared" si="18"/>
        <v>0</v>
      </c>
      <c r="B78" s="10">
        <f t="shared" si="18"/>
        <v>0</v>
      </c>
      <c r="C78" s="10">
        <f t="shared" si="18"/>
        <v>0</v>
      </c>
      <c r="D78" s="10">
        <f t="shared" si="18"/>
        <v>0</v>
      </c>
      <c r="E78" s="11">
        <f t="shared" si="18"/>
        <v>0</v>
      </c>
      <c r="F78" s="26">
        <f t="shared" ca="1" si="19"/>
        <v>0</v>
      </c>
      <c r="G78" s="26">
        <f t="shared" ca="1" si="20"/>
        <v>0</v>
      </c>
      <c r="H78" s="26">
        <f t="shared" ca="1" si="20"/>
        <v>0</v>
      </c>
      <c r="I78" s="26">
        <f t="shared" ca="1" si="20"/>
        <v>0</v>
      </c>
      <c r="J78" s="26">
        <f t="shared" ca="1" si="20"/>
        <v>0</v>
      </c>
      <c r="K78" s="26">
        <f t="shared" ca="1" si="20"/>
        <v>0</v>
      </c>
      <c r="L78" s="26">
        <f t="shared" ca="1" si="20"/>
        <v>0</v>
      </c>
      <c r="M78" s="26">
        <f t="shared" ca="1" si="20"/>
        <v>0</v>
      </c>
      <c r="N78" s="26">
        <f t="shared" ca="1" si="20"/>
        <v>0</v>
      </c>
      <c r="O78" s="26">
        <f t="shared" ca="1" si="20"/>
        <v>0</v>
      </c>
      <c r="P78" s="26">
        <f t="shared" ca="1" si="20"/>
        <v>0</v>
      </c>
      <c r="Q78" s="26">
        <f t="shared" ca="1" si="20"/>
        <v>0</v>
      </c>
      <c r="R78" s="26">
        <f t="shared" ca="1" si="20"/>
        <v>0</v>
      </c>
      <c r="S78" s="26">
        <f t="shared" ca="1" si="20"/>
        <v>0</v>
      </c>
      <c r="T78" s="26">
        <f t="shared" ca="1" si="20"/>
        <v>0</v>
      </c>
      <c r="U78" s="26">
        <f t="shared" ca="1" si="20"/>
        <v>0</v>
      </c>
      <c r="V78" s="26">
        <f t="shared" ca="1" si="20"/>
        <v>0</v>
      </c>
      <c r="W78" s="26">
        <f t="shared" ca="1" si="20"/>
        <v>0</v>
      </c>
      <c r="X78" s="26">
        <f t="shared" ca="1" si="20"/>
        <v>0</v>
      </c>
      <c r="Y78" s="26">
        <f t="shared" ca="1" si="20"/>
        <v>0</v>
      </c>
      <c r="Z78" s="26">
        <f t="shared" ca="1" si="20"/>
        <v>0</v>
      </c>
      <c r="AA78" s="26">
        <f t="shared" ca="1" si="20"/>
        <v>0</v>
      </c>
      <c r="AB78" s="26">
        <f t="shared" ca="1" si="20"/>
        <v>0</v>
      </c>
      <c r="AC78" s="26">
        <f t="shared" ca="1" si="20"/>
        <v>0</v>
      </c>
      <c r="AD78" s="26">
        <f t="shared" ca="1" si="20"/>
        <v>0</v>
      </c>
      <c r="AE78" s="26">
        <f t="shared" ca="1" si="20"/>
        <v>0</v>
      </c>
      <c r="AF78" s="26">
        <f t="shared" ca="1" si="20"/>
        <v>0</v>
      </c>
      <c r="AG78" s="26">
        <f t="shared" ca="1" si="20"/>
        <v>0</v>
      </c>
      <c r="AH78" s="26">
        <f t="shared" ca="1" si="20"/>
        <v>0</v>
      </c>
      <c r="AI78" s="26">
        <f t="shared" ca="1" si="20"/>
        <v>0</v>
      </c>
      <c r="AJ78" s="26">
        <f t="shared" ca="1" si="20"/>
        <v>0</v>
      </c>
      <c r="AK78" s="26">
        <f t="shared" ca="1" si="20"/>
        <v>0</v>
      </c>
      <c r="AL78" s="26">
        <f t="shared" ca="1" si="20"/>
        <v>0</v>
      </c>
    </row>
    <row r="79" spans="1:38" ht="21" hidden="1" customHeight="1" outlineLevel="1" thickBot="1" x14ac:dyDescent="0.4">
      <c r="A79" s="10">
        <f t="shared" si="18"/>
        <v>0</v>
      </c>
      <c r="B79" s="10">
        <f t="shared" si="18"/>
        <v>0</v>
      </c>
      <c r="C79" s="10">
        <f t="shared" si="18"/>
        <v>0</v>
      </c>
      <c r="D79" s="10">
        <f t="shared" si="18"/>
        <v>0</v>
      </c>
      <c r="E79" s="11">
        <f t="shared" si="18"/>
        <v>1</v>
      </c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1:38" ht="21" hidden="1" customHeight="1" outlineLevel="1" x14ac:dyDescent="0.35"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</row>
    <row r="81" spans="1:38" ht="21" customHeight="1" collapsed="1" x14ac:dyDescent="0.35"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</row>
    <row r="82" spans="1:38" ht="21" customHeight="1" x14ac:dyDescent="0.4">
      <c r="A82" s="26"/>
      <c r="B82" s="26"/>
      <c r="C82" s="38">
        <f>E41</f>
        <v>5</v>
      </c>
      <c r="D82" s="3"/>
      <c r="E82" s="4" t="s">
        <v>29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</row>
    <row r="83" spans="1:38" ht="21" hidden="1" customHeight="1" outlineLevel="1" thickTop="1" thickBot="1" x14ac:dyDescent="0.4">
      <c r="A83" s="24" t="s">
        <v>1</v>
      </c>
      <c r="B83" s="7" t="s">
        <v>2</v>
      </c>
      <c r="C83" s="7" t="s">
        <v>3</v>
      </c>
      <c r="D83" s="25" t="s">
        <v>4</v>
      </c>
      <c r="E83" s="8">
        <f t="shared" ref="E83:E113" si="21">E49</f>
        <v>0</v>
      </c>
      <c r="F83" s="8">
        <f t="shared" ref="F83" si="22">F3</f>
        <v>273.10000000000002</v>
      </c>
      <c r="G83" s="8">
        <f t="shared" ref="G83:AL83" si="23">G3</f>
        <v>293.3</v>
      </c>
      <c r="H83" s="8">
        <f t="shared" si="23"/>
        <v>313.5</v>
      </c>
      <c r="I83" s="8">
        <f t="shared" si="23"/>
        <v>333.7</v>
      </c>
      <c r="J83" s="8">
        <f t="shared" si="23"/>
        <v>353.9</v>
      </c>
      <c r="K83" s="8">
        <f t="shared" si="23"/>
        <v>374.1</v>
      </c>
      <c r="L83" s="8">
        <f t="shared" si="23"/>
        <v>394.3</v>
      </c>
      <c r="M83" s="8">
        <f t="shared" si="23"/>
        <v>414.5</v>
      </c>
      <c r="N83" s="8">
        <f t="shared" si="23"/>
        <v>434.7</v>
      </c>
      <c r="O83" s="8">
        <f t="shared" si="23"/>
        <v>454.9</v>
      </c>
      <c r="P83" s="8">
        <f t="shared" si="23"/>
        <v>475.1</v>
      </c>
      <c r="Q83" s="8">
        <f t="shared" si="23"/>
        <v>495.2</v>
      </c>
      <c r="R83" s="8">
        <f t="shared" si="23"/>
        <v>515.4</v>
      </c>
      <c r="S83" s="8">
        <f t="shared" si="23"/>
        <v>535.6</v>
      </c>
      <c r="T83" s="8">
        <f t="shared" si="23"/>
        <v>555.79999999999995</v>
      </c>
      <c r="U83" s="8">
        <f t="shared" si="23"/>
        <v>576</v>
      </c>
      <c r="V83" s="8">
        <f t="shared" si="23"/>
        <v>596.20000000000005</v>
      </c>
      <c r="W83" s="8">
        <f t="shared" si="23"/>
        <v>616.4</v>
      </c>
      <c r="X83" s="8">
        <f t="shared" si="23"/>
        <v>636.6</v>
      </c>
      <c r="Y83" s="8">
        <f t="shared" si="23"/>
        <v>656.8</v>
      </c>
      <c r="Z83" s="8">
        <f t="shared" si="23"/>
        <v>677</v>
      </c>
      <c r="AA83" s="8">
        <f t="shared" si="23"/>
        <v>757.7</v>
      </c>
      <c r="AB83" s="8">
        <f t="shared" si="23"/>
        <v>838.5</v>
      </c>
      <c r="AC83" s="8">
        <f t="shared" si="23"/>
        <v>919.2</v>
      </c>
      <c r="AD83" s="8">
        <f t="shared" si="23"/>
        <v>1000</v>
      </c>
      <c r="AE83" s="8">
        <f t="shared" si="23"/>
        <v>0</v>
      </c>
      <c r="AF83" s="8">
        <f t="shared" si="23"/>
        <v>0</v>
      </c>
      <c r="AG83" s="8">
        <f t="shared" si="23"/>
        <v>0</v>
      </c>
      <c r="AH83" s="8">
        <f t="shared" si="23"/>
        <v>0</v>
      </c>
      <c r="AI83" s="8">
        <f t="shared" si="23"/>
        <v>0</v>
      </c>
      <c r="AJ83" s="8">
        <f t="shared" si="23"/>
        <v>0</v>
      </c>
      <c r="AK83" s="8">
        <f t="shared" si="23"/>
        <v>0</v>
      </c>
      <c r="AL83" s="8">
        <f t="shared" si="23"/>
        <v>0</v>
      </c>
    </row>
    <row r="84" spans="1:38" ht="21" hidden="1" customHeight="1" outlineLevel="1" thickTop="1" thickBot="1" x14ac:dyDescent="0.4">
      <c r="A84" s="10">
        <f>A50</f>
        <v>0</v>
      </c>
      <c r="B84" s="10">
        <f t="shared" ref="B84:D84" si="24">B50</f>
        <v>1</v>
      </c>
      <c r="C84" s="10">
        <f t="shared" si="24"/>
        <v>1</v>
      </c>
      <c r="D84" s="10">
        <f t="shared" si="24"/>
        <v>0</v>
      </c>
      <c r="E84" s="11" t="str">
        <f t="shared" si="21"/>
        <v>*GeSe</v>
      </c>
      <c r="F84" s="26">
        <f t="shared" ref="F84" si="25">F4*$C$82</f>
        <v>1.9971499999999999E-9</v>
      </c>
      <c r="G84" s="26">
        <f t="shared" ref="G84:AL84" si="26">G4*$C$82</f>
        <v>1.2609500000000001E-8</v>
      </c>
      <c r="H84" s="26">
        <f t="shared" si="26"/>
        <v>5.1920000000000004E-8</v>
      </c>
      <c r="I84" s="26">
        <f t="shared" si="26"/>
        <v>5.3430000000000003E-8</v>
      </c>
      <c r="J84" s="26">
        <f t="shared" si="26"/>
        <v>1.1571999999999999E-7</v>
      </c>
      <c r="K84" s="26">
        <f t="shared" si="26"/>
        <v>8.6945000000000002E-8</v>
      </c>
      <c r="L84" s="26">
        <f t="shared" si="26"/>
        <v>8.505000000000001E-8</v>
      </c>
      <c r="M84" s="26">
        <f t="shared" si="26"/>
        <v>8.9214999999999995E-8</v>
      </c>
      <c r="N84" s="26">
        <f t="shared" si="26"/>
        <v>6.3860000000000004E-8</v>
      </c>
      <c r="O84" s="26">
        <f t="shared" si="26"/>
        <v>7.1845000000000006E-9</v>
      </c>
      <c r="P84" s="26">
        <f t="shared" si="26"/>
        <v>5.8164999999999995E-13</v>
      </c>
      <c r="Q84" s="26">
        <f t="shared" si="26"/>
        <v>1.3862E-20</v>
      </c>
      <c r="R84" s="26">
        <f t="shared" si="26"/>
        <v>3.0584999999999999E-35</v>
      </c>
      <c r="S84" s="26">
        <f t="shared" si="26"/>
        <v>0</v>
      </c>
      <c r="T84" s="26">
        <f t="shared" si="26"/>
        <v>0</v>
      </c>
      <c r="U84" s="26">
        <f t="shared" si="26"/>
        <v>0</v>
      </c>
      <c r="V84" s="26">
        <f t="shared" si="26"/>
        <v>0</v>
      </c>
      <c r="W84" s="26">
        <f t="shared" si="26"/>
        <v>0</v>
      </c>
      <c r="X84" s="26">
        <f t="shared" si="26"/>
        <v>0</v>
      </c>
      <c r="Y84" s="26">
        <f t="shared" si="26"/>
        <v>0</v>
      </c>
      <c r="Z84" s="26">
        <f t="shared" si="26"/>
        <v>0</v>
      </c>
      <c r="AA84" s="26">
        <f t="shared" si="26"/>
        <v>0</v>
      </c>
      <c r="AB84" s="26">
        <f t="shared" si="26"/>
        <v>0</v>
      </c>
      <c r="AC84" s="26">
        <f t="shared" si="26"/>
        <v>0</v>
      </c>
      <c r="AD84" s="26">
        <f t="shared" si="26"/>
        <v>0</v>
      </c>
      <c r="AE84" s="26">
        <f t="shared" si="26"/>
        <v>0</v>
      </c>
      <c r="AF84" s="26">
        <f t="shared" si="26"/>
        <v>0</v>
      </c>
      <c r="AG84" s="26">
        <f t="shared" si="26"/>
        <v>0</v>
      </c>
      <c r="AH84" s="26">
        <f t="shared" si="26"/>
        <v>0</v>
      </c>
      <c r="AI84" s="26">
        <f t="shared" si="26"/>
        <v>0</v>
      </c>
      <c r="AJ84" s="26">
        <f t="shared" si="26"/>
        <v>0</v>
      </c>
      <c r="AK84" s="26">
        <f t="shared" si="26"/>
        <v>0</v>
      </c>
      <c r="AL84" s="26">
        <f t="shared" si="26"/>
        <v>0</v>
      </c>
    </row>
    <row r="85" spans="1:38" ht="21" hidden="1" customHeight="1" outlineLevel="1" thickBot="1" x14ac:dyDescent="0.4">
      <c r="A85" s="10">
        <f t="shared" ref="A85:D100" si="27">A51</f>
        <v>0</v>
      </c>
      <c r="B85" s="10">
        <f t="shared" si="27"/>
        <v>1</v>
      </c>
      <c r="C85" s="10">
        <f t="shared" si="27"/>
        <v>0</v>
      </c>
      <c r="D85" s="10">
        <f t="shared" si="27"/>
        <v>0</v>
      </c>
      <c r="E85" s="11" t="str">
        <f t="shared" si="21"/>
        <v>*Se[m]</v>
      </c>
      <c r="F85" s="26">
        <f t="shared" ref="F85" si="28">F5*$C$82</f>
        <v>0</v>
      </c>
      <c r="G85" s="26">
        <f t="shared" ref="G85:AL85" si="29">G5*$C$82</f>
        <v>1.3163999999999999E-30</v>
      </c>
      <c r="H85" s="26">
        <f t="shared" si="29"/>
        <v>1.9673E-22</v>
      </c>
      <c r="I85" s="26">
        <f t="shared" si="29"/>
        <v>9.0109999999999987E-20</v>
      </c>
      <c r="J85" s="26">
        <f t="shared" si="29"/>
        <v>1.003E-17</v>
      </c>
      <c r="K85" s="26">
        <f t="shared" si="29"/>
        <v>2.43085E-17</v>
      </c>
      <c r="L85" s="26">
        <f t="shared" si="29"/>
        <v>1.2149499999999999E-16</v>
      </c>
      <c r="M85" s="26">
        <f t="shared" si="29"/>
        <v>4.2068500000000001E-15</v>
      </c>
      <c r="N85" s="26">
        <f t="shared" si="29"/>
        <v>2.0738999999999999E-12</v>
      </c>
      <c r="O85" s="26">
        <f t="shared" si="29"/>
        <v>2.0813999999999999E-9</v>
      </c>
      <c r="P85" s="26">
        <f t="shared" si="29"/>
        <v>2.3065500000000002E-8</v>
      </c>
      <c r="Q85" s="26">
        <f t="shared" si="29"/>
        <v>5.3314999999999998E-8</v>
      </c>
      <c r="R85" s="26">
        <f t="shared" si="29"/>
        <v>8.9039999999999995E-8</v>
      </c>
      <c r="S85" s="26">
        <f t="shared" si="29"/>
        <v>1.1533E-7</v>
      </c>
      <c r="T85" s="26">
        <f t="shared" si="29"/>
        <v>9.4425E-8</v>
      </c>
      <c r="U85" s="26">
        <f t="shared" si="29"/>
        <v>1.1582000000000001E-7</v>
      </c>
      <c r="V85" s="26">
        <f t="shared" si="29"/>
        <v>1.2632999999999999E-7</v>
      </c>
      <c r="W85" s="26">
        <f t="shared" si="29"/>
        <v>1.2616000000000001E-7</v>
      </c>
      <c r="X85" s="26">
        <f t="shared" si="29"/>
        <v>1.21035E-7</v>
      </c>
      <c r="Y85" s="26">
        <f t="shared" si="29"/>
        <v>1.1901500000000001E-7</v>
      </c>
      <c r="Z85" s="26">
        <f t="shared" si="29"/>
        <v>1.1587999999999999E-7</v>
      </c>
      <c r="AA85" s="26">
        <f t="shared" si="29"/>
        <v>1.0612E-7</v>
      </c>
      <c r="AB85" s="26">
        <f t="shared" si="29"/>
        <v>1.60905E-7</v>
      </c>
      <c r="AC85" s="26">
        <f t="shared" si="29"/>
        <v>1.46695E-7</v>
      </c>
      <c r="AD85" s="26">
        <f t="shared" si="29"/>
        <v>1.4396E-7</v>
      </c>
      <c r="AE85" s="26">
        <f t="shared" si="29"/>
        <v>0</v>
      </c>
      <c r="AF85" s="26">
        <f t="shared" si="29"/>
        <v>0</v>
      </c>
      <c r="AG85" s="26">
        <f t="shared" si="29"/>
        <v>0</v>
      </c>
      <c r="AH85" s="26">
        <f t="shared" si="29"/>
        <v>0</v>
      </c>
      <c r="AI85" s="26">
        <f t="shared" si="29"/>
        <v>0</v>
      </c>
      <c r="AJ85" s="26">
        <f t="shared" si="29"/>
        <v>0</v>
      </c>
      <c r="AK85" s="26">
        <f t="shared" si="29"/>
        <v>0</v>
      </c>
      <c r="AL85" s="26">
        <f t="shared" si="29"/>
        <v>0</v>
      </c>
    </row>
    <row r="86" spans="1:38" ht="21" hidden="1" customHeight="1" outlineLevel="1" thickBot="1" x14ac:dyDescent="0.4">
      <c r="A86" s="10">
        <f t="shared" si="27"/>
        <v>0</v>
      </c>
      <c r="B86" s="10">
        <f t="shared" si="27"/>
        <v>2</v>
      </c>
      <c r="C86" s="10">
        <f t="shared" si="27"/>
        <v>1</v>
      </c>
      <c r="D86" s="10">
        <f t="shared" si="27"/>
        <v>0</v>
      </c>
      <c r="E86" s="11" t="str">
        <f t="shared" si="21"/>
        <v>*GeSe2</v>
      </c>
      <c r="F86" s="26">
        <f t="shared" ref="F86" si="30">F6*$C$82</f>
        <v>9.5915000000000002E-9</v>
      </c>
      <c r="G86" s="26">
        <f t="shared" ref="G86:AL86" si="31">G6*$C$82</f>
        <v>2.1237500000000002E-9</v>
      </c>
      <c r="H86" s="26">
        <f t="shared" si="31"/>
        <v>1.0928499999999999E-12</v>
      </c>
      <c r="I86" s="26">
        <f t="shared" si="31"/>
        <v>1.8509000000000002E-21</v>
      </c>
      <c r="J86" s="26">
        <f t="shared" si="31"/>
        <v>6.5514999999999997E-33</v>
      </c>
      <c r="K86" s="26">
        <f t="shared" si="31"/>
        <v>0</v>
      </c>
      <c r="L86" s="26">
        <f t="shared" si="31"/>
        <v>0</v>
      </c>
      <c r="M86" s="26">
        <f t="shared" si="31"/>
        <v>0</v>
      </c>
      <c r="N86" s="26">
        <f t="shared" si="31"/>
        <v>0</v>
      </c>
      <c r="O86" s="26">
        <f t="shared" si="31"/>
        <v>0</v>
      </c>
      <c r="P86" s="26">
        <f t="shared" si="31"/>
        <v>0</v>
      </c>
      <c r="Q86" s="26">
        <f t="shared" si="31"/>
        <v>0</v>
      </c>
      <c r="R86" s="26">
        <f t="shared" si="31"/>
        <v>0</v>
      </c>
      <c r="S86" s="26">
        <f t="shared" si="31"/>
        <v>0</v>
      </c>
      <c r="T86" s="26">
        <f t="shared" si="31"/>
        <v>0</v>
      </c>
      <c r="U86" s="26">
        <f t="shared" si="31"/>
        <v>0</v>
      </c>
      <c r="V86" s="26">
        <f t="shared" si="31"/>
        <v>0</v>
      </c>
      <c r="W86" s="26">
        <f t="shared" si="31"/>
        <v>0</v>
      </c>
      <c r="X86" s="26">
        <f t="shared" si="31"/>
        <v>0</v>
      </c>
      <c r="Y86" s="26">
        <f t="shared" si="31"/>
        <v>0</v>
      </c>
      <c r="Z86" s="26">
        <f t="shared" si="31"/>
        <v>0</v>
      </c>
      <c r="AA86" s="26">
        <f t="shared" si="31"/>
        <v>0</v>
      </c>
      <c r="AB86" s="26">
        <f t="shared" si="31"/>
        <v>0</v>
      </c>
      <c r="AC86" s="26">
        <f t="shared" si="31"/>
        <v>0</v>
      </c>
      <c r="AD86" s="26">
        <f t="shared" si="31"/>
        <v>0</v>
      </c>
      <c r="AE86" s="26">
        <f t="shared" si="31"/>
        <v>0</v>
      </c>
      <c r="AF86" s="26">
        <f t="shared" si="31"/>
        <v>0</v>
      </c>
      <c r="AG86" s="26">
        <f t="shared" si="31"/>
        <v>0</v>
      </c>
      <c r="AH86" s="26">
        <f t="shared" si="31"/>
        <v>0</v>
      </c>
      <c r="AI86" s="26">
        <f t="shared" si="31"/>
        <v>0</v>
      </c>
      <c r="AJ86" s="26">
        <f t="shared" si="31"/>
        <v>0</v>
      </c>
      <c r="AK86" s="26">
        <f t="shared" si="31"/>
        <v>0</v>
      </c>
      <c r="AL86" s="26">
        <f t="shared" si="31"/>
        <v>0</v>
      </c>
    </row>
    <row r="87" spans="1:38" ht="21" hidden="1" customHeight="1" outlineLevel="1" thickBot="1" x14ac:dyDescent="0.4">
      <c r="A87" s="10">
        <f t="shared" si="27"/>
        <v>0</v>
      </c>
      <c r="B87" s="10">
        <f t="shared" si="27"/>
        <v>3</v>
      </c>
      <c r="C87" s="10">
        <f t="shared" si="27"/>
        <v>0</v>
      </c>
      <c r="D87" s="10">
        <f t="shared" si="27"/>
        <v>2</v>
      </c>
      <c r="E87" s="11" t="str">
        <f t="shared" si="21"/>
        <v>Ga2Se3</v>
      </c>
      <c r="F87" s="26">
        <f t="shared" ref="F87" si="32">F7*$C$82</f>
        <v>0.149285</v>
      </c>
      <c r="G87" s="26">
        <f t="shared" ref="G87:AL87" si="33">G7*$C$82</f>
        <v>0.14694000000000002</v>
      </c>
      <c r="H87" s="26">
        <f t="shared" si="33"/>
        <v>0.14093</v>
      </c>
      <c r="I87" s="26">
        <f t="shared" si="33"/>
        <v>0.132355</v>
      </c>
      <c r="J87" s="26">
        <f t="shared" si="33"/>
        <v>0.12559499999999998</v>
      </c>
      <c r="K87" s="26">
        <f t="shared" si="33"/>
        <v>0.12211</v>
      </c>
      <c r="L87" s="26">
        <f t="shared" si="33"/>
        <v>0.12035999999999999</v>
      </c>
      <c r="M87" s="26">
        <f t="shared" si="33"/>
        <v>0.11861999999999999</v>
      </c>
      <c r="N87" s="26">
        <f t="shared" si="33"/>
        <v>0.11537</v>
      </c>
      <c r="O87" s="26">
        <f t="shared" si="33"/>
        <v>0.109685</v>
      </c>
      <c r="P87" s="26">
        <f t="shared" si="33"/>
        <v>0.10206</v>
      </c>
      <c r="Q87" s="26">
        <f t="shared" si="33"/>
        <v>8.9545000000000013E-2</v>
      </c>
      <c r="R87" s="26">
        <f t="shared" si="33"/>
        <v>2.74335E-2</v>
      </c>
      <c r="S87" s="26">
        <f t="shared" si="33"/>
        <v>1.6576500000000001E-4</v>
      </c>
      <c r="T87" s="26">
        <f t="shared" si="33"/>
        <v>6.1615000000000002E-7</v>
      </c>
      <c r="U87" s="26">
        <f t="shared" si="33"/>
        <v>2.9427999999999998E-9</v>
      </c>
      <c r="V87" s="26">
        <f t="shared" si="33"/>
        <v>1.77485E-11</v>
      </c>
      <c r="W87" s="26">
        <f t="shared" si="33"/>
        <v>1.3266000000000001E-13</v>
      </c>
      <c r="X87" s="26">
        <f t="shared" si="33"/>
        <v>1.2088499999999999E-15</v>
      </c>
      <c r="Y87" s="26">
        <f t="shared" si="33"/>
        <v>1.3238999999999999E-17</v>
      </c>
      <c r="Z87" s="26">
        <f t="shared" si="33"/>
        <v>1.7209E-19</v>
      </c>
      <c r="AA87" s="26">
        <f t="shared" si="33"/>
        <v>2.2293500000000002E-26</v>
      </c>
      <c r="AB87" s="26">
        <f t="shared" si="33"/>
        <v>2.2661999999999999E-32</v>
      </c>
      <c r="AC87" s="26">
        <f t="shared" si="33"/>
        <v>0</v>
      </c>
      <c r="AD87" s="26">
        <f t="shared" si="33"/>
        <v>0</v>
      </c>
      <c r="AE87" s="26">
        <f t="shared" si="33"/>
        <v>0</v>
      </c>
      <c r="AF87" s="26">
        <f t="shared" si="33"/>
        <v>0</v>
      </c>
      <c r="AG87" s="26">
        <f t="shared" si="33"/>
        <v>0</v>
      </c>
      <c r="AH87" s="26">
        <f t="shared" si="33"/>
        <v>0</v>
      </c>
      <c r="AI87" s="26">
        <f t="shared" si="33"/>
        <v>0</v>
      </c>
      <c r="AJ87" s="26">
        <f t="shared" si="33"/>
        <v>0</v>
      </c>
      <c r="AK87" s="26">
        <f t="shared" si="33"/>
        <v>0</v>
      </c>
      <c r="AL87" s="26">
        <f t="shared" si="33"/>
        <v>0</v>
      </c>
    </row>
    <row r="88" spans="1:38" ht="21" hidden="1" customHeight="1" outlineLevel="1" thickBot="1" x14ac:dyDescent="0.4">
      <c r="A88" s="10">
        <f t="shared" si="27"/>
        <v>1</v>
      </c>
      <c r="B88" s="10">
        <f t="shared" si="27"/>
        <v>0</v>
      </c>
      <c r="C88" s="10">
        <f t="shared" si="27"/>
        <v>0</v>
      </c>
      <c r="D88" s="10">
        <f t="shared" si="27"/>
        <v>0</v>
      </c>
      <c r="E88" s="11" t="str">
        <f t="shared" si="21"/>
        <v>Ar</v>
      </c>
      <c r="F88" s="26">
        <f t="shared" ref="F88" si="34">F8*$C$82</f>
        <v>1</v>
      </c>
      <c r="G88" s="26">
        <f t="shared" ref="G88:AL88" si="35">G8*$C$82</f>
        <v>1</v>
      </c>
      <c r="H88" s="26">
        <f t="shared" si="35"/>
        <v>1</v>
      </c>
      <c r="I88" s="26">
        <f t="shared" si="35"/>
        <v>1</v>
      </c>
      <c r="J88" s="26">
        <f t="shared" si="35"/>
        <v>1</v>
      </c>
      <c r="K88" s="26">
        <f t="shared" si="35"/>
        <v>1</v>
      </c>
      <c r="L88" s="26">
        <f t="shared" si="35"/>
        <v>1</v>
      </c>
      <c r="M88" s="26">
        <f t="shared" si="35"/>
        <v>1</v>
      </c>
      <c r="N88" s="26">
        <f t="shared" si="35"/>
        <v>1</v>
      </c>
      <c r="O88" s="26">
        <f t="shared" si="35"/>
        <v>1</v>
      </c>
      <c r="P88" s="26">
        <f t="shared" si="35"/>
        <v>1</v>
      </c>
      <c r="Q88" s="26">
        <f t="shared" si="35"/>
        <v>1</v>
      </c>
      <c r="R88" s="26">
        <f t="shared" si="35"/>
        <v>1</v>
      </c>
      <c r="S88" s="26">
        <f t="shared" si="35"/>
        <v>1</v>
      </c>
      <c r="T88" s="26">
        <f t="shared" si="35"/>
        <v>1</v>
      </c>
      <c r="U88" s="26">
        <f t="shared" si="35"/>
        <v>1</v>
      </c>
      <c r="V88" s="26">
        <f t="shared" si="35"/>
        <v>1</v>
      </c>
      <c r="W88" s="26">
        <f t="shared" si="35"/>
        <v>1</v>
      </c>
      <c r="X88" s="26">
        <f t="shared" si="35"/>
        <v>1</v>
      </c>
      <c r="Y88" s="26">
        <f t="shared" si="35"/>
        <v>1</v>
      </c>
      <c r="Z88" s="26">
        <f t="shared" si="35"/>
        <v>1</v>
      </c>
      <c r="AA88" s="26">
        <f t="shared" si="35"/>
        <v>1</v>
      </c>
      <c r="AB88" s="26">
        <f t="shared" si="35"/>
        <v>1</v>
      </c>
      <c r="AC88" s="26">
        <f t="shared" si="35"/>
        <v>1</v>
      </c>
      <c r="AD88" s="26">
        <f t="shared" si="35"/>
        <v>1</v>
      </c>
      <c r="AE88" s="26">
        <f t="shared" si="35"/>
        <v>0</v>
      </c>
      <c r="AF88" s="26">
        <f t="shared" si="35"/>
        <v>0</v>
      </c>
      <c r="AG88" s="26">
        <f t="shared" si="35"/>
        <v>0</v>
      </c>
      <c r="AH88" s="26">
        <f t="shared" si="35"/>
        <v>0</v>
      </c>
      <c r="AI88" s="26">
        <f t="shared" si="35"/>
        <v>0</v>
      </c>
      <c r="AJ88" s="26">
        <f t="shared" si="35"/>
        <v>0</v>
      </c>
      <c r="AK88" s="26">
        <f t="shared" si="35"/>
        <v>0</v>
      </c>
      <c r="AL88" s="26">
        <f t="shared" si="35"/>
        <v>0</v>
      </c>
    </row>
    <row r="89" spans="1:38" ht="21" hidden="1" customHeight="1" outlineLevel="1" thickBot="1" x14ac:dyDescent="0.4">
      <c r="A89" s="10">
        <f t="shared" si="27"/>
        <v>0</v>
      </c>
      <c r="B89" s="10">
        <f t="shared" si="27"/>
        <v>2</v>
      </c>
      <c r="C89" s="10">
        <f t="shared" si="27"/>
        <v>1</v>
      </c>
      <c r="D89" s="10">
        <f t="shared" si="27"/>
        <v>0</v>
      </c>
      <c r="E89" s="11" t="str">
        <f t="shared" si="21"/>
        <v>(l)GeSe2</v>
      </c>
      <c r="F89" s="26">
        <f t="shared" ref="F89" si="36">F9*$C$82</f>
        <v>0.49044499999999996</v>
      </c>
      <c r="G89" s="26">
        <f t="shared" ref="G89:AL89" si="37">G9*$C$82</f>
        <v>0.45838499999999999</v>
      </c>
      <c r="H89" s="26">
        <f t="shared" si="37"/>
        <v>0.37134500000000004</v>
      </c>
      <c r="I89" s="26">
        <f t="shared" si="37"/>
        <v>0.23352000000000001</v>
      </c>
      <c r="J89" s="26">
        <f t="shared" si="37"/>
        <v>0.11199000000000001</v>
      </c>
      <c r="K89" s="26">
        <f t="shared" si="37"/>
        <v>4.5898500000000002E-2</v>
      </c>
      <c r="L89" s="26">
        <f t="shared" si="37"/>
        <v>1.8208999999999999E-2</v>
      </c>
      <c r="M89" s="26">
        <f t="shared" si="37"/>
        <v>7.4474999999999993E-3</v>
      </c>
      <c r="N89" s="26">
        <f t="shared" si="37"/>
        <v>3.1825499999999997E-3</v>
      </c>
      <c r="O89" s="26">
        <f t="shared" si="37"/>
        <v>1.3687E-3</v>
      </c>
      <c r="P89" s="26">
        <f t="shared" si="37"/>
        <v>5.4414999999999997E-4</v>
      </c>
      <c r="Q89" s="26">
        <f t="shared" si="37"/>
        <v>1.8736499999999999E-4</v>
      </c>
      <c r="R89" s="26">
        <f t="shared" si="37"/>
        <v>6.1284999999999993E-5</v>
      </c>
      <c r="S89" s="26">
        <f t="shared" si="37"/>
        <v>1.6985500000000002E-5</v>
      </c>
      <c r="T89" s="26">
        <f t="shared" si="37"/>
        <v>4.3945E-6</v>
      </c>
      <c r="U89" s="26">
        <f t="shared" si="37"/>
        <v>1.1694500000000001E-6</v>
      </c>
      <c r="V89" s="26">
        <f t="shared" si="37"/>
        <v>3.2555E-7</v>
      </c>
      <c r="W89" s="26">
        <f t="shared" si="37"/>
        <v>9.5255000000000002E-8</v>
      </c>
      <c r="X89" s="26">
        <f t="shared" si="37"/>
        <v>2.9279E-8</v>
      </c>
      <c r="Y89" s="26">
        <f t="shared" si="37"/>
        <v>9.4319999999999997E-9</v>
      </c>
      <c r="Z89" s="26">
        <f t="shared" si="37"/>
        <v>3.1748000000000002E-9</v>
      </c>
      <c r="AA89" s="26">
        <f t="shared" si="37"/>
        <v>5.9545E-11</v>
      </c>
      <c r="AB89" s="26">
        <f t="shared" si="37"/>
        <v>1.8188000000000001E-12</v>
      </c>
      <c r="AC89" s="26">
        <f t="shared" si="37"/>
        <v>8.0319999999999992E-14</v>
      </c>
      <c r="AD89" s="26">
        <f t="shared" si="37"/>
        <v>4.7138000000000002E-15</v>
      </c>
      <c r="AE89" s="26">
        <f t="shared" si="37"/>
        <v>0</v>
      </c>
      <c r="AF89" s="26">
        <f t="shared" si="37"/>
        <v>0</v>
      </c>
      <c r="AG89" s="26">
        <f t="shared" si="37"/>
        <v>0</v>
      </c>
      <c r="AH89" s="26">
        <f t="shared" si="37"/>
        <v>0</v>
      </c>
      <c r="AI89" s="26">
        <f t="shared" si="37"/>
        <v>0</v>
      </c>
      <c r="AJ89" s="26">
        <f t="shared" si="37"/>
        <v>0</v>
      </c>
      <c r="AK89" s="26">
        <f t="shared" si="37"/>
        <v>0</v>
      </c>
      <c r="AL89" s="26">
        <f t="shared" si="37"/>
        <v>0</v>
      </c>
    </row>
    <row r="90" spans="1:38" ht="21" hidden="1" customHeight="1" outlineLevel="1" thickBot="1" x14ac:dyDescent="0.4">
      <c r="A90" s="10">
        <f t="shared" si="27"/>
        <v>0</v>
      </c>
      <c r="B90" s="10">
        <f t="shared" si="27"/>
        <v>1</v>
      </c>
      <c r="C90" s="10">
        <f t="shared" si="27"/>
        <v>1</v>
      </c>
      <c r="D90" s="10">
        <f t="shared" si="27"/>
        <v>0</v>
      </c>
      <c r="E90" s="11" t="str">
        <f t="shared" si="21"/>
        <v>(l)GeSe</v>
      </c>
      <c r="F90" s="26">
        <f t="shared" ref="F90" si="38">F10*$C$82</f>
        <v>0.50954999999999995</v>
      </c>
      <c r="G90" s="26">
        <f t="shared" ref="G90:AL90" si="39">G10*$C$82</f>
        <v>0.54159999999999997</v>
      </c>
      <c r="H90" s="26">
        <f t="shared" si="39"/>
        <v>0.62865000000000004</v>
      </c>
      <c r="I90" s="26">
        <f t="shared" si="39"/>
        <v>0.76634999999999998</v>
      </c>
      <c r="J90" s="26">
        <f t="shared" si="39"/>
        <v>0.88739999999999997</v>
      </c>
      <c r="K90" s="26">
        <f t="shared" si="39"/>
        <v>0.95140000000000002</v>
      </c>
      <c r="L90" s="26">
        <f t="shared" si="39"/>
        <v>0.97110000000000007</v>
      </c>
      <c r="M90" s="26">
        <f t="shared" si="39"/>
        <v>0.95604999999999996</v>
      </c>
      <c r="N90" s="26">
        <f t="shared" si="39"/>
        <v>0.89324999999999999</v>
      </c>
      <c r="O90" s="26">
        <f t="shared" si="39"/>
        <v>0.76239999999999997</v>
      </c>
      <c r="P90" s="26">
        <f t="shared" si="39"/>
        <v>0.56755</v>
      </c>
      <c r="Q90" s="26">
        <f t="shared" si="39"/>
        <v>0.358485</v>
      </c>
      <c r="R90" s="26">
        <f t="shared" si="39"/>
        <v>0.20383999999999999</v>
      </c>
      <c r="S90" s="26">
        <f t="shared" si="39"/>
        <v>0.10259000000000001</v>
      </c>
      <c r="T90" s="26">
        <f t="shared" si="39"/>
        <v>4.8766000000000004E-2</v>
      </c>
      <c r="U90" s="26">
        <f t="shared" si="39"/>
        <v>2.3304499999999999E-2</v>
      </c>
      <c r="V90" s="26">
        <f t="shared" si="39"/>
        <v>1.13825E-2</v>
      </c>
      <c r="W90" s="26">
        <f t="shared" si="39"/>
        <v>5.7140000000000003E-3</v>
      </c>
      <c r="X90" s="26">
        <f t="shared" si="39"/>
        <v>2.9512499999999999E-3</v>
      </c>
      <c r="Y90" s="26">
        <f t="shared" si="39"/>
        <v>1.5667999999999999E-3</v>
      </c>
      <c r="Z90" s="26">
        <f t="shared" si="39"/>
        <v>8.5359999999999993E-4</v>
      </c>
      <c r="AA90" s="26">
        <f t="shared" si="39"/>
        <v>9.4140000000000003E-5</v>
      </c>
      <c r="AB90" s="26">
        <f t="shared" si="39"/>
        <v>1.3854E-5</v>
      </c>
      <c r="AC90" s="26">
        <f t="shared" si="39"/>
        <v>2.53315E-6</v>
      </c>
      <c r="AD90" s="26">
        <f t="shared" si="39"/>
        <v>5.4735000000000004E-7</v>
      </c>
      <c r="AE90" s="26">
        <f t="shared" si="39"/>
        <v>0</v>
      </c>
      <c r="AF90" s="26">
        <f t="shared" si="39"/>
        <v>0</v>
      </c>
      <c r="AG90" s="26">
        <f t="shared" si="39"/>
        <v>0</v>
      </c>
      <c r="AH90" s="26">
        <f t="shared" si="39"/>
        <v>0</v>
      </c>
      <c r="AI90" s="26">
        <f t="shared" si="39"/>
        <v>0</v>
      </c>
      <c r="AJ90" s="26">
        <f t="shared" si="39"/>
        <v>0</v>
      </c>
      <c r="AK90" s="26">
        <f t="shared" si="39"/>
        <v>0</v>
      </c>
      <c r="AL90" s="26">
        <f t="shared" si="39"/>
        <v>0</v>
      </c>
    </row>
    <row r="91" spans="1:38" ht="21" hidden="1" customHeight="1" outlineLevel="1" thickBot="1" x14ac:dyDescent="0.4">
      <c r="A91" s="10">
        <f t="shared" si="27"/>
        <v>0</v>
      </c>
      <c r="B91" s="10">
        <f t="shared" si="27"/>
        <v>3</v>
      </c>
      <c r="C91" s="10">
        <f t="shared" si="27"/>
        <v>0</v>
      </c>
      <c r="D91" s="10">
        <f t="shared" si="27"/>
        <v>2</v>
      </c>
      <c r="E91" s="11" t="str">
        <f t="shared" si="21"/>
        <v>(l)Ga2Se3</v>
      </c>
      <c r="F91" s="26">
        <f t="shared" ref="F91" si="40">F11*$C$82</f>
        <v>0.15071499999999999</v>
      </c>
      <c r="G91" s="26">
        <f t="shared" ref="G91:AL91" si="41">G11*$C$82</f>
        <v>0.15306</v>
      </c>
      <c r="H91" s="26">
        <f t="shared" si="41"/>
        <v>0.15907000000000002</v>
      </c>
      <c r="I91" s="26">
        <f t="shared" si="41"/>
        <v>0.16764500000000002</v>
      </c>
      <c r="J91" s="26">
        <f t="shared" si="41"/>
        <v>0.174405</v>
      </c>
      <c r="K91" s="26">
        <f t="shared" si="41"/>
        <v>0.17788999999999999</v>
      </c>
      <c r="L91" s="26">
        <f t="shared" si="41"/>
        <v>0.17964000000000002</v>
      </c>
      <c r="M91" s="26">
        <f t="shared" si="41"/>
        <v>0.18138000000000001</v>
      </c>
      <c r="N91" s="26">
        <f t="shared" si="41"/>
        <v>0.18463000000000002</v>
      </c>
      <c r="O91" s="26">
        <f t="shared" si="41"/>
        <v>0.19029500000000002</v>
      </c>
      <c r="P91" s="26">
        <f t="shared" si="41"/>
        <v>0.19739000000000001</v>
      </c>
      <c r="Q91" s="26">
        <f t="shared" si="41"/>
        <v>0.19751999999999997</v>
      </c>
      <c r="R91" s="26">
        <f t="shared" si="41"/>
        <v>8.8270000000000001E-2</v>
      </c>
      <c r="S91" s="26">
        <f t="shared" si="41"/>
        <v>6.4535000000000005E-4</v>
      </c>
      <c r="T91" s="26">
        <f t="shared" si="41"/>
        <v>2.4345999999999999E-6</v>
      </c>
      <c r="U91" s="26">
        <f t="shared" si="41"/>
        <v>1.17025E-8</v>
      </c>
      <c r="V91" s="26">
        <f t="shared" si="41"/>
        <v>7.0795E-11</v>
      </c>
      <c r="W91" s="26">
        <f t="shared" si="41"/>
        <v>5.2989999999999999E-13</v>
      </c>
      <c r="X91" s="26">
        <f t="shared" si="41"/>
        <v>4.8318499999999998E-15</v>
      </c>
      <c r="Y91" s="26">
        <f t="shared" si="41"/>
        <v>5.2935000000000004E-17</v>
      </c>
      <c r="Z91" s="26">
        <f t="shared" si="41"/>
        <v>6.8819999999999993E-19</v>
      </c>
      <c r="AA91" s="26">
        <f t="shared" si="41"/>
        <v>8.9169999999999998E-26</v>
      </c>
      <c r="AB91" s="26">
        <f t="shared" si="41"/>
        <v>9.0649999999999991E-32</v>
      </c>
      <c r="AC91" s="26">
        <f t="shared" si="41"/>
        <v>0</v>
      </c>
      <c r="AD91" s="26">
        <f t="shared" si="41"/>
        <v>0</v>
      </c>
      <c r="AE91" s="26">
        <f t="shared" si="41"/>
        <v>0</v>
      </c>
      <c r="AF91" s="26">
        <f t="shared" si="41"/>
        <v>0</v>
      </c>
      <c r="AG91" s="26">
        <f t="shared" si="41"/>
        <v>0</v>
      </c>
      <c r="AH91" s="26">
        <f t="shared" si="41"/>
        <v>0</v>
      </c>
      <c r="AI91" s="26">
        <f t="shared" si="41"/>
        <v>0</v>
      </c>
      <c r="AJ91" s="26">
        <f t="shared" si="41"/>
        <v>0</v>
      </c>
      <c r="AK91" s="26">
        <f t="shared" si="41"/>
        <v>0</v>
      </c>
      <c r="AL91" s="26">
        <f t="shared" si="41"/>
        <v>0</v>
      </c>
    </row>
    <row r="92" spans="1:38" ht="21" hidden="1" customHeight="1" outlineLevel="1" thickBot="1" x14ac:dyDescent="0.4">
      <c r="A92" s="10">
        <f t="shared" si="27"/>
        <v>0</v>
      </c>
      <c r="B92" s="10">
        <f t="shared" si="27"/>
        <v>0</v>
      </c>
      <c r="C92" s="10">
        <f t="shared" si="27"/>
        <v>1</v>
      </c>
      <c r="D92" s="10">
        <f t="shared" si="27"/>
        <v>0</v>
      </c>
      <c r="E92" s="11" t="str">
        <f t="shared" si="21"/>
        <v>(l)Ge</v>
      </c>
      <c r="F92" s="26">
        <f t="shared" ref="F92" si="42">F12*$C$82</f>
        <v>1.8996E-6</v>
      </c>
      <c r="G92" s="26">
        <f t="shared" ref="G92:AL92" si="43">G12*$C$82</f>
        <v>4.9106999999999994E-6</v>
      </c>
      <c r="H92" s="26">
        <f t="shared" si="43"/>
        <v>1.57885E-5</v>
      </c>
      <c r="I92" s="26">
        <f t="shared" si="43"/>
        <v>6.6434999999999997E-5</v>
      </c>
      <c r="J92" s="26">
        <f t="shared" si="43"/>
        <v>3.0899999999999998E-4</v>
      </c>
      <c r="K92" s="26">
        <f t="shared" si="43"/>
        <v>1.3618500000000002E-3</v>
      </c>
      <c r="L92" s="26">
        <f t="shared" si="43"/>
        <v>5.3569999999999998E-3</v>
      </c>
      <c r="M92" s="26">
        <f t="shared" si="43"/>
        <v>1.82545E-2</v>
      </c>
      <c r="N92" s="26">
        <f t="shared" si="43"/>
        <v>5.1770000000000004E-2</v>
      </c>
      <c r="O92" s="26">
        <f t="shared" si="43"/>
        <v>0.11811000000000001</v>
      </c>
      <c r="P92" s="26">
        <f t="shared" si="43"/>
        <v>0.21593999999999999</v>
      </c>
      <c r="Q92" s="26">
        <f t="shared" si="43"/>
        <v>0.32066499999999998</v>
      </c>
      <c r="R92" s="26">
        <f t="shared" si="43"/>
        <v>0.39805000000000001</v>
      </c>
      <c r="S92" s="26">
        <f t="shared" si="43"/>
        <v>0.44869500000000001</v>
      </c>
      <c r="T92" s="26">
        <f t="shared" si="43"/>
        <v>0.47561500000000001</v>
      </c>
      <c r="U92" s="26">
        <f t="shared" si="43"/>
        <v>0.48834500000000003</v>
      </c>
      <c r="V92" s="26">
        <f t="shared" si="43"/>
        <v>0.49431000000000003</v>
      </c>
      <c r="W92" s="26">
        <f t="shared" si="43"/>
        <v>0.497145</v>
      </c>
      <c r="X92" s="26">
        <f t="shared" si="43"/>
        <v>0.498525</v>
      </c>
      <c r="Y92" s="26">
        <f t="shared" si="43"/>
        <v>0.49921500000000002</v>
      </c>
      <c r="Z92" s="26">
        <f t="shared" si="43"/>
        <v>0.49957499999999999</v>
      </c>
      <c r="AA92" s="26">
        <f t="shared" si="43"/>
        <v>0.49995499999999998</v>
      </c>
      <c r="AB92" s="26">
        <f t="shared" si="43"/>
        <v>0.49999500000000002</v>
      </c>
      <c r="AC92" s="26">
        <f t="shared" si="43"/>
        <v>0.5</v>
      </c>
      <c r="AD92" s="26">
        <f t="shared" si="43"/>
        <v>0.5</v>
      </c>
      <c r="AE92" s="26">
        <f t="shared" si="43"/>
        <v>0</v>
      </c>
      <c r="AF92" s="26">
        <f t="shared" si="43"/>
        <v>0</v>
      </c>
      <c r="AG92" s="26">
        <f t="shared" si="43"/>
        <v>0</v>
      </c>
      <c r="AH92" s="26">
        <f t="shared" si="43"/>
        <v>0</v>
      </c>
      <c r="AI92" s="26">
        <f t="shared" si="43"/>
        <v>0</v>
      </c>
      <c r="AJ92" s="26">
        <f t="shared" si="43"/>
        <v>0</v>
      </c>
      <c r="AK92" s="26">
        <f t="shared" si="43"/>
        <v>0</v>
      </c>
      <c r="AL92" s="26">
        <f t="shared" si="43"/>
        <v>0</v>
      </c>
    </row>
    <row r="93" spans="1:38" ht="21" hidden="1" customHeight="1" outlineLevel="1" thickBot="1" x14ac:dyDescent="0.4">
      <c r="A93" s="10">
        <f t="shared" si="27"/>
        <v>0</v>
      </c>
      <c r="B93" s="10">
        <f t="shared" si="27"/>
        <v>0</v>
      </c>
      <c r="C93" s="10">
        <f t="shared" si="27"/>
        <v>0</v>
      </c>
      <c r="D93" s="10">
        <f t="shared" si="27"/>
        <v>1</v>
      </c>
      <c r="E93" s="11" t="str">
        <f t="shared" si="21"/>
        <v>(l)Ga</v>
      </c>
      <c r="F93" s="26">
        <f t="shared" ref="F93" si="44">F13*$C$82</f>
        <v>6.1044999999999999E-23</v>
      </c>
      <c r="G93" s="26">
        <f t="shared" ref="G93:AL93" si="45">G13*$C$82</f>
        <v>1.0768000000000001E-20</v>
      </c>
      <c r="H93" s="26">
        <f t="shared" si="45"/>
        <v>1.6194499999999999E-18</v>
      </c>
      <c r="I93" s="26">
        <f t="shared" si="45"/>
        <v>2.52195E-16</v>
      </c>
      <c r="J93" s="26">
        <f t="shared" si="45"/>
        <v>3.7209500000000002E-14</v>
      </c>
      <c r="K93" s="26">
        <f t="shared" si="45"/>
        <v>4.4191E-12</v>
      </c>
      <c r="L93" s="26">
        <f t="shared" si="45"/>
        <v>3.8857000000000003E-10</v>
      </c>
      <c r="M93" s="26">
        <f t="shared" si="45"/>
        <v>2.4762999999999998E-8</v>
      </c>
      <c r="N93" s="26">
        <f t="shared" si="45"/>
        <v>1.1439E-6</v>
      </c>
      <c r="O93" s="26">
        <f t="shared" si="45"/>
        <v>3.9564000000000003E-5</v>
      </c>
      <c r="P93" s="26">
        <f t="shared" si="45"/>
        <v>1.1008999999999999E-3</v>
      </c>
      <c r="Q93" s="26">
        <f t="shared" si="45"/>
        <v>2.5863999999999998E-2</v>
      </c>
      <c r="R93" s="26">
        <f t="shared" si="45"/>
        <v>0.36859999999999998</v>
      </c>
      <c r="S93" s="26">
        <f t="shared" si="45"/>
        <v>0.59839999999999993</v>
      </c>
      <c r="T93" s="26">
        <f t="shared" si="45"/>
        <v>0.6</v>
      </c>
      <c r="U93" s="26">
        <f t="shared" si="45"/>
        <v>0.6</v>
      </c>
      <c r="V93" s="26">
        <f t="shared" si="45"/>
        <v>0.6</v>
      </c>
      <c r="W93" s="26">
        <f t="shared" si="45"/>
        <v>0.6</v>
      </c>
      <c r="X93" s="26">
        <f t="shared" si="45"/>
        <v>0.6</v>
      </c>
      <c r="Y93" s="26">
        <f t="shared" si="45"/>
        <v>0.6</v>
      </c>
      <c r="Z93" s="26">
        <f t="shared" si="45"/>
        <v>0.6</v>
      </c>
      <c r="AA93" s="26">
        <f t="shared" si="45"/>
        <v>0.6</v>
      </c>
      <c r="AB93" s="26">
        <f t="shared" si="45"/>
        <v>0.6</v>
      </c>
      <c r="AC93" s="26">
        <f t="shared" si="45"/>
        <v>0.6</v>
      </c>
      <c r="AD93" s="26">
        <f t="shared" si="45"/>
        <v>0.6</v>
      </c>
      <c r="AE93" s="26">
        <f t="shared" si="45"/>
        <v>0</v>
      </c>
      <c r="AF93" s="26">
        <f t="shared" si="45"/>
        <v>0</v>
      </c>
      <c r="AG93" s="26">
        <f t="shared" si="45"/>
        <v>0</v>
      </c>
      <c r="AH93" s="26">
        <f t="shared" si="45"/>
        <v>0</v>
      </c>
      <c r="AI93" s="26">
        <f t="shared" si="45"/>
        <v>0</v>
      </c>
      <c r="AJ93" s="26">
        <f t="shared" si="45"/>
        <v>0</v>
      </c>
      <c r="AK93" s="26">
        <f t="shared" si="45"/>
        <v>0</v>
      </c>
      <c r="AL93" s="26">
        <f t="shared" si="45"/>
        <v>0</v>
      </c>
    </row>
    <row r="94" spans="1:38" ht="21" hidden="1" customHeight="1" outlineLevel="1" thickBot="1" x14ac:dyDescent="0.4">
      <c r="A94" s="10">
        <f t="shared" si="27"/>
        <v>0</v>
      </c>
      <c r="B94" s="10">
        <f t="shared" si="27"/>
        <v>1</v>
      </c>
      <c r="C94" s="10">
        <f t="shared" si="27"/>
        <v>0</v>
      </c>
      <c r="D94" s="10">
        <f t="shared" si="27"/>
        <v>0</v>
      </c>
      <c r="E94" s="11" t="str">
        <f t="shared" si="21"/>
        <v>(l)Se</v>
      </c>
      <c r="F94" s="26">
        <f t="shared" ref="F94" si="46">F14*$C$82</f>
        <v>1.1104E-8</v>
      </c>
      <c r="G94" s="26">
        <f t="shared" ref="G94:AL94" si="47">G14*$C$82</f>
        <v>3.8082000000000003E-8</v>
      </c>
      <c r="H94" s="26">
        <f t="shared" si="47"/>
        <v>9.1604999999999992E-8</v>
      </c>
      <c r="I94" s="26">
        <f t="shared" si="47"/>
        <v>1.4647000000000001E-7</v>
      </c>
      <c r="J94" s="26">
        <f t="shared" si="47"/>
        <v>1.6397000000000001E-7</v>
      </c>
      <c r="K94" s="26">
        <f t="shared" si="47"/>
        <v>1.4764000000000002E-7</v>
      </c>
      <c r="L94" s="26">
        <f t="shared" si="47"/>
        <v>1.2181E-7</v>
      </c>
      <c r="M94" s="26">
        <f t="shared" si="47"/>
        <v>1.0016500000000001E-7</v>
      </c>
      <c r="N94" s="26">
        <f t="shared" si="47"/>
        <v>8.7109999999999991E-8</v>
      </c>
      <c r="O94" s="26">
        <f t="shared" si="47"/>
        <v>8.1870000000000005E-8</v>
      </c>
      <c r="P94" s="26">
        <f t="shared" si="47"/>
        <v>7.9980000000000005E-8</v>
      </c>
      <c r="Q94" s="26">
        <f t="shared" si="47"/>
        <v>7.8254999999999995E-8</v>
      </c>
      <c r="R94" s="26">
        <f t="shared" si="47"/>
        <v>1.0067500000000001E-7</v>
      </c>
      <c r="S94" s="26">
        <f t="shared" si="47"/>
        <v>1.0257E-7</v>
      </c>
      <c r="T94" s="26">
        <f t="shared" si="47"/>
        <v>8.6264999999999999E-8</v>
      </c>
      <c r="U94" s="26">
        <f t="shared" si="47"/>
        <v>7.1604999999999998E-8</v>
      </c>
      <c r="V94" s="26">
        <f t="shared" si="47"/>
        <v>5.9120000000000003E-8</v>
      </c>
      <c r="W94" s="26">
        <f t="shared" si="47"/>
        <v>4.8715500000000004E-8</v>
      </c>
      <c r="X94" s="26">
        <f t="shared" si="47"/>
        <v>4.0119999999999998E-8</v>
      </c>
      <c r="Y94" s="26">
        <f t="shared" si="47"/>
        <v>3.3047500000000005E-8</v>
      </c>
      <c r="Z94" s="26">
        <f t="shared" si="47"/>
        <v>2.72365E-8</v>
      </c>
      <c r="AA94" s="26">
        <f t="shared" si="47"/>
        <v>1.2667500000000001E-8</v>
      </c>
      <c r="AB94" s="26">
        <f t="shared" si="47"/>
        <v>5.9754999999999995E-9</v>
      </c>
      <c r="AC94" s="26">
        <f t="shared" si="47"/>
        <v>2.8578000000000002E-9</v>
      </c>
      <c r="AD94" s="26">
        <f t="shared" si="47"/>
        <v>1.3836499999999999E-9</v>
      </c>
      <c r="AE94" s="26">
        <f t="shared" si="47"/>
        <v>0</v>
      </c>
      <c r="AF94" s="26">
        <f t="shared" si="47"/>
        <v>0</v>
      </c>
      <c r="AG94" s="26">
        <f t="shared" si="47"/>
        <v>0</v>
      </c>
      <c r="AH94" s="26">
        <f t="shared" si="47"/>
        <v>0</v>
      </c>
      <c r="AI94" s="26">
        <f t="shared" si="47"/>
        <v>0</v>
      </c>
      <c r="AJ94" s="26">
        <f t="shared" si="47"/>
        <v>0</v>
      </c>
      <c r="AK94" s="26">
        <f t="shared" si="47"/>
        <v>0</v>
      </c>
      <c r="AL94" s="26">
        <f t="shared" si="47"/>
        <v>0</v>
      </c>
    </row>
    <row r="95" spans="1:38" ht="21" hidden="1" customHeight="1" outlineLevel="1" thickBot="1" x14ac:dyDescent="0.4">
      <c r="A95" s="10">
        <f t="shared" si="27"/>
        <v>0</v>
      </c>
      <c r="B95" s="10">
        <f t="shared" si="27"/>
        <v>1</v>
      </c>
      <c r="C95" s="10">
        <f t="shared" si="27"/>
        <v>0</v>
      </c>
      <c r="D95" s="10">
        <f t="shared" si="27"/>
        <v>0</v>
      </c>
      <c r="E95" s="11" t="str">
        <f t="shared" si="21"/>
        <v>(l)Se[a]</v>
      </c>
      <c r="F95" s="26">
        <f t="shared" ref="F95" si="48">F15*$C$82</f>
        <v>2.5594000000000001E-9</v>
      </c>
      <c r="G95" s="26">
        <f t="shared" ref="G95:AL95" si="49">G15*$C$82</f>
        <v>1.0209500000000001E-8</v>
      </c>
      <c r="H95" s="26">
        <f t="shared" si="49"/>
        <v>2.8047E-8</v>
      </c>
      <c r="I95" s="26">
        <f t="shared" si="49"/>
        <v>5.0440000000000007E-8</v>
      </c>
      <c r="J95" s="26">
        <f t="shared" si="49"/>
        <v>6.271000000000001E-8</v>
      </c>
      <c r="K95" s="26">
        <f t="shared" si="49"/>
        <v>6.2034999999999999E-8</v>
      </c>
      <c r="L95" s="26">
        <f t="shared" si="49"/>
        <v>5.5705000000000002E-8</v>
      </c>
      <c r="M95" s="26">
        <f t="shared" si="49"/>
        <v>4.94595E-8</v>
      </c>
      <c r="N95" s="26">
        <f t="shared" si="49"/>
        <v>4.6120000000000005E-8</v>
      </c>
      <c r="O95" s="26">
        <f t="shared" si="49"/>
        <v>4.6191000000000006E-8</v>
      </c>
      <c r="P95" s="26">
        <f t="shared" si="49"/>
        <v>4.7829500000000005E-8</v>
      </c>
      <c r="Q95" s="26">
        <f t="shared" si="49"/>
        <v>4.9227500000000002E-8</v>
      </c>
      <c r="R95" s="26">
        <f t="shared" si="49"/>
        <v>6.2684999999999995E-8</v>
      </c>
      <c r="S95" s="26">
        <f t="shared" si="49"/>
        <v>6.3170000000000003E-8</v>
      </c>
      <c r="T95" s="26">
        <f t="shared" si="49"/>
        <v>5.2519999999999996E-8</v>
      </c>
      <c r="U95" s="26">
        <f t="shared" si="49"/>
        <v>4.3081500000000001E-8</v>
      </c>
      <c r="V95" s="26">
        <f t="shared" si="49"/>
        <v>3.5141999999999998E-8</v>
      </c>
      <c r="W95" s="26">
        <f t="shared" si="49"/>
        <v>2.8602500000000001E-8</v>
      </c>
      <c r="X95" s="26">
        <f t="shared" si="49"/>
        <v>2.3265500000000001E-8</v>
      </c>
      <c r="Y95" s="26">
        <f t="shared" si="49"/>
        <v>1.8927500000000002E-8</v>
      </c>
      <c r="Z95" s="26">
        <f t="shared" si="49"/>
        <v>1.54065E-8</v>
      </c>
      <c r="AA95" s="26">
        <f t="shared" si="49"/>
        <v>6.8219999999999998E-9</v>
      </c>
      <c r="AB95" s="26">
        <f t="shared" si="49"/>
        <v>3.0689E-9</v>
      </c>
      <c r="AC95" s="26">
        <f t="shared" si="49"/>
        <v>1.4019999999999999E-9</v>
      </c>
      <c r="AD95" s="26">
        <f t="shared" si="49"/>
        <v>6.4925000000000001E-10</v>
      </c>
      <c r="AE95" s="26">
        <f t="shared" si="49"/>
        <v>0</v>
      </c>
      <c r="AF95" s="26">
        <f t="shared" si="49"/>
        <v>0</v>
      </c>
      <c r="AG95" s="26">
        <f t="shared" si="49"/>
        <v>0</v>
      </c>
      <c r="AH95" s="26">
        <f t="shared" si="49"/>
        <v>0</v>
      </c>
      <c r="AI95" s="26">
        <f t="shared" si="49"/>
        <v>0</v>
      </c>
      <c r="AJ95" s="26">
        <f t="shared" si="49"/>
        <v>0</v>
      </c>
      <c r="AK95" s="26">
        <f t="shared" si="49"/>
        <v>0</v>
      </c>
      <c r="AL95" s="26">
        <f t="shared" si="49"/>
        <v>0</v>
      </c>
    </row>
    <row r="96" spans="1:38" ht="21" hidden="1" customHeight="1" outlineLevel="1" thickBot="1" x14ac:dyDescent="0.4">
      <c r="A96" s="10">
        <f t="shared" si="27"/>
        <v>0</v>
      </c>
      <c r="B96" s="10">
        <f t="shared" si="27"/>
        <v>1</v>
      </c>
      <c r="C96" s="10">
        <f t="shared" si="27"/>
        <v>0</v>
      </c>
      <c r="D96" s="10">
        <f t="shared" si="27"/>
        <v>0</v>
      </c>
      <c r="E96" s="11" t="str">
        <f t="shared" si="21"/>
        <v>(l)Se[m]</v>
      </c>
      <c r="F96" s="26">
        <f t="shared" ref="F96" si="50">F16*$C$82</f>
        <v>9.5610000000000001E-3</v>
      </c>
      <c r="G96" s="26">
        <f t="shared" ref="G96:AL96" si="51">G16*$C$82</f>
        <v>4.16225E-2</v>
      </c>
      <c r="H96" s="26">
        <f t="shared" si="51"/>
        <v>0.12869</v>
      </c>
      <c r="I96" s="26">
        <f t="shared" si="51"/>
        <v>0.26661000000000001</v>
      </c>
      <c r="J96" s="26">
        <f t="shared" si="51"/>
        <v>0.38863000000000003</v>
      </c>
      <c r="K96" s="26">
        <f t="shared" si="51"/>
        <v>0.45682500000000004</v>
      </c>
      <c r="L96" s="26">
        <f t="shared" si="51"/>
        <v>0.49250500000000003</v>
      </c>
      <c r="M96" s="26">
        <f t="shared" si="51"/>
        <v>0.52905000000000002</v>
      </c>
      <c r="N96" s="26">
        <f t="shared" si="51"/>
        <v>0.60034999999999994</v>
      </c>
      <c r="O96" s="26">
        <f t="shared" si="51"/>
        <v>0.7349</v>
      </c>
      <c r="P96" s="26">
        <f t="shared" si="51"/>
        <v>0.93299999999999994</v>
      </c>
      <c r="Q96" s="26">
        <f t="shared" si="51"/>
        <v>1.1799500000000001</v>
      </c>
      <c r="R96" s="26">
        <f t="shared" si="51"/>
        <v>1.8489500000000001</v>
      </c>
      <c r="S96" s="26">
        <f t="shared" si="51"/>
        <v>2.29495</v>
      </c>
      <c r="T96" s="26">
        <f t="shared" si="51"/>
        <v>2.3512</v>
      </c>
      <c r="U96" s="26">
        <f t="shared" si="51"/>
        <v>2.3767</v>
      </c>
      <c r="V96" s="26">
        <f t="shared" si="51"/>
        <v>2.3885999999999998</v>
      </c>
      <c r="W96" s="26">
        <f t="shared" si="51"/>
        <v>2.3942999999999999</v>
      </c>
      <c r="X96" s="26">
        <f t="shared" si="51"/>
        <v>2.3970500000000001</v>
      </c>
      <c r="Y96" s="26">
        <f t="shared" si="51"/>
        <v>2.39845</v>
      </c>
      <c r="Z96" s="26">
        <f t="shared" si="51"/>
        <v>2.3991499999999997</v>
      </c>
      <c r="AA96" s="26">
        <f t="shared" si="51"/>
        <v>2.3999000000000001</v>
      </c>
      <c r="AB96" s="26">
        <f t="shared" si="51"/>
        <v>2.4</v>
      </c>
      <c r="AC96" s="26">
        <f t="shared" si="51"/>
        <v>2.4</v>
      </c>
      <c r="AD96" s="26">
        <f t="shared" si="51"/>
        <v>2.4</v>
      </c>
      <c r="AE96" s="26">
        <f t="shared" si="51"/>
        <v>0</v>
      </c>
      <c r="AF96" s="26">
        <f t="shared" si="51"/>
        <v>0</v>
      </c>
      <c r="AG96" s="26">
        <f t="shared" si="51"/>
        <v>0</v>
      </c>
      <c r="AH96" s="26">
        <f t="shared" si="51"/>
        <v>0</v>
      </c>
      <c r="AI96" s="26">
        <f t="shared" si="51"/>
        <v>0</v>
      </c>
      <c r="AJ96" s="26">
        <f t="shared" si="51"/>
        <v>0</v>
      </c>
      <c r="AK96" s="26">
        <f t="shared" si="51"/>
        <v>0</v>
      </c>
      <c r="AL96" s="26">
        <f t="shared" si="51"/>
        <v>0</v>
      </c>
    </row>
    <row r="97" spans="1:38" ht="21" hidden="1" customHeight="1" outlineLevel="1" thickBot="1" x14ac:dyDescent="0.4">
      <c r="A97" s="10">
        <f t="shared" si="27"/>
        <v>0</v>
      </c>
      <c r="B97" s="10">
        <f t="shared" si="27"/>
        <v>1</v>
      </c>
      <c r="C97" s="10">
        <f t="shared" si="27"/>
        <v>0</v>
      </c>
      <c r="D97" s="10">
        <f t="shared" si="27"/>
        <v>0</v>
      </c>
      <c r="E97" s="11" t="str">
        <f t="shared" si="21"/>
        <v>(l)Se[r]</v>
      </c>
      <c r="F97" s="26">
        <f t="shared" ref="F97" si="52">F17*$C$82</f>
        <v>2.8393499999999999E-11</v>
      </c>
      <c r="G97" s="26">
        <f t="shared" ref="G97:AL97" si="53">G17*$C$82</f>
        <v>1.58555E-10</v>
      </c>
      <c r="H97" s="26">
        <f t="shared" si="53"/>
        <v>5.8810000000000007E-10</v>
      </c>
      <c r="I97" s="26">
        <f t="shared" si="53"/>
        <v>1.3858499999999999E-9</v>
      </c>
      <c r="J97" s="26">
        <f t="shared" si="53"/>
        <v>2.2012000000000002E-9</v>
      </c>
      <c r="K97" s="26">
        <f t="shared" si="53"/>
        <v>2.7226999999999997E-9</v>
      </c>
      <c r="L97" s="26">
        <f t="shared" si="53"/>
        <v>3.0015499999999998E-9</v>
      </c>
      <c r="M97" s="26">
        <f t="shared" si="53"/>
        <v>3.2198500000000002E-9</v>
      </c>
      <c r="N97" s="26">
        <f t="shared" si="53"/>
        <v>3.5774499999999999E-9</v>
      </c>
      <c r="O97" s="26">
        <f t="shared" si="53"/>
        <v>4.2173000000000003E-9</v>
      </c>
      <c r="P97" s="26">
        <f t="shared" si="53"/>
        <v>5.0845E-9</v>
      </c>
      <c r="Q97" s="26">
        <f t="shared" si="53"/>
        <v>6.0355000000000005E-9</v>
      </c>
      <c r="R97" s="26">
        <f t="shared" si="53"/>
        <v>8.7869999999999995E-9</v>
      </c>
      <c r="S97" s="26">
        <f t="shared" si="53"/>
        <v>1.0047000000000001E-8</v>
      </c>
      <c r="T97" s="26">
        <f t="shared" si="53"/>
        <v>9.4120000000000002E-9</v>
      </c>
      <c r="U97" s="26">
        <f t="shared" si="53"/>
        <v>8.6440000000000012E-9</v>
      </c>
      <c r="V97" s="26">
        <f t="shared" si="53"/>
        <v>7.8495000000000002E-9</v>
      </c>
      <c r="W97" s="26">
        <f t="shared" si="53"/>
        <v>7.0755000000000002E-9</v>
      </c>
      <c r="X97" s="26">
        <f t="shared" si="53"/>
        <v>6.3429999999999993E-9</v>
      </c>
      <c r="Y97" s="26">
        <f t="shared" si="53"/>
        <v>5.6619999999999997E-9</v>
      </c>
      <c r="Z97" s="26">
        <f t="shared" si="53"/>
        <v>5.0370000000000007E-9</v>
      </c>
      <c r="AA97" s="26">
        <f t="shared" si="53"/>
        <v>3.0724500000000001E-9</v>
      </c>
      <c r="AB97" s="26">
        <f t="shared" si="53"/>
        <v>1.8200999999999999E-9</v>
      </c>
      <c r="AC97" s="26">
        <f t="shared" si="53"/>
        <v>1.0576000000000002E-9</v>
      </c>
      <c r="AD97" s="26">
        <f t="shared" si="53"/>
        <v>6.0615000000000002E-10</v>
      </c>
      <c r="AE97" s="26">
        <f t="shared" si="53"/>
        <v>0</v>
      </c>
      <c r="AF97" s="26">
        <f t="shared" si="53"/>
        <v>0</v>
      </c>
      <c r="AG97" s="26">
        <f t="shared" si="53"/>
        <v>0</v>
      </c>
      <c r="AH97" s="26">
        <f t="shared" si="53"/>
        <v>0</v>
      </c>
      <c r="AI97" s="26">
        <f t="shared" si="53"/>
        <v>0</v>
      </c>
      <c r="AJ97" s="26">
        <f t="shared" si="53"/>
        <v>0</v>
      </c>
      <c r="AK97" s="26">
        <f t="shared" si="53"/>
        <v>0</v>
      </c>
      <c r="AL97" s="26">
        <f t="shared" si="53"/>
        <v>0</v>
      </c>
    </row>
    <row r="98" spans="1:38" ht="21" hidden="1" customHeight="1" outlineLevel="1" thickBot="1" x14ac:dyDescent="0.4">
      <c r="A98" s="10">
        <f t="shared" si="27"/>
        <v>0</v>
      </c>
      <c r="B98" s="10">
        <f t="shared" si="27"/>
        <v>0</v>
      </c>
      <c r="C98" s="10">
        <f t="shared" si="27"/>
        <v>1</v>
      </c>
      <c r="D98" s="10">
        <f t="shared" si="27"/>
        <v>0</v>
      </c>
      <c r="E98" s="11" t="str">
        <f t="shared" si="21"/>
        <v>(l)Ge[c]</v>
      </c>
      <c r="F98" s="26">
        <f t="shared" ref="F98:F112" si="54">F18*$C$82</f>
        <v>1.8996E-6</v>
      </c>
      <c r="G98" s="26">
        <f t="shared" ref="G98:AL98" si="55">G18*$C$82</f>
        <v>4.9106999999999994E-6</v>
      </c>
      <c r="H98" s="26">
        <f t="shared" si="55"/>
        <v>1.57885E-5</v>
      </c>
      <c r="I98" s="26">
        <f t="shared" si="55"/>
        <v>6.6434999999999997E-5</v>
      </c>
      <c r="J98" s="26">
        <f t="shared" si="55"/>
        <v>3.0899999999999998E-4</v>
      </c>
      <c r="K98" s="26">
        <f t="shared" si="55"/>
        <v>1.3618500000000002E-3</v>
      </c>
      <c r="L98" s="26">
        <f t="shared" si="55"/>
        <v>5.3569999999999998E-3</v>
      </c>
      <c r="M98" s="26">
        <f t="shared" si="55"/>
        <v>1.82545E-2</v>
      </c>
      <c r="N98" s="26">
        <f t="shared" si="55"/>
        <v>5.1770000000000004E-2</v>
      </c>
      <c r="O98" s="26">
        <f t="shared" si="55"/>
        <v>0.11811000000000001</v>
      </c>
      <c r="P98" s="26">
        <f t="shared" si="55"/>
        <v>0.21593999999999999</v>
      </c>
      <c r="Q98" s="26">
        <f t="shared" si="55"/>
        <v>0.32066499999999998</v>
      </c>
      <c r="R98" s="26">
        <f t="shared" si="55"/>
        <v>0.39805000000000001</v>
      </c>
      <c r="S98" s="26">
        <f t="shared" si="55"/>
        <v>0.44869500000000001</v>
      </c>
      <c r="T98" s="26">
        <f t="shared" si="55"/>
        <v>0.47561500000000001</v>
      </c>
      <c r="U98" s="26">
        <f t="shared" si="55"/>
        <v>0.48834500000000003</v>
      </c>
      <c r="V98" s="26">
        <f t="shared" si="55"/>
        <v>0.49431000000000003</v>
      </c>
      <c r="W98" s="26">
        <f t="shared" si="55"/>
        <v>0.497145</v>
      </c>
      <c r="X98" s="26">
        <f t="shared" si="55"/>
        <v>0.498525</v>
      </c>
      <c r="Y98" s="26">
        <f t="shared" si="55"/>
        <v>0.49921500000000002</v>
      </c>
      <c r="Z98" s="26">
        <f t="shared" si="55"/>
        <v>0.49957499999999999</v>
      </c>
      <c r="AA98" s="26">
        <f t="shared" si="55"/>
        <v>0.49995499999999998</v>
      </c>
      <c r="AB98" s="26">
        <f t="shared" si="55"/>
        <v>0.49999500000000002</v>
      </c>
      <c r="AC98" s="26">
        <f t="shared" si="55"/>
        <v>0.5</v>
      </c>
      <c r="AD98" s="26">
        <f t="shared" si="55"/>
        <v>0.5</v>
      </c>
      <c r="AE98" s="26">
        <f t="shared" si="55"/>
        <v>0</v>
      </c>
      <c r="AF98" s="26">
        <f t="shared" si="55"/>
        <v>0</v>
      </c>
      <c r="AG98" s="26">
        <f t="shared" si="55"/>
        <v>0</v>
      </c>
      <c r="AH98" s="26">
        <f t="shared" si="55"/>
        <v>0</v>
      </c>
      <c r="AI98" s="26">
        <f t="shared" si="55"/>
        <v>0</v>
      </c>
      <c r="AJ98" s="26">
        <f t="shared" si="55"/>
        <v>0</v>
      </c>
      <c r="AK98" s="26">
        <f t="shared" si="55"/>
        <v>0</v>
      </c>
      <c r="AL98" s="26">
        <f t="shared" si="55"/>
        <v>0</v>
      </c>
    </row>
    <row r="99" spans="1:38" ht="21" hidden="1" customHeight="1" outlineLevel="1" thickBot="1" x14ac:dyDescent="0.4">
      <c r="A99" s="10">
        <f t="shared" si="27"/>
        <v>1</v>
      </c>
      <c r="B99" s="10">
        <f t="shared" si="27"/>
        <v>0</v>
      </c>
      <c r="C99" s="10">
        <f t="shared" si="27"/>
        <v>0</v>
      </c>
      <c r="D99" s="10">
        <f t="shared" si="27"/>
        <v>0</v>
      </c>
      <c r="E99" s="11" t="str">
        <f t="shared" si="21"/>
        <v>H (Ar)</v>
      </c>
      <c r="F99" s="26">
        <f t="shared" si="54"/>
        <v>-93.800000000000011</v>
      </c>
      <c r="G99" s="26">
        <f t="shared" ref="G99:AL99" si="56">G19*$C$82</f>
        <v>-93.75</v>
      </c>
      <c r="H99" s="26">
        <f t="shared" si="56"/>
        <v>-93.75</v>
      </c>
      <c r="I99" s="26">
        <f t="shared" si="56"/>
        <v>-93.75</v>
      </c>
      <c r="J99" s="26">
        <f t="shared" si="56"/>
        <v>-93.800000000000011</v>
      </c>
      <c r="K99" s="26">
        <f t="shared" si="56"/>
        <v>-93.949999999999989</v>
      </c>
      <c r="L99" s="26">
        <f t="shared" si="56"/>
        <v>-94.05</v>
      </c>
      <c r="M99" s="26">
        <f t="shared" si="56"/>
        <v>-94.25</v>
      </c>
      <c r="N99" s="26">
        <f t="shared" si="56"/>
        <v>-94.399999999999991</v>
      </c>
      <c r="O99" s="26">
        <f t="shared" si="56"/>
        <v>-94.55</v>
      </c>
      <c r="P99" s="26">
        <f t="shared" si="56"/>
        <v>-94.7</v>
      </c>
      <c r="Q99" s="26">
        <f t="shared" si="56"/>
        <v>-94.85</v>
      </c>
      <c r="R99" s="26">
        <f t="shared" si="56"/>
        <v>-94.75</v>
      </c>
      <c r="S99" s="26">
        <f t="shared" si="56"/>
        <v>-94.85</v>
      </c>
      <c r="T99" s="26">
        <f t="shared" si="56"/>
        <v>-95.050000000000011</v>
      </c>
      <c r="U99" s="26">
        <f t="shared" si="56"/>
        <v>-95.25</v>
      </c>
      <c r="V99" s="26">
        <f t="shared" si="56"/>
        <v>-95.45</v>
      </c>
      <c r="W99" s="26">
        <f t="shared" si="56"/>
        <v>-95.7</v>
      </c>
      <c r="X99" s="26">
        <f t="shared" si="56"/>
        <v>-95.9</v>
      </c>
      <c r="Y99" s="26">
        <f t="shared" si="56"/>
        <v>-96.1</v>
      </c>
      <c r="Z99" s="26">
        <f t="shared" si="56"/>
        <v>-96.300000000000011</v>
      </c>
      <c r="AA99" s="26">
        <f t="shared" si="56"/>
        <v>-97.15</v>
      </c>
      <c r="AB99" s="26">
        <f t="shared" si="56"/>
        <v>-97.95</v>
      </c>
      <c r="AC99" s="26">
        <f t="shared" si="56"/>
        <v>-98.699999999999989</v>
      </c>
      <c r="AD99" s="26">
        <f t="shared" si="56"/>
        <v>-99.399999999999991</v>
      </c>
      <c r="AE99" s="26">
        <f t="shared" si="56"/>
        <v>0</v>
      </c>
      <c r="AF99" s="26">
        <f t="shared" si="56"/>
        <v>0</v>
      </c>
      <c r="AG99" s="26">
        <f t="shared" si="56"/>
        <v>0</v>
      </c>
      <c r="AH99" s="26">
        <f t="shared" si="56"/>
        <v>0</v>
      </c>
      <c r="AI99" s="26">
        <f t="shared" si="56"/>
        <v>0</v>
      </c>
      <c r="AJ99" s="26">
        <f t="shared" si="56"/>
        <v>0</v>
      </c>
      <c r="AK99" s="26">
        <f t="shared" si="56"/>
        <v>0</v>
      </c>
      <c r="AL99" s="26">
        <f t="shared" si="56"/>
        <v>0</v>
      </c>
    </row>
    <row r="100" spans="1:38" ht="21" hidden="1" customHeight="1" outlineLevel="1" thickBot="1" x14ac:dyDescent="0.4">
      <c r="A100" s="10">
        <f t="shared" si="27"/>
        <v>0</v>
      </c>
      <c r="B100" s="10">
        <f t="shared" si="27"/>
        <v>0</v>
      </c>
      <c r="C100" s="10">
        <f t="shared" si="27"/>
        <v>0</v>
      </c>
      <c r="D100" s="10">
        <f t="shared" si="27"/>
        <v>1</v>
      </c>
      <c r="E100" s="11" t="str">
        <f t="shared" si="21"/>
        <v>H (Ga)</v>
      </c>
      <c r="F100" s="26">
        <f t="shared" si="54"/>
        <v>-332.65</v>
      </c>
      <c r="G100" s="26">
        <f t="shared" ref="G100:AL100" si="57">G20*$C$82</f>
        <v>-310.65000000000003</v>
      </c>
      <c r="H100" s="26">
        <f t="shared" si="57"/>
        <v>-289.8</v>
      </c>
      <c r="I100" s="26">
        <f t="shared" si="57"/>
        <v>-269</v>
      </c>
      <c r="J100" s="26">
        <f t="shared" si="57"/>
        <v>-248.4</v>
      </c>
      <c r="K100" s="26">
        <f t="shared" si="57"/>
        <v>-228.70000000000002</v>
      </c>
      <c r="L100" s="26">
        <f t="shared" si="57"/>
        <v>-210.45000000000002</v>
      </c>
      <c r="M100" s="26">
        <f t="shared" si="57"/>
        <v>-193.85000000000002</v>
      </c>
      <c r="N100" s="26">
        <f t="shared" si="57"/>
        <v>-178.9</v>
      </c>
      <c r="O100" s="26">
        <f t="shared" si="57"/>
        <v>-165.65</v>
      </c>
      <c r="P100" s="26">
        <f t="shared" si="57"/>
        <v>-153.55000000000001</v>
      </c>
      <c r="Q100" s="26">
        <f t="shared" si="57"/>
        <v>-142.44999999999999</v>
      </c>
      <c r="R100" s="26">
        <f t="shared" si="57"/>
        <v>-134.75</v>
      </c>
      <c r="S100" s="26">
        <f t="shared" si="57"/>
        <v>-137.20000000000002</v>
      </c>
      <c r="T100" s="26">
        <f t="shared" si="57"/>
        <v>-141.19999999999999</v>
      </c>
      <c r="U100" s="26">
        <f t="shared" si="57"/>
        <v>-145.19999999999999</v>
      </c>
      <c r="V100" s="26">
        <f t="shared" si="57"/>
        <v>-149.14999999999998</v>
      </c>
      <c r="W100" s="26">
        <f t="shared" si="57"/>
        <v>-153.05000000000001</v>
      </c>
      <c r="X100" s="26">
        <f t="shared" si="57"/>
        <v>-156.9</v>
      </c>
      <c r="Y100" s="26">
        <f t="shared" si="57"/>
        <v>-160.65</v>
      </c>
      <c r="Z100" s="26">
        <f t="shared" si="57"/>
        <v>-164.4</v>
      </c>
      <c r="AA100" s="26">
        <f t="shared" si="57"/>
        <v>-178.70000000000002</v>
      </c>
      <c r="AB100" s="26">
        <f t="shared" si="57"/>
        <v>-191.85</v>
      </c>
      <c r="AC100" s="26">
        <f t="shared" si="57"/>
        <v>-203.6</v>
      </c>
      <c r="AD100" s="26">
        <f t="shared" si="57"/>
        <v>-213.85000000000002</v>
      </c>
      <c r="AE100" s="26">
        <f t="shared" si="57"/>
        <v>0</v>
      </c>
      <c r="AF100" s="26">
        <f t="shared" si="57"/>
        <v>0</v>
      </c>
      <c r="AG100" s="26">
        <f t="shared" si="57"/>
        <v>0</v>
      </c>
      <c r="AH100" s="26">
        <f t="shared" si="57"/>
        <v>0</v>
      </c>
      <c r="AI100" s="26">
        <f t="shared" si="57"/>
        <v>0</v>
      </c>
      <c r="AJ100" s="26">
        <f t="shared" si="57"/>
        <v>0</v>
      </c>
      <c r="AK100" s="26">
        <f t="shared" si="57"/>
        <v>0</v>
      </c>
      <c r="AL100" s="26">
        <f t="shared" si="57"/>
        <v>0</v>
      </c>
    </row>
    <row r="101" spans="1:38" ht="21" hidden="1" customHeight="1" outlineLevel="1" thickBot="1" x14ac:dyDescent="0.4">
      <c r="A101" s="10">
        <f t="shared" ref="A101:D113" si="58">A67</f>
        <v>0</v>
      </c>
      <c r="B101" s="10">
        <f t="shared" si="58"/>
        <v>0</v>
      </c>
      <c r="C101" s="10">
        <f t="shared" si="58"/>
        <v>1</v>
      </c>
      <c r="D101" s="10">
        <f t="shared" si="58"/>
        <v>0</v>
      </c>
      <c r="E101" s="11" t="str">
        <f t="shared" si="21"/>
        <v>H Ge)</v>
      </c>
      <c r="F101" s="26">
        <f t="shared" si="54"/>
        <v>-85.35</v>
      </c>
      <c r="G101" s="26">
        <f t="shared" ref="G101:AL101" si="59">G21*$C$82</f>
        <v>-80.7</v>
      </c>
      <c r="H101" s="26">
        <f t="shared" si="59"/>
        <v>-75.25</v>
      </c>
      <c r="I101" s="26">
        <f t="shared" si="59"/>
        <v>-68.7</v>
      </c>
      <c r="J101" s="26">
        <f t="shared" si="59"/>
        <v>-61.550000000000004</v>
      </c>
      <c r="K101" s="26">
        <f t="shared" si="59"/>
        <v>-54.5</v>
      </c>
      <c r="L101" s="26">
        <f t="shared" si="59"/>
        <v>-47.92</v>
      </c>
      <c r="M101" s="26">
        <f t="shared" si="59"/>
        <v>-42.089999999999996</v>
      </c>
      <c r="N101" s="26">
        <f t="shared" si="59"/>
        <v>-37.295000000000002</v>
      </c>
      <c r="O101" s="26">
        <f t="shared" si="59"/>
        <v>-33.765000000000001</v>
      </c>
      <c r="P101" s="26">
        <f t="shared" si="59"/>
        <v>-31.484999999999999</v>
      </c>
      <c r="Q101" s="26">
        <f t="shared" si="59"/>
        <v>-30.339999999999996</v>
      </c>
      <c r="R101" s="26">
        <f t="shared" si="59"/>
        <v>-31.095000000000002</v>
      </c>
      <c r="S101" s="26">
        <f t="shared" si="59"/>
        <v>-31.555</v>
      </c>
      <c r="T101" s="26">
        <f t="shared" si="59"/>
        <v>-31.585000000000001</v>
      </c>
      <c r="U101" s="26">
        <f t="shared" si="59"/>
        <v>-31.73</v>
      </c>
      <c r="V101" s="26">
        <f t="shared" si="59"/>
        <v>-31.934999999999999</v>
      </c>
      <c r="W101" s="26">
        <f t="shared" si="59"/>
        <v>-32.164999999999999</v>
      </c>
      <c r="X101" s="26">
        <f t="shared" si="59"/>
        <v>-32.405000000000001</v>
      </c>
      <c r="Y101" s="26">
        <f t="shared" si="59"/>
        <v>-32.65</v>
      </c>
      <c r="Z101" s="26">
        <f t="shared" si="59"/>
        <v>-32.894999999999996</v>
      </c>
      <c r="AA101" s="26">
        <f t="shared" si="59"/>
        <v>-33.875</v>
      </c>
      <c r="AB101" s="26">
        <f t="shared" si="59"/>
        <v>-34.83</v>
      </c>
      <c r="AC101" s="26">
        <f t="shared" si="59"/>
        <v>-35.754999999999995</v>
      </c>
      <c r="AD101" s="26">
        <f t="shared" si="59"/>
        <v>-36.64</v>
      </c>
      <c r="AE101" s="26">
        <f t="shared" si="59"/>
        <v>0</v>
      </c>
      <c r="AF101" s="26">
        <f t="shared" si="59"/>
        <v>0</v>
      </c>
      <c r="AG101" s="26">
        <f t="shared" si="59"/>
        <v>0</v>
      </c>
      <c r="AH101" s="26">
        <f t="shared" si="59"/>
        <v>0</v>
      </c>
      <c r="AI101" s="26">
        <f t="shared" si="59"/>
        <v>0</v>
      </c>
      <c r="AJ101" s="26">
        <f t="shared" si="59"/>
        <v>0</v>
      </c>
      <c r="AK101" s="26">
        <f t="shared" si="59"/>
        <v>0</v>
      </c>
      <c r="AL101" s="26">
        <f t="shared" si="59"/>
        <v>0</v>
      </c>
    </row>
    <row r="102" spans="1:38" ht="21" hidden="1" customHeight="1" outlineLevel="1" thickBot="1" x14ac:dyDescent="0.4">
      <c r="A102" s="10">
        <f t="shared" si="58"/>
        <v>0</v>
      </c>
      <c r="B102" s="10">
        <f t="shared" si="58"/>
        <v>1</v>
      </c>
      <c r="C102" s="10">
        <f t="shared" si="58"/>
        <v>0</v>
      </c>
      <c r="D102" s="10">
        <f t="shared" si="58"/>
        <v>0</v>
      </c>
      <c r="E102" s="11" t="str">
        <f t="shared" si="21"/>
        <v>H (Se)</v>
      </c>
      <c r="F102" s="26">
        <f t="shared" si="54"/>
        <v>-117.8</v>
      </c>
      <c r="G102" s="26">
        <f t="shared" ref="G102:AL102" si="60">G22*$C$82</f>
        <v>-111.75</v>
      </c>
      <c r="H102" s="26">
        <f t="shared" si="60"/>
        <v>-107.75</v>
      </c>
      <c r="I102" s="26">
        <f t="shared" si="60"/>
        <v>-106</v>
      </c>
      <c r="J102" s="26">
        <f t="shared" si="60"/>
        <v>-106</v>
      </c>
      <c r="K102" s="26">
        <f t="shared" si="60"/>
        <v>-106.89999999999999</v>
      </c>
      <c r="L102" s="26">
        <f t="shared" si="60"/>
        <v>-108.14999999999999</v>
      </c>
      <c r="M102" s="26">
        <f t="shared" si="60"/>
        <v>-109.45</v>
      </c>
      <c r="N102" s="26">
        <f t="shared" si="60"/>
        <v>-110.55</v>
      </c>
      <c r="O102" s="26">
        <f t="shared" si="60"/>
        <v>-111.5</v>
      </c>
      <c r="P102" s="26">
        <f t="shared" si="60"/>
        <v>-112.35</v>
      </c>
      <c r="Q102" s="26">
        <f t="shared" si="60"/>
        <v>-113.35000000000001</v>
      </c>
      <c r="R102" s="26">
        <f t="shared" si="60"/>
        <v>-114.25</v>
      </c>
      <c r="S102" s="26">
        <f t="shared" si="60"/>
        <v>-115.5</v>
      </c>
      <c r="T102" s="26">
        <f t="shared" si="60"/>
        <v>-117</v>
      </c>
      <c r="U102" s="26">
        <f t="shared" si="60"/>
        <v>-118.45</v>
      </c>
      <c r="V102" s="26">
        <f t="shared" si="60"/>
        <v>-119.94999999999999</v>
      </c>
      <c r="W102" s="26">
        <f t="shared" si="60"/>
        <v>-121.44999999999999</v>
      </c>
      <c r="X102" s="26">
        <f t="shared" si="60"/>
        <v>-122.89999999999999</v>
      </c>
      <c r="Y102" s="26">
        <f t="shared" si="60"/>
        <v>-124.35000000000001</v>
      </c>
      <c r="Z102" s="26">
        <f t="shared" si="60"/>
        <v>-125.8</v>
      </c>
      <c r="AA102" s="26">
        <f t="shared" si="60"/>
        <v>-131.4</v>
      </c>
      <c r="AB102" s="26">
        <f t="shared" si="60"/>
        <v>-136.85</v>
      </c>
      <c r="AC102" s="26">
        <f t="shared" si="60"/>
        <v>-142.05000000000001</v>
      </c>
      <c r="AD102" s="26">
        <f t="shared" si="60"/>
        <v>-147.10000000000002</v>
      </c>
      <c r="AE102" s="26">
        <f t="shared" si="60"/>
        <v>0</v>
      </c>
      <c r="AF102" s="26">
        <f t="shared" si="60"/>
        <v>0</v>
      </c>
      <c r="AG102" s="26">
        <f t="shared" si="60"/>
        <v>0</v>
      </c>
      <c r="AH102" s="26">
        <f t="shared" si="60"/>
        <v>0</v>
      </c>
      <c r="AI102" s="26">
        <f t="shared" si="60"/>
        <v>0</v>
      </c>
      <c r="AJ102" s="26">
        <f t="shared" si="60"/>
        <v>0</v>
      </c>
      <c r="AK102" s="26">
        <f t="shared" si="60"/>
        <v>0</v>
      </c>
      <c r="AL102" s="26">
        <f t="shared" si="60"/>
        <v>0</v>
      </c>
    </row>
    <row r="103" spans="1:38" ht="21" hidden="1" customHeight="1" outlineLevel="1" thickBot="1" x14ac:dyDescent="0.4">
      <c r="A103" s="10">
        <f t="shared" si="58"/>
        <v>0</v>
      </c>
      <c r="B103" s="10">
        <f t="shared" si="58"/>
        <v>0</v>
      </c>
      <c r="C103" s="10">
        <f t="shared" si="58"/>
        <v>0</v>
      </c>
      <c r="D103" s="10">
        <f t="shared" si="58"/>
        <v>0</v>
      </c>
      <c r="E103" s="11">
        <f t="shared" si="21"/>
        <v>0</v>
      </c>
      <c r="F103" s="26">
        <f t="shared" si="54"/>
        <v>0</v>
      </c>
      <c r="G103" s="26">
        <f t="shared" ref="G103:AL103" si="61">G23*$C$82</f>
        <v>0</v>
      </c>
      <c r="H103" s="26">
        <f t="shared" si="61"/>
        <v>0</v>
      </c>
      <c r="I103" s="26">
        <f t="shared" si="61"/>
        <v>0</v>
      </c>
      <c r="J103" s="26">
        <f t="shared" si="61"/>
        <v>0</v>
      </c>
      <c r="K103" s="26">
        <f t="shared" si="61"/>
        <v>0</v>
      </c>
      <c r="L103" s="26">
        <f t="shared" si="61"/>
        <v>0</v>
      </c>
      <c r="M103" s="26">
        <f t="shared" si="61"/>
        <v>0</v>
      </c>
      <c r="N103" s="26">
        <f t="shared" si="61"/>
        <v>0</v>
      </c>
      <c r="O103" s="26">
        <f t="shared" si="61"/>
        <v>0</v>
      </c>
      <c r="P103" s="26">
        <f t="shared" si="61"/>
        <v>0</v>
      </c>
      <c r="Q103" s="26">
        <f t="shared" si="61"/>
        <v>0</v>
      </c>
      <c r="R103" s="26">
        <f t="shared" si="61"/>
        <v>0</v>
      </c>
      <c r="S103" s="26">
        <f t="shared" si="61"/>
        <v>0</v>
      </c>
      <c r="T103" s="26">
        <f t="shared" si="61"/>
        <v>0</v>
      </c>
      <c r="U103" s="26">
        <f t="shared" si="61"/>
        <v>0</v>
      </c>
      <c r="V103" s="26">
        <f t="shared" si="61"/>
        <v>0</v>
      </c>
      <c r="W103" s="26">
        <f t="shared" si="61"/>
        <v>0</v>
      </c>
      <c r="X103" s="26">
        <f t="shared" si="61"/>
        <v>0</v>
      </c>
      <c r="Y103" s="26">
        <f t="shared" si="61"/>
        <v>0</v>
      </c>
      <c r="Z103" s="26">
        <f t="shared" si="61"/>
        <v>0</v>
      </c>
      <c r="AA103" s="26">
        <f t="shared" si="61"/>
        <v>0</v>
      </c>
      <c r="AB103" s="26">
        <f t="shared" si="61"/>
        <v>0</v>
      </c>
      <c r="AC103" s="26">
        <f t="shared" si="61"/>
        <v>0</v>
      </c>
      <c r="AD103" s="26">
        <f t="shared" si="61"/>
        <v>0</v>
      </c>
      <c r="AE103" s="26">
        <f t="shared" si="61"/>
        <v>0</v>
      </c>
      <c r="AF103" s="26">
        <f t="shared" si="61"/>
        <v>0</v>
      </c>
      <c r="AG103" s="26">
        <f t="shared" si="61"/>
        <v>0</v>
      </c>
      <c r="AH103" s="26">
        <f t="shared" si="61"/>
        <v>0</v>
      </c>
      <c r="AI103" s="26">
        <f t="shared" si="61"/>
        <v>0</v>
      </c>
      <c r="AJ103" s="26">
        <f t="shared" si="61"/>
        <v>0</v>
      </c>
      <c r="AK103" s="26">
        <f t="shared" si="61"/>
        <v>0</v>
      </c>
      <c r="AL103" s="26">
        <f t="shared" si="61"/>
        <v>0</v>
      </c>
    </row>
    <row r="104" spans="1:38" ht="21" hidden="1" customHeight="1" outlineLevel="1" thickBot="1" x14ac:dyDescent="0.4">
      <c r="A104" s="10">
        <f t="shared" si="58"/>
        <v>0</v>
      </c>
      <c r="B104" s="10">
        <f t="shared" si="58"/>
        <v>0</v>
      </c>
      <c r="C104" s="10">
        <f t="shared" si="58"/>
        <v>0</v>
      </c>
      <c r="D104" s="10">
        <f t="shared" si="58"/>
        <v>0</v>
      </c>
      <c r="E104" s="11">
        <f t="shared" si="21"/>
        <v>0</v>
      </c>
      <c r="F104" s="26">
        <f t="shared" si="54"/>
        <v>0</v>
      </c>
      <c r="G104" s="26">
        <f t="shared" ref="G104:AL104" si="62">G24*$C$82</f>
        <v>0</v>
      </c>
      <c r="H104" s="26">
        <f t="shared" si="62"/>
        <v>0</v>
      </c>
      <c r="I104" s="26">
        <f t="shared" si="62"/>
        <v>0</v>
      </c>
      <c r="J104" s="26">
        <f t="shared" si="62"/>
        <v>0</v>
      </c>
      <c r="K104" s="26">
        <f t="shared" si="62"/>
        <v>0</v>
      </c>
      <c r="L104" s="26">
        <f t="shared" si="62"/>
        <v>0</v>
      </c>
      <c r="M104" s="26">
        <f t="shared" si="62"/>
        <v>0</v>
      </c>
      <c r="N104" s="26">
        <f t="shared" si="62"/>
        <v>0</v>
      </c>
      <c r="O104" s="26">
        <f t="shared" si="62"/>
        <v>0</v>
      </c>
      <c r="P104" s="26">
        <f t="shared" si="62"/>
        <v>0</v>
      </c>
      <c r="Q104" s="26">
        <f t="shared" si="62"/>
        <v>0</v>
      </c>
      <c r="R104" s="26">
        <f t="shared" si="62"/>
        <v>0</v>
      </c>
      <c r="S104" s="26">
        <f t="shared" si="62"/>
        <v>0</v>
      </c>
      <c r="T104" s="26">
        <f t="shared" si="62"/>
        <v>0</v>
      </c>
      <c r="U104" s="26">
        <f t="shared" si="62"/>
        <v>0</v>
      </c>
      <c r="V104" s="26">
        <f t="shared" si="62"/>
        <v>0</v>
      </c>
      <c r="W104" s="26">
        <f t="shared" si="62"/>
        <v>0</v>
      </c>
      <c r="X104" s="26">
        <f t="shared" si="62"/>
        <v>0</v>
      </c>
      <c r="Y104" s="26">
        <f t="shared" si="62"/>
        <v>0</v>
      </c>
      <c r="Z104" s="26">
        <f t="shared" si="62"/>
        <v>0</v>
      </c>
      <c r="AA104" s="26">
        <f t="shared" si="62"/>
        <v>0</v>
      </c>
      <c r="AB104" s="26">
        <f t="shared" si="62"/>
        <v>0</v>
      </c>
      <c r="AC104" s="26">
        <f t="shared" si="62"/>
        <v>0</v>
      </c>
      <c r="AD104" s="26">
        <f t="shared" si="62"/>
        <v>0</v>
      </c>
      <c r="AE104" s="26">
        <f t="shared" si="62"/>
        <v>0</v>
      </c>
      <c r="AF104" s="26">
        <f t="shared" si="62"/>
        <v>0</v>
      </c>
      <c r="AG104" s="26">
        <f t="shared" si="62"/>
        <v>0</v>
      </c>
      <c r="AH104" s="26">
        <f t="shared" si="62"/>
        <v>0</v>
      </c>
      <c r="AI104" s="26">
        <f t="shared" si="62"/>
        <v>0</v>
      </c>
      <c r="AJ104" s="26">
        <f t="shared" si="62"/>
        <v>0</v>
      </c>
      <c r="AK104" s="26">
        <f t="shared" si="62"/>
        <v>0</v>
      </c>
      <c r="AL104" s="26">
        <f t="shared" si="62"/>
        <v>0</v>
      </c>
    </row>
    <row r="105" spans="1:38" ht="21" hidden="1" customHeight="1" outlineLevel="1" thickBot="1" x14ac:dyDescent="0.4">
      <c r="A105" s="10">
        <f t="shared" si="58"/>
        <v>0</v>
      </c>
      <c r="B105" s="10">
        <f t="shared" si="58"/>
        <v>0</v>
      </c>
      <c r="C105" s="10">
        <f t="shared" si="58"/>
        <v>0</v>
      </c>
      <c r="D105" s="10">
        <f t="shared" si="58"/>
        <v>0</v>
      </c>
      <c r="E105" s="11">
        <f t="shared" si="21"/>
        <v>0</v>
      </c>
      <c r="F105" s="26">
        <f t="shared" si="54"/>
        <v>0</v>
      </c>
      <c r="G105" s="26">
        <f t="shared" ref="G105:AL105" si="63">G25*$C$82</f>
        <v>0</v>
      </c>
      <c r="H105" s="26">
        <f t="shared" si="63"/>
        <v>0</v>
      </c>
      <c r="I105" s="26">
        <f t="shared" si="63"/>
        <v>0</v>
      </c>
      <c r="J105" s="26">
        <f t="shared" si="63"/>
        <v>0</v>
      </c>
      <c r="K105" s="26">
        <f t="shared" si="63"/>
        <v>0</v>
      </c>
      <c r="L105" s="26">
        <f t="shared" si="63"/>
        <v>0</v>
      </c>
      <c r="M105" s="26">
        <f t="shared" si="63"/>
        <v>0</v>
      </c>
      <c r="N105" s="26">
        <f t="shared" si="63"/>
        <v>0</v>
      </c>
      <c r="O105" s="26">
        <f t="shared" si="63"/>
        <v>0</v>
      </c>
      <c r="P105" s="26">
        <f t="shared" si="63"/>
        <v>0</v>
      </c>
      <c r="Q105" s="26">
        <f t="shared" si="63"/>
        <v>0</v>
      </c>
      <c r="R105" s="26">
        <f t="shared" si="63"/>
        <v>0</v>
      </c>
      <c r="S105" s="26">
        <f t="shared" si="63"/>
        <v>0</v>
      </c>
      <c r="T105" s="26">
        <f t="shared" si="63"/>
        <v>0</v>
      </c>
      <c r="U105" s="26">
        <f t="shared" si="63"/>
        <v>0</v>
      </c>
      <c r="V105" s="26">
        <f t="shared" si="63"/>
        <v>0</v>
      </c>
      <c r="W105" s="26">
        <f t="shared" si="63"/>
        <v>0</v>
      </c>
      <c r="X105" s="26">
        <f t="shared" si="63"/>
        <v>0</v>
      </c>
      <c r="Y105" s="26">
        <f t="shared" si="63"/>
        <v>0</v>
      </c>
      <c r="Z105" s="26">
        <f t="shared" si="63"/>
        <v>0</v>
      </c>
      <c r="AA105" s="26">
        <f t="shared" si="63"/>
        <v>0</v>
      </c>
      <c r="AB105" s="26">
        <f t="shared" si="63"/>
        <v>0</v>
      </c>
      <c r="AC105" s="26">
        <f t="shared" si="63"/>
        <v>0</v>
      </c>
      <c r="AD105" s="26">
        <f t="shared" si="63"/>
        <v>0</v>
      </c>
      <c r="AE105" s="26">
        <f t="shared" si="63"/>
        <v>0</v>
      </c>
      <c r="AF105" s="26">
        <f t="shared" si="63"/>
        <v>0</v>
      </c>
      <c r="AG105" s="26">
        <f t="shared" si="63"/>
        <v>0</v>
      </c>
      <c r="AH105" s="26">
        <f t="shared" si="63"/>
        <v>0</v>
      </c>
      <c r="AI105" s="26">
        <f t="shared" si="63"/>
        <v>0</v>
      </c>
      <c r="AJ105" s="26">
        <f t="shared" si="63"/>
        <v>0</v>
      </c>
      <c r="AK105" s="26">
        <f t="shared" si="63"/>
        <v>0</v>
      </c>
      <c r="AL105" s="26">
        <f t="shared" si="63"/>
        <v>0</v>
      </c>
    </row>
    <row r="106" spans="1:38" ht="21" hidden="1" customHeight="1" outlineLevel="1" thickBot="1" x14ac:dyDescent="0.4">
      <c r="A106" s="10">
        <f t="shared" si="58"/>
        <v>0</v>
      </c>
      <c r="B106" s="10">
        <f t="shared" si="58"/>
        <v>0</v>
      </c>
      <c r="C106" s="10">
        <f t="shared" si="58"/>
        <v>0</v>
      </c>
      <c r="D106" s="10">
        <f t="shared" si="58"/>
        <v>0</v>
      </c>
      <c r="E106" s="11">
        <f t="shared" si="21"/>
        <v>0</v>
      </c>
      <c r="F106" s="26">
        <f t="shared" si="54"/>
        <v>0</v>
      </c>
      <c r="G106" s="26">
        <f t="shared" ref="G106:AL106" si="64">G26*$C$82</f>
        <v>0</v>
      </c>
      <c r="H106" s="26">
        <f t="shared" si="64"/>
        <v>0</v>
      </c>
      <c r="I106" s="26">
        <f t="shared" si="64"/>
        <v>0</v>
      </c>
      <c r="J106" s="26">
        <f t="shared" si="64"/>
        <v>0</v>
      </c>
      <c r="K106" s="26">
        <f t="shared" si="64"/>
        <v>0</v>
      </c>
      <c r="L106" s="26">
        <f t="shared" si="64"/>
        <v>0</v>
      </c>
      <c r="M106" s="26">
        <f t="shared" si="64"/>
        <v>0</v>
      </c>
      <c r="N106" s="26">
        <f t="shared" si="64"/>
        <v>0</v>
      </c>
      <c r="O106" s="26">
        <f t="shared" si="64"/>
        <v>0</v>
      </c>
      <c r="P106" s="26">
        <f t="shared" si="64"/>
        <v>0</v>
      </c>
      <c r="Q106" s="26">
        <f t="shared" si="64"/>
        <v>0</v>
      </c>
      <c r="R106" s="26">
        <f t="shared" si="64"/>
        <v>0</v>
      </c>
      <c r="S106" s="26">
        <f t="shared" si="64"/>
        <v>0</v>
      </c>
      <c r="T106" s="26">
        <f t="shared" si="64"/>
        <v>0</v>
      </c>
      <c r="U106" s="26">
        <f t="shared" si="64"/>
        <v>0</v>
      </c>
      <c r="V106" s="26">
        <f t="shared" si="64"/>
        <v>0</v>
      </c>
      <c r="W106" s="26">
        <f t="shared" si="64"/>
        <v>0</v>
      </c>
      <c r="X106" s="26">
        <f t="shared" si="64"/>
        <v>0</v>
      </c>
      <c r="Y106" s="26">
        <f t="shared" si="64"/>
        <v>0</v>
      </c>
      <c r="Z106" s="26">
        <f t="shared" si="64"/>
        <v>0</v>
      </c>
      <c r="AA106" s="26">
        <f t="shared" si="64"/>
        <v>0</v>
      </c>
      <c r="AB106" s="26">
        <f t="shared" si="64"/>
        <v>0</v>
      </c>
      <c r="AC106" s="26">
        <f t="shared" si="64"/>
        <v>0</v>
      </c>
      <c r="AD106" s="26">
        <f t="shared" si="64"/>
        <v>0</v>
      </c>
      <c r="AE106" s="26">
        <f t="shared" si="64"/>
        <v>0</v>
      </c>
      <c r="AF106" s="26">
        <f t="shared" si="64"/>
        <v>0</v>
      </c>
      <c r="AG106" s="26">
        <f t="shared" si="64"/>
        <v>0</v>
      </c>
      <c r="AH106" s="26">
        <f t="shared" si="64"/>
        <v>0</v>
      </c>
      <c r="AI106" s="26">
        <f t="shared" si="64"/>
        <v>0</v>
      </c>
      <c r="AJ106" s="26">
        <f t="shared" si="64"/>
        <v>0</v>
      </c>
      <c r="AK106" s="26">
        <f t="shared" si="64"/>
        <v>0</v>
      </c>
      <c r="AL106" s="26">
        <f t="shared" si="64"/>
        <v>0</v>
      </c>
    </row>
    <row r="107" spans="1:38" ht="21" hidden="1" customHeight="1" outlineLevel="1" thickBot="1" x14ac:dyDescent="0.4">
      <c r="A107" s="10">
        <f t="shared" si="58"/>
        <v>0</v>
      </c>
      <c r="B107" s="10">
        <f t="shared" si="58"/>
        <v>0</v>
      </c>
      <c r="C107" s="10">
        <f t="shared" si="58"/>
        <v>0</v>
      </c>
      <c r="D107" s="10">
        <f t="shared" si="58"/>
        <v>0</v>
      </c>
      <c r="E107" s="11">
        <f t="shared" si="21"/>
        <v>0</v>
      </c>
      <c r="F107" s="26">
        <f t="shared" si="54"/>
        <v>0</v>
      </c>
      <c r="G107" s="26">
        <f t="shared" ref="G107:AL107" si="65">G27*$C$82</f>
        <v>0</v>
      </c>
      <c r="H107" s="26">
        <f t="shared" si="65"/>
        <v>0</v>
      </c>
      <c r="I107" s="26">
        <f t="shared" si="65"/>
        <v>0</v>
      </c>
      <c r="J107" s="26">
        <f t="shared" si="65"/>
        <v>0</v>
      </c>
      <c r="K107" s="26">
        <f t="shared" si="65"/>
        <v>0</v>
      </c>
      <c r="L107" s="26">
        <f t="shared" si="65"/>
        <v>0</v>
      </c>
      <c r="M107" s="26">
        <f t="shared" si="65"/>
        <v>0</v>
      </c>
      <c r="N107" s="26">
        <f t="shared" si="65"/>
        <v>0</v>
      </c>
      <c r="O107" s="26">
        <f t="shared" si="65"/>
        <v>0</v>
      </c>
      <c r="P107" s="26">
        <f t="shared" si="65"/>
        <v>0</v>
      </c>
      <c r="Q107" s="26">
        <f t="shared" si="65"/>
        <v>0</v>
      </c>
      <c r="R107" s="26">
        <f t="shared" si="65"/>
        <v>0</v>
      </c>
      <c r="S107" s="26">
        <f t="shared" si="65"/>
        <v>0</v>
      </c>
      <c r="T107" s="26">
        <f t="shared" si="65"/>
        <v>0</v>
      </c>
      <c r="U107" s="26">
        <f t="shared" si="65"/>
        <v>0</v>
      </c>
      <c r="V107" s="26">
        <f t="shared" si="65"/>
        <v>0</v>
      </c>
      <c r="W107" s="26">
        <f t="shared" si="65"/>
        <v>0</v>
      </c>
      <c r="X107" s="26">
        <f t="shared" si="65"/>
        <v>0</v>
      </c>
      <c r="Y107" s="26">
        <f t="shared" si="65"/>
        <v>0</v>
      </c>
      <c r="Z107" s="26">
        <f t="shared" si="65"/>
        <v>0</v>
      </c>
      <c r="AA107" s="26">
        <f t="shared" si="65"/>
        <v>0</v>
      </c>
      <c r="AB107" s="26">
        <f t="shared" si="65"/>
        <v>0</v>
      </c>
      <c r="AC107" s="26">
        <f t="shared" si="65"/>
        <v>0</v>
      </c>
      <c r="AD107" s="26">
        <f t="shared" si="65"/>
        <v>0</v>
      </c>
      <c r="AE107" s="26">
        <f t="shared" si="65"/>
        <v>0</v>
      </c>
      <c r="AF107" s="26">
        <f t="shared" si="65"/>
        <v>0</v>
      </c>
      <c r="AG107" s="26">
        <f t="shared" si="65"/>
        <v>0</v>
      </c>
      <c r="AH107" s="26">
        <f t="shared" si="65"/>
        <v>0</v>
      </c>
      <c r="AI107" s="26">
        <f t="shared" si="65"/>
        <v>0</v>
      </c>
      <c r="AJ107" s="26">
        <f t="shared" si="65"/>
        <v>0</v>
      </c>
      <c r="AK107" s="26">
        <f t="shared" si="65"/>
        <v>0</v>
      </c>
      <c r="AL107" s="26">
        <f t="shared" si="65"/>
        <v>0</v>
      </c>
    </row>
    <row r="108" spans="1:38" ht="21" hidden="1" customHeight="1" outlineLevel="1" thickBot="1" x14ac:dyDescent="0.4">
      <c r="A108" s="10">
        <f t="shared" si="58"/>
        <v>0</v>
      </c>
      <c r="B108" s="10">
        <f t="shared" si="58"/>
        <v>0</v>
      </c>
      <c r="C108" s="10">
        <f t="shared" si="58"/>
        <v>0</v>
      </c>
      <c r="D108" s="10">
        <f t="shared" si="58"/>
        <v>0</v>
      </c>
      <c r="E108" s="11">
        <f t="shared" si="21"/>
        <v>0</v>
      </c>
      <c r="F108" s="26">
        <f t="shared" si="54"/>
        <v>0</v>
      </c>
      <c r="G108" s="26">
        <f t="shared" ref="G108:AL108" si="66">G28*$C$82</f>
        <v>0</v>
      </c>
      <c r="H108" s="26">
        <f t="shared" si="66"/>
        <v>0</v>
      </c>
      <c r="I108" s="26">
        <f t="shared" si="66"/>
        <v>0</v>
      </c>
      <c r="J108" s="26">
        <f t="shared" si="66"/>
        <v>0</v>
      </c>
      <c r="K108" s="26">
        <f t="shared" si="66"/>
        <v>0</v>
      </c>
      <c r="L108" s="26">
        <f t="shared" si="66"/>
        <v>0</v>
      </c>
      <c r="M108" s="26">
        <f t="shared" si="66"/>
        <v>0</v>
      </c>
      <c r="N108" s="26">
        <f t="shared" si="66"/>
        <v>0</v>
      </c>
      <c r="O108" s="26">
        <f t="shared" si="66"/>
        <v>0</v>
      </c>
      <c r="P108" s="26">
        <f t="shared" si="66"/>
        <v>0</v>
      </c>
      <c r="Q108" s="26">
        <f t="shared" si="66"/>
        <v>0</v>
      </c>
      <c r="R108" s="26">
        <f t="shared" si="66"/>
        <v>0</v>
      </c>
      <c r="S108" s="26">
        <f t="shared" si="66"/>
        <v>0</v>
      </c>
      <c r="T108" s="26">
        <f t="shared" si="66"/>
        <v>0</v>
      </c>
      <c r="U108" s="26">
        <f t="shared" si="66"/>
        <v>0</v>
      </c>
      <c r="V108" s="26">
        <f t="shared" si="66"/>
        <v>0</v>
      </c>
      <c r="W108" s="26">
        <f t="shared" si="66"/>
        <v>0</v>
      </c>
      <c r="X108" s="26">
        <f t="shared" si="66"/>
        <v>0</v>
      </c>
      <c r="Y108" s="26">
        <f t="shared" si="66"/>
        <v>0</v>
      </c>
      <c r="Z108" s="26">
        <f t="shared" si="66"/>
        <v>0</v>
      </c>
      <c r="AA108" s="26">
        <f t="shared" si="66"/>
        <v>0</v>
      </c>
      <c r="AB108" s="26">
        <f t="shared" si="66"/>
        <v>0</v>
      </c>
      <c r="AC108" s="26">
        <f t="shared" si="66"/>
        <v>0</v>
      </c>
      <c r="AD108" s="26">
        <f t="shared" si="66"/>
        <v>0</v>
      </c>
      <c r="AE108" s="26">
        <f t="shared" si="66"/>
        <v>0</v>
      </c>
      <c r="AF108" s="26">
        <f t="shared" si="66"/>
        <v>0</v>
      </c>
      <c r="AG108" s="26">
        <f t="shared" si="66"/>
        <v>0</v>
      </c>
      <c r="AH108" s="26">
        <f t="shared" si="66"/>
        <v>0</v>
      </c>
      <c r="AI108" s="26">
        <f t="shared" si="66"/>
        <v>0</v>
      </c>
      <c r="AJ108" s="26">
        <f t="shared" si="66"/>
        <v>0</v>
      </c>
      <c r="AK108" s="26">
        <f t="shared" si="66"/>
        <v>0</v>
      </c>
      <c r="AL108" s="26">
        <f t="shared" si="66"/>
        <v>0</v>
      </c>
    </row>
    <row r="109" spans="1:38" ht="21" hidden="1" customHeight="1" outlineLevel="1" thickBot="1" x14ac:dyDescent="0.4">
      <c r="A109" s="10">
        <f t="shared" si="58"/>
        <v>0</v>
      </c>
      <c r="B109" s="10">
        <f t="shared" si="58"/>
        <v>0</v>
      </c>
      <c r="C109" s="10">
        <f t="shared" si="58"/>
        <v>0</v>
      </c>
      <c r="D109" s="10">
        <f t="shared" si="58"/>
        <v>0</v>
      </c>
      <c r="E109" s="11">
        <f t="shared" si="21"/>
        <v>0</v>
      </c>
      <c r="F109" s="26">
        <f t="shared" si="54"/>
        <v>0</v>
      </c>
      <c r="G109" s="26">
        <f t="shared" ref="G109:AL109" si="67">G29*$C$82</f>
        <v>0</v>
      </c>
      <c r="H109" s="26">
        <f t="shared" si="67"/>
        <v>0</v>
      </c>
      <c r="I109" s="26">
        <f t="shared" si="67"/>
        <v>0</v>
      </c>
      <c r="J109" s="26">
        <f t="shared" si="67"/>
        <v>0</v>
      </c>
      <c r="K109" s="26">
        <f t="shared" si="67"/>
        <v>0</v>
      </c>
      <c r="L109" s="26">
        <f t="shared" si="67"/>
        <v>0</v>
      </c>
      <c r="M109" s="26">
        <f t="shared" si="67"/>
        <v>0</v>
      </c>
      <c r="N109" s="26">
        <f t="shared" si="67"/>
        <v>0</v>
      </c>
      <c r="O109" s="26">
        <f t="shared" si="67"/>
        <v>0</v>
      </c>
      <c r="P109" s="26">
        <f t="shared" si="67"/>
        <v>0</v>
      </c>
      <c r="Q109" s="26">
        <f t="shared" si="67"/>
        <v>0</v>
      </c>
      <c r="R109" s="26">
        <f t="shared" si="67"/>
        <v>0</v>
      </c>
      <c r="S109" s="26">
        <f t="shared" si="67"/>
        <v>0</v>
      </c>
      <c r="T109" s="26">
        <f t="shared" si="67"/>
        <v>0</v>
      </c>
      <c r="U109" s="26">
        <f t="shared" si="67"/>
        <v>0</v>
      </c>
      <c r="V109" s="26">
        <f t="shared" si="67"/>
        <v>0</v>
      </c>
      <c r="W109" s="26">
        <f t="shared" si="67"/>
        <v>0</v>
      </c>
      <c r="X109" s="26">
        <f t="shared" si="67"/>
        <v>0</v>
      </c>
      <c r="Y109" s="26">
        <f t="shared" si="67"/>
        <v>0</v>
      </c>
      <c r="Z109" s="26">
        <f t="shared" si="67"/>
        <v>0</v>
      </c>
      <c r="AA109" s="26">
        <f t="shared" si="67"/>
        <v>0</v>
      </c>
      <c r="AB109" s="26">
        <f t="shared" si="67"/>
        <v>0</v>
      </c>
      <c r="AC109" s="26">
        <f t="shared" si="67"/>
        <v>0</v>
      </c>
      <c r="AD109" s="26">
        <f t="shared" si="67"/>
        <v>0</v>
      </c>
      <c r="AE109" s="26">
        <f t="shared" si="67"/>
        <v>0</v>
      </c>
      <c r="AF109" s="26">
        <f t="shared" si="67"/>
        <v>0</v>
      </c>
      <c r="AG109" s="26">
        <f t="shared" si="67"/>
        <v>0</v>
      </c>
      <c r="AH109" s="26">
        <f t="shared" si="67"/>
        <v>0</v>
      </c>
      <c r="AI109" s="26">
        <f t="shared" si="67"/>
        <v>0</v>
      </c>
      <c r="AJ109" s="26">
        <f t="shared" si="67"/>
        <v>0</v>
      </c>
      <c r="AK109" s="26">
        <f t="shared" si="67"/>
        <v>0</v>
      </c>
      <c r="AL109" s="26">
        <f t="shared" si="67"/>
        <v>0</v>
      </c>
    </row>
    <row r="110" spans="1:38" ht="21" hidden="1" customHeight="1" outlineLevel="1" thickBot="1" x14ac:dyDescent="0.4">
      <c r="A110" s="10">
        <f t="shared" si="58"/>
        <v>0</v>
      </c>
      <c r="B110" s="10">
        <f t="shared" si="58"/>
        <v>0</v>
      </c>
      <c r="C110" s="10">
        <f t="shared" si="58"/>
        <v>0</v>
      </c>
      <c r="D110" s="10">
        <f t="shared" si="58"/>
        <v>0</v>
      </c>
      <c r="E110" s="11">
        <f t="shared" si="21"/>
        <v>0</v>
      </c>
      <c r="F110" s="26">
        <f t="shared" si="54"/>
        <v>0</v>
      </c>
      <c r="G110" s="26">
        <f t="shared" ref="G110:AL110" si="68">G30*$C$82</f>
        <v>0</v>
      </c>
      <c r="H110" s="26">
        <f t="shared" si="68"/>
        <v>0</v>
      </c>
      <c r="I110" s="26">
        <f t="shared" si="68"/>
        <v>0</v>
      </c>
      <c r="J110" s="26">
        <f t="shared" si="68"/>
        <v>0</v>
      </c>
      <c r="K110" s="26">
        <f t="shared" si="68"/>
        <v>0</v>
      </c>
      <c r="L110" s="26">
        <f t="shared" si="68"/>
        <v>0</v>
      </c>
      <c r="M110" s="26">
        <f t="shared" si="68"/>
        <v>0</v>
      </c>
      <c r="N110" s="26">
        <f t="shared" si="68"/>
        <v>0</v>
      </c>
      <c r="O110" s="26">
        <f t="shared" si="68"/>
        <v>0</v>
      </c>
      <c r="P110" s="26">
        <f t="shared" si="68"/>
        <v>0</v>
      </c>
      <c r="Q110" s="26">
        <f t="shared" si="68"/>
        <v>0</v>
      </c>
      <c r="R110" s="26">
        <f t="shared" si="68"/>
        <v>0</v>
      </c>
      <c r="S110" s="26">
        <f t="shared" si="68"/>
        <v>0</v>
      </c>
      <c r="T110" s="26">
        <f t="shared" si="68"/>
        <v>0</v>
      </c>
      <c r="U110" s="26">
        <f t="shared" si="68"/>
        <v>0</v>
      </c>
      <c r="V110" s="26">
        <f t="shared" si="68"/>
        <v>0</v>
      </c>
      <c r="W110" s="26">
        <f t="shared" si="68"/>
        <v>0</v>
      </c>
      <c r="X110" s="26">
        <f t="shared" si="68"/>
        <v>0</v>
      </c>
      <c r="Y110" s="26">
        <f t="shared" si="68"/>
        <v>0</v>
      </c>
      <c r="Z110" s="26">
        <f t="shared" si="68"/>
        <v>0</v>
      </c>
      <c r="AA110" s="26">
        <f t="shared" si="68"/>
        <v>0</v>
      </c>
      <c r="AB110" s="26">
        <f t="shared" si="68"/>
        <v>0</v>
      </c>
      <c r="AC110" s="26">
        <f t="shared" si="68"/>
        <v>0</v>
      </c>
      <c r="AD110" s="26">
        <f t="shared" si="68"/>
        <v>0</v>
      </c>
      <c r="AE110" s="26">
        <f t="shared" si="68"/>
        <v>0</v>
      </c>
      <c r="AF110" s="26">
        <f t="shared" si="68"/>
        <v>0</v>
      </c>
      <c r="AG110" s="26">
        <f t="shared" si="68"/>
        <v>0</v>
      </c>
      <c r="AH110" s="26">
        <f t="shared" si="68"/>
        <v>0</v>
      </c>
      <c r="AI110" s="26">
        <f t="shared" si="68"/>
        <v>0</v>
      </c>
      <c r="AJ110" s="26">
        <f t="shared" si="68"/>
        <v>0</v>
      </c>
      <c r="AK110" s="26">
        <f t="shared" si="68"/>
        <v>0</v>
      </c>
      <c r="AL110" s="26">
        <f t="shared" si="68"/>
        <v>0</v>
      </c>
    </row>
    <row r="111" spans="1:38" ht="21" hidden="1" customHeight="1" outlineLevel="1" thickBot="1" x14ac:dyDescent="0.4">
      <c r="A111" s="10">
        <f t="shared" si="58"/>
        <v>0</v>
      </c>
      <c r="B111" s="10">
        <f t="shared" si="58"/>
        <v>0</v>
      </c>
      <c r="C111" s="10">
        <f t="shared" si="58"/>
        <v>0</v>
      </c>
      <c r="D111" s="10">
        <f t="shared" si="58"/>
        <v>0</v>
      </c>
      <c r="E111" s="11">
        <f t="shared" si="21"/>
        <v>0</v>
      </c>
      <c r="F111" s="26">
        <f t="shared" si="54"/>
        <v>0</v>
      </c>
      <c r="G111" s="26">
        <f t="shared" ref="G111:AL111" si="69">G31*$C$82</f>
        <v>0</v>
      </c>
      <c r="H111" s="26">
        <f t="shared" si="69"/>
        <v>0</v>
      </c>
      <c r="I111" s="26">
        <f t="shared" si="69"/>
        <v>0</v>
      </c>
      <c r="J111" s="26">
        <f t="shared" si="69"/>
        <v>0</v>
      </c>
      <c r="K111" s="26">
        <f t="shared" si="69"/>
        <v>0</v>
      </c>
      <c r="L111" s="26">
        <f t="shared" si="69"/>
        <v>0</v>
      </c>
      <c r="M111" s="26">
        <f t="shared" si="69"/>
        <v>0</v>
      </c>
      <c r="N111" s="26">
        <f t="shared" si="69"/>
        <v>0</v>
      </c>
      <c r="O111" s="26">
        <f t="shared" si="69"/>
        <v>0</v>
      </c>
      <c r="P111" s="26">
        <f t="shared" si="69"/>
        <v>0</v>
      </c>
      <c r="Q111" s="26">
        <f t="shared" si="69"/>
        <v>0</v>
      </c>
      <c r="R111" s="26">
        <f t="shared" si="69"/>
        <v>0</v>
      </c>
      <c r="S111" s="26">
        <f t="shared" si="69"/>
        <v>0</v>
      </c>
      <c r="T111" s="26">
        <f t="shared" si="69"/>
        <v>0</v>
      </c>
      <c r="U111" s="26">
        <f t="shared" si="69"/>
        <v>0</v>
      </c>
      <c r="V111" s="26">
        <f t="shared" si="69"/>
        <v>0</v>
      </c>
      <c r="W111" s="26">
        <f t="shared" si="69"/>
        <v>0</v>
      </c>
      <c r="X111" s="26">
        <f t="shared" si="69"/>
        <v>0</v>
      </c>
      <c r="Y111" s="26">
        <f t="shared" si="69"/>
        <v>0</v>
      </c>
      <c r="Z111" s="26">
        <f t="shared" si="69"/>
        <v>0</v>
      </c>
      <c r="AA111" s="26">
        <f t="shared" si="69"/>
        <v>0</v>
      </c>
      <c r="AB111" s="26">
        <f t="shared" si="69"/>
        <v>0</v>
      </c>
      <c r="AC111" s="26">
        <f t="shared" si="69"/>
        <v>0</v>
      </c>
      <c r="AD111" s="26">
        <f t="shared" si="69"/>
        <v>0</v>
      </c>
      <c r="AE111" s="26">
        <f t="shared" si="69"/>
        <v>0</v>
      </c>
      <c r="AF111" s="26">
        <f t="shared" si="69"/>
        <v>0</v>
      </c>
      <c r="AG111" s="26">
        <f t="shared" si="69"/>
        <v>0</v>
      </c>
      <c r="AH111" s="26">
        <f t="shared" si="69"/>
        <v>0</v>
      </c>
      <c r="AI111" s="26">
        <f t="shared" si="69"/>
        <v>0</v>
      </c>
      <c r="AJ111" s="26">
        <f t="shared" si="69"/>
        <v>0</v>
      </c>
      <c r="AK111" s="26">
        <f t="shared" si="69"/>
        <v>0</v>
      </c>
      <c r="AL111" s="26">
        <f t="shared" si="69"/>
        <v>0</v>
      </c>
    </row>
    <row r="112" spans="1:38" ht="21" hidden="1" customHeight="1" outlineLevel="1" thickBot="1" x14ac:dyDescent="0.4">
      <c r="A112" s="10">
        <f t="shared" si="58"/>
        <v>0</v>
      </c>
      <c r="B112" s="10">
        <f t="shared" si="58"/>
        <v>0</v>
      </c>
      <c r="C112" s="10">
        <f t="shared" si="58"/>
        <v>0</v>
      </c>
      <c r="D112" s="10">
        <f t="shared" si="58"/>
        <v>0</v>
      </c>
      <c r="E112" s="11">
        <f t="shared" si="21"/>
        <v>0</v>
      </c>
      <c r="F112" s="26">
        <f t="shared" si="54"/>
        <v>0</v>
      </c>
      <c r="G112" s="26">
        <f t="shared" ref="G112:AL112" si="70">G32*$C$82</f>
        <v>0</v>
      </c>
      <c r="H112" s="26">
        <f t="shared" si="70"/>
        <v>0</v>
      </c>
      <c r="I112" s="26">
        <f t="shared" si="70"/>
        <v>0</v>
      </c>
      <c r="J112" s="26">
        <f t="shared" si="70"/>
        <v>0</v>
      </c>
      <c r="K112" s="26">
        <f t="shared" si="70"/>
        <v>0</v>
      </c>
      <c r="L112" s="26">
        <f t="shared" si="70"/>
        <v>0</v>
      </c>
      <c r="M112" s="26">
        <f t="shared" si="70"/>
        <v>0</v>
      </c>
      <c r="N112" s="26">
        <f t="shared" si="70"/>
        <v>0</v>
      </c>
      <c r="O112" s="26">
        <f t="shared" si="70"/>
        <v>0</v>
      </c>
      <c r="P112" s="26">
        <f t="shared" si="70"/>
        <v>0</v>
      </c>
      <c r="Q112" s="26">
        <f t="shared" si="70"/>
        <v>0</v>
      </c>
      <c r="R112" s="26">
        <f t="shared" si="70"/>
        <v>0</v>
      </c>
      <c r="S112" s="26">
        <f t="shared" si="70"/>
        <v>0</v>
      </c>
      <c r="T112" s="26">
        <f t="shared" si="70"/>
        <v>0</v>
      </c>
      <c r="U112" s="26">
        <f t="shared" si="70"/>
        <v>0</v>
      </c>
      <c r="V112" s="26">
        <f t="shared" si="70"/>
        <v>0</v>
      </c>
      <c r="W112" s="26">
        <f t="shared" si="70"/>
        <v>0</v>
      </c>
      <c r="X112" s="26">
        <f t="shared" si="70"/>
        <v>0</v>
      </c>
      <c r="Y112" s="26">
        <f t="shared" si="70"/>
        <v>0</v>
      </c>
      <c r="Z112" s="26">
        <f t="shared" si="70"/>
        <v>0</v>
      </c>
      <c r="AA112" s="26">
        <f t="shared" si="70"/>
        <v>0</v>
      </c>
      <c r="AB112" s="26">
        <f t="shared" si="70"/>
        <v>0</v>
      </c>
      <c r="AC112" s="26">
        <f t="shared" si="70"/>
        <v>0</v>
      </c>
      <c r="AD112" s="26">
        <f t="shared" si="70"/>
        <v>0</v>
      </c>
      <c r="AE112" s="26">
        <f t="shared" si="70"/>
        <v>0</v>
      </c>
      <c r="AF112" s="26">
        <f t="shared" si="70"/>
        <v>0</v>
      </c>
      <c r="AG112" s="26">
        <f t="shared" si="70"/>
        <v>0</v>
      </c>
      <c r="AH112" s="26">
        <f t="shared" si="70"/>
        <v>0</v>
      </c>
      <c r="AI112" s="26">
        <f t="shared" si="70"/>
        <v>0</v>
      </c>
      <c r="AJ112" s="26">
        <f t="shared" si="70"/>
        <v>0</v>
      </c>
      <c r="AK112" s="26">
        <f t="shared" si="70"/>
        <v>0</v>
      </c>
      <c r="AL112" s="26">
        <f t="shared" si="70"/>
        <v>0</v>
      </c>
    </row>
    <row r="113" spans="1:38" ht="21" hidden="1" customHeight="1" outlineLevel="1" thickBot="1" x14ac:dyDescent="0.4">
      <c r="A113" s="10">
        <f t="shared" si="58"/>
        <v>0</v>
      </c>
      <c r="B113" s="10">
        <f t="shared" si="58"/>
        <v>0</v>
      </c>
      <c r="C113" s="10">
        <f t="shared" si="58"/>
        <v>0</v>
      </c>
      <c r="D113" s="10">
        <f t="shared" si="58"/>
        <v>0</v>
      </c>
      <c r="E113" s="11">
        <f t="shared" si="21"/>
        <v>1</v>
      </c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</row>
    <row r="114" spans="1:38" ht="21" hidden="1" customHeight="1" outlineLevel="1" x14ac:dyDescent="0.35"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</row>
    <row r="115" spans="1:38" ht="21" customHeight="1" collapsed="1" x14ac:dyDescent="0.35">
      <c r="G115" s="81"/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  <c r="AA115" s="81"/>
      <c r="AB115" s="81"/>
      <c r="AC115" s="81"/>
      <c r="AD115" s="81"/>
      <c r="AE115" s="81"/>
      <c r="AF115" s="81"/>
      <c r="AG115" s="81"/>
      <c r="AH115" s="81"/>
      <c r="AI115" s="81"/>
      <c r="AJ115" s="81"/>
      <c r="AK115" s="81"/>
      <c r="AL115" s="81"/>
    </row>
    <row r="116" spans="1:38" ht="21" customHeight="1" thickBot="1" x14ac:dyDescent="0.45">
      <c r="A116" s="3"/>
      <c r="B116" s="3"/>
      <c r="C116" s="3"/>
      <c r="D116" s="3"/>
      <c r="E116" s="4" t="s">
        <v>30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</row>
    <row r="117" spans="1:38" ht="21" customHeight="1" outlineLevel="1" thickTop="1" thickBot="1" x14ac:dyDescent="0.4">
      <c r="A117" s="109" t="s">
        <v>11</v>
      </c>
      <c r="B117" s="110"/>
      <c r="C117" s="44" t="s">
        <v>12</v>
      </c>
      <c r="D117" s="27" t="s">
        <v>13</v>
      </c>
      <c r="E117" s="27"/>
      <c r="F117" s="9">
        <f t="shared" ref="F117" si="71">F3</f>
        <v>273.10000000000002</v>
      </c>
      <c r="G117" s="9">
        <f t="shared" ref="G117:AL117" si="72">G3</f>
        <v>293.3</v>
      </c>
      <c r="H117" s="9">
        <f t="shared" si="72"/>
        <v>313.5</v>
      </c>
      <c r="I117" s="9">
        <f t="shared" si="72"/>
        <v>333.7</v>
      </c>
      <c r="J117" s="9">
        <f t="shared" si="72"/>
        <v>353.9</v>
      </c>
      <c r="K117" s="9">
        <f t="shared" si="72"/>
        <v>374.1</v>
      </c>
      <c r="L117" s="9">
        <f t="shared" si="72"/>
        <v>394.3</v>
      </c>
      <c r="M117" s="9">
        <f t="shared" si="72"/>
        <v>414.5</v>
      </c>
      <c r="N117" s="9">
        <f t="shared" si="72"/>
        <v>434.7</v>
      </c>
      <c r="O117" s="9">
        <f t="shared" si="72"/>
        <v>454.9</v>
      </c>
      <c r="P117" s="9">
        <f t="shared" si="72"/>
        <v>475.1</v>
      </c>
      <c r="Q117" s="9">
        <f t="shared" si="72"/>
        <v>495.2</v>
      </c>
      <c r="R117" s="9">
        <f t="shared" si="72"/>
        <v>515.4</v>
      </c>
      <c r="S117" s="9">
        <f t="shared" si="72"/>
        <v>535.6</v>
      </c>
      <c r="T117" s="9">
        <f t="shared" si="72"/>
        <v>555.79999999999995</v>
      </c>
      <c r="U117" s="9">
        <f t="shared" si="72"/>
        <v>576</v>
      </c>
      <c r="V117" s="9">
        <f t="shared" si="72"/>
        <v>596.20000000000005</v>
      </c>
      <c r="W117" s="9">
        <f t="shared" si="72"/>
        <v>616.4</v>
      </c>
      <c r="X117" s="9">
        <f t="shared" si="72"/>
        <v>636.6</v>
      </c>
      <c r="Y117" s="9">
        <f t="shared" si="72"/>
        <v>656.8</v>
      </c>
      <c r="Z117" s="9">
        <f t="shared" si="72"/>
        <v>677</v>
      </c>
      <c r="AA117" s="9">
        <f t="shared" si="72"/>
        <v>757.7</v>
      </c>
      <c r="AB117" s="9">
        <f t="shared" si="72"/>
        <v>838.5</v>
      </c>
      <c r="AC117" s="9">
        <f t="shared" si="72"/>
        <v>919.2</v>
      </c>
      <c r="AD117" s="9">
        <f t="shared" si="72"/>
        <v>1000</v>
      </c>
      <c r="AE117" s="9">
        <f t="shared" si="72"/>
        <v>0</v>
      </c>
      <c r="AF117" s="9">
        <f t="shared" si="72"/>
        <v>0</v>
      </c>
      <c r="AG117" s="9">
        <f t="shared" si="72"/>
        <v>0</v>
      </c>
      <c r="AH117" s="9">
        <f t="shared" si="72"/>
        <v>0</v>
      </c>
      <c r="AI117" s="9">
        <f t="shared" si="72"/>
        <v>0</v>
      </c>
      <c r="AJ117" s="9">
        <f t="shared" si="72"/>
        <v>0</v>
      </c>
      <c r="AK117" s="9">
        <f t="shared" si="72"/>
        <v>0</v>
      </c>
      <c r="AL117" s="9">
        <f t="shared" si="72"/>
        <v>0</v>
      </c>
    </row>
    <row r="118" spans="1:38" ht="21" customHeight="1" outlineLevel="1" thickTop="1" thickBot="1" x14ac:dyDescent="0.4">
      <c r="A118" s="42" t="e">
        <f>$A$2</f>
        <v>#REF!</v>
      </c>
      <c r="B118" s="76">
        <f ca="1">MIN(MIN(F118:AL119),MIN(F41:AL41))</f>
        <v>-1156.0484091780211</v>
      </c>
      <c r="C118" s="45">
        <f>COUNTA(E118:E123)+1</f>
        <v>4</v>
      </c>
      <c r="E118" s="29" t="s">
        <v>41</v>
      </c>
      <c r="F118" s="78">
        <f ca="1">F$117*$B$2*SUMPRODUCT(F$89:F$98,F$55:F$64)/1000</f>
        <v>-301.04039430956863</v>
      </c>
      <c r="G118" s="78">
        <f t="shared" ref="G118:AL118" ca="1" si="73">G$117*$B$2*SUMPRODUCT(G$89:G$98,G$55:G$64)/1000</f>
        <v>-304.67530809708978</v>
      </c>
      <c r="H118" s="78">
        <f t="shared" ca="1" si="73"/>
        <v>-310.21215766219348</v>
      </c>
      <c r="I118" s="78">
        <f t="shared" ca="1" si="73"/>
        <v>-317.1336369938939</v>
      </c>
      <c r="J118" s="78">
        <f t="shared" ca="1" si="73"/>
        <v>-323.38578457160588</v>
      </c>
      <c r="K118" s="78">
        <f t="shared" ca="1" si="73"/>
        <v>-328.1365590030303</v>
      </c>
      <c r="L118" s="78">
        <f t="shared" ca="1" si="73"/>
        <v>-332.1531660628155</v>
      </c>
      <c r="M118" s="78">
        <f t="shared" ca="1" si="73"/>
        <v>-336.29782057594281</v>
      </c>
      <c r="N118" s="78">
        <f t="shared" ca="1" si="73"/>
        <v>-341.19810392626204</v>
      </c>
      <c r="O118" s="78">
        <f t="shared" ca="1" si="73"/>
        <v>-347.67140061651975</v>
      </c>
      <c r="P118" s="78">
        <f t="shared" ca="1" si="73"/>
        <v>-355.18229388506404</v>
      </c>
      <c r="Q118" s="78">
        <f t="shared" ca="1" si="73"/>
        <v>-365.61890994929422</v>
      </c>
      <c r="R118" s="78">
        <f t="shared" ca="1" si="73"/>
        <v>-405.3952696340337</v>
      </c>
      <c r="S118" s="78">
        <f t="shared" ca="1" si="73"/>
        <v>-442.31474052393099</v>
      </c>
      <c r="T118" s="78">
        <f t="shared" ca="1" si="73"/>
        <v>-468.32956812866991</v>
      </c>
      <c r="U118" s="78">
        <f t="shared" ca="1" si="73"/>
        <v>-494.81537949836542</v>
      </c>
      <c r="V118" s="78">
        <f t="shared" ca="1" si="73"/>
        <v>-522.00140070717327</v>
      </c>
      <c r="W118" s="78">
        <f t="shared" ca="1" si="73"/>
        <v>-549.77761982670415</v>
      </c>
      <c r="X118" s="78">
        <f t="shared" ca="1" si="73"/>
        <v>-577.99716023954431</v>
      </c>
      <c r="Y118" s="78">
        <f t="shared" ca="1" si="73"/>
        <v>-606.69294435399934</v>
      </c>
      <c r="Z118" s="78">
        <f t="shared" ca="1" si="73"/>
        <v>-636.02371753578041</v>
      </c>
      <c r="AA118" s="78">
        <f t="shared" ca="1" si="73"/>
        <v>-757.60033727717314</v>
      </c>
      <c r="AB118" s="78">
        <f t="shared" ca="1" si="73"/>
        <v>-885.96836100651205</v>
      </c>
      <c r="AC118" s="78">
        <f t="shared" ca="1" si="73"/>
        <v>-1019.0468400190829</v>
      </c>
      <c r="AD118" s="78">
        <f t="shared" ca="1" si="73"/>
        <v>-1156.0484091780211</v>
      </c>
      <c r="AE118" s="78">
        <f t="shared" ca="1" si="73"/>
        <v>0</v>
      </c>
      <c r="AF118" s="78">
        <f t="shared" ca="1" si="73"/>
        <v>0</v>
      </c>
      <c r="AG118" s="78">
        <f t="shared" ca="1" si="73"/>
        <v>0</v>
      </c>
      <c r="AH118" s="78">
        <f t="shared" ca="1" si="73"/>
        <v>0</v>
      </c>
      <c r="AI118" s="78">
        <f t="shared" ca="1" si="73"/>
        <v>0</v>
      </c>
      <c r="AJ118" s="78">
        <f t="shared" ca="1" si="73"/>
        <v>0</v>
      </c>
      <c r="AK118" s="78">
        <f t="shared" ca="1" si="73"/>
        <v>0</v>
      </c>
      <c r="AL118" s="78">
        <f t="shared" ca="1" si="73"/>
        <v>0</v>
      </c>
    </row>
    <row r="119" spans="1:38" ht="21" customHeight="1" outlineLevel="1" thickBot="1" x14ac:dyDescent="0.4">
      <c r="A119" s="43" t="e">
        <f>$A$118</f>
        <v>#REF!</v>
      </c>
      <c r="B119" s="77">
        <f ca="1">MAX(MAX(F118:AL119),MAX(F41:AL41))</f>
        <v>0</v>
      </c>
      <c r="C119" s="46">
        <f xml:space="preserve"> COUNTIF(F117:AL117,"&lt;&gt;"&amp;0)</f>
        <v>25</v>
      </c>
      <c r="E119" s="29" t="s">
        <v>15</v>
      </c>
      <c r="F119" s="26">
        <f ca="1">F$117*$B$2*SUMPRODUCT(F$87,F$53)/1000</f>
        <v>-69.063774847104725</v>
      </c>
      <c r="G119" s="26">
        <f t="shared" ref="G119:AL119" ca="1" si="74">G$117*$B$2*SUMPRODUCT(G$87,G$53)/1000</f>
        <v>-68.55291204830651</v>
      </c>
      <c r="H119" s="26">
        <f t="shared" ca="1" si="74"/>
        <v>-66.331945125807081</v>
      </c>
      <c r="I119" s="26">
        <f t="shared" ca="1" si="74"/>
        <v>-62.868986180912401</v>
      </c>
      <c r="J119" s="26">
        <f t="shared" ca="1" si="74"/>
        <v>-60.224065054789847</v>
      </c>
      <c r="K119" s="26">
        <f t="shared" ca="1" si="74"/>
        <v>-59.107213805463999</v>
      </c>
      <c r="L119" s="26">
        <f t="shared" ca="1" si="74"/>
        <v>-58.821398425859222</v>
      </c>
      <c r="M119" s="26">
        <f t="shared" ca="1" si="74"/>
        <v>-58.545286681364551</v>
      </c>
      <c r="N119" s="26">
        <f t="shared" ca="1" si="74"/>
        <v>-57.497828356046298</v>
      </c>
      <c r="O119" s="26">
        <f t="shared" ca="1" si="74"/>
        <v>-55.242471531606341</v>
      </c>
      <c r="P119" s="26">
        <f t="shared" ca="1" si="74"/>
        <v>-51.939018549946709</v>
      </c>
      <c r="Q119" s="26">
        <f t="shared" ca="1" si="74"/>
        <v>-46.082218892288829</v>
      </c>
      <c r="R119" s="26">
        <f t="shared" ca="1" si="74"/>
        <v>-14.3952947041426</v>
      </c>
      <c r="S119" s="26">
        <f t="shared" ca="1" si="74"/>
        <v>-9.1668726810673756E-2</v>
      </c>
      <c r="T119" s="26">
        <f t="shared" ca="1" si="74"/>
        <v>-3.6070252924990612E-4</v>
      </c>
      <c r="U119" s="26">
        <f t="shared" ca="1" si="74"/>
        <v>-1.8201776566982402E-6</v>
      </c>
      <c r="V119" s="26">
        <f t="shared" ca="1" si="74"/>
        <v>-1.1580962238692271E-8</v>
      </c>
      <c r="W119" s="26">
        <f t="shared" ca="1" si="74"/>
        <v>-9.1166472593329337E-11</v>
      </c>
      <c r="X119" s="26">
        <f t="shared" ca="1" si="74"/>
        <v>-8.7338924191086755E-13</v>
      </c>
      <c r="Y119" s="26">
        <f t="shared" ca="1" si="74"/>
        <v>-1.0039981196332547E-14</v>
      </c>
      <c r="Z119" s="26">
        <f t="shared" ca="1" si="74"/>
        <v>-1.3681639716610141E-16</v>
      </c>
      <c r="AA119" s="26">
        <f t="shared" ca="1" si="74"/>
        <v>-2.1111954853725622E-23</v>
      </c>
      <c r="AB119" s="26">
        <f t="shared" ca="1" si="74"/>
        <v>-2.5097164597624276E-29</v>
      </c>
      <c r="AC119" s="26">
        <f t="shared" ca="1" si="74"/>
        <v>0</v>
      </c>
      <c r="AD119" s="26">
        <f t="shared" ca="1" si="74"/>
        <v>0</v>
      </c>
      <c r="AE119" s="26">
        <f t="shared" ca="1" si="74"/>
        <v>0</v>
      </c>
      <c r="AF119" s="26">
        <f t="shared" ca="1" si="74"/>
        <v>0</v>
      </c>
      <c r="AG119" s="26">
        <f t="shared" ca="1" si="74"/>
        <v>0</v>
      </c>
      <c r="AH119" s="26">
        <f t="shared" ca="1" si="74"/>
        <v>0</v>
      </c>
      <c r="AI119" s="26">
        <f t="shared" ca="1" si="74"/>
        <v>0</v>
      </c>
      <c r="AJ119" s="26">
        <f t="shared" ca="1" si="74"/>
        <v>0</v>
      </c>
      <c r="AK119" s="26">
        <f t="shared" ca="1" si="74"/>
        <v>0</v>
      </c>
      <c r="AL119" s="26">
        <f t="shared" ca="1" si="74"/>
        <v>0</v>
      </c>
    </row>
    <row r="120" spans="1:38" ht="21" customHeight="1" outlineLevel="1" thickBot="1" x14ac:dyDescent="0.4">
      <c r="E120" s="29" t="s">
        <v>42</v>
      </c>
      <c r="F120" s="26">
        <f ca="1">F119+F118</f>
        <v>-370.10416915667338</v>
      </c>
      <c r="G120" s="26">
        <f t="shared" ref="G120:AL120" ca="1" si="75">G119+G118</f>
        <v>-373.22822014539628</v>
      </c>
      <c r="H120" s="26">
        <f t="shared" ca="1" si="75"/>
        <v>-376.54410278800054</v>
      </c>
      <c r="I120" s="26">
        <f t="shared" ca="1" si="75"/>
        <v>-380.00262317480633</v>
      </c>
      <c r="J120" s="26">
        <f t="shared" ca="1" si="75"/>
        <v>-383.60984962639571</v>
      </c>
      <c r="K120" s="26">
        <f t="shared" ca="1" si="75"/>
        <v>-387.24377280849433</v>
      </c>
      <c r="L120" s="26">
        <f t="shared" ca="1" si="75"/>
        <v>-390.97456448867473</v>
      </c>
      <c r="M120" s="26">
        <f t="shared" ca="1" si="75"/>
        <v>-394.84310725730734</v>
      </c>
      <c r="N120" s="26">
        <f t="shared" ca="1" si="75"/>
        <v>-398.69593228230832</v>
      </c>
      <c r="O120" s="26">
        <f t="shared" ca="1" si="75"/>
        <v>-402.91387214812607</v>
      </c>
      <c r="P120" s="26">
        <f t="shared" ca="1" si="75"/>
        <v>-407.12131243501074</v>
      </c>
      <c r="Q120" s="26">
        <f t="shared" ca="1" si="75"/>
        <v>-411.70112884158306</v>
      </c>
      <c r="R120" s="26">
        <f t="shared" ca="1" si="75"/>
        <v>-419.7905643381763</v>
      </c>
      <c r="S120" s="26">
        <f t="shared" ca="1" si="75"/>
        <v>-442.40640925074166</v>
      </c>
      <c r="T120" s="26">
        <f t="shared" ca="1" si="75"/>
        <v>-468.32992883119914</v>
      </c>
      <c r="U120" s="26">
        <f t="shared" ca="1" si="75"/>
        <v>-494.81538131854307</v>
      </c>
      <c r="V120" s="26">
        <f t="shared" ca="1" si="75"/>
        <v>-522.00140071875421</v>
      </c>
      <c r="W120" s="26">
        <f t="shared" ca="1" si="75"/>
        <v>-549.77761982679533</v>
      </c>
      <c r="X120" s="26">
        <f t="shared" ca="1" si="75"/>
        <v>-577.99716023954522</v>
      </c>
      <c r="Y120" s="26">
        <f t="shared" ca="1" si="75"/>
        <v>-606.69294435399934</v>
      </c>
      <c r="Z120" s="26">
        <f t="shared" ca="1" si="75"/>
        <v>-636.02371753578041</v>
      </c>
      <c r="AA120" s="26">
        <f t="shared" ca="1" si="75"/>
        <v>-757.60033727717314</v>
      </c>
      <c r="AB120" s="26">
        <f t="shared" ca="1" si="75"/>
        <v>-885.96836100651205</v>
      </c>
      <c r="AC120" s="26">
        <f t="shared" ca="1" si="75"/>
        <v>-1019.0468400190829</v>
      </c>
      <c r="AD120" s="26">
        <f t="shared" ca="1" si="75"/>
        <v>-1156.0484091780211</v>
      </c>
      <c r="AE120" s="26">
        <f t="shared" ca="1" si="75"/>
        <v>0</v>
      </c>
      <c r="AF120" s="26">
        <f t="shared" ca="1" si="75"/>
        <v>0</v>
      </c>
      <c r="AG120" s="26">
        <f t="shared" ca="1" si="75"/>
        <v>0</v>
      </c>
      <c r="AH120" s="26">
        <f t="shared" ca="1" si="75"/>
        <v>0</v>
      </c>
      <c r="AI120" s="26">
        <f t="shared" ca="1" si="75"/>
        <v>0</v>
      </c>
      <c r="AJ120" s="26">
        <f t="shared" ca="1" si="75"/>
        <v>0</v>
      </c>
      <c r="AK120" s="26">
        <f t="shared" ca="1" si="75"/>
        <v>0</v>
      </c>
      <c r="AL120" s="26">
        <f t="shared" ca="1" si="75"/>
        <v>0</v>
      </c>
    </row>
    <row r="121" spans="1:38" ht="21" customHeight="1" outlineLevel="1" thickBot="1" x14ac:dyDescent="0.4">
      <c r="E121" s="30"/>
    </row>
    <row r="122" spans="1:38" ht="21" customHeight="1" outlineLevel="1" thickBot="1" x14ac:dyDescent="0.4">
      <c r="E122" s="29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81"/>
      <c r="AC122" s="81"/>
      <c r="AD122" s="81"/>
      <c r="AE122" s="81"/>
      <c r="AF122" s="81"/>
      <c r="AG122" s="81"/>
      <c r="AH122" s="81"/>
      <c r="AI122" s="81"/>
      <c r="AJ122" s="81"/>
      <c r="AK122" s="81"/>
      <c r="AL122" s="81"/>
    </row>
    <row r="123" spans="1:38" ht="21" customHeight="1" outlineLevel="1" thickBot="1" x14ac:dyDescent="0.4">
      <c r="E123" s="29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  <c r="AD123" s="81"/>
      <c r="AE123" s="81"/>
      <c r="AF123" s="81"/>
      <c r="AG123" s="81"/>
      <c r="AH123" s="81"/>
      <c r="AI123" s="81"/>
      <c r="AJ123" s="81"/>
      <c r="AK123" s="81"/>
      <c r="AL123" s="81"/>
    </row>
    <row r="124" spans="1:38" ht="21" customHeight="1" outlineLevel="1" thickBot="1" x14ac:dyDescent="0.4">
      <c r="E124" s="30"/>
    </row>
    <row r="125" spans="1:38" ht="21" customHeight="1" outlineLevel="1" thickBot="1" x14ac:dyDescent="0.4">
      <c r="E125" s="30"/>
    </row>
    <row r="126" spans="1:38" s="81" customFormat="1" ht="21" customHeight="1" outlineLevel="1" thickBot="1" x14ac:dyDescent="0.4">
      <c r="E126" s="29"/>
    </row>
    <row r="127" spans="1:38" ht="21" customHeight="1" outlineLevel="1" thickTop="1" thickBot="1" x14ac:dyDescent="0.4">
      <c r="E127" s="9">
        <f t="array" aca="1" ref="E127:AL140" ca="1">OFFSET(E117,0,0,C118,C119+1)</f>
        <v>0</v>
      </c>
      <c r="F127" s="9">
        <f ca="1"/>
        <v>273.10000000000002</v>
      </c>
      <c r="G127" s="9">
        <f ca="1"/>
        <v>293.3</v>
      </c>
      <c r="H127" s="9">
        <f ca="1"/>
        <v>313.5</v>
      </c>
      <c r="I127" s="9">
        <f ca="1"/>
        <v>333.7</v>
      </c>
      <c r="J127" s="9">
        <f ca="1"/>
        <v>353.9</v>
      </c>
      <c r="K127" s="9">
        <f ca="1"/>
        <v>374.1</v>
      </c>
      <c r="L127" s="9">
        <f ca="1"/>
        <v>394.3</v>
      </c>
      <c r="M127" s="9">
        <f ca="1"/>
        <v>414.5</v>
      </c>
      <c r="N127" s="9">
        <f ca="1"/>
        <v>434.7</v>
      </c>
      <c r="O127" s="9">
        <f ca="1"/>
        <v>454.9</v>
      </c>
      <c r="P127" s="9">
        <f ca="1"/>
        <v>475.1</v>
      </c>
      <c r="Q127" s="9">
        <f ca="1"/>
        <v>495.2</v>
      </c>
      <c r="R127" s="9">
        <f ca="1"/>
        <v>515.4</v>
      </c>
      <c r="S127" s="9">
        <f ca="1"/>
        <v>535.6</v>
      </c>
      <c r="T127" s="40">
        <f ca="1"/>
        <v>555.79999999999995</v>
      </c>
      <c r="U127" s="95">
        <f ca="1"/>
        <v>576</v>
      </c>
      <c r="V127" s="96">
        <f ca="1"/>
        <v>596.20000000000005</v>
      </c>
      <c r="W127" s="101">
        <f ca="1"/>
        <v>616.4</v>
      </c>
      <c r="X127" s="88">
        <f ca="1"/>
        <v>636.6</v>
      </c>
      <c r="Y127" s="9">
        <f ca="1"/>
        <v>656.8</v>
      </c>
      <c r="Z127" s="9">
        <f ca="1"/>
        <v>677</v>
      </c>
      <c r="AA127" s="9">
        <f ca="1"/>
        <v>757.7</v>
      </c>
      <c r="AB127" s="9">
        <f ca="1"/>
        <v>838.5</v>
      </c>
      <c r="AC127" s="9">
        <f ca="1"/>
        <v>919.2</v>
      </c>
      <c r="AD127" s="9">
        <f ca="1"/>
        <v>1000</v>
      </c>
      <c r="AE127" s="9" t="e">
        <f ca="1"/>
        <v>#N/A</v>
      </c>
      <c r="AF127" s="9" t="e">
        <f ca="1"/>
        <v>#N/A</v>
      </c>
      <c r="AG127" s="9" t="e">
        <f ca="1"/>
        <v>#N/A</v>
      </c>
      <c r="AH127" s="9" t="e">
        <f ca="1"/>
        <v>#N/A</v>
      </c>
      <c r="AI127" s="9" t="e">
        <f ca="1"/>
        <v>#N/A</v>
      </c>
      <c r="AJ127" s="9" t="e">
        <f ca="1"/>
        <v>#N/A</v>
      </c>
      <c r="AK127" s="9" t="e">
        <f ca="1"/>
        <v>#N/A</v>
      </c>
      <c r="AL127" s="9" t="e">
        <f ca="1"/>
        <v>#N/A</v>
      </c>
    </row>
    <row r="128" spans="1:38" ht="21" customHeight="1" outlineLevel="1" thickTop="1" thickBot="1" x14ac:dyDescent="0.4">
      <c r="E128" s="29" t="str">
        <f ca="1"/>
        <v xml:space="preserve">Раствор 1(тв): </v>
      </c>
      <c r="F128">
        <f ca="1"/>
        <v>-301.04039430956863</v>
      </c>
      <c r="G128">
        <f ca="1"/>
        <v>-304.67530809708978</v>
      </c>
      <c r="H128">
        <f ca="1"/>
        <v>-310.21215766219348</v>
      </c>
      <c r="I128">
        <f ca="1"/>
        <v>-317.1336369938939</v>
      </c>
      <c r="J128">
        <f ca="1"/>
        <v>-323.38578457160588</v>
      </c>
      <c r="K128">
        <f ca="1"/>
        <v>-328.1365590030303</v>
      </c>
      <c r="L128">
        <f ca="1"/>
        <v>-332.1531660628155</v>
      </c>
      <c r="M128">
        <f ca="1"/>
        <v>-336.29782057594281</v>
      </c>
      <c r="N128">
        <f ca="1"/>
        <v>-341.19810392626204</v>
      </c>
      <c r="O128">
        <f ca="1"/>
        <v>-347.67140061651975</v>
      </c>
      <c r="P128">
        <f ca="1"/>
        <v>-355.18229388506404</v>
      </c>
      <c r="Q128">
        <f ca="1"/>
        <v>-365.61890994929422</v>
      </c>
      <c r="R128">
        <f ca="1"/>
        <v>-405.3952696340337</v>
      </c>
      <c r="S128">
        <f ca="1"/>
        <v>-442.31474052393099</v>
      </c>
      <c r="T128">
        <f ca="1"/>
        <v>-468.32956812866991</v>
      </c>
      <c r="U128" s="50">
        <f ca="1"/>
        <v>-494.81537949836542</v>
      </c>
      <c r="V128" s="51">
        <f ca="1"/>
        <v>-522.00140070717327</v>
      </c>
      <c r="W128" s="100">
        <f ca="1"/>
        <v>-549.77761982670415</v>
      </c>
      <c r="X128">
        <f ca="1"/>
        <v>-577.99716023954431</v>
      </c>
      <c r="Y128">
        <f ca="1"/>
        <v>-606.69294435399934</v>
      </c>
      <c r="Z128">
        <f ca="1"/>
        <v>-636.02371753578041</v>
      </c>
      <c r="AA128">
        <f ca="1"/>
        <v>-757.60033727717314</v>
      </c>
      <c r="AB128">
        <f ca="1"/>
        <v>-885.96836100651205</v>
      </c>
      <c r="AC128">
        <f ca="1"/>
        <v>-1019.0468400190829</v>
      </c>
      <c r="AD128">
        <f ca="1"/>
        <v>-1156.0484091780211</v>
      </c>
      <c r="AE128" t="e">
        <f ca="1"/>
        <v>#N/A</v>
      </c>
      <c r="AF128" t="e">
        <f ca="1"/>
        <v>#N/A</v>
      </c>
      <c r="AG128" t="e">
        <f ca="1"/>
        <v>#N/A</v>
      </c>
      <c r="AH128" t="e">
        <f ca="1"/>
        <v>#N/A</v>
      </c>
      <c r="AI128" t="e">
        <f ca="1"/>
        <v>#N/A</v>
      </c>
      <c r="AJ128" t="e">
        <f ca="1"/>
        <v>#N/A</v>
      </c>
      <c r="AK128" t="e">
        <f ca="1"/>
        <v>#N/A</v>
      </c>
      <c r="AL128" t="e">
        <f ca="1"/>
        <v>#N/A</v>
      </c>
    </row>
    <row r="129" spans="1:38" ht="21" customHeight="1" outlineLevel="1" thickBot="1" x14ac:dyDescent="0.4">
      <c r="E129" s="29" t="str">
        <f ca="1"/>
        <v xml:space="preserve">Газовая без Ar: </v>
      </c>
      <c r="F129">
        <f ca="1"/>
        <v>-69.063774847104725</v>
      </c>
      <c r="G129">
        <f ca="1"/>
        <v>-68.55291204830651</v>
      </c>
      <c r="H129">
        <f ca="1"/>
        <v>-66.331945125807081</v>
      </c>
      <c r="I129">
        <f ca="1"/>
        <v>-62.868986180912401</v>
      </c>
      <c r="J129">
        <f ca="1"/>
        <v>-60.224065054789847</v>
      </c>
      <c r="K129">
        <f ca="1"/>
        <v>-59.107213805463999</v>
      </c>
      <c r="L129">
        <f ca="1"/>
        <v>-58.821398425859222</v>
      </c>
      <c r="M129">
        <f ca="1"/>
        <v>-58.545286681364551</v>
      </c>
      <c r="N129">
        <f ca="1"/>
        <v>-57.497828356046298</v>
      </c>
      <c r="O129">
        <f ca="1"/>
        <v>-55.242471531606341</v>
      </c>
      <c r="P129">
        <f ca="1"/>
        <v>-51.939018549946709</v>
      </c>
      <c r="Q129">
        <f ca="1"/>
        <v>-46.082218892288829</v>
      </c>
      <c r="R129">
        <f ca="1"/>
        <v>-14.3952947041426</v>
      </c>
      <c r="S129">
        <f ca="1"/>
        <v>-9.1668726810673756E-2</v>
      </c>
      <c r="T129">
        <f ca="1"/>
        <v>-3.6070252924990612E-4</v>
      </c>
      <c r="U129" s="50">
        <f ca="1"/>
        <v>-1.8201776566982402E-6</v>
      </c>
      <c r="V129" s="51">
        <f ca="1"/>
        <v>-1.1580962238692271E-8</v>
      </c>
      <c r="W129" s="100">
        <f ca="1"/>
        <v>-9.1166472593329337E-11</v>
      </c>
      <c r="X129">
        <f ca="1"/>
        <v>-8.7338924191086755E-13</v>
      </c>
      <c r="Y129">
        <f ca="1"/>
        <v>-1.0039981196332547E-14</v>
      </c>
      <c r="Z129">
        <f ca="1"/>
        <v>-1.3681639716610141E-16</v>
      </c>
      <c r="AA129">
        <f ca="1"/>
        <v>-2.1111954853725622E-23</v>
      </c>
      <c r="AB129">
        <f ca="1"/>
        <v>-2.5097164597624276E-29</v>
      </c>
      <c r="AC129">
        <f ca="1"/>
        <v>0</v>
      </c>
      <c r="AD129">
        <f ca="1"/>
        <v>0</v>
      </c>
      <c r="AE129" t="e">
        <f ca="1"/>
        <v>#N/A</v>
      </c>
      <c r="AF129" t="e">
        <f ca="1"/>
        <v>#N/A</v>
      </c>
      <c r="AG129" t="e">
        <f ca="1"/>
        <v>#N/A</v>
      </c>
      <c r="AH129" t="e">
        <f ca="1"/>
        <v>#N/A</v>
      </c>
      <c r="AI129" t="e">
        <f ca="1"/>
        <v>#N/A</v>
      </c>
      <c r="AJ129" t="e">
        <f ca="1"/>
        <v>#N/A</v>
      </c>
      <c r="AK129" t="e">
        <f ca="1"/>
        <v>#N/A</v>
      </c>
      <c r="AL129" t="e">
        <f ca="1"/>
        <v>#N/A</v>
      </c>
    </row>
    <row r="130" spans="1:38" ht="21" customHeight="1" outlineLevel="1" thickBot="1" x14ac:dyDescent="0.4">
      <c r="E130" s="29" t="str">
        <f ca="1"/>
        <v xml:space="preserve">Раствор 1 + газовая без Ar: </v>
      </c>
      <c r="F130">
        <f ca="1"/>
        <v>-370.10416915667338</v>
      </c>
      <c r="G130">
        <f ca="1"/>
        <v>-373.22822014539628</v>
      </c>
      <c r="H130">
        <f ca="1"/>
        <v>-376.54410278800054</v>
      </c>
      <c r="I130">
        <f ca="1"/>
        <v>-380.00262317480633</v>
      </c>
      <c r="J130">
        <f ca="1"/>
        <v>-383.60984962639571</v>
      </c>
      <c r="K130">
        <f ca="1"/>
        <v>-387.24377280849433</v>
      </c>
      <c r="L130">
        <f ca="1"/>
        <v>-390.97456448867473</v>
      </c>
      <c r="M130">
        <f ca="1"/>
        <v>-394.84310725730734</v>
      </c>
      <c r="N130">
        <f ca="1"/>
        <v>-398.69593228230832</v>
      </c>
      <c r="O130">
        <f ca="1"/>
        <v>-402.91387214812607</v>
      </c>
      <c r="P130">
        <f ca="1"/>
        <v>-407.12131243501074</v>
      </c>
      <c r="Q130">
        <f ca="1"/>
        <v>-411.70112884158306</v>
      </c>
      <c r="R130">
        <f ca="1"/>
        <v>-419.7905643381763</v>
      </c>
      <c r="S130">
        <f ca="1"/>
        <v>-442.40640925074166</v>
      </c>
      <c r="T130">
        <f ca="1"/>
        <v>-468.32992883119914</v>
      </c>
      <c r="U130" s="50">
        <f ca="1"/>
        <v>-494.81538131854307</v>
      </c>
      <c r="V130" s="51">
        <f ca="1"/>
        <v>-522.00140071875421</v>
      </c>
      <c r="W130" s="100">
        <f ca="1"/>
        <v>-549.77761982679533</v>
      </c>
      <c r="X130">
        <f ca="1"/>
        <v>-577.99716023954522</v>
      </c>
      <c r="Y130">
        <f ca="1"/>
        <v>-606.69294435399934</v>
      </c>
      <c r="Z130">
        <f ca="1"/>
        <v>-636.02371753578041</v>
      </c>
      <c r="AA130">
        <f ca="1"/>
        <v>-757.60033727717314</v>
      </c>
      <c r="AB130">
        <f ca="1"/>
        <v>-885.96836100651205</v>
      </c>
      <c r="AC130">
        <f ca="1"/>
        <v>-1019.0468400190829</v>
      </c>
      <c r="AD130">
        <f ca="1"/>
        <v>-1156.0484091780211</v>
      </c>
      <c r="AE130" t="e">
        <f ca="1"/>
        <v>#N/A</v>
      </c>
      <c r="AF130" t="e">
        <f ca="1"/>
        <v>#N/A</v>
      </c>
      <c r="AG130" t="e">
        <f ca="1"/>
        <v>#N/A</v>
      </c>
      <c r="AH130" t="e">
        <f ca="1"/>
        <v>#N/A</v>
      </c>
      <c r="AI130" t="e">
        <f ca="1"/>
        <v>#N/A</v>
      </c>
      <c r="AJ130" t="e">
        <f ca="1"/>
        <v>#N/A</v>
      </c>
      <c r="AK130" t="e">
        <f ca="1"/>
        <v>#N/A</v>
      </c>
      <c r="AL130" t="e">
        <f ca="1"/>
        <v>#N/A</v>
      </c>
    </row>
    <row r="131" spans="1:38" ht="21" customHeight="1" outlineLevel="1" thickBot="1" x14ac:dyDescent="0.4">
      <c r="E131" s="29" t="e">
        <f ca="1"/>
        <v>#N/A</v>
      </c>
      <c r="F131" t="e">
        <f ca="1"/>
        <v>#N/A</v>
      </c>
      <c r="G131" t="e">
        <f ca="1"/>
        <v>#N/A</v>
      </c>
      <c r="H131" t="e">
        <f ca="1"/>
        <v>#N/A</v>
      </c>
      <c r="I131" t="e">
        <f ca="1"/>
        <v>#N/A</v>
      </c>
      <c r="J131" t="e">
        <f ca="1"/>
        <v>#N/A</v>
      </c>
      <c r="K131" t="e">
        <f ca="1"/>
        <v>#N/A</v>
      </c>
      <c r="L131" t="e">
        <f ca="1"/>
        <v>#N/A</v>
      </c>
      <c r="M131" t="e">
        <f ca="1"/>
        <v>#N/A</v>
      </c>
      <c r="N131" t="e">
        <f ca="1"/>
        <v>#N/A</v>
      </c>
      <c r="O131" t="e">
        <f ca="1"/>
        <v>#N/A</v>
      </c>
      <c r="P131" t="e">
        <f ca="1"/>
        <v>#N/A</v>
      </c>
      <c r="Q131" t="e">
        <f ca="1"/>
        <v>#N/A</v>
      </c>
      <c r="R131" t="e">
        <f ca="1"/>
        <v>#N/A</v>
      </c>
      <c r="S131" t="e">
        <f ca="1"/>
        <v>#N/A</v>
      </c>
      <c r="T131" t="e">
        <f ca="1"/>
        <v>#N/A</v>
      </c>
      <c r="U131" s="50" t="e">
        <f ca="1"/>
        <v>#N/A</v>
      </c>
      <c r="V131" s="51" t="e">
        <f ca="1"/>
        <v>#N/A</v>
      </c>
      <c r="W131" s="100" t="e">
        <f ca="1"/>
        <v>#N/A</v>
      </c>
      <c r="X131" t="e">
        <f ca="1"/>
        <v>#N/A</v>
      </c>
      <c r="Y131" t="e">
        <f ca="1"/>
        <v>#N/A</v>
      </c>
      <c r="Z131" t="e">
        <f ca="1"/>
        <v>#N/A</v>
      </c>
      <c r="AA131" t="e">
        <f ca="1"/>
        <v>#N/A</v>
      </c>
      <c r="AB131" t="e">
        <f ca="1"/>
        <v>#N/A</v>
      </c>
      <c r="AC131" t="e">
        <f ca="1"/>
        <v>#N/A</v>
      </c>
      <c r="AD131" t="e">
        <f ca="1"/>
        <v>#N/A</v>
      </c>
      <c r="AE131" t="e">
        <f ca="1"/>
        <v>#N/A</v>
      </c>
      <c r="AF131" t="e">
        <f ca="1"/>
        <v>#N/A</v>
      </c>
      <c r="AG131" t="e">
        <f ca="1"/>
        <v>#N/A</v>
      </c>
      <c r="AH131" t="e">
        <f ca="1"/>
        <v>#N/A</v>
      </c>
      <c r="AI131" t="e">
        <f ca="1"/>
        <v>#N/A</v>
      </c>
      <c r="AJ131" t="e">
        <f ca="1"/>
        <v>#N/A</v>
      </c>
      <c r="AK131" t="e">
        <f ca="1"/>
        <v>#N/A</v>
      </c>
      <c r="AL131" t="e">
        <f ca="1"/>
        <v>#N/A</v>
      </c>
    </row>
    <row r="132" spans="1:38" ht="21" customHeight="1" outlineLevel="1" thickBot="1" x14ac:dyDescent="0.4">
      <c r="E132" s="29" t="e">
        <f ca="1"/>
        <v>#N/A</v>
      </c>
      <c r="F132" t="e">
        <f ca="1"/>
        <v>#N/A</v>
      </c>
      <c r="G132" t="e">
        <f ca="1"/>
        <v>#N/A</v>
      </c>
      <c r="H132" t="e">
        <f ca="1"/>
        <v>#N/A</v>
      </c>
      <c r="I132" t="e">
        <f ca="1"/>
        <v>#N/A</v>
      </c>
      <c r="J132" t="e">
        <f ca="1"/>
        <v>#N/A</v>
      </c>
      <c r="K132" t="e">
        <f ca="1"/>
        <v>#N/A</v>
      </c>
      <c r="L132" t="e">
        <f ca="1"/>
        <v>#N/A</v>
      </c>
      <c r="M132" t="e">
        <f ca="1"/>
        <v>#N/A</v>
      </c>
      <c r="N132" t="e">
        <f ca="1"/>
        <v>#N/A</v>
      </c>
      <c r="O132" t="e">
        <f ca="1"/>
        <v>#N/A</v>
      </c>
      <c r="P132" t="e">
        <f ca="1"/>
        <v>#N/A</v>
      </c>
      <c r="Q132" t="e">
        <f ca="1"/>
        <v>#N/A</v>
      </c>
      <c r="R132" t="e">
        <f ca="1"/>
        <v>#N/A</v>
      </c>
      <c r="S132" t="e">
        <f ca="1"/>
        <v>#N/A</v>
      </c>
      <c r="T132" t="e">
        <f ca="1"/>
        <v>#N/A</v>
      </c>
      <c r="U132" s="50" t="e">
        <f ca="1"/>
        <v>#N/A</v>
      </c>
      <c r="V132" s="51" t="e">
        <f ca="1"/>
        <v>#N/A</v>
      </c>
      <c r="W132" s="100" t="e">
        <f ca="1"/>
        <v>#N/A</v>
      </c>
      <c r="X132" t="e">
        <f ca="1"/>
        <v>#N/A</v>
      </c>
      <c r="Y132" t="e">
        <f ca="1"/>
        <v>#N/A</v>
      </c>
      <c r="Z132" t="e">
        <f ca="1"/>
        <v>#N/A</v>
      </c>
      <c r="AA132" t="e">
        <f ca="1"/>
        <v>#N/A</v>
      </c>
      <c r="AB132" t="e">
        <f ca="1"/>
        <v>#N/A</v>
      </c>
      <c r="AC132" t="e">
        <f ca="1"/>
        <v>#N/A</v>
      </c>
      <c r="AD132" t="e">
        <f ca="1"/>
        <v>#N/A</v>
      </c>
      <c r="AE132" t="e">
        <f ca="1"/>
        <v>#N/A</v>
      </c>
      <c r="AF132" t="e">
        <f ca="1"/>
        <v>#N/A</v>
      </c>
      <c r="AG132" t="e">
        <f ca="1"/>
        <v>#N/A</v>
      </c>
      <c r="AH132" t="e">
        <f ca="1"/>
        <v>#N/A</v>
      </c>
      <c r="AI132" t="e">
        <f ca="1"/>
        <v>#N/A</v>
      </c>
      <c r="AJ132" t="e">
        <f ca="1"/>
        <v>#N/A</v>
      </c>
      <c r="AK132" t="e">
        <f ca="1"/>
        <v>#N/A</v>
      </c>
      <c r="AL132" t="e">
        <f ca="1"/>
        <v>#N/A</v>
      </c>
    </row>
    <row r="133" spans="1:38" ht="21" customHeight="1" outlineLevel="1" thickBot="1" x14ac:dyDescent="0.4">
      <c r="E133" s="29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t="e">
        <f ca="1"/>
        <v>#N/A</v>
      </c>
      <c r="L133" t="e">
        <f ca="1"/>
        <v>#N/A</v>
      </c>
      <c r="M133" t="e">
        <f ca="1"/>
        <v>#N/A</v>
      </c>
      <c r="N133" t="e">
        <f ca="1"/>
        <v>#N/A</v>
      </c>
      <c r="O133" t="e">
        <f ca="1"/>
        <v>#N/A</v>
      </c>
      <c r="P133" t="e">
        <f ca="1"/>
        <v>#N/A</v>
      </c>
      <c r="Q133" t="e">
        <f ca="1"/>
        <v>#N/A</v>
      </c>
      <c r="R133" t="e">
        <f ca="1"/>
        <v>#N/A</v>
      </c>
      <c r="S133" t="e">
        <f ca="1"/>
        <v>#N/A</v>
      </c>
      <c r="T133" t="e">
        <f ca="1"/>
        <v>#N/A</v>
      </c>
      <c r="U133" s="50" t="e">
        <f ca="1"/>
        <v>#N/A</v>
      </c>
      <c r="V133" s="51" t="e">
        <f ca="1"/>
        <v>#N/A</v>
      </c>
      <c r="W133" s="100" t="e">
        <f ca="1"/>
        <v>#N/A</v>
      </c>
      <c r="X133" t="e">
        <f ca="1"/>
        <v>#N/A</v>
      </c>
      <c r="Y133" t="e">
        <f ca="1"/>
        <v>#N/A</v>
      </c>
      <c r="Z133" t="e">
        <f ca="1"/>
        <v>#N/A</v>
      </c>
      <c r="AA133" t="e">
        <f ca="1"/>
        <v>#N/A</v>
      </c>
      <c r="AB133" t="e">
        <f ca="1"/>
        <v>#N/A</v>
      </c>
      <c r="AC133" t="e">
        <f ca="1"/>
        <v>#N/A</v>
      </c>
      <c r="AD133" t="e">
        <f ca="1"/>
        <v>#N/A</v>
      </c>
      <c r="AE133" t="e">
        <f ca="1"/>
        <v>#N/A</v>
      </c>
      <c r="AF133" t="e">
        <f ca="1"/>
        <v>#N/A</v>
      </c>
      <c r="AG133" t="e">
        <f ca="1"/>
        <v>#N/A</v>
      </c>
      <c r="AH133" t="e">
        <f ca="1"/>
        <v>#N/A</v>
      </c>
      <c r="AI133" t="e">
        <f ca="1"/>
        <v>#N/A</v>
      </c>
      <c r="AJ133" t="e">
        <f ca="1"/>
        <v>#N/A</v>
      </c>
      <c r="AK133" t="e">
        <f ca="1"/>
        <v>#N/A</v>
      </c>
      <c r="AL133" t="e">
        <f ca="1"/>
        <v>#N/A</v>
      </c>
    </row>
    <row r="134" spans="1:38" ht="21" customHeight="1" outlineLevel="1" thickBot="1" x14ac:dyDescent="0.4">
      <c r="E134" s="29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s="50" t="e">
        <f ca="1"/>
        <v>#N/A</v>
      </c>
      <c r="V134" s="51" t="e">
        <f ca="1"/>
        <v>#N/A</v>
      </c>
      <c r="W134" s="100" t="e">
        <f ca="1"/>
        <v>#N/A</v>
      </c>
      <c r="X134" t="e">
        <f ca="1"/>
        <v>#N/A</v>
      </c>
      <c r="Y134" t="e">
        <f ca="1"/>
        <v>#N/A</v>
      </c>
      <c r="Z134" t="e">
        <f ca="1"/>
        <v>#N/A</v>
      </c>
      <c r="AA134" t="e">
        <f ca="1"/>
        <v>#N/A</v>
      </c>
      <c r="AB134" t="e">
        <f ca="1"/>
        <v>#N/A</v>
      </c>
      <c r="AC134" t="e">
        <f ca="1"/>
        <v>#N/A</v>
      </c>
      <c r="AD134" t="e">
        <f ca="1"/>
        <v>#N/A</v>
      </c>
      <c r="AE134" t="e">
        <f ca="1"/>
        <v>#N/A</v>
      </c>
      <c r="AF134" t="e">
        <f ca="1"/>
        <v>#N/A</v>
      </c>
      <c r="AG134" t="e">
        <f ca="1"/>
        <v>#N/A</v>
      </c>
      <c r="AH134" t="e">
        <f ca="1"/>
        <v>#N/A</v>
      </c>
      <c r="AI134" t="e">
        <f ca="1"/>
        <v>#N/A</v>
      </c>
      <c r="AJ134" t="e">
        <f ca="1"/>
        <v>#N/A</v>
      </c>
      <c r="AK134" t="e">
        <f ca="1"/>
        <v>#N/A</v>
      </c>
      <c r="AL134" t="e">
        <f ca="1"/>
        <v>#N/A</v>
      </c>
    </row>
    <row r="135" spans="1:38" ht="21" customHeight="1" outlineLevel="1" thickBot="1" x14ac:dyDescent="0.4">
      <c r="E135" s="29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s="50" t="e">
        <f ca="1"/>
        <v>#N/A</v>
      </c>
      <c r="V135" s="51" t="e">
        <f ca="1"/>
        <v>#N/A</v>
      </c>
      <c r="W135" s="100" t="e">
        <f ca="1"/>
        <v>#N/A</v>
      </c>
      <c r="X135" t="e">
        <f ca="1"/>
        <v>#N/A</v>
      </c>
      <c r="Y135" t="e">
        <f ca="1"/>
        <v>#N/A</v>
      </c>
      <c r="Z135" t="e">
        <f ca="1"/>
        <v>#N/A</v>
      </c>
      <c r="AA135" t="e">
        <f ca="1"/>
        <v>#N/A</v>
      </c>
      <c r="AB135" t="e">
        <f ca="1"/>
        <v>#N/A</v>
      </c>
      <c r="AC135" t="e">
        <f ca="1"/>
        <v>#N/A</v>
      </c>
      <c r="AD135" t="e">
        <f ca="1"/>
        <v>#N/A</v>
      </c>
      <c r="AE135" t="e">
        <f ca="1"/>
        <v>#N/A</v>
      </c>
      <c r="AF135" t="e">
        <f ca="1"/>
        <v>#N/A</v>
      </c>
      <c r="AG135" t="e">
        <f ca="1"/>
        <v>#N/A</v>
      </c>
      <c r="AH135" t="e">
        <f ca="1"/>
        <v>#N/A</v>
      </c>
      <c r="AI135" t="e">
        <f ca="1"/>
        <v>#N/A</v>
      </c>
      <c r="AJ135" t="e">
        <f ca="1"/>
        <v>#N/A</v>
      </c>
      <c r="AK135" t="e">
        <f ca="1"/>
        <v>#N/A</v>
      </c>
      <c r="AL135" t="e">
        <f ca="1"/>
        <v>#N/A</v>
      </c>
    </row>
    <row r="136" spans="1:38" ht="21" customHeight="1" outlineLevel="1" thickBot="1" x14ac:dyDescent="0.4">
      <c r="E136" s="29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s="50" t="e">
        <f ca="1"/>
        <v>#N/A</v>
      </c>
      <c r="V136" s="51" t="e">
        <f ca="1"/>
        <v>#N/A</v>
      </c>
      <c r="W136" s="100" t="e">
        <f ca="1"/>
        <v>#N/A</v>
      </c>
      <c r="X136" t="e">
        <f ca="1"/>
        <v>#N/A</v>
      </c>
      <c r="Y136" t="e">
        <f ca="1"/>
        <v>#N/A</v>
      </c>
      <c r="Z136" t="e">
        <f ca="1"/>
        <v>#N/A</v>
      </c>
      <c r="AA136" t="e">
        <f ca="1"/>
        <v>#N/A</v>
      </c>
      <c r="AB136" t="e">
        <f ca="1"/>
        <v>#N/A</v>
      </c>
      <c r="AC136" t="e">
        <f ca="1"/>
        <v>#N/A</v>
      </c>
      <c r="AD136" t="e">
        <f ca="1"/>
        <v>#N/A</v>
      </c>
      <c r="AE136" t="e">
        <f ca="1"/>
        <v>#N/A</v>
      </c>
      <c r="AF136" t="e">
        <f ca="1"/>
        <v>#N/A</v>
      </c>
      <c r="AG136" t="e">
        <f ca="1"/>
        <v>#N/A</v>
      </c>
      <c r="AH136" t="e">
        <f ca="1"/>
        <v>#N/A</v>
      </c>
      <c r="AI136" t="e">
        <f ca="1"/>
        <v>#N/A</v>
      </c>
      <c r="AJ136" t="e">
        <f ca="1"/>
        <v>#N/A</v>
      </c>
      <c r="AK136" t="e">
        <f ca="1"/>
        <v>#N/A</v>
      </c>
      <c r="AL136" t="e">
        <f ca="1"/>
        <v>#N/A</v>
      </c>
    </row>
    <row r="137" spans="1:38" ht="21" customHeight="1" outlineLevel="1" thickBot="1" x14ac:dyDescent="0.4">
      <c r="E137" s="29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t="e">
        <f ca="1"/>
        <v>#N/A</v>
      </c>
      <c r="L137" t="e">
        <f ca="1"/>
        <v>#N/A</v>
      </c>
      <c r="M137" t="e">
        <f ca="1"/>
        <v>#N/A</v>
      </c>
      <c r="N137" t="e">
        <f ca="1"/>
        <v>#N/A</v>
      </c>
      <c r="O137" t="e">
        <f ca="1"/>
        <v>#N/A</v>
      </c>
      <c r="P137" t="e">
        <f ca="1"/>
        <v>#N/A</v>
      </c>
      <c r="Q137" t="e">
        <f ca="1"/>
        <v>#N/A</v>
      </c>
      <c r="R137" t="e">
        <f ca="1"/>
        <v>#N/A</v>
      </c>
      <c r="S137" t="e">
        <f ca="1"/>
        <v>#N/A</v>
      </c>
      <c r="T137" t="e">
        <f ca="1"/>
        <v>#N/A</v>
      </c>
      <c r="U137" s="50" t="e">
        <f ca="1"/>
        <v>#N/A</v>
      </c>
      <c r="V137" s="51" t="e">
        <f ca="1"/>
        <v>#N/A</v>
      </c>
      <c r="W137" s="100" t="e">
        <f ca="1"/>
        <v>#N/A</v>
      </c>
      <c r="X137" t="e">
        <f ca="1"/>
        <v>#N/A</v>
      </c>
      <c r="Y137" t="e">
        <f ca="1"/>
        <v>#N/A</v>
      </c>
      <c r="Z137" t="e">
        <f ca="1"/>
        <v>#N/A</v>
      </c>
      <c r="AA137" t="e">
        <f ca="1"/>
        <v>#N/A</v>
      </c>
      <c r="AB137" t="e">
        <f ca="1"/>
        <v>#N/A</v>
      </c>
      <c r="AC137" t="e">
        <f ca="1"/>
        <v>#N/A</v>
      </c>
      <c r="AD137" t="e">
        <f ca="1"/>
        <v>#N/A</v>
      </c>
      <c r="AE137" t="e">
        <f ca="1"/>
        <v>#N/A</v>
      </c>
      <c r="AF137" t="e">
        <f ca="1"/>
        <v>#N/A</v>
      </c>
      <c r="AG137" t="e">
        <f ca="1"/>
        <v>#N/A</v>
      </c>
      <c r="AH137" t="e">
        <f ca="1"/>
        <v>#N/A</v>
      </c>
      <c r="AI137" t="e">
        <f ca="1"/>
        <v>#N/A</v>
      </c>
      <c r="AJ137" t="e">
        <f ca="1"/>
        <v>#N/A</v>
      </c>
      <c r="AK137" t="e">
        <f ca="1"/>
        <v>#N/A</v>
      </c>
      <c r="AL137" t="e">
        <f ca="1"/>
        <v>#N/A</v>
      </c>
    </row>
    <row r="138" spans="1:38" ht="21" customHeight="1" outlineLevel="1" thickBot="1" x14ac:dyDescent="0.4">
      <c r="E138" s="29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t="e">
        <f ca="1"/>
        <v>#N/A</v>
      </c>
      <c r="L138" t="e">
        <f ca="1"/>
        <v>#N/A</v>
      </c>
      <c r="M138" t="e">
        <f ca="1"/>
        <v>#N/A</v>
      </c>
      <c r="N138" t="e">
        <f ca="1"/>
        <v>#N/A</v>
      </c>
      <c r="O138" t="e">
        <f ca="1"/>
        <v>#N/A</v>
      </c>
      <c r="P138" t="e">
        <f ca="1"/>
        <v>#N/A</v>
      </c>
      <c r="Q138" t="e">
        <f ca="1"/>
        <v>#N/A</v>
      </c>
      <c r="R138" t="e">
        <f ca="1"/>
        <v>#N/A</v>
      </c>
      <c r="S138" t="e">
        <f ca="1"/>
        <v>#N/A</v>
      </c>
      <c r="T138" t="e">
        <f ca="1"/>
        <v>#N/A</v>
      </c>
      <c r="U138" s="50" t="e">
        <f ca="1"/>
        <v>#N/A</v>
      </c>
      <c r="V138" s="51" t="e">
        <f ca="1"/>
        <v>#N/A</v>
      </c>
      <c r="W138" s="100" t="e">
        <f ca="1"/>
        <v>#N/A</v>
      </c>
      <c r="X138" t="e">
        <f ca="1"/>
        <v>#N/A</v>
      </c>
      <c r="Y138" t="e">
        <f ca="1"/>
        <v>#N/A</v>
      </c>
      <c r="Z138" t="e">
        <f ca="1"/>
        <v>#N/A</v>
      </c>
      <c r="AA138" t="e">
        <f ca="1"/>
        <v>#N/A</v>
      </c>
      <c r="AB138" t="e">
        <f ca="1"/>
        <v>#N/A</v>
      </c>
      <c r="AC138" t="e">
        <f ca="1"/>
        <v>#N/A</v>
      </c>
      <c r="AD138" t="e">
        <f ca="1"/>
        <v>#N/A</v>
      </c>
      <c r="AE138" t="e">
        <f ca="1"/>
        <v>#N/A</v>
      </c>
      <c r="AF138" t="e">
        <f ca="1"/>
        <v>#N/A</v>
      </c>
      <c r="AG138" t="e">
        <f ca="1"/>
        <v>#N/A</v>
      </c>
      <c r="AH138" t="e">
        <f ca="1"/>
        <v>#N/A</v>
      </c>
      <c r="AI138" t="e">
        <f ca="1"/>
        <v>#N/A</v>
      </c>
      <c r="AJ138" t="e">
        <f ca="1"/>
        <v>#N/A</v>
      </c>
      <c r="AK138" t="e">
        <f ca="1"/>
        <v>#N/A</v>
      </c>
      <c r="AL138" t="e">
        <f ca="1"/>
        <v>#N/A</v>
      </c>
    </row>
    <row r="139" spans="1:38" ht="21" customHeight="1" outlineLevel="1" thickBot="1" x14ac:dyDescent="0.4">
      <c r="E139" s="29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t="e">
        <f ca="1"/>
        <v>#N/A</v>
      </c>
      <c r="L139" t="e">
        <f ca="1"/>
        <v>#N/A</v>
      </c>
      <c r="M139" t="e">
        <f ca="1"/>
        <v>#N/A</v>
      </c>
      <c r="N139" t="e">
        <f ca="1"/>
        <v>#N/A</v>
      </c>
      <c r="O139" t="e">
        <f ca="1"/>
        <v>#N/A</v>
      </c>
      <c r="P139" t="e">
        <f ca="1"/>
        <v>#N/A</v>
      </c>
      <c r="Q139" t="e">
        <f ca="1"/>
        <v>#N/A</v>
      </c>
      <c r="R139" t="e">
        <f ca="1"/>
        <v>#N/A</v>
      </c>
      <c r="S139" t="e">
        <f ca="1"/>
        <v>#N/A</v>
      </c>
      <c r="T139" t="e">
        <f ca="1"/>
        <v>#N/A</v>
      </c>
      <c r="U139" s="50" t="e">
        <f ca="1"/>
        <v>#N/A</v>
      </c>
      <c r="V139" s="51" t="e">
        <f ca="1"/>
        <v>#N/A</v>
      </c>
      <c r="W139" s="100" t="e">
        <f ca="1"/>
        <v>#N/A</v>
      </c>
      <c r="X139" t="e">
        <f ca="1"/>
        <v>#N/A</v>
      </c>
      <c r="Y139" t="e">
        <f ca="1"/>
        <v>#N/A</v>
      </c>
      <c r="Z139" t="e">
        <f ca="1"/>
        <v>#N/A</v>
      </c>
      <c r="AA139" t="e">
        <f ca="1"/>
        <v>#N/A</v>
      </c>
      <c r="AB139" t="e">
        <f ca="1"/>
        <v>#N/A</v>
      </c>
      <c r="AC139" t="e">
        <f ca="1"/>
        <v>#N/A</v>
      </c>
      <c r="AD139" t="e">
        <f ca="1"/>
        <v>#N/A</v>
      </c>
      <c r="AE139" t="e">
        <f ca="1"/>
        <v>#N/A</v>
      </c>
      <c r="AF139" t="e">
        <f ca="1"/>
        <v>#N/A</v>
      </c>
      <c r="AG139" t="e">
        <f ca="1"/>
        <v>#N/A</v>
      </c>
      <c r="AH139" t="e">
        <f ca="1"/>
        <v>#N/A</v>
      </c>
      <c r="AI139" t="e">
        <f ca="1"/>
        <v>#N/A</v>
      </c>
      <c r="AJ139" t="e">
        <f ca="1"/>
        <v>#N/A</v>
      </c>
      <c r="AK139" t="e">
        <f ca="1"/>
        <v>#N/A</v>
      </c>
      <c r="AL139" t="e">
        <f ca="1"/>
        <v>#N/A</v>
      </c>
    </row>
    <row r="140" spans="1:38" ht="21" customHeight="1" outlineLevel="1" thickBot="1" x14ac:dyDescent="0.4">
      <c r="E140" s="29" t="e">
        <f ca="1"/>
        <v>#N/A</v>
      </c>
      <c r="F140" t="e">
        <f ca="1"/>
        <v>#N/A</v>
      </c>
      <c r="G140" t="e">
        <f ca="1"/>
        <v>#N/A</v>
      </c>
      <c r="H140" t="e">
        <f ca="1"/>
        <v>#N/A</v>
      </c>
      <c r="I140" t="e">
        <f ca="1"/>
        <v>#N/A</v>
      </c>
      <c r="J140" t="e">
        <f ca="1"/>
        <v>#N/A</v>
      </c>
      <c r="K140" t="e">
        <f ca="1"/>
        <v>#N/A</v>
      </c>
      <c r="L140" t="e">
        <f ca="1"/>
        <v>#N/A</v>
      </c>
      <c r="M140" t="e">
        <f ca="1"/>
        <v>#N/A</v>
      </c>
      <c r="N140" t="e">
        <f ca="1"/>
        <v>#N/A</v>
      </c>
      <c r="O140" t="e">
        <f ca="1"/>
        <v>#N/A</v>
      </c>
      <c r="P140" t="e">
        <f ca="1"/>
        <v>#N/A</v>
      </c>
      <c r="Q140" t="e">
        <f ca="1"/>
        <v>#N/A</v>
      </c>
      <c r="R140" t="e">
        <f ca="1"/>
        <v>#N/A</v>
      </c>
      <c r="S140" t="e">
        <f ca="1"/>
        <v>#N/A</v>
      </c>
      <c r="T140" t="e">
        <f ca="1"/>
        <v>#N/A</v>
      </c>
      <c r="U140" s="50" t="e">
        <f ca="1"/>
        <v>#N/A</v>
      </c>
      <c r="V140" s="51" t="e">
        <f ca="1"/>
        <v>#N/A</v>
      </c>
      <c r="W140" s="100" t="e">
        <f ca="1"/>
        <v>#N/A</v>
      </c>
      <c r="X140" t="e">
        <f ca="1"/>
        <v>#N/A</v>
      </c>
      <c r="Y140" t="e">
        <f ca="1"/>
        <v>#N/A</v>
      </c>
      <c r="Z140" t="e">
        <f ca="1"/>
        <v>#N/A</v>
      </c>
      <c r="AA140" t="e">
        <f ca="1"/>
        <v>#N/A</v>
      </c>
      <c r="AB140" t="e">
        <f ca="1"/>
        <v>#N/A</v>
      </c>
      <c r="AC140" t="e">
        <f ca="1"/>
        <v>#N/A</v>
      </c>
      <c r="AD140" t="e">
        <f ca="1"/>
        <v>#N/A</v>
      </c>
      <c r="AE140" t="e">
        <f ca="1"/>
        <v>#N/A</v>
      </c>
      <c r="AF140" t="e">
        <f ca="1"/>
        <v>#N/A</v>
      </c>
      <c r="AG140" t="e">
        <f ca="1"/>
        <v>#N/A</v>
      </c>
      <c r="AH140" t="e">
        <f ca="1"/>
        <v>#N/A</v>
      </c>
      <c r="AI140" t="e">
        <f ca="1"/>
        <v>#N/A</v>
      </c>
      <c r="AJ140" t="e">
        <f ca="1"/>
        <v>#N/A</v>
      </c>
      <c r="AK140" t="e">
        <f ca="1"/>
        <v>#N/A</v>
      </c>
      <c r="AL140" t="e">
        <f ca="1"/>
        <v>#N/A</v>
      </c>
    </row>
    <row r="141" spans="1:38" ht="21" customHeight="1" outlineLevel="1" thickBot="1" x14ac:dyDescent="0.4">
      <c r="E141" s="30"/>
    </row>
    <row r="142" spans="1:38" ht="21" customHeight="1" thickBot="1" x14ac:dyDescent="0.4"/>
    <row r="143" spans="1:38" ht="21" customHeight="1" thickBot="1" x14ac:dyDescent="0.45">
      <c r="A143" s="3"/>
      <c r="B143" s="3"/>
      <c r="C143" s="3"/>
      <c r="D143" s="3"/>
      <c r="E143" s="4" t="s">
        <v>17</v>
      </c>
      <c r="F143" s="5"/>
      <c r="G143" s="4"/>
      <c r="H143" s="4"/>
      <c r="I143" s="4"/>
      <c r="J143" s="4"/>
      <c r="K143" s="31"/>
      <c r="L143" s="31"/>
      <c r="M143" s="31"/>
      <c r="N143" s="31"/>
      <c r="O143" s="31"/>
      <c r="P143" s="31"/>
      <c r="Q143" s="31"/>
      <c r="R143" s="31"/>
      <c r="S143" s="32"/>
      <c r="T143" s="5"/>
      <c r="U143" s="97"/>
      <c r="V143" s="98"/>
      <c r="W143" s="102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</row>
    <row r="144" spans="1:38" ht="21" hidden="1" customHeight="1" outlineLevel="1" thickBot="1" x14ac:dyDescent="0.4">
      <c r="A144" s="33" t="s">
        <v>18</v>
      </c>
      <c r="B144" s="34" t="s">
        <v>19</v>
      </c>
      <c r="C144">
        <v>298.14999999999998</v>
      </c>
    </row>
    <row r="145" spans="1:19" ht="21" hidden="1" customHeight="1" outlineLevel="1" x14ac:dyDescent="0.35">
      <c r="A145">
        <v>8</v>
      </c>
      <c r="B145" s="35" t="s">
        <v>20</v>
      </c>
      <c r="C145">
        <v>5</v>
      </c>
    </row>
    <row r="146" spans="1:19" ht="21" hidden="1" customHeight="1" outlineLevel="1" x14ac:dyDescent="0.35">
      <c r="B146" s="36" t="s">
        <v>21</v>
      </c>
      <c r="C146" s="37">
        <f>C145-$C$145</f>
        <v>0</v>
      </c>
      <c r="D146" s="37">
        <f>D145-$C$145</f>
        <v>-5</v>
      </c>
      <c r="E146" s="37">
        <f t="shared" ref="E146:F146" si="76">E145-$C$145</f>
        <v>-5</v>
      </c>
      <c r="F146" s="37">
        <f t="shared" si="76"/>
        <v>-5</v>
      </c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</row>
    <row r="147" spans="1:19" ht="21" hidden="1" customHeight="1" outlineLevel="1" x14ac:dyDescent="0.35">
      <c r="B147" s="34" t="s">
        <v>22</v>
      </c>
      <c r="C147" s="37">
        <f>C146+$A$145</f>
        <v>8</v>
      </c>
      <c r="D147" s="37">
        <f t="shared" ref="D147:F147" si="77">D146+$A$145</f>
        <v>3</v>
      </c>
      <c r="E147" s="37">
        <f t="shared" si="77"/>
        <v>3</v>
      </c>
      <c r="F147" s="37">
        <f t="shared" si="77"/>
        <v>3</v>
      </c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</row>
    <row r="148" spans="1:19" ht="21" hidden="1" customHeight="1" outlineLevel="1" x14ac:dyDescent="0.35"/>
    <row r="149" spans="1:19" ht="21" customHeight="1" collapsed="1" x14ac:dyDescent="0.35"/>
  </sheetData>
  <mergeCells count="2">
    <mergeCell ref="A117:B117"/>
    <mergeCell ref="A1:BB1"/>
  </mergeCells>
  <conditionalFormatting sqref="A4:D33">
    <cfRule type="cellIs" dxfId="9" priority="65" operator="equal">
      <formula>0</formula>
    </cfRule>
  </conditionalFormatting>
  <conditionalFormatting sqref="A50:D80">
    <cfRule type="cellIs" dxfId="8" priority="64" operator="equal">
      <formula>0</formula>
    </cfRule>
  </conditionalFormatting>
  <conditionalFormatting sqref="A84:D113">
    <cfRule type="cellIs" dxfId="7" priority="63" operator="equal">
      <formula>0</formula>
    </cfRule>
  </conditionalFormatting>
  <conditionalFormatting sqref="F32:AL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1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AL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AL7">
    <cfRule type="colorScale" priority="19">
      <colorScale>
        <cfvo type="min"/>
        <cfvo type="max"/>
        <color rgb="FFFFEF9C"/>
        <color rgb="FF63BE7B"/>
      </colorScale>
    </cfRule>
  </conditionalFormatting>
  <conditionalFormatting sqref="F5:AL5">
    <cfRule type="colorScale" priority="21">
      <colorScale>
        <cfvo type="min"/>
        <cfvo type="max"/>
        <color rgb="FFFFEF9C"/>
        <color rgb="FF63BE7B"/>
      </colorScale>
    </cfRule>
  </conditionalFormatting>
  <conditionalFormatting sqref="F6:AL6">
    <cfRule type="colorScale" priority="20">
      <colorScale>
        <cfvo type="min"/>
        <cfvo type="max"/>
        <color rgb="FFFFEF9C"/>
        <color rgb="FF63BE7B"/>
      </colorScale>
    </cfRule>
  </conditionalFormatting>
  <conditionalFormatting sqref="F8:AL8">
    <cfRule type="colorScale" priority="18">
      <colorScale>
        <cfvo type="min"/>
        <cfvo type="max"/>
        <color rgb="FFFFEF9C"/>
        <color rgb="FF63BE7B"/>
      </colorScale>
    </cfRule>
  </conditionalFormatting>
  <conditionalFormatting sqref="F9:AL9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0:AL10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1:AL11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2:AL12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3:AL13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4:AL14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5:AL15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6:AL16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7:AL17">
    <cfRule type="colorScale" priority="9">
      <colorScale>
        <cfvo type="min"/>
        <cfvo type="max"/>
        <color rgb="FFFFEF9C"/>
        <color rgb="FF63BE7B"/>
      </colorScale>
    </cfRule>
  </conditionalFormatting>
  <conditionalFormatting sqref="F18:AL18">
    <cfRule type="colorScale" priority="8">
      <colorScale>
        <cfvo type="min"/>
        <cfvo type="max"/>
        <color rgb="FFFFEF9C"/>
        <color rgb="FF63BE7B"/>
      </colorScale>
    </cfRule>
  </conditionalFormatting>
  <conditionalFormatting sqref="F19:AL19">
    <cfRule type="colorScale" priority="7">
      <colorScale>
        <cfvo type="min"/>
        <cfvo type="max"/>
        <color rgb="FFFFEF9C"/>
        <color rgb="FF63BE7B"/>
      </colorScale>
    </cfRule>
  </conditionalFormatting>
  <conditionalFormatting sqref="F20:AL20">
    <cfRule type="colorScale" priority="6">
      <colorScale>
        <cfvo type="min"/>
        <cfvo type="max"/>
        <color rgb="FFFFEF9C"/>
        <color rgb="FF63BE7B"/>
      </colorScale>
    </cfRule>
  </conditionalFormatting>
  <conditionalFormatting sqref="F21:AL21">
    <cfRule type="colorScale" priority="5">
      <colorScale>
        <cfvo type="min"/>
        <cfvo type="max"/>
        <color rgb="FFFFEF9C"/>
        <color rgb="FF63BE7B"/>
      </colorScale>
    </cfRule>
  </conditionalFormatting>
  <conditionalFormatting sqref="F22:AL22">
    <cfRule type="colorScale" priority="4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3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81F96-7441-4360-A226-D16DEDF5EDC0}">
  <sheetPr codeName="Лист8">
    <tabColor rgb="FF00B050"/>
  </sheetPr>
  <dimension ref="A1:BB148"/>
  <sheetViews>
    <sheetView topLeftCell="A115" zoomScaleNormal="100" zoomScaleSheetLayoutView="25" workbookViewId="0">
      <selection activeCell="AY16" sqref="AY16"/>
    </sheetView>
  </sheetViews>
  <sheetFormatPr defaultRowHeight="21" customHeight="1" outlineLevelRow="1" x14ac:dyDescent="0.35"/>
  <cols>
    <col min="1" max="4" width="5.6328125" style="59" customWidth="1"/>
    <col min="5" max="5" width="11.6328125" style="59" customWidth="1"/>
    <col min="6" max="6" width="8.90625" style="59" customWidth="1"/>
    <col min="7" max="37" width="8.6328125" style="59" hidden="1" customWidth="1"/>
    <col min="38" max="38" width="8.6328125" style="59" customWidth="1"/>
    <col min="39" max="16384" width="8.7265625" style="59"/>
  </cols>
  <sheetData>
    <row r="1" spans="1:54" ht="32.25" customHeight="1" thickBot="1" x14ac:dyDescent="0.4">
      <c r="A1" s="112" t="s">
        <v>0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</row>
    <row r="2" spans="1:54" ht="21" customHeight="1" thickBot="1" x14ac:dyDescent="0.45">
      <c r="A2" s="28" t="e">
        <f>Values!#REF!</f>
        <v>#REF!</v>
      </c>
      <c r="B2" s="41">
        <v>8.3145000000000007</v>
      </c>
      <c r="C2" s="3"/>
      <c r="D2" s="3"/>
      <c r="E2" s="4" t="s">
        <v>26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7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9"/>
    </row>
    <row r="3" spans="1:54" ht="21" customHeight="1" outlineLevel="1" thickTop="1" thickBot="1" x14ac:dyDescent="0.4">
      <c r="A3" s="64" t="s">
        <v>1</v>
      </c>
      <c r="B3" s="64" t="s">
        <v>2</v>
      </c>
      <c r="C3" s="64" t="s">
        <v>3</v>
      </c>
      <c r="D3" s="65" t="s">
        <v>4</v>
      </c>
      <c r="E3" s="8"/>
      <c r="F3" s="8">
        <v>273.10000000000002</v>
      </c>
      <c r="G3" s="8">
        <v>353.9</v>
      </c>
      <c r="H3" s="8">
        <v>434.7</v>
      </c>
      <c r="I3" s="8">
        <v>515.4</v>
      </c>
      <c r="J3" s="8">
        <v>596.20000000000005</v>
      </c>
      <c r="K3" s="8">
        <v>677</v>
      </c>
      <c r="L3" s="8">
        <v>757.7</v>
      </c>
      <c r="M3" s="8">
        <v>838.5</v>
      </c>
      <c r="N3" s="8">
        <v>919.2</v>
      </c>
      <c r="O3" s="8">
        <v>1000</v>
      </c>
      <c r="P3" s="8"/>
      <c r="Q3" s="8"/>
      <c r="R3" s="8"/>
      <c r="S3" s="8"/>
      <c r="T3" s="8"/>
      <c r="U3" s="8"/>
      <c r="V3" s="8"/>
      <c r="W3" s="8"/>
      <c r="X3" s="8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40"/>
      <c r="AM3" s="50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2"/>
    </row>
    <row r="4" spans="1:54" ht="21" customHeight="1" outlineLevel="1" thickTop="1" thickBot="1" x14ac:dyDescent="0.4">
      <c r="A4" s="66">
        <f>IF( ISNUMBER( FIND(A$3,$E4,1)),   IF( ISNUMBER( VALUE(MID($E4,FIND(A$3,$E4,1)+2,1)) ), VALUE( MID($E4,FIND(A$3,$E4,1)+2,1) ),1),0)</f>
        <v>0</v>
      </c>
      <c r="B4" s="66">
        <f t="shared" ref="B4:D19" si="0">IF( ISNUMBER( FIND(B$3,$E4,1)),   IF( ISNUMBER( VALUE(MID($E4,FIND(B$3,$E4,1)+2,1)) ), VALUE( MID($E4,FIND(B$3,$E4,1)+2,1) ),1),0)</f>
        <v>1</v>
      </c>
      <c r="C4" s="66">
        <f t="shared" si="0"/>
        <v>0</v>
      </c>
      <c r="D4" s="66">
        <f t="shared" si="0"/>
        <v>0</v>
      </c>
      <c r="E4" s="11" t="s">
        <v>50</v>
      </c>
      <c r="F4" s="73">
        <v>2.2268999999999999E-8</v>
      </c>
      <c r="G4" s="73">
        <v>2.2472000000000001E-8</v>
      </c>
      <c r="H4" s="73">
        <v>1.9747999999999999E-8</v>
      </c>
      <c r="I4" s="73">
        <v>2.0392999999999999E-8</v>
      </c>
      <c r="J4" s="73">
        <v>2.5886999999999999E-8</v>
      </c>
      <c r="K4" s="73">
        <v>3.3746999999999998E-8</v>
      </c>
      <c r="L4" s="73">
        <v>3.1819000000000002E-8</v>
      </c>
      <c r="M4" s="73">
        <v>3.4369000000000002E-8</v>
      </c>
      <c r="N4" s="73">
        <v>2.7837E-8</v>
      </c>
      <c r="O4" s="73">
        <v>1.0428000000000001E-8</v>
      </c>
      <c r="P4" s="73"/>
      <c r="Q4" s="73"/>
      <c r="R4" s="73"/>
      <c r="S4" s="73"/>
      <c r="T4" s="73"/>
      <c r="U4" s="73"/>
      <c r="V4" s="73"/>
      <c r="W4" s="73"/>
      <c r="X4" s="73"/>
      <c r="AM4" s="50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2"/>
    </row>
    <row r="5" spans="1:54" ht="21" customHeight="1" outlineLevel="1" thickBot="1" x14ac:dyDescent="0.4">
      <c r="A5" s="66">
        <f t="shared" ref="A5:D27" si="1">IF( ISNUMBER( FIND(A$3,$E5,1)),   IF( ISNUMBER( VALUE(MID($E5,FIND(A$3,$E5,1)+2,1)) ), VALUE( MID($E5,FIND(A$3,$E5,1)+2,1) ),1),0)</f>
        <v>0</v>
      </c>
      <c r="B5" s="66">
        <f t="shared" si="0"/>
        <v>3</v>
      </c>
      <c r="C5" s="66">
        <f t="shared" si="0"/>
        <v>0</v>
      </c>
      <c r="D5" s="66">
        <f t="shared" si="0"/>
        <v>0</v>
      </c>
      <c r="E5" s="11" t="s">
        <v>61</v>
      </c>
      <c r="F5" s="73">
        <v>2.7272000000000002E-25</v>
      </c>
      <c r="G5" s="73">
        <v>4.5515999999999997E-18</v>
      </c>
      <c r="H5" s="73">
        <v>1.1458E-13</v>
      </c>
      <c r="I5" s="73">
        <v>9.9787999999999994E-11</v>
      </c>
      <c r="J5" s="73">
        <v>1.2677E-8</v>
      </c>
      <c r="K5" s="73">
        <v>5.1037999999999999E-7</v>
      </c>
      <c r="L5" s="73">
        <v>9.1952999999999999E-6</v>
      </c>
      <c r="M5" s="73">
        <v>8.7031000000000001E-5</v>
      </c>
      <c r="N5" s="73">
        <v>4.8848000000000001E-4</v>
      </c>
      <c r="O5" s="73">
        <v>1.5862999999999999E-3</v>
      </c>
      <c r="P5" s="73"/>
      <c r="Q5" s="73"/>
      <c r="R5" s="73"/>
      <c r="S5" s="73"/>
      <c r="T5" s="73"/>
      <c r="U5" s="73"/>
      <c r="V5" s="73"/>
      <c r="W5" s="73"/>
      <c r="X5" s="73"/>
      <c r="AM5" s="50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2"/>
    </row>
    <row r="6" spans="1:54" ht="21" customHeight="1" outlineLevel="1" thickBot="1" x14ac:dyDescent="0.4">
      <c r="A6" s="66">
        <f t="shared" si="1"/>
        <v>0</v>
      </c>
      <c r="B6" s="66">
        <f t="shared" si="0"/>
        <v>4</v>
      </c>
      <c r="C6" s="66">
        <f t="shared" si="0"/>
        <v>0</v>
      </c>
      <c r="D6" s="66">
        <f t="shared" si="0"/>
        <v>0</v>
      </c>
      <c r="E6" s="11" t="s">
        <v>62</v>
      </c>
      <c r="F6" s="73">
        <v>2.8659000000000002E-23</v>
      </c>
      <c r="G6" s="73">
        <v>9.2949999999999999E-17</v>
      </c>
      <c r="H6" s="73">
        <v>7.6957000000000002E-13</v>
      </c>
      <c r="I6" s="73">
        <v>2.9812E-10</v>
      </c>
      <c r="J6" s="73">
        <v>2.0496E-8</v>
      </c>
      <c r="K6" s="73">
        <v>5.1551000000000004E-7</v>
      </c>
      <c r="L6" s="73">
        <v>6.3798999999999997E-6</v>
      </c>
      <c r="M6" s="73">
        <v>4.3479999999999997E-5</v>
      </c>
      <c r="N6" s="73">
        <v>1.7650000000000001E-4</v>
      </c>
      <c r="O6" s="73">
        <v>3.9039000000000001E-4</v>
      </c>
      <c r="P6" s="73"/>
      <c r="Q6" s="73"/>
      <c r="R6" s="73"/>
      <c r="S6" s="73"/>
      <c r="T6" s="73"/>
      <c r="U6" s="73"/>
      <c r="V6" s="73"/>
      <c r="W6" s="73"/>
      <c r="X6" s="73"/>
      <c r="AM6" s="50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2"/>
    </row>
    <row r="7" spans="1:54" ht="21" customHeight="1" outlineLevel="1" thickBot="1" x14ac:dyDescent="0.4">
      <c r="A7" s="66">
        <f t="shared" si="1"/>
        <v>0</v>
      </c>
      <c r="B7" s="66">
        <f t="shared" si="0"/>
        <v>5</v>
      </c>
      <c r="C7" s="66">
        <f t="shared" si="0"/>
        <v>0</v>
      </c>
      <c r="D7" s="66">
        <f t="shared" si="0"/>
        <v>0</v>
      </c>
      <c r="E7" s="11" t="s">
        <v>63</v>
      </c>
      <c r="F7" s="73">
        <v>8.2633999999999998E-20</v>
      </c>
      <c r="G7" s="73">
        <v>7.1755000000000006E-14</v>
      </c>
      <c r="H7" s="73">
        <v>2.4213000000000002E-10</v>
      </c>
      <c r="I7" s="73">
        <v>4.8640999999999999E-8</v>
      </c>
      <c r="J7" s="73">
        <v>2.0304999999999999E-6</v>
      </c>
      <c r="K7" s="73">
        <v>3.4894999999999997E-5</v>
      </c>
      <c r="L7" s="73">
        <v>3.1868E-4</v>
      </c>
      <c r="M7" s="73">
        <v>1.6582000000000001E-3</v>
      </c>
      <c r="N7" s="73">
        <v>5.1117000000000003E-3</v>
      </c>
      <c r="O7" s="73">
        <v>8.0254000000000002E-3</v>
      </c>
      <c r="P7" s="73"/>
      <c r="Q7" s="73"/>
      <c r="R7" s="73"/>
      <c r="S7" s="73"/>
      <c r="T7" s="73"/>
      <c r="U7" s="73"/>
      <c r="V7" s="73"/>
      <c r="W7" s="73"/>
      <c r="X7" s="73"/>
      <c r="AM7" s="50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2"/>
    </row>
    <row r="8" spans="1:54" ht="21" customHeight="1" outlineLevel="1" thickBot="1" x14ac:dyDescent="0.4">
      <c r="A8" s="66">
        <f t="shared" si="1"/>
        <v>0</v>
      </c>
      <c r="B8" s="66">
        <f t="shared" si="0"/>
        <v>6</v>
      </c>
      <c r="C8" s="66">
        <f t="shared" si="0"/>
        <v>0</v>
      </c>
      <c r="D8" s="66">
        <f t="shared" si="0"/>
        <v>0</v>
      </c>
      <c r="E8" s="11" t="s">
        <v>64</v>
      </c>
      <c r="F8" s="73">
        <v>3.1684999999999997E-17</v>
      </c>
      <c r="G8" s="73">
        <v>2.8145000000000002E-12</v>
      </c>
      <c r="H8" s="73">
        <v>2.1025000000000001E-9</v>
      </c>
      <c r="I8" s="73">
        <v>1.4366E-7</v>
      </c>
      <c r="J8" s="73">
        <v>2.6734999999999999E-6</v>
      </c>
      <c r="K8" s="73">
        <v>2.4793000000000001E-5</v>
      </c>
      <c r="L8" s="73">
        <v>1.3870000000000001E-4</v>
      </c>
      <c r="M8" s="73">
        <v>4.7393000000000001E-4</v>
      </c>
      <c r="N8" s="73">
        <v>9.7969000000000007E-4</v>
      </c>
      <c r="O8" s="73">
        <v>9.834799999999999E-4</v>
      </c>
      <c r="P8" s="73"/>
      <c r="Q8" s="73"/>
      <c r="R8" s="73"/>
      <c r="S8" s="73"/>
      <c r="T8" s="73"/>
      <c r="U8" s="73"/>
      <c r="V8" s="73"/>
      <c r="W8" s="73"/>
      <c r="X8" s="73"/>
      <c r="AM8" s="50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2"/>
    </row>
    <row r="9" spans="1:54" ht="21" customHeight="1" outlineLevel="1" thickBot="1" x14ac:dyDescent="0.4">
      <c r="A9" s="66">
        <f t="shared" si="1"/>
        <v>0</v>
      </c>
      <c r="B9" s="66">
        <f t="shared" si="0"/>
        <v>7</v>
      </c>
      <c r="C9" s="66">
        <f t="shared" si="0"/>
        <v>0</v>
      </c>
      <c r="D9" s="66">
        <f t="shared" si="0"/>
        <v>0</v>
      </c>
      <c r="E9" s="11" t="s">
        <v>67</v>
      </c>
      <c r="F9" s="73">
        <v>2.7152E-18</v>
      </c>
      <c r="G9" s="73">
        <v>4.5969000000000003E-13</v>
      </c>
      <c r="H9" s="73">
        <v>4.7620999999999995E-10</v>
      </c>
      <c r="I9" s="73">
        <v>3.8952999999999998E-8</v>
      </c>
      <c r="J9" s="73">
        <v>8.0826000000000001E-7</v>
      </c>
      <c r="K9" s="73">
        <v>8.1248000000000005E-6</v>
      </c>
      <c r="L9" s="73">
        <v>4.8183000000000003E-5</v>
      </c>
      <c r="M9" s="73">
        <v>1.6833000000000001E-4</v>
      </c>
      <c r="N9" s="73">
        <v>3.3604000000000001E-4</v>
      </c>
      <c r="O9" s="73">
        <v>2.9283999999999999E-4</v>
      </c>
      <c r="P9" s="73"/>
      <c r="Q9" s="73"/>
      <c r="R9" s="73"/>
      <c r="S9" s="73"/>
      <c r="T9" s="73"/>
      <c r="U9" s="73"/>
      <c r="V9" s="73"/>
      <c r="W9" s="73"/>
      <c r="X9" s="73"/>
      <c r="AM9" s="50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2"/>
    </row>
    <row r="10" spans="1:54" ht="21" customHeight="1" outlineLevel="1" thickBot="1" x14ac:dyDescent="0.4">
      <c r="A10" s="66">
        <f t="shared" si="1"/>
        <v>0</v>
      </c>
      <c r="B10" s="66">
        <f t="shared" si="0"/>
        <v>8</v>
      </c>
      <c r="C10" s="66">
        <f t="shared" si="0"/>
        <v>0</v>
      </c>
      <c r="D10" s="66">
        <f t="shared" si="0"/>
        <v>0</v>
      </c>
      <c r="E10" s="11" t="s">
        <v>65</v>
      </c>
      <c r="F10" s="73">
        <v>4.8741E-20</v>
      </c>
      <c r="G10" s="73">
        <v>1.3799E-14</v>
      </c>
      <c r="H10" s="73">
        <v>1.8279000000000002E-11</v>
      </c>
      <c r="I10" s="73">
        <v>1.6938000000000001E-9</v>
      </c>
      <c r="J10" s="73">
        <v>3.7650000000000003E-8</v>
      </c>
      <c r="K10" s="73">
        <v>3.9798999999999998E-7</v>
      </c>
      <c r="L10" s="73">
        <v>2.4434000000000002E-6</v>
      </c>
      <c r="M10" s="73">
        <v>8.5620000000000004E-6</v>
      </c>
      <c r="N10" s="73">
        <v>1.6249E-5</v>
      </c>
      <c r="O10" s="73">
        <v>1.2132E-5</v>
      </c>
      <c r="P10" s="73"/>
      <c r="Q10" s="73"/>
      <c r="R10" s="73"/>
      <c r="S10" s="73"/>
      <c r="T10" s="73"/>
      <c r="U10" s="73"/>
      <c r="V10" s="73"/>
      <c r="W10" s="73"/>
      <c r="X10" s="73"/>
      <c r="AM10" s="50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2"/>
    </row>
    <row r="11" spans="1:54" ht="21" customHeight="1" outlineLevel="1" thickBot="1" x14ac:dyDescent="0.4">
      <c r="A11" s="66">
        <f t="shared" si="1"/>
        <v>0</v>
      </c>
      <c r="B11" s="66">
        <f t="shared" si="0"/>
        <v>2</v>
      </c>
      <c r="C11" s="66">
        <f t="shared" si="0"/>
        <v>0</v>
      </c>
      <c r="D11" s="66">
        <f t="shared" si="0"/>
        <v>0</v>
      </c>
      <c r="E11" s="11" t="s">
        <v>66</v>
      </c>
      <c r="F11" s="73">
        <v>3.8015999999999999E-20</v>
      </c>
      <c r="G11" s="73">
        <v>3.2498000000000001E-14</v>
      </c>
      <c r="H11" s="73">
        <v>1.4396000000000001E-10</v>
      </c>
      <c r="I11" s="73">
        <v>4.105E-8</v>
      </c>
      <c r="J11" s="73">
        <v>2.4128999999999998E-6</v>
      </c>
      <c r="K11" s="73">
        <v>5.4931E-5</v>
      </c>
      <c r="L11" s="73">
        <v>6.4190000000000004E-4</v>
      </c>
      <c r="M11" s="73">
        <v>4.4270999999999998E-3</v>
      </c>
      <c r="N11" s="73">
        <v>2.0315E-2</v>
      </c>
      <c r="O11" s="73">
        <v>6.2663999999999997E-2</v>
      </c>
      <c r="P11" s="73"/>
      <c r="Q11" s="73"/>
      <c r="R11" s="73"/>
      <c r="S11" s="73"/>
      <c r="T11" s="73"/>
      <c r="U11" s="73"/>
      <c r="V11" s="73"/>
      <c r="W11" s="73"/>
      <c r="X11" s="73"/>
      <c r="AM11" s="50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2"/>
    </row>
    <row r="12" spans="1:54" ht="21" customHeight="1" outlineLevel="1" thickBot="1" x14ac:dyDescent="0.4">
      <c r="A12" s="66">
        <f t="shared" si="1"/>
        <v>0</v>
      </c>
      <c r="B12" s="66">
        <f t="shared" si="0"/>
        <v>1</v>
      </c>
      <c r="C12" s="66">
        <f t="shared" si="0"/>
        <v>0</v>
      </c>
      <c r="D12" s="66">
        <f t="shared" si="0"/>
        <v>0</v>
      </c>
      <c r="E12" s="11" t="s">
        <v>2</v>
      </c>
      <c r="F12" s="73">
        <v>0</v>
      </c>
      <c r="G12" s="73">
        <v>1.7529999999999999E-29</v>
      </c>
      <c r="H12" s="73">
        <v>4.0372999999999998E-23</v>
      </c>
      <c r="I12" s="73">
        <v>8.9446000000000002E-19</v>
      </c>
      <c r="J12" s="73">
        <v>1.3020000000000001E-15</v>
      </c>
      <c r="K12" s="73">
        <v>3.4631999999999998E-13</v>
      </c>
      <c r="L12" s="73">
        <v>2.8454000000000001E-11</v>
      </c>
      <c r="M12" s="73">
        <v>9.8124000000000002E-10</v>
      </c>
      <c r="N12" s="73">
        <v>1.8051000000000001E-8</v>
      </c>
      <c r="O12" s="73">
        <v>2.0106E-7</v>
      </c>
      <c r="P12" s="73"/>
      <c r="Q12" s="73"/>
      <c r="R12" s="73"/>
      <c r="S12" s="73"/>
      <c r="T12" s="73"/>
      <c r="U12" s="73"/>
      <c r="V12" s="73"/>
      <c r="W12" s="73"/>
      <c r="X12" s="73"/>
      <c r="AM12" s="50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2"/>
    </row>
    <row r="13" spans="1:54" ht="21" customHeight="1" outlineLevel="1" thickBot="1" x14ac:dyDescent="0.4">
      <c r="A13" s="66">
        <f t="shared" si="1"/>
        <v>0</v>
      </c>
      <c r="B13" s="66">
        <f t="shared" si="0"/>
        <v>1</v>
      </c>
      <c r="C13" s="66">
        <f t="shared" si="0"/>
        <v>0</v>
      </c>
      <c r="D13" s="66">
        <f t="shared" si="0"/>
        <v>2</v>
      </c>
      <c r="E13" s="11" t="s">
        <v>60</v>
      </c>
      <c r="F13" s="73">
        <v>4.5016000000000001E-11</v>
      </c>
      <c r="G13" s="73">
        <v>1.4917999999999999E-7</v>
      </c>
      <c r="H13" s="73">
        <v>1.986E-5</v>
      </c>
      <c r="I13" s="73">
        <v>5.0003999999999999E-4</v>
      </c>
      <c r="J13" s="73">
        <v>4.4859000000000001E-3</v>
      </c>
      <c r="K13" s="73">
        <v>1.7125000000000001E-2</v>
      </c>
      <c r="L13" s="73">
        <v>3.2217999999999997E-2</v>
      </c>
      <c r="M13" s="73">
        <v>4.2556999999999998E-2</v>
      </c>
      <c r="N13" s="73">
        <v>4.9172E-2</v>
      </c>
      <c r="O13" s="73">
        <v>5.3546000000000003E-2</v>
      </c>
      <c r="P13" s="73"/>
      <c r="Q13" s="73"/>
      <c r="R13" s="73"/>
      <c r="S13" s="73"/>
      <c r="T13" s="73"/>
      <c r="U13" s="73"/>
      <c r="V13" s="73"/>
      <c r="W13" s="73"/>
      <c r="X13" s="73"/>
      <c r="AM13" s="50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2"/>
    </row>
    <row r="14" spans="1:54" ht="21" customHeight="1" outlineLevel="1" thickBot="1" x14ac:dyDescent="0.4">
      <c r="A14" s="66">
        <f t="shared" si="1"/>
        <v>1</v>
      </c>
      <c r="B14" s="66">
        <f t="shared" si="0"/>
        <v>0</v>
      </c>
      <c r="C14" s="66">
        <f t="shared" si="0"/>
        <v>0</v>
      </c>
      <c r="D14" s="66">
        <f t="shared" si="0"/>
        <v>0</v>
      </c>
      <c r="E14" s="11" t="s">
        <v>1</v>
      </c>
      <c r="F14" s="73">
        <v>0.2</v>
      </c>
      <c r="G14" s="73">
        <v>0.2</v>
      </c>
      <c r="H14" s="73">
        <v>0.2</v>
      </c>
      <c r="I14" s="73">
        <v>0.2</v>
      </c>
      <c r="J14" s="73">
        <v>0.2</v>
      </c>
      <c r="K14" s="73">
        <v>0.2</v>
      </c>
      <c r="L14" s="73">
        <v>0.2</v>
      </c>
      <c r="M14" s="73">
        <v>0.2</v>
      </c>
      <c r="N14" s="73">
        <v>0.2</v>
      </c>
      <c r="O14" s="73">
        <v>0.2</v>
      </c>
      <c r="P14" s="73"/>
      <c r="Q14" s="73"/>
      <c r="R14" s="73"/>
      <c r="S14" s="73"/>
      <c r="T14" s="73"/>
      <c r="U14" s="73"/>
      <c r="V14" s="73"/>
      <c r="W14" s="73"/>
      <c r="X14" s="73"/>
      <c r="AM14" s="50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2"/>
    </row>
    <row r="15" spans="1:54" ht="21" customHeight="1" outlineLevel="1" thickBot="1" x14ac:dyDescent="0.4">
      <c r="A15" s="66">
        <f t="shared" si="1"/>
        <v>0</v>
      </c>
      <c r="B15" s="66">
        <f t="shared" si="0"/>
        <v>0</v>
      </c>
      <c r="C15" s="66">
        <f t="shared" si="0"/>
        <v>0</v>
      </c>
      <c r="D15" s="66">
        <f t="shared" si="0"/>
        <v>1</v>
      </c>
      <c r="E15" s="11" t="s">
        <v>44</v>
      </c>
      <c r="F15" s="73">
        <v>0.12</v>
      </c>
      <c r="G15" s="73">
        <v>0.12</v>
      </c>
      <c r="H15" s="73">
        <v>0.11996</v>
      </c>
      <c r="I15" s="73">
        <v>0.11899999999999999</v>
      </c>
      <c r="J15" s="73">
        <v>0.11103</v>
      </c>
      <c r="K15" s="73">
        <v>8.5750000000000007E-2</v>
      </c>
      <c r="L15" s="73">
        <v>5.5564000000000002E-2</v>
      </c>
      <c r="M15" s="73">
        <v>3.4884999999999999E-2</v>
      </c>
      <c r="N15" s="73">
        <v>2.1655000000000001E-2</v>
      </c>
      <c r="O15" s="73">
        <v>1.2907999999999999E-2</v>
      </c>
      <c r="P15" s="73"/>
      <c r="Q15" s="73"/>
      <c r="R15" s="73"/>
      <c r="S15" s="73"/>
      <c r="T15" s="73"/>
      <c r="U15" s="73"/>
      <c r="V15" s="73"/>
      <c r="W15" s="73"/>
      <c r="X15" s="73"/>
      <c r="AM15" s="50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2"/>
    </row>
    <row r="16" spans="1:54" ht="21" customHeight="1" outlineLevel="1" thickBot="1" x14ac:dyDescent="0.4">
      <c r="A16" s="66">
        <f t="shared" si="1"/>
        <v>0</v>
      </c>
      <c r="B16" s="66">
        <f t="shared" si="0"/>
        <v>0</v>
      </c>
      <c r="C16" s="66">
        <f t="shared" si="0"/>
        <v>1</v>
      </c>
      <c r="D16" s="66">
        <f t="shared" si="0"/>
        <v>0</v>
      </c>
      <c r="E16" s="11" t="s">
        <v>43</v>
      </c>
      <c r="F16" s="73">
        <v>0.2</v>
      </c>
      <c r="G16" s="73">
        <v>0.2</v>
      </c>
      <c r="H16" s="73">
        <v>0.2</v>
      </c>
      <c r="I16" s="73">
        <v>0.2</v>
      </c>
      <c r="J16" s="73">
        <v>0.2</v>
      </c>
      <c r="K16" s="73">
        <v>0.2</v>
      </c>
      <c r="L16" s="73">
        <v>0.2</v>
      </c>
      <c r="M16" s="73">
        <v>0.2</v>
      </c>
      <c r="N16" s="73">
        <v>0.2</v>
      </c>
      <c r="O16" s="73">
        <v>0.2</v>
      </c>
      <c r="P16" s="73"/>
      <c r="Q16" s="73"/>
      <c r="R16" s="73"/>
      <c r="S16" s="73"/>
      <c r="T16" s="73"/>
      <c r="U16" s="73"/>
      <c r="V16" s="73"/>
      <c r="W16" s="73"/>
      <c r="X16" s="73"/>
      <c r="AM16" s="50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2"/>
    </row>
    <row r="17" spans="1:54" ht="21" customHeight="1" outlineLevel="1" thickBot="1" x14ac:dyDescent="0.4">
      <c r="A17" s="66">
        <f t="shared" si="1"/>
        <v>0</v>
      </c>
      <c r="B17" s="66">
        <f t="shared" si="0"/>
        <v>1</v>
      </c>
      <c r="C17" s="66">
        <f t="shared" si="0"/>
        <v>0</v>
      </c>
      <c r="D17" s="66">
        <f t="shared" si="0"/>
        <v>0</v>
      </c>
      <c r="E17" s="11" t="s">
        <v>49</v>
      </c>
      <c r="F17" s="73">
        <v>0.48</v>
      </c>
      <c r="G17" s="73">
        <v>0.48</v>
      </c>
      <c r="H17" s="73">
        <v>0.47998000000000002</v>
      </c>
      <c r="I17" s="73">
        <v>0.47949999999999998</v>
      </c>
      <c r="J17" s="73">
        <v>0.47548000000000001</v>
      </c>
      <c r="K17" s="73">
        <v>0.46238000000000001</v>
      </c>
      <c r="L17" s="73">
        <v>0.44366</v>
      </c>
      <c r="M17" s="73">
        <v>0.41576999999999997</v>
      </c>
      <c r="N17" s="73">
        <v>0.35410999999999998</v>
      </c>
      <c r="O17" s="73">
        <v>0.24662999999999999</v>
      </c>
      <c r="P17" s="73"/>
      <c r="Q17" s="73"/>
      <c r="R17" s="73"/>
      <c r="S17" s="73"/>
      <c r="T17" s="73"/>
      <c r="U17" s="73"/>
      <c r="V17" s="73"/>
      <c r="W17" s="73"/>
      <c r="X17" s="73"/>
      <c r="AM17" s="50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2"/>
    </row>
    <row r="18" spans="1:54" ht="21" customHeight="1" outlineLevel="1" thickBot="1" x14ac:dyDescent="0.4">
      <c r="A18" s="66">
        <f t="shared" si="1"/>
        <v>1</v>
      </c>
      <c r="B18" s="66">
        <f t="shared" si="0"/>
        <v>0</v>
      </c>
      <c r="C18" s="66">
        <f t="shared" si="0"/>
        <v>0</v>
      </c>
      <c r="D18" s="66">
        <f t="shared" si="0"/>
        <v>0</v>
      </c>
      <c r="E18" s="11" t="s">
        <v>34</v>
      </c>
      <c r="F18" s="73">
        <v>-18.62</v>
      </c>
      <c r="G18" s="73">
        <v>-18.649999999999999</v>
      </c>
      <c r="H18" s="73">
        <v>-18.77</v>
      </c>
      <c r="I18" s="73">
        <v>-18.93</v>
      </c>
      <c r="J18" s="73">
        <v>-19.12</v>
      </c>
      <c r="K18" s="73">
        <v>-19.34</v>
      </c>
      <c r="L18" s="73">
        <v>-19.579999999999998</v>
      </c>
      <c r="M18" s="73">
        <v>-19.809999999999999</v>
      </c>
      <c r="N18" s="73">
        <v>-20.059999999999999</v>
      </c>
      <c r="O18" s="73">
        <v>-20.38</v>
      </c>
      <c r="P18" s="73"/>
      <c r="Q18" s="73"/>
      <c r="R18" s="73"/>
      <c r="S18" s="73"/>
      <c r="T18" s="73"/>
      <c r="U18" s="73"/>
      <c r="V18" s="73"/>
      <c r="W18" s="73"/>
      <c r="X18" s="73"/>
      <c r="AM18" s="50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2"/>
    </row>
    <row r="19" spans="1:54" ht="21" customHeight="1" outlineLevel="1" thickBot="1" x14ac:dyDescent="0.4">
      <c r="A19" s="66">
        <f t="shared" si="1"/>
        <v>0</v>
      </c>
      <c r="B19" s="66">
        <f t="shared" si="0"/>
        <v>0</v>
      </c>
      <c r="C19" s="66">
        <f t="shared" si="0"/>
        <v>0</v>
      </c>
      <c r="D19" s="66">
        <f t="shared" si="0"/>
        <v>1</v>
      </c>
      <c r="E19" s="11" t="s">
        <v>5</v>
      </c>
      <c r="F19" s="73">
        <v>-6.5640000000000001</v>
      </c>
      <c r="G19" s="73">
        <v>-7.1589999999999998</v>
      </c>
      <c r="H19" s="73">
        <v>-7.6760000000000002</v>
      </c>
      <c r="I19" s="73">
        <v>-8.1340000000000003</v>
      </c>
      <c r="J19" s="73">
        <v>-8.5860000000000003</v>
      </c>
      <c r="K19" s="73">
        <v>-9.1489999999999991</v>
      </c>
      <c r="L19" s="73">
        <v>-9.8379999999999992</v>
      </c>
      <c r="M19" s="73">
        <v>-10.52</v>
      </c>
      <c r="N19" s="73">
        <v>-11.14</v>
      </c>
      <c r="O19" s="73">
        <v>-11.68</v>
      </c>
      <c r="P19" s="73"/>
      <c r="Q19" s="73"/>
      <c r="R19" s="73"/>
      <c r="S19" s="73"/>
      <c r="T19" s="73"/>
      <c r="U19" s="73"/>
      <c r="V19" s="73"/>
      <c r="W19" s="73"/>
      <c r="X19" s="73"/>
      <c r="AM19" s="50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2"/>
    </row>
    <row r="20" spans="1:54" ht="21" customHeight="1" outlineLevel="1" thickBot="1" x14ac:dyDescent="0.4">
      <c r="A20" s="66">
        <f t="shared" si="1"/>
        <v>0</v>
      </c>
      <c r="B20" s="66">
        <f t="shared" si="1"/>
        <v>0</v>
      </c>
      <c r="C20" s="66">
        <f t="shared" si="1"/>
        <v>1</v>
      </c>
      <c r="D20" s="66">
        <f t="shared" si="1"/>
        <v>0</v>
      </c>
      <c r="E20" s="11" t="s">
        <v>6</v>
      </c>
      <c r="F20" s="73">
        <v>7.1749999999999998</v>
      </c>
      <c r="G20" s="73">
        <v>3.5760000000000001</v>
      </c>
      <c r="H20" s="73">
        <v>1.1719999999999999</v>
      </c>
      <c r="I20" s="73">
        <v>-0.5736</v>
      </c>
      <c r="J20" s="73">
        <v>-1.9039999999999999</v>
      </c>
      <c r="K20" s="73">
        <v>-2.931</v>
      </c>
      <c r="L20" s="73">
        <v>-3.754</v>
      </c>
      <c r="M20" s="73">
        <v>-4.4349999999999996</v>
      </c>
      <c r="N20" s="73">
        <v>-4.9619999999999997</v>
      </c>
      <c r="O20" s="73">
        <v>-5.3040000000000003</v>
      </c>
      <c r="P20" s="73"/>
      <c r="Q20" s="73"/>
      <c r="R20" s="73"/>
      <c r="S20" s="73"/>
      <c r="T20" s="73"/>
      <c r="U20" s="73"/>
      <c r="V20" s="73"/>
      <c r="W20" s="73"/>
      <c r="X20" s="73"/>
      <c r="AM20" s="50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2"/>
    </row>
    <row r="21" spans="1:54" ht="21" customHeight="1" outlineLevel="1" thickBot="1" x14ac:dyDescent="0.4">
      <c r="A21" s="66">
        <f t="shared" si="1"/>
        <v>0</v>
      </c>
      <c r="B21" s="66">
        <f t="shared" si="1"/>
        <v>1</v>
      </c>
      <c r="C21" s="66">
        <f t="shared" si="1"/>
        <v>0</v>
      </c>
      <c r="D21" s="66">
        <f t="shared" si="1"/>
        <v>0</v>
      </c>
      <c r="E21" s="63" t="s">
        <v>7</v>
      </c>
      <c r="F21" s="12">
        <v>-4.7</v>
      </c>
      <c r="G21" s="12">
        <v>-5.1369999999999996</v>
      </c>
      <c r="H21" s="12">
        <v>-5.6130000000000004</v>
      </c>
      <c r="I21" s="12">
        <v>-6.069</v>
      </c>
      <c r="J21" s="12">
        <v>-6.4870000000000001</v>
      </c>
      <c r="K21" s="12">
        <v>-6.8550000000000004</v>
      </c>
      <c r="L21" s="12">
        <v>-7.1870000000000003</v>
      </c>
      <c r="M21" s="12">
        <v>-7.5110000000000001</v>
      </c>
      <c r="N21" s="12">
        <v>-7.8559999999999999</v>
      </c>
      <c r="O21" s="12">
        <v>-8.2789999999999999</v>
      </c>
      <c r="P21" s="12"/>
      <c r="Q21" s="12"/>
      <c r="R21" s="12"/>
      <c r="S21" s="12"/>
      <c r="T21" s="12"/>
      <c r="U21" s="12"/>
      <c r="V21" s="12"/>
      <c r="W21" s="12"/>
      <c r="X21" s="12"/>
      <c r="AM21" s="50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2"/>
    </row>
    <row r="22" spans="1:54" ht="21" customHeight="1" outlineLevel="1" thickBot="1" x14ac:dyDescent="0.4">
      <c r="A22" s="66">
        <f t="shared" si="1"/>
        <v>0</v>
      </c>
      <c r="B22" s="66">
        <f t="shared" si="1"/>
        <v>0</v>
      </c>
      <c r="C22" s="66">
        <f t="shared" si="1"/>
        <v>0</v>
      </c>
      <c r="D22" s="66">
        <f t="shared" si="1"/>
        <v>0</v>
      </c>
      <c r="E22" s="63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AM22" s="50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2"/>
    </row>
    <row r="23" spans="1:54" ht="21" customHeight="1" outlineLevel="1" thickBot="1" x14ac:dyDescent="0.4">
      <c r="A23" s="66">
        <f t="shared" si="1"/>
        <v>0</v>
      </c>
      <c r="B23" s="66">
        <f t="shared" si="1"/>
        <v>0</v>
      </c>
      <c r="C23" s="66">
        <f t="shared" si="1"/>
        <v>0</v>
      </c>
      <c r="D23" s="66">
        <f t="shared" si="1"/>
        <v>0</v>
      </c>
      <c r="E23" s="63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AM23" s="50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2"/>
    </row>
    <row r="24" spans="1:54" ht="21" customHeight="1" outlineLevel="1" thickBot="1" x14ac:dyDescent="0.4">
      <c r="A24" s="66">
        <f t="shared" si="1"/>
        <v>0</v>
      </c>
      <c r="B24" s="66">
        <f t="shared" si="1"/>
        <v>0</v>
      </c>
      <c r="C24" s="66">
        <f t="shared" si="1"/>
        <v>0</v>
      </c>
      <c r="D24" s="66">
        <f t="shared" si="1"/>
        <v>0</v>
      </c>
      <c r="E24" s="63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AM24" s="50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2"/>
    </row>
    <row r="25" spans="1:54" ht="21" customHeight="1" outlineLevel="1" thickBot="1" x14ac:dyDescent="0.4">
      <c r="A25" s="66">
        <f t="shared" si="1"/>
        <v>0</v>
      </c>
      <c r="B25" s="66">
        <f t="shared" si="1"/>
        <v>0</v>
      </c>
      <c r="C25" s="66">
        <f t="shared" si="1"/>
        <v>0</v>
      </c>
      <c r="D25" s="66">
        <f t="shared" si="1"/>
        <v>0</v>
      </c>
      <c r="E25" s="63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AM25" s="50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2"/>
    </row>
    <row r="26" spans="1:54" ht="21" customHeight="1" outlineLevel="1" thickBot="1" x14ac:dyDescent="0.4">
      <c r="A26" s="66">
        <f t="shared" si="1"/>
        <v>0</v>
      </c>
      <c r="B26" s="66">
        <f t="shared" si="1"/>
        <v>0</v>
      </c>
      <c r="C26" s="66">
        <f t="shared" si="1"/>
        <v>0</v>
      </c>
      <c r="D26" s="66">
        <f t="shared" si="1"/>
        <v>0</v>
      </c>
      <c r="E26" s="63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AM26" s="50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2"/>
    </row>
    <row r="27" spans="1:54" ht="21" customHeight="1" outlineLevel="1" thickBot="1" x14ac:dyDescent="0.4">
      <c r="A27" s="66">
        <f t="shared" si="1"/>
        <v>0</v>
      </c>
      <c r="B27" s="66">
        <f t="shared" si="1"/>
        <v>0</v>
      </c>
      <c r="C27" s="66">
        <f t="shared" si="1"/>
        <v>0</v>
      </c>
      <c r="D27" s="66">
        <f t="shared" si="1"/>
        <v>0</v>
      </c>
      <c r="E27" s="63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AM27" s="50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2"/>
    </row>
    <row r="28" spans="1:54" ht="21" customHeight="1" outlineLevel="1" thickBot="1" x14ac:dyDescent="0.4">
      <c r="A28" s="66">
        <f t="shared" ref="A28:D33" si="2">IF( ISNUMBER( FIND(A$3,$E28,1)),   IF( ISNUMBER( VALUE(MID($E28,FIND(A$3,$E28,1)+2,1)) ), VALUE( MID($E28,FIND(A$3,$E28,1)+2,1) ),1),0)</f>
        <v>0</v>
      </c>
      <c r="B28" s="66">
        <f t="shared" si="2"/>
        <v>0</v>
      </c>
      <c r="C28" s="66">
        <f t="shared" si="2"/>
        <v>0</v>
      </c>
      <c r="D28" s="66">
        <f t="shared" si="2"/>
        <v>0</v>
      </c>
      <c r="E28" s="63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AM28" s="50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2"/>
    </row>
    <row r="29" spans="1:54" ht="21" customHeight="1" outlineLevel="1" thickBot="1" x14ac:dyDescent="0.4">
      <c r="A29" s="66">
        <f t="shared" si="2"/>
        <v>0</v>
      </c>
      <c r="B29" s="66">
        <f t="shared" si="2"/>
        <v>0</v>
      </c>
      <c r="C29" s="66">
        <f t="shared" si="2"/>
        <v>0</v>
      </c>
      <c r="D29" s="66">
        <f t="shared" si="2"/>
        <v>0</v>
      </c>
      <c r="E29" s="63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AM29" s="50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2"/>
    </row>
    <row r="30" spans="1:54" ht="21" customHeight="1" outlineLevel="1" thickBot="1" x14ac:dyDescent="0.4">
      <c r="A30" s="66">
        <f t="shared" si="2"/>
        <v>0</v>
      </c>
      <c r="B30" s="66">
        <f t="shared" si="2"/>
        <v>0</v>
      </c>
      <c r="C30" s="66">
        <f t="shared" si="2"/>
        <v>0</v>
      </c>
      <c r="D30" s="66">
        <f t="shared" si="2"/>
        <v>0</v>
      </c>
      <c r="E30" s="63"/>
      <c r="AM30" s="50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2"/>
    </row>
    <row r="31" spans="1:54" ht="21" customHeight="1" outlineLevel="1" thickBot="1" x14ac:dyDescent="0.4">
      <c r="A31" s="66">
        <f t="shared" si="2"/>
        <v>0</v>
      </c>
      <c r="B31" s="66">
        <f t="shared" si="2"/>
        <v>0</v>
      </c>
      <c r="C31" s="66">
        <f t="shared" si="2"/>
        <v>0</v>
      </c>
      <c r="D31" s="66">
        <f t="shared" si="2"/>
        <v>0</v>
      </c>
      <c r="E31" s="63"/>
      <c r="AM31" s="50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2"/>
    </row>
    <row r="32" spans="1:54" ht="21" customHeight="1" outlineLevel="1" thickBot="1" x14ac:dyDescent="0.4">
      <c r="A32" s="66">
        <f t="shared" si="2"/>
        <v>0</v>
      </c>
      <c r="B32" s="66">
        <f t="shared" si="2"/>
        <v>0</v>
      </c>
      <c r="C32" s="66">
        <f t="shared" si="2"/>
        <v>0</v>
      </c>
      <c r="D32" s="66">
        <f t="shared" si="2"/>
        <v>0</v>
      </c>
      <c r="E32" s="63"/>
      <c r="AM32" s="50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2"/>
    </row>
    <row r="33" spans="1:54" ht="21" customHeight="1" outlineLevel="1" thickBot="1" x14ac:dyDescent="0.4">
      <c r="A33" s="66">
        <f t="shared" si="2"/>
        <v>0</v>
      </c>
      <c r="B33" s="66">
        <f t="shared" si="2"/>
        <v>0</v>
      </c>
      <c r="C33" s="66">
        <f t="shared" si="2"/>
        <v>0</v>
      </c>
      <c r="D33" s="66">
        <f t="shared" si="2"/>
        <v>0</v>
      </c>
      <c r="E33" s="63">
        <v>1</v>
      </c>
      <c r="AM33" s="50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2"/>
    </row>
    <row r="34" spans="1:54" ht="21" customHeight="1" outlineLevel="1" x14ac:dyDescent="0.35">
      <c r="A34" s="47" t="e">
        <f>$A$2</f>
        <v>#REF!</v>
      </c>
      <c r="B34" s="49">
        <v>0</v>
      </c>
      <c r="C34" s="23" t="s">
        <v>34</v>
      </c>
      <c r="D34" s="71">
        <f>MATCH(C34,$E$4:$E$33)</f>
        <v>15</v>
      </c>
      <c r="E34" s="23" t="str">
        <f ca="1">OFFSET($E$3:$AL$3,$D34,0)</f>
        <v>H (Ar)</v>
      </c>
      <c r="F34" s="26">
        <f t="shared" ref="F34:AL37" ca="1" si="3">OFFSET($E$3:$AL$3,$D34,0)</f>
        <v>-18.62</v>
      </c>
      <c r="G34" s="26">
        <f t="shared" ca="1" si="3"/>
        <v>-18.649999999999999</v>
      </c>
      <c r="H34" s="26">
        <f t="shared" ca="1" si="3"/>
        <v>-18.77</v>
      </c>
      <c r="I34" s="26">
        <f t="shared" ca="1" si="3"/>
        <v>-18.93</v>
      </c>
      <c r="J34" s="26">
        <f t="shared" ca="1" si="3"/>
        <v>-19.12</v>
      </c>
      <c r="K34" s="26">
        <f t="shared" ca="1" si="3"/>
        <v>-19.34</v>
      </c>
      <c r="L34" s="26">
        <f t="shared" ca="1" si="3"/>
        <v>-19.579999999999998</v>
      </c>
      <c r="M34" s="26">
        <f t="shared" ca="1" si="3"/>
        <v>-19.809999999999999</v>
      </c>
      <c r="N34" s="26">
        <f t="shared" ca="1" si="3"/>
        <v>-20.059999999999999</v>
      </c>
      <c r="O34" s="26">
        <f t="shared" ca="1" si="3"/>
        <v>-20.38</v>
      </c>
      <c r="P34" s="26">
        <f t="shared" ca="1" si="3"/>
        <v>0</v>
      </c>
      <c r="Q34" s="26">
        <f t="shared" ca="1" si="3"/>
        <v>0</v>
      </c>
      <c r="R34" s="26">
        <f t="shared" ca="1" si="3"/>
        <v>0</v>
      </c>
      <c r="S34" s="26">
        <f t="shared" ca="1" si="3"/>
        <v>0</v>
      </c>
      <c r="T34" s="26">
        <f t="shared" ca="1" si="3"/>
        <v>0</v>
      </c>
      <c r="U34" s="26">
        <f t="shared" ca="1" si="3"/>
        <v>0</v>
      </c>
      <c r="V34" s="26">
        <f t="shared" ca="1" si="3"/>
        <v>0</v>
      </c>
      <c r="W34" s="26">
        <f t="shared" ca="1" si="3"/>
        <v>0</v>
      </c>
      <c r="X34" s="26">
        <f t="shared" ca="1" si="3"/>
        <v>0</v>
      </c>
      <c r="Y34" s="26">
        <f t="shared" ca="1" si="3"/>
        <v>0</v>
      </c>
      <c r="Z34" s="26">
        <f t="shared" ca="1" si="3"/>
        <v>0</v>
      </c>
      <c r="AA34" s="26">
        <f t="shared" ca="1" si="3"/>
        <v>0</v>
      </c>
      <c r="AB34" s="26">
        <f t="shared" ca="1" si="3"/>
        <v>0</v>
      </c>
      <c r="AC34" s="26">
        <f t="shared" ca="1" si="3"/>
        <v>0</v>
      </c>
      <c r="AD34" s="26">
        <f t="shared" ca="1" si="3"/>
        <v>0</v>
      </c>
      <c r="AE34" s="26">
        <f t="shared" ca="1" si="3"/>
        <v>0</v>
      </c>
      <c r="AF34" s="26">
        <f t="shared" ca="1" si="3"/>
        <v>0</v>
      </c>
      <c r="AG34" s="26">
        <f t="shared" ca="1" si="3"/>
        <v>0</v>
      </c>
      <c r="AH34" s="26">
        <f t="shared" ca="1" si="3"/>
        <v>0</v>
      </c>
      <c r="AI34" s="26">
        <f t="shared" ca="1" si="3"/>
        <v>0</v>
      </c>
      <c r="AJ34" s="26">
        <f t="shared" ca="1" si="3"/>
        <v>0</v>
      </c>
      <c r="AK34" s="26">
        <f t="shared" ca="1" si="3"/>
        <v>0</v>
      </c>
      <c r="AL34" s="26">
        <f t="shared" ca="1" si="3"/>
        <v>0</v>
      </c>
      <c r="AM34" s="50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2"/>
    </row>
    <row r="35" spans="1:54" ht="21" customHeight="1" outlineLevel="1" thickBot="1" x14ac:dyDescent="0.4">
      <c r="A35" s="53" t="e">
        <f>$A$2</f>
        <v>#REF!</v>
      </c>
      <c r="B35" s="85">
        <v>1</v>
      </c>
      <c r="C35" s="23" t="s">
        <v>5</v>
      </c>
      <c r="D35" s="71">
        <f t="shared" ref="D35:D37" si="4">MATCH(C35,$E$4:$E$33)</f>
        <v>16</v>
      </c>
      <c r="E35" s="23" t="str">
        <f t="shared" ref="E35:E37" ca="1" si="5">OFFSET($E$3:$AL$3,$D35,0)</f>
        <v>H (Ga)</v>
      </c>
      <c r="F35" s="26">
        <f t="shared" ca="1" si="3"/>
        <v>-6.5640000000000001</v>
      </c>
      <c r="G35" s="26">
        <f t="shared" ca="1" si="3"/>
        <v>-7.1589999999999998</v>
      </c>
      <c r="H35" s="26">
        <f t="shared" ca="1" si="3"/>
        <v>-7.6760000000000002</v>
      </c>
      <c r="I35" s="26">
        <f t="shared" ca="1" si="3"/>
        <v>-8.1340000000000003</v>
      </c>
      <c r="J35" s="26">
        <f t="shared" ca="1" si="3"/>
        <v>-8.5860000000000003</v>
      </c>
      <c r="K35" s="26">
        <f t="shared" ca="1" si="3"/>
        <v>-9.1489999999999991</v>
      </c>
      <c r="L35" s="26">
        <f t="shared" ca="1" si="3"/>
        <v>-9.8379999999999992</v>
      </c>
      <c r="M35" s="26">
        <f t="shared" ca="1" si="3"/>
        <v>-10.52</v>
      </c>
      <c r="N35" s="26">
        <f t="shared" ca="1" si="3"/>
        <v>-11.14</v>
      </c>
      <c r="O35" s="26">
        <f t="shared" ca="1" si="3"/>
        <v>-11.68</v>
      </c>
      <c r="P35" s="26">
        <f t="shared" ca="1" si="3"/>
        <v>0</v>
      </c>
      <c r="Q35" s="26">
        <f t="shared" ca="1" si="3"/>
        <v>0</v>
      </c>
      <c r="R35" s="26">
        <f t="shared" ca="1" si="3"/>
        <v>0</v>
      </c>
      <c r="S35" s="26">
        <f t="shared" ca="1" si="3"/>
        <v>0</v>
      </c>
      <c r="T35" s="26">
        <f t="shared" ca="1" si="3"/>
        <v>0</v>
      </c>
      <c r="U35" s="26">
        <f t="shared" ca="1" si="3"/>
        <v>0</v>
      </c>
      <c r="V35" s="26">
        <f t="shared" ca="1" si="3"/>
        <v>0</v>
      </c>
      <c r="W35" s="26">
        <f t="shared" ca="1" si="3"/>
        <v>0</v>
      </c>
      <c r="X35" s="26">
        <f t="shared" ca="1" si="3"/>
        <v>0</v>
      </c>
      <c r="Y35" s="26">
        <f t="shared" ca="1" si="3"/>
        <v>0</v>
      </c>
      <c r="Z35" s="26">
        <f t="shared" ca="1" si="3"/>
        <v>0</v>
      </c>
      <c r="AA35" s="26">
        <f t="shared" ca="1" si="3"/>
        <v>0</v>
      </c>
      <c r="AB35" s="26">
        <f t="shared" ca="1" si="3"/>
        <v>0</v>
      </c>
      <c r="AC35" s="26">
        <f t="shared" ca="1" si="3"/>
        <v>0</v>
      </c>
      <c r="AD35" s="26">
        <f t="shared" ca="1" si="3"/>
        <v>0</v>
      </c>
      <c r="AE35" s="26">
        <f t="shared" ca="1" si="3"/>
        <v>0</v>
      </c>
      <c r="AF35" s="26">
        <f t="shared" ca="1" si="3"/>
        <v>0</v>
      </c>
      <c r="AG35" s="26">
        <f t="shared" ca="1" si="3"/>
        <v>0</v>
      </c>
      <c r="AH35" s="26">
        <f t="shared" ca="1" si="3"/>
        <v>0</v>
      </c>
      <c r="AI35" s="26">
        <f t="shared" ca="1" si="3"/>
        <v>0</v>
      </c>
      <c r="AJ35" s="26">
        <f t="shared" ca="1" si="3"/>
        <v>0</v>
      </c>
      <c r="AK35" s="26">
        <f t="shared" ca="1" si="3"/>
        <v>0</v>
      </c>
      <c r="AL35" s="26">
        <f t="shared" ca="1" si="3"/>
        <v>0</v>
      </c>
      <c r="AM35" s="50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2"/>
    </row>
    <row r="36" spans="1:54" ht="21" customHeight="1" outlineLevel="1" x14ac:dyDescent="0.35">
      <c r="C36" s="23" t="s">
        <v>6</v>
      </c>
      <c r="D36" s="71">
        <f t="shared" si="4"/>
        <v>17</v>
      </c>
      <c r="E36" s="23" t="str">
        <f t="shared" ca="1" si="5"/>
        <v>H (Ge)</v>
      </c>
      <c r="F36" s="26">
        <f t="shared" ca="1" si="3"/>
        <v>7.1749999999999998</v>
      </c>
      <c r="G36" s="26">
        <f t="shared" ca="1" si="3"/>
        <v>3.5760000000000001</v>
      </c>
      <c r="H36" s="26">
        <f t="shared" ca="1" si="3"/>
        <v>1.1719999999999999</v>
      </c>
      <c r="I36" s="26">
        <f t="shared" ca="1" si="3"/>
        <v>-0.5736</v>
      </c>
      <c r="J36" s="26">
        <f t="shared" ca="1" si="3"/>
        <v>-1.9039999999999999</v>
      </c>
      <c r="K36" s="26">
        <f t="shared" ca="1" si="3"/>
        <v>-2.931</v>
      </c>
      <c r="L36" s="26">
        <f t="shared" ca="1" si="3"/>
        <v>-3.754</v>
      </c>
      <c r="M36" s="26">
        <f t="shared" ca="1" si="3"/>
        <v>-4.4349999999999996</v>
      </c>
      <c r="N36" s="26">
        <f t="shared" ca="1" si="3"/>
        <v>-4.9619999999999997</v>
      </c>
      <c r="O36" s="26">
        <f t="shared" ca="1" si="3"/>
        <v>-5.3040000000000003</v>
      </c>
      <c r="P36" s="26">
        <f t="shared" ca="1" si="3"/>
        <v>0</v>
      </c>
      <c r="Q36" s="26">
        <f t="shared" ca="1" si="3"/>
        <v>0</v>
      </c>
      <c r="R36" s="26">
        <f t="shared" ca="1" si="3"/>
        <v>0</v>
      </c>
      <c r="S36" s="26">
        <f t="shared" ca="1" si="3"/>
        <v>0</v>
      </c>
      <c r="T36" s="26">
        <f t="shared" ca="1" si="3"/>
        <v>0</v>
      </c>
      <c r="U36" s="26">
        <f t="shared" ca="1" si="3"/>
        <v>0</v>
      </c>
      <c r="V36" s="26">
        <f t="shared" ca="1" si="3"/>
        <v>0</v>
      </c>
      <c r="W36" s="26">
        <f t="shared" ca="1" si="3"/>
        <v>0</v>
      </c>
      <c r="X36" s="26">
        <f t="shared" ca="1" si="3"/>
        <v>0</v>
      </c>
      <c r="Y36" s="26">
        <f t="shared" ca="1" si="3"/>
        <v>0</v>
      </c>
      <c r="Z36" s="26">
        <f t="shared" ca="1" si="3"/>
        <v>0</v>
      </c>
      <c r="AA36" s="26">
        <f t="shared" ca="1" si="3"/>
        <v>0</v>
      </c>
      <c r="AB36" s="26">
        <f t="shared" ca="1" si="3"/>
        <v>0</v>
      </c>
      <c r="AC36" s="26">
        <f t="shared" ca="1" si="3"/>
        <v>0</v>
      </c>
      <c r="AD36" s="26">
        <f t="shared" ca="1" si="3"/>
        <v>0</v>
      </c>
      <c r="AE36" s="26">
        <f t="shared" ca="1" si="3"/>
        <v>0</v>
      </c>
      <c r="AF36" s="26">
        <f t="shared" ca="1" si="3"/>
        <v>0</v>
      </c>
      <c r="AG36" s="26">
        <f t="shared" ca="1" si="3"/>
        <v>0</v>
      </c>
      <c r="AH36" s="26">
        <f t="shared" ca="1" si="3"/>
        <v>0</v>
      </c>
      <c r="AI36" s="26">
        <f t="shared" ca="1" si="3"/>
        <v>0</v>
      </c>
      <c r="AJ36" s="26">
        <f t="shared" ca="1" si="3"/>
        <v>0</v>
      </c>
      <c r="AK36" s="26">
        <f t="shared" ca="1" si="3"/>
        <v>0</v>
      </c>
      <c r="AL36" s="26">
        <f t="shared" ca="1" si="3"/>
        <v>0</v>
      </c>
      <c r="AM36" s="50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2"/>
    </row>
    <row r="37" spans="1:54" ht="21" customHeight="1" outlineLevel="1" thickBot="1" x14ac:dyDescent="0.4">
      <c r="C37" s="23" t="s">
        <v>7</v>
      </c>
      <c r="D37" s="71">
        <f t="shared" si="4"/>
        <v>18</v>
      </c>
      <c r="E37" s="23" t="str">
        <f t="shared" ca="1" si="5"/>
        <v>H (Se)</v>
      </c>
      <c r="F37" s="26">
        <f t="shared" ca="1" si="3"/>
        <v>-4.7</v>
      </c>
      <c r="G37" s="26">
        <f t="shared" ca="1" si="3"/>
        <v>-5.1369999999999996</v>
      </c>
      <c r="H37" s="26">
        <f t="shared" ca="1" si="3"/>
        <v>-5.6130000000000004</v>
      </c>
      <c r="I37" s="26">
        <f t="shared" ca="1" si="3"/>
        <v>-6.069</v>
      </c>
      <c r="J37" s="26">
        <f t="shared" ca="1" si="3"/>
        <v>-6.4870000000000001</v>
      </c>
      <c r="K37" s="26">
        <f t="shared" ca="1" si="3"/>
        <v>-6.8550000000000004</v>
      </c>
      <c r="L37" s="26">
        <f t="shared" ca="1" si="3"/>
        <v>-7.1870000000000003</v>
      </c>
      <c r="M37" s="26">
        <f t="shared" ca="1" si="3"/>
        <v>-7.5110000000000001</v>
      </c>
      <c r="N37" s="26">
        <f t="shared" ca="1" si="3"/>
        <v>-7.8559999999999999</v>
      </c>
      <c r="O37" s="26">
        <f t="shared" ca="1" si="3"/>
        <v>-8.2789999999999999</v>
      </c>
      <c r="P37" s="26">
        <f t="shared" ca="1" si="3"/>
        <v>0</v>
      </c>
      <c r="Q37" s="26">
        <f t="shared" ca="1" si="3"/>
        <v>0</v>
      </c>
      <c r="R37" s="26">
        <f t="shared" ca="1" si="3"/>
        <v>0</v>
      </c>
      <c r="S37" s="26">
        <f t="shared" ca="1" si="3"/>
        <v>0</v>
      </c>
      <c r="T37" s="26">
        <f t="shared" ca="1" si="3"/>
        <v>0</v>
      </c>
      <c r="U37" s="26">
        <f t="shared" ca="1" si="3"/>
        <v>0</v>
      </c>
      <c r="V37" s="26">
        <f t="shared" ca="1" si="3"/>
        <v>0</v>
      </c>
      <c r="W37" s="26">
        <f t="shared" ca="1" si="3"/>
        <v>0</v>
      </c>
      <c r="X37" s="26">
        <f t="shared" ca="1" si="3"/>
        <v>0</v>
      </c>
      <c r="Y37" s="26">
        <f t="shared" ca="1" si="3"/>
        <v>0</v>
      </c>
      <c r="Z37" s="26">
        <f t="shared" ca="1" si="3"/>
        <v>0</v>
      </c>
      <c r="AA37" s="26">
        <f t="shared" ca="1" si="3"/>
        <v>0</v>
      </c>
      <c r="AB37" s="26">
        <f t="shared" ca="1" si="3"/>
        <v>0</v>
      </c>
      <c r="AC37" s="26">
        <f t="shared" ca="1" si="3"/>
        <v>0</v>
      </c>
      <c r="AD37" s="26">
        <f t="shared" ca="1" si="3"/>
        <v>0</v>
      </c>
      <c r="AE37" s="26">
        <f t="shared" ca="1" si="3"/>
        <v>0</v>
      </c>
      <c r="AF37" s="26">
        <f t="shared" ca="1" si="3"/>
        <v>0</v>
      </c>
      <c r="AG37" s="26">
        <f t="shared" ca="1" si="3"/>
        <v>0</v>
      </c>
      <c r="AH37" s="26">
        <f t="shared" ca="1" si="3"/>
        <v>0</v>
      </c>
      <c r="AI37" s="26">
        <f t="shared" ca="1" si="3"/>
        <v>0</v>
      </c>
      <c r="AJ37" s="26">
        <f t="shared" ca="1" si="3"/>
        <v>0</v>
      </c>
      <c r="AK37" s="26">
        <f t="shared" ca="1" si="3"/>
        <v>0</v>
      </c>
      <c r="AL37" s="26">
        <f t="shared" ca="1" si="3"/>
        <v>0</v>
      </c>
      <c r="AM37" s="53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5"/>
    </row>
    <row r="38" spans="1:54" ht="21" customHeight="1" thickBot="1" x14ac:dyDescent="0.4"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27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17"/>
      <c r="AN39" s="17"/>
      <c r="AO39" s="17"/>
      <c r="AP39" s="17"/>
      <c r="AQ39" s="17"/>
      <c r="AR39" s="17"/>
    </row>
    <row r="40" spans="1:54" ht="21" hidden="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6">G3</f>
        <v>353.9</v>
      </c>
      <c r="H40" s="19">
        <f t="shared" si="6"/>
        <v>434.7</v>
      </c>
      <c r="I40" s="19">
        <f t="shared" si="6"/>
        <v>515.4</v>
      </c>
      <c r="J40" s="19">
        <f t="shared" si="6"/>
        <v>596.20000000000005</v>
      </c>
      <c r="K40" s="19">
        <f t="shared" si="6"/>
        <v>677</v>
      </c>
      <c r="L40" s="19">
        <f t="shared" si="6"/>
        <v>757.7</v>
      </c>
      <c r="M40" s="19">
        <f t="shared" si="6"/>
        <v>838.5</v>
      </c>
      <c r="N40" s="19">
        <f t="shared" si="6"/>
        <v>919.2</v>
      </c>
      <c r="O40" s="19">
        <f t="shared" si="6"/>
        <v>1000</v>
      </c>
      <c r="P40" s="19">
        <f t="shared" si="6"/>
        <v>0</v>
      </c>
      <c r="Q40" s="19">
        <f t="shared" si="6"/>
        <v>0</v>
      </c>
      <c r="R40" s="19">
        <f t="shared" si="6"/>
        <v>0</v>
      </c>
      <c r="S40" s="19">
        <f t="shared" si="6"/>
        <v>0</v>
      </c>
      <c r="T40" s="19">
        <f t="shared" si="6"/>
        <v>0</v>
      </c>
      <c r="U40" s="19">
        <f t="shared" si="6"/>
        <v>0</v>
      </c>
      <c r="V40" s="19">
        <f t="shared" si="6"/>
        <v>0</v>
      </c>
      <c r="W40" s="19">
        <f t="shared" si="6"/>
        <v>0</v>
      </c>
      <c r="X40" s="19">
        <f t="shared" si="6"/>
        <v>0</v>
      </c>
      <c r="Y40" s="19">
        <f t="shared" si="6"/>
        <v>0</v>
      </c>
      <c r="Z40" s="19">
        <f t="shared" si="6"/>
        <v>0</v>
      </c>
      <c r="AA40" s="19">
        <f t="shared" si="6"/>
        <v>0</v>
      </c>
      <c r="AB40" s="19">
        <f t="shared" si="6"/>
        <v>0</v>
      </c>
      <c r="AC40" s="19">
        <f t="shared" si="6"/>
        <v>0</v>
      </c>
      <c r="AD40" s="19">
        <f t="shared" si="6"/>
        <v>0</v>
      </c>
      <c r="AE40" s="19">
        <f t="shared" si="6"/>
        <v>0</v>
      </c>
      <c r="AF40" s="19">
        <f t="shared" si="6"/>
        <v>0</v>
      </c>
      <c r="AG40" s="19">
        <f t="shared" si="6"/>
        <v>0</v>
      </c>
      <c r="AH40" s="19">
        <f t="shared" si="6"/>
        <v>0</v>
      </c>
      <c r="AI40" s="19">
        <f t="shared" si="6"/>
        <v>0</v>
      </c>
      <c r="AJ40" s="19">
        <f t="shared" si="6"/>
        <v>0</v>
      </c>
      <c r="AK40" s="19">
        <f t="shared" si="6"/>
        <v>0</v>
      </c>
      <c r="AL40" s="19">
        <f t="shared" si="6"/>
        <v>0</v>
      </c>
    </row>
    <row r="41" spans="1:54" ht="21" hidden="1" customHeight="1" outlineLevel="1" thickTop="1" x14ac:dyDescent="0.35">
      <c r="A41" s="20">
        <f>A45/$B45</f>
        <v>1</v>
      </c>
      <c r="B41" s="20">
        <f>B45/$B45</f>
        <v>1</v>
      </c>
      <c r="C41" s="20">
        <f>C45/$B45</f>
        <v>0.6</v>
      </c>
      <c r="D41" s="20">
        <f>D45/$B45</f>
        <v>2.4</v>
      </c>
      <c r="E41" s="20">
        <f>SUM(A41:D41)</f>
        <v>5</v>
      </c>
      <c r="F41" s="21">
        <f t="shared" ref="F41:AL41" ca="1" si="7">($B$41*H.Ge+$C$41*H.Ga+$D$41*H.Se)*F$40*$B$2/1000</f>
        <v>-18.264067543829999</v>
      </c>
      <c r="G41" s="21">
        <f t="shared" ca="1" si="7"/>
        <v>-38.394348724709999</v>
      </c>
      <c r="H41" s="21">
        <f t="shared" ca="1" si="7"/>
        <v>-61.099240938120012</v>
      </c>
      <c r="I41" s="21">
        <f t="shared" ca="1" si="7"/>
        <v>-85.789857748680006</v>
      </c>
      <c r="J41" s="21">
        <f t="shared" ca="1" si="7"/>
        <v>-112.15152409956002</v>
      </c>
      <c r="K41" s="21">
        <f t="shared" ca="1" si="7"/>
        <v>-140.00466275459999</v>
      </c>
      <c r="L41" s="21">
        <f t="shared" ca="1" si="7"/>
        <v>-169.50249930624</v>
      </c>
      <c r="M41" s="21">
        <f t="shared" ca="1" si="7"/>
        <v>-200.59975016055</v>
      </c>
      <c r="N41" s="21">
        <f t="shared" ca="1" si="7"/>
        <v>-233.10505327536004</v>
      </c>
      <c r="O41" s="21">
        <f t="shared" ca="1" si="7"/>
        <v>-267.57391320000005</v>
      </c>
      <c r="P41" s="21">
        <f t="shared" ca="1" si="7"/>
        <v>0</v>
      </c>
      <c r="Q41" s="21">
        <f t="shared" ca="1" si="7"/>
        <v>0</v>
      </c>
      <c r="R41" s="21">
        <f t="shared" ca="1" si="7"/>
        <v>0</v>
      </c>
      <c r="S41" s="21">
        <f t="shared" ca="1" si="7"/>
        <v>0</v>
      </c>
      <c r="T41" s="21">
        <f t="shared" ca="1" si="7"/>
        <v>0</v>
      </c>
      <c r="U41" s="21">
        <f t="shared" ca="1" si="7"/>
        <v>0</v>
      </c>
      <c r="V41" s="21">
        <f t="shared" ca="1" si="7"/>
        <v>0</v>
      </c>
      <c r="W41" s="21">
        <f t="shared" ca="1" si="7"/>
        <v>0</v>
      </c>
      <c r="X41" s="21">
        <f t="shared" ca="1" si="7"/>
        <v>0</v>
      </c>
      <c r="Y41" s="21">
        <f t="shared" ca="1" si="7"/>
        <v>0</v>
      </c>
      <c r="Z41" s="21">
        <f t="shared" ca="1" si="7"/>
        <v>0</v>
      </c>
      <c r="AA41" s="21">
        <f t="shared" ca="1" si="7"/>
        <v>0</v>
      </c>
      <c r="AB41" s="21">
        <f t="shared" ca="1" si="7"/>
        <v>0</v>
      </c>
      <c r="AC41" s="21">
        <f t="shared" ca="1" si="7"/>
        <v>0</v>
      </c>
      <c r="AD41" s="21">
        <f t="shared" ca="1" si="7"/>
        <v>0</v>
      </c>
      <c r="AE41" s="21">
        <f t="shared" ca="1" si="7"/>
        <v>0</v>
      </c>
      <c r="AF41" s="21">
        <f t="shared" ca="1" si="7"/>
        <v>0</v>
      </c>
      <c r="AG41" s="21">
        <f t="shared" ca="1" si="7"/>
        <v>0</v>
      </c>
      <c r="AH41" s="21">
        <f t="shared" ca="1" si="7"/>
        <v>0</v>
      </c>
      <c r="AI41" s="21">
        <f t="shared" ca="1" si="7"/>
        <v>0</v>
      </c>
      <c r="AJ41" s="21">
        <f t="shared" ca="1" si="7"/>
        <v>0</v>
      </c>
      <c r="AK41" s="21">
        <f t="shared" ca="1" si="7"/>
        <v>0</v>
      </c>
      <c r="AL41" s="21">
        <f t="shared" ca="1" si="7"/>
        <v>0</v>
      </c>
    </row>
    <row r="42" spans="1:54" ht="21" hidden="1" customHeight="1" outlineLevel="1" x14ac:dyDescent="0.35"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81"/>
      <c r="AL42" s="81"/>
    </row>
    <row r="43" spans="1:54" ht="21" hidden="1" customHeight="1" outlineLevel="1" thickBot="1" x14ac:dyDescent="0.4">
      <c r="A43" s="15" t="s">
        <v>10</v>
      </c>
      <c r="B43" s="15"/>
      <c r="C43" s="15"/>
      <c r="D43" s="69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</row>
    <row r="44" spans="1:54" ht="21" hidden="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81"/>
      <c r="AL44" s="81"/>
    </row>
    <row r="45" spans="1:54" ht="21" hidden="1" customHeight="1" outlineLevel="1" thickTop="1" x14ac:dyDescent="0.35">
      <c r="A45" s="23">
        <f t="array" ref="A45:D45">Values!D3:G3</f>
        <v>25</v>
      </c>
      <c r="B45" s="23">
        <v>25</v>
      </c>
      <c r="C45" s="23">
        <v>15</v>
      </c>
      <c r="D45" s="23">
        <v>60</v>
      </c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81"/>
    </row>
    <row r="46" spans="1:54" ht="21" hidden="1" customHeight="1" outlineLevel="1" x14ac:dyDescent="0.35"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  <c r="AJ46" s="81"/>
      <c r="AK46" s="81"/>
      <c r="AL46" s="81"/>
    </row>
    <row r="47" spans="1:54" ht="21" customHeight="1" collapsed="1" thickTop="1" x14ac:dyDescent="0.35"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J47" s="81"/>
      <c r="AK47" s="81"/>
      <c r="AL47" s="81"/>
    </row>
    <row r="48" spans="1:54" ht="21" customHeight="1" x14ac:dyDescent="0.4">
      <c r="A48" s="3"/>
      <c r="B48" s="3"/>
      <c r="C48" s="3"/>
      <c r="D48" s="3"/>
      <c r="E48" s="4" t="s">
        <v>28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</row>
    <row r="49" spans="1:38" ht="21" hidden="1" customHeight="1" outlineLevel="1" thickTop="1" thickBot="1" x14ac:dyDescent="0.4">
      <c r="A49" s="24" t="s">
        <v>1</v>
      </c>
      <c r="B49" s="24" t="s">
        <v>2</v>
      </c>
      <c r="C49" s="24" t="s">
        <v>3</v>
      </c>
      <c r="D49" s="25" t="s">
        <v>4</v>
      </c>
      <c r="E49" s="8">
        <f t="shared" ref="E49:F49" si="8">E3</f>
        <v>0</v>
      </c>
      <c r="F49" s="8">
        <f t="shared" si="8"/>
        <v>273.10000000000002</v>
      </c>
      <c r="G49" s="8">
        <f t="shared" ref="G49:AL49" si="9">G3</f>
        <v>353.9</v>
      </c>
      <c r="H49" s="8">
        <f t="shared" si="9"/>
        <v>434.7</v>
      </c>
      <c r="I49" s="8">
        <f t="shared" si="9"/>
        <v>515.4</v>
      </c>
      <c r="J49" s="8">
        <f t="shared" si="9"/>
        <v>596.20000000000005</v>
      </c>
      <c r="K49" s="8">
        <f t="shared" si="9"/>
        <v>677</v>
      </c>
      <c r="L49" s="8">
        <f t="shared" si="9"/>
        <v>757.7</v>
      </c>
      <c r="M49" s="8">
        <f t="shared" si="9"/>
        <v>838.5</v>
      </c>
      <c r="N49" s="8">
        <f t="shared" si="9"/>
        <v>919.2</v>
      </c>
      <c r="O49" s="8">
        <f t="shared" si="9"/>
        <v>1000</v>
      </c>
      <c r="P49" s="8">
        <f t="shared" si="9"/>
        <v>0</v>
      </c>
      <c r="Q49" s="8">
        <f t="shared" si="9"/>
        <v>0</v>
      </c>
      <c r="R49" s="8">
        <f t="shared" si="9"/>
        <v>0</v>
      </c>
      <c r="S49" s="8">
        <f t="shared" si="9"/>
        <v>0</v>
      </c>
      <c r="T49" s="8">
        <f t="shared" si="9"/>
        <v>0</v>
      </c>
      <c r="U49" s="8">
        <f t="shared" si="9"/>
        <v>0</v>
      </c>
      <c r="V49" s="8">
        <f t="shared" si="9"/>
        <v>0</v>
      </c>
      <c r="W49" s="8">
        <f t="shared" si="9"/>
        <v>0</v>
      </c>
      <c r="X49" s="8">
        <f t="shared" si="9"/>
        <v>0</v>
      </c>
      <c r="Y49" s="8">
        <f t="shared" si="9"/>
        <v>0</v>
      </c>
      <c r="Z49" s="8">
        <f t="shared" si="9"/>
        <v>0</v>
      </c>
      <c r="AA49" s="8">
        <f t="shared" si="9"/>
        <v>0</v>
      </c>
      <c r="AB49" s="8">
        <f t="shared" si="9"/>
        <v>0</v>
      </c>
      <c r="AC49" s="8">
        <f t="shared" si="9"/>
        <v>0</v>
      </c>
      <c r="AD49" s="8">
        <f t="shared" si="9"/>
        <v>0</v>
      </c>
      <c r="AE49" s="8">
        <f t="shared" si="9"/>
        <v>0</v>
      </c>
      <c r="AF49" s="8">
        <f t="shared" si="9"/>
        <v>0</v>
      </c>
      <c r="AG49" s="8">
        <f t="shared" si="9"/>
        <v>0</v>
      </c>
      <c r="AH49" s="8">
        <f t="shared" si="9"/>
        <v>0</v>
      </c>
      <c r="AI49" s="8">
        <f t="shared" si="9"/>
        <v>0</v>
      </c>
      <c r="AJ49" s="8">
        <f t="shared" si="9"/>
        <v>0</v>
      </c>
      <c r="AK49" s="8">
        <f t="shared" si="9"/>
        <v>0</v>
      </c>
      <c r="AL49" s="8">
        <f t="shared" si="9"/>
        <v>0</v>
      </c>
    </row>
    <row r="50" spans="1:38" ht="21" hidden="1" customHeight="1" outlineLevel="1" thickTop="1" thickBot="1" x14ac:dyDescent="0.4">
      <c r="A50" s="10">
        <f t="shared" ref="A50:E65" si="10">A4</f>
        <v>0</v>
      </c>
      <c r="B50" s="10">
        <f t="shared" si="10"/>
        <v>1</v>
      </c>
      <c r="C50" s="10">
        <f t="shared" si="10"/>
        <v>0</v>
      </c>
      <c r="D50" s="10">
        <f t="shared" si="10"/>
        <v>0</v>
      </c>
      <c r="E50" s="11" t="str">
        <f t="shared" si="10"/>
        <v>*Se[l]</v>
      </c>
      <c r="F50" s="26">
        <f t="shared" ref="F50:U59" ca="1" si="11">$A50*H.Ar + $B50*H.Se + $C50*H.Ge + $D50*H.Ga</f>
        <v>-4.7</v>
      </c>
      <c r="G50" s="26">
        <f t="shared" ca="1" si="11"/>
        <v>-5.1369999999999996</v>
      </c>
      <c r="H50" s="26">
        <f t="shared" ca="1" si="11"/>
        <v>-5.6130000000000004</v>
      </c>
      <c r="I50" s="26">
        <f t="shared" ca="1" si="11"/>
        <v>-6.069</v>
      </c>
      <c r="J50" s="26">
        <f t="shared" ca="1" si="11"/>
        <v>-6.4870000000000001</v>
      </c>
      <c r="K50" s="26">
        <f t="shared" ca="1" si="11"/>
        <v>-6.8550000000000004</v>
      </c>
      <c r="L50" s="26">
        <f t="shared" ca="1" si="11"/>
        <v>-7.1870000000000003</v>
      </c>
      <c r="M50" s="26">
        <f t="shared" ca="1" si="11"/>
        <v>-7.5110000000000001</v>
      </c>
      <c r="N50" s="26">
        <f t="shared" ca="1" si="11"/>
        <v>-7.8559999999999999</v>
      </c>
      <c r="O50" s="26">
        <f t="shared" ca="1" si="11"/>
        <v>-8.2789999999999999</v>
      </c>
      <c r="P50" s="26">
        <f t="shared" ca="1" si="11"/>
        <v>0</v>
      </c>
      <c r="Q50" s="26">
        <f t="shared" ca="1" si="11"/>
        <v>0</v>
      </c>
      <c r="R50" s="26">
        <f t="shared" ca="1" si="11"/>
        <v>0</v>
      </c>
      <c r="S50" s="26">
        <f t="shared" ca="1" si="11"/>
        <v>0</v>
      </c>
      <c r="T50" s="26">
        <f t="shared" ca="1" si="11"/>
        <v>0</v>
      </c>
      <c r="U50" s="26">
        <f t="shared" ca="1" si="11"/>
        <v>0</v>
      </c>
      <c r="V50" s="26">
        <f t="shared" ref="G50:AL58" ca="1" si="12">$A50*H.Ar + $B50*H.Se + $C50*H.Ge + $D50*H.Ga</f>
        <v>0</v>
      </c>
      <c r="W50" s="26">
        <f t="shared" ca="1" si="12"/>
        <v>0</v>
      </c>
      <c r="X50" s="26">
        <f t="shared" ca="1" si="12"/>
        <v>0</v>
      </c>
      <c r="Y50" s="26">
        <f t="shared" ca="1" si="12"/>
        <v>0</v>
      </c>
      <c r="Z50" s="26">
        <f t="shared" ca="1" si="12"/>
        <v>0</v>
      </c>
      <c r="AA50" s="26">
        <f t="shared" ca="1" si="12"/>
        <v>0</v>
      </c>
      <c r="AB50" s="26">
        <f t="shared" ca="1" si="12"/>
        <v>0</v>
      </c>
      <c r="AC50" s="26">
        <f t="shared" ca="1" si="12"/>
        <v>0</v>
      </c>
      <c r="AD50" s="26">
        <f t="shared" ca="1" si="12"/>
        <v>0</v>
      </c>
      <c r="AE50" s="26">
        <f t="shared" ca="1" si="12"/>
        <v>0</v>
      </c>
      <c r="AF50" s="26">
        <f t="shared" ca="1" si="12"/>
        <v>0</v>
      </c>
      <c r="AG50" s="26">
        <f t="shared" ca="1" si="12"/>
        <v>0</v>
      </c>
      <c r="AH50" s="26">
        <f t="shared" ca="1" si="12"/>
        <v>0</v>
      </c>
      <c r="AI50" s="26">
        <f t="shared" ca="1" si="12"/>
        <v>0</v>
      </c>
      <c r="AJ50" s="26">
        <f t="shared" ca="1" si="12"/>
        <v>0</v>
      </c>
      <c r="AK50" s="26">
        <f t="shared" ca="1" si="12"/>
        <v>0</v>
      </c>
      <c r="AL50" s="26">
        <f t="shared" ca="1" si="12"/>
        <v>0</v>
      </c>
    </row>
    <row r="51" spans="1:38" ht="21" hidden="1" customHeight="1" outlineLevel="1" thickBot="1" x14ac:dyDescent="0.4">
      <c r="A51" s="10">
        <f t="shared" si="10"/>
        <v>0</v>
      </c>
      <c r="B51" s="10">
        <f t="shared" si="10"/>
        <v>3</v>
      </c>
      <c r="C51" s="10">
        <f t="shared" si="10"/>
        <v>0</v>
      </c>
      <c r="D51" s="10">
        <f t="shared" si="10"/>
        <v>0</v>
      </c>
      <c r="E51" s="11" t="str">
        <f t="shared" si="10"/>
        <v>Se3</v>
      </c>
      <c r="F51" s="26">
        <f t="shared" ca="1" si="11"/>
        <v>-14.100000000000001</v>
      </c>
      <c r="G51" s="26">
        <f t="shared" ca="1" si="12"/>
        <v>-15.410999999999998</v>
      </c>
      <c r="H51" s="26">
        <f t="shared" ca="1" si="12"/>
        <v>-16.839000000000002</v>
      </c>
      <c r="I51" s="26">
        <f t="shared" ca="1" si="12"/>
        <v>-18.207000000000001</v>
      </c>
      <c r="J51" s="26">
        <f t="shared" ca="1" si="12"/>
        <v>-19.460999999999999</v>
      </c>
      <c r="K51" s="26">
        <f t="shared" ca="1" si="12"/>
        <v>-20.565000000000001</v>
      </c>
      <c r="L51" s="26">
        <f t="shared" ca="1" si="12"/>
        <v>-21.561</v>
      </c>
      <c r="M51" s="26">
        <f t="shared" ca="1" si="12"/>
        <v>-22.533000000000001</v>
      </c>
      <c r="N51" s="26">
        <f t="shared" ca="1" si="12"/>
        <v>-23.567999999999998</v>
      </c>
      <c r="O51" s="26">
        <f t="shared" ca="1" si="12"/>
        <v>-24.837</v>
      </c>
      <c r="P51" s="26">
        <f t="shared" ca="1" si="12"/>
        <v>0</v>
      </c>
      <c r="Q51" s="26">
        <f t="shared" ca="1" si="12"/>
        <v>0</v>
      </c>
      <c r="R51" s="26">
        <f t="shared" ca="1" si="12"/>
        <v>0</v>
      </c>
      <c r="S51" s="26">
        <f t="shared" ca="1" si="12"/>
        <v>0</v>
      </c>
      <c r="T51" s="26">
        <f t="shared" ca="1" si="12"/>
        <v>0</v>
      </c>
      <c r="U51" s="26">
        <f t="shared" ca="1" si="12"/>
        <v>0</v>
      </c>
      <c r="V51" s="26">
        <f t="shared" ca="1" si="12"/>
        <v>0</v>
      </c>
      <c r="W51" s="26">
        <f t="shared" ca="1" si="12"/>
        <v>0</v>
      </c>
      <c r="X51" s="26">
        <f t="shared" ca="1" si="12"/>
        <v>0</v>
      </c>
      <c r="Y51" s="26">
        <f t="shared" ca="1" si="12"/>
        <v>0</v>
      </c>
      <c r="Z51" s="26">
        <f t="shared" ca="1" si="12"/>
        <v>0</v>
      </c>
      <c r="AA51" s="26">
        <f t="shared" ca="1" si="12"/>
        <v>0</v>
      </c>
      <c r="AB51" s="26">
        <f t="shared" ca="1" si="12"/>
        <v>0</v>
      </c>
      <c r="AC51" s="26">
        <f t="shared" ca="1" si="12"/>
        <v>0</v>
      </c>
      <c r="AD51" s="26">
        <f t="shared" ca="1" si="12"/>
        <v>0</v>
      </c>
      <c r="AE51" s="26">
        <f t="shared" ca="1" si="12"/>
        <v>0</v>
      </c>
      <c r="AF51" s="26">
        <f t="shared" ca="1" si="12"/>
        <v>0</v>
      </c>
      <c r="AG51" s="26">
        <f t="shared" ca="1" si="12"/>
        <v>0</v>
      </c>
      <c r="AH51" s="26">
        <f t="shared" ca="1" si="12"/>
        <v>0</v>
      </c>
      <c r="AI51" s="26">
        <f t="shared" ca="1" si="12"/>
        <v>0</v>
      </c>
      <c r="AJ51" s="26">
        <f t="shared" ca="1" si="12"/>
        <v>0</v>
      </c>
      <c r="AK51" s="26">
        <f t="shared" ca="1" si="12"/>
        <v>0</v>
      </c>
      <c r="AL51" s="26">
        <f t="shared" ca="1" si="12"/>
        <v>0</v>
      </c>
    </row>
    <row r="52" spans="1:38" ht="21" hidden="1" customHeight="1" outlineLevel="1" thickBot="1" x14ac:dyDescent="0.4">
      <c r="A52" s="10">
        <f t="shared" si="10"/>
        <v>0</v>
      </c>
      <c r="B52" s="10">
        <f t="shared" si="10"/>
        <v>4</v>
      </c>
      <c r="C52" s="10">
        <f t="shared" si="10"/>
        <v>0</v>
      </c>
      <c r="D52" s="10">
        <f t="shared" si="10"/>
        <v>0</v>
      </c>
      <c r="E52" s="11" t="str">
        <f t="shared" si="10"/>
        <v>Se4</v>
      </c>
      <c r="F52" s="26">
        <f t="shared" ca="1" si="11"/>
        <v>-18.8</v>
      </c>
      <c r="G52" s="26">
        <f t="shared" ca="1" si="12"/>
        <v>-20.547999999999998</v>
      </c>
      <c r="H52" s="26">
        <f t="shared" ca="1" si="12"/>
        <v>-22.452000000000002</v>
      </c>
      <c r="I52" s="26">
        <f t="shared" ca="1" si="12"/>
        <v>-24.276</v>
      </c>
      <c r="J52" s="26">
        <f t="shared" ca="1" si="12"/>
        <v>-25.948</v>
      </c>
      <c r="K52" s="26">
        <f t="shared" ca="1" si="12"/>
        <v>-27.42</v>
      </c>
      <c r="L52" s="26">
        <f t="shared" ca="1" si="12"/>
        <v>-28.748000000000001</v>
      </c>
      <c r="M52" s="26">
        <f t="shared" ca="1" si="12"/>
        <v>-30.044</v>
      </c>
      <c r="N52" s="26">
        <f t="shared" ca="1" si="12"/>
        <v>-31.423999999999999</v>
      </c>
      <c r="O52" s="26">
        <f t="shared" ca="1" si="12"/>
        <v>-33.116</v>
      </c>
      <c r="P52" s="26">
        <f t="shared" ca="1" si="12"/>
        <v>0</v>
      </c>
      <c r="Q52" s="26">
        <f t="shared" ca="1" si="12"/>
        <v>0</v>
      </c>
      <c r="R52" s="26">
        <f t="shared" ca="1" si="12"/>
        <v>0</v>
      </c>
      <c r="S52" s="26">
        <f t="shared" ca="1" si="12"/>
        <v>0</v>
      </c>
      <c r="T52" s="26">
        <f t="shared" ca="1" si="12"/>
        <v>0</v>
      </c>
      <c r="U52" s="26">
        <f t="shared" ca="1" si="12"/>
        <v>0</v>
      </c>
      <c r="V52" s="26">
        <f t="shared" ca="1" si="12"/>
        <v>0</v>
      </c>
      <c r="W52" s="26">
        <f t="shared" ca="1" si="12"/>
        <v>0</v>
      </c>
      <c r="X52" s="26">
        <f t="shared" ca="1" si="12"/>
        <v>0</v>
      </c>
      <c r="Y52" s="26">
        <f t="shared" ca="1" si="12"/>
        <v>0</v>
      </c>
      <c r="Z52" s="26">
        <f t="shared" ca="1" si="12"/>
        <v>0</v>
      </c>
      <c r="AA52" s="26">
        <f t="shared" ca="1" si="12"/>
        <v>0</v>
      </c>
      <c r="AB52" s="26">
        <f t="shared" ca="1" si="12"/>
        <v>0</v>
      </c>
      <c r="AC52" s="26">
        <f t="shared" ca="1" si="12"/>
        <v>0</v>
      </c>
      <c r="AD52" s="26">
        <f t="shared" ca="1" si="12"/>
        <v>0</v>
      </c>
      <c r="AE52" s="26">
        <f t="shared" ca="1" si="12"/>
        <v>0</v>
      </c>
      <c r="AF52" s="26">
        <f t="shared" ca="1" si="12"/>
        <v>0</v>
      </c>
      <c r="AG52" s="26">
        <f t="shared" ca="1" si="12"/>
        <v>0</v>
      </c>
      <c r="AH52" s="26">
        <f t="shared" ca="1" si="12"/>
        <v>0</v>
      </c>
      <c r="AI52" s="26">
        <f t="shared" ca="1" si="12"/>
        <v>0</v>
      </c>
      <c r="AJ52" s="26">
        <f t="shared" ca="1" si="12"/>
        <v>0</v>
      </c>
      <c r="AK52" s="26">
        <f t="shared" ca="1" si="12"/>
        <v>0</v>
      </c>
      <c r="AL52" s="26">
        <f t="shared" ca="1" si="12"/>
        <v>0</v>
      </c>
    </row>
    <row r="53" spans="1:38" ht="21" hidden="1" customHeight="1" outlineLevel="1" thickBot="1" x14ac:dyDescent="0.4">
      <c r="A53" s="10">
        <f t="shared" si="10"/>
        <v>0</v>
      </c>
      <c r="B53" s="10">
        <f t="shared" si="10"/>
        <v>5</v>
      </c>
      <c r="C53" s="10">
        <f t="shared" si="10"/>
        <v>0</v>
      </c>
      <c r="D53" s="10">
        <f t="shared" si="10"/>
        <v>0</v>
      </c>
      <c r="E53" s="11" t="str">
        <f t="shared" si="10"/>
        <v>Se5</v>
      </c>
      <c r="F53" s="26">
        <f t="shared" ca="1" si="11"/>
        <v>-23.5</v>
      </c>
      <c r="G53" s="26">
        <f t="shared" ca="1" si="12"/>
        <v>-25.684999999999999</v>
      </c>
      <c r="H53" s="26">
        <f t="shared" ca="1" si="12"/>
        <v>-28.065000000000001</v>
      </c>
      <c r="I53" s="26">
        <f t="shared" ca="1" si="12"/>
        <v>-30.344999999999999</v>
      </c>
      <c r="J53" s="26">
        <f t="shared" ca="1" si="12"/>
        <v>-32.435000000000002</v>
      </c>
      <c r="K53" s="26">
        <f t="shared" ca="1" si="12"/>
        <v>-34.275000000000006</v>
      </c>
      <c r="L53" s="26">
        <f t="shared" ca="1" si="12"/>
        <v>-35.935000000000002</v>
      </c>
      <c r="M53" s="26">
        <f t="shared" ca="1" si="12"/>
        <v>-37.555</v>
      </c>
      <c r="N53" s="26">
        <f t="shared" ca="1" si="12"/>
        <v>-39.28</v>
      </c>
      <c r="O53" s="26">
        <f t="shared" ca="1" si="12"/>
        <v>-41.394999999999996</v>
      </c>
      <c r="P53" s="26">
        <f t="shared" ca="1" si="12"/>
        <v>0</v>
      </c>
      <c r="Q53" s="26">
        <f t="shared" ca="1" si="12"/>
        <v>0</v>
      </c>
      <c r="R53" s="26">
        <f t="shared" ca="1" si="12"/>
        <v>0</v>
      </c>
      <c r="S53" s="26">
        <f t="shared" ca="1" si="12"/>
        <v>0</v>
      </c>
      <c r="T53" s="26">
        <f t="shared" ca="1" si="12"/>
        <v>0</v>
      </c>
      <c r="U53" s="26">
        <f t="shared" ca="1" si="12"/>
        <v>0</v>
      </c>
      <c r="V53" s="26">
        <f t="shared" ca="1" si="12"/>
        <v>0</v>
      </c>
      <c r="W53" s="26">
        <f t="shared" ca="1" si="12"/>
        <v>0</v>
      </c>
      <c r="X53" s="26">
        <f t="shared" ca="1" si="12"/>
        <v>0</v>
      </c>
      <c r="Y53" s="26">
        <f t="shared" ca="1" si="12"/>
        <v>0</v>
      </c>
      <c r="Z53" s="26">
        <f t="shared" ca="1" si="12"/>
        <v>0</v>
      </c>
      <c r="AA53" s="26">
        <f t="shared" ca="1" si="12"/>
        <v>0</v>
      </c>
      <c r="AB53" s="26">
        <f t="shared" ca="1" si="12"/>
        <v>0</v>
      </c>
      <c r="AC53" s="26">
        <f t="shared" ca="1" si="12"/>
        <v>0</v>
      </c>
      <c r="AD53" s="26">
        <f t="shared" ca="1" si="12"/>
        <v>0</v>
      </c>
      <c r="AE53" s="26">
        <f t="shared" ca="1" si="12"/>
        <v>0</v>
      </c>
      <c r="AF53" s="26">
        <f t="shared" ca="1" si="12"/>
        <v>0</v>
      </c>
      <c r="AG53" s="26">
        <f t="shared" ca="1" si="12"/>
        <v>0</v>
      </c>
      <c r="AH53" s="26">
        <f t="shared" ca="1" si="12"/>
        <v>0</v>
      </c>
      <c r="AI53" s="26">
        <f t="shared" ca="1" si="12"/>
        <v>0</v>
      </c>
      <c r="AJ53" s="26">
        <f t="shared" ca="1" si="12"/>
        <v>0</v>
      </c>
      <c r="AK53" s="26">
        <f t="shared" ca="1" si="12"/>
        <v>0</v>
      </c>
      <c r="AL53" s="26">
        <f t="shared" ca="1" si="12"/>
        <v>0</v>
      </c>
    </row>
    <row r="54" spans="1:38" ht="21" hidden="1" customHeight="1" outlineLevel="1" thickBot="1" x14ac:dyDescent="0.4">
      <c r="A54" s="10">
        <f t="shared" si="10"/>
        <v>0</v>
      </c>
      <c r="B54" s="10">
        <f t="shared" si="10"/>
        <v>6</v>
      </c>
      <c r="C54" s="10">
        <f t="shared" si="10"/>
        <v>0</v>
      </c>
      <c r="D54" s="10">
        <f t="shared" si="10"/>
        <v>0</v>
      </c>
      <c r="E54" s="11" t="str">
        <f t="shared" si="10"/>
        <v>Se6</v>
      </c>
      <c r="F54" s="26">
        <f t="shared" ca="1" si="11"/>
        <v>-28.200000000000003</v>
      </c>
      <c r="G54" s="26">
        <f t="shared" ca="1" si="12"/>
        <v>-30.821999999999996</v>
      </c>
      <c r="H54" s="26">
        <f t="shared" ca="1" si="12"/>
        <v>-33.678000000000004</v>
      </c>
      <c r="I54" s="26">
        <f t="shared" ca="1" si="12"/>
        <v>-36.414000000000001</v>
      </c>
      <c r="J54" s="26">
        <f t="shared" ca="1" si="12"/>
        <v>-38.921999999999997</v>
      </c>
      <c r="K54" s="26">
        <f t="shared" ca="1" si="12"/>
        <v>-41.13</v>
      </c>
      <c r="L54" s="26">
        <f t="shared" ca="1" si="12"/>
        <v>-43.122</v>
      </c>
      <c r="M54" s="26">
        <f t="shared" ca="1" si="12"/>
        <v>-45.066000000000003</v>
      </c>
      <c r="N54" s="26">
        <f t="shared" ca="1" si="12"/>
        <v>-47.135999999999996</v>
      </c>
      <c r="O54" s="26">
        <f t="shared" ca="1" si="12"/>
        <v>-49.673999999999999</v>
      </c>
      <c r="P54" s="26">
        <f t="shared" ca="1" si="12"/>
        <v>0</v>
      </c>
      <c r="Q54" s="26">
        <f t="shared" ca="1" si="12"/>
        <v>0</v>
      </c>
      <c r="R54" s="26">
        <f t="shared" ca="1" si="12"/>
        <v>0</v>
      </c>
      <c r="S54" s="26">
        <f t="shared" ca="1" si="12"/>
        <v>0</v>
      </c>
      <c r="T54" s="26">
        <f t="shared" ca="1" si="12"/>
        <v>0</v>
      </c>
      <c r="U54" s="26">
        <f t="shared" ca="1" si="12"/>
        <v>0</v>
      </c>
      <c r="V54" s="26">
        <f t="shared" ca="1" si="12"/>
        <v>0</v>
      </c>
      <c r="W54" s="26">
        <f t="shared" ca="1" si="12"/>
        <v>0</v>
      </c>
      <c r="X54" s="26">
        <f t="shared" ca="1" si="12"/>
        <v>0</v>
      </c>
      <c r="Y54" s="26">
        <f t="shared" ca="1" si="12"/>
        <v>0</v>
      </c>
      <c r="Z54" s="26">
        <f t="shared" ca="1" si="12"/>
        <v>0</v>
      </c>
      <c r="AA54" s="26">
        <f t="shared" ca="1" si="12"/>
        <v>0</v>
      </c>
      <c r="AB54" s="26">
        <f t="shared" ca="1" si="12"/>
        <v>0</v>
      </c>
      <c r="AC54" s="26">
        <f t="shared" ca="1" si="12"/>
        <v>0</v>
      </c>
      <c r="AD54" s="26">
        <f t="shared" ca="1" si="12"/>
        <v>0</v>
      </c>
      <c r="AE54" s="26">
        <f t="shared" ca="1" si="12"/>
        <v>0</v>
      </c>
      <c r="AF54" s="26">
        <f t="shared" ca="1" si="12"/>
        <v>0</v>
      </c>
      <c r="AG54" s="26">
        <f t="shared" ca="1" si="12"/>
        <v>0</v>
      </c>
      <c r="AH54" s="26">
        <f t="shared" ca="1" si="12"/>
        <v>0</v>
      </c>
      <c r="AI54" s="26">
        <f t="shared" ca="1" si="12"/>
        <v>0</v>
      </c>
      <c r="AJ54" s="26">
        <f t="shared" ca="1" si="12"/>
        <v>0</v>
      </c>
      <c r="AK54" s="26">
        <f t="shared" ca="1" si="12"/>
        <v>0</v>
      </c>
      <c r="AL54" s="26">
        <f t="shared" ca="1" si="12"/>
        <v>0</v>
      </c>
    </row>
    <row r="55" spans="1:38" ht="21" hidden="1" customHeight="1" outlineLevel="1" thickBot="1" x14ac:dyDescent="0.4">
      <c r="A55" s="10">
        <f t="shared" si="10"/>
        <v>0</v>
      </c>
      <c r="B55" s="10">
        <f t="shared" si="10"/>
        <v>7</v>
      </c>
      <c r="C55" s="10">
        <f t="shared" si="10"/>
        <v>0</v>
      </c>
      <c r="D55" s="10">
        <f t="shared" si="10"/>
        <v>0</v>
      </c>
      <c r="E55" s="11" t="str">
        <f t="shared" si="10"/>
        <v>Se7</v>
      </c>
      <c r="F55" s="26">
        <f t="shared" ca="1" si="11"/>
        <v>-32.9</v>
      </c>
      <c r="G55" s="26">
        <f t="shared" ca="1" si="12"/>
        <v>-35.958999999999996</v>
      </c>
      <c r="H55" s="26">
        <f t="shared" ca="1" si="12"/>
        <v>-39.291000000000004</v>
      </c>
      <c r="I55" s="26">
        <f t="shared" ca="1" si="12"/>
        <v>-42.482999999999997</v>
      </c>
      <c r="J55" s="26">
        <f t="shared" ca="1" si="12"/>
        <v>-45.408999999999999</v>
      </c>
      <c r="K55" s="26">
        <f t="shared" ca="1" si="12"/>
        <v>-47.984999999999999</v>
      </c>
      <c r="L55" s="26">
        <f t="shared" ca="1" si="12"/>
        <v>-50.309000000000005</v>
      </c>
      <c r="M55" s="26">
        <f t="shared" ca="1" si="12"/>
        <v>-52.576999999999998</v>
      </c>
      <c r="N55" s="26">
        <f t="shared" ca="1" si="12"/>
        <v>-54.991999999999997</v>
      </c>
      <c r="O55" s="26">
        <f t="shared" ca="1" si="12"/>
        <v>-57.953000000000003</v>
      </c>
      <c r="P55" s="26">
        <f t="shared" ca="1" si="12"/>
        <v>0</v>
      </c>
      <c r="Q55" s="26">
        <f t="shared" ca="1" si="12"/>
        <v>0</v>
      </c>
      <c r="R55" s="26">
        <f t="shared" ca="1" si="12"/>
        <v>0</v>
      </c>
      <c r="S55" s="26">
        <f t="shared" ca="1" si="12"/>
        <v>0</v>
      </c>
      <c r="T55" s="26">
        <f t="shared" ca="1" si="12"/>
        <v>0</v>
      </c>
      <c r="U55" s="26">
        <f t="shared" ca="1" si="12"/>
        <v>0</v>
      </c>
      <c r="V55" s="26">
        <f t="shared" ca="1" si="12"/>
        <v>0</v>
      </c>
      <c r="W55" s="26">
        <f t="shared" ca="1" si="12"/>
        <v>0</v>
      </c>
      <c r="X55" s="26">
        <f t="shared" ca="1" si="12"/>
        <v>0</v>
      </c>
      <c r="Y55" s="26">
        <f t="shared" ca="1" si="12"/>
        <v>0</v>
      </c>
      <c r="Z55" s="26">
        <f t="shared" ca="1" si="12"/>
        <v>0</v>
      </c>
      <c r="AA55" s="26">
        <f t="shared" ca="1" si="12"/>
        <v>0</v>
      </c>
      <c r="AB55" s="26">
        <f t="shared" ca="1" si="12"/>
        <v>0</v>
      </c>
      <c r="AC55" s="26">
        <f t="shared" ca="1" si="12"/>
        <v>0</v>
      </c>
      <c r="AD55" s="26">
        <f t="shared" ca="1" si="12"/>
        <v>0</v>
      </c>
      <c r="AE55" s="26">
        <f t="shared" ca="1" si="12"/>
        <v>0</v>
      </c>
      <c r="AF55" s="26">
        <f t="shared" ca="1" si="12"/>
        <v>0</v>
      </c>
      <c r="AG55" s="26">
        <f t="shared" ca="1" si="12"/>
        <v>0</v>
      </c>
      <c r="AH55" s="26">
        <f t="shared" ca="1" si="12"/>
        <v>0</v>
      </c>
      <c r="AI55" s="26">
        <f t="shared" ca="1" si="12"/>
        <v>0</v>
      </c>
      <c r="AJ55" s="26">
        <f t="shared" ca="1" si="12"/>
        <v>0</v>
      </c>
      <c r="AK55" s="26">
        <f t="shared" ca="1" si="12"/>
        <v>0</v>
      </c>
      <c r="AL55" s="26">
        <f t="shared" ca="1" si="12"/>
        <v>0</v>
      </c>
    </row>
    <row r="56" spans="1:38" ht="21" hidden="1" customHeight="1" outlineLevel="1" thickBot="1" x14ac:dyDescent="0.4">
      <c r="A56" s="10">
        <f t="shared" si="10"/>
        <v>0</v>
      </c>
      <c r="B56" s="10">
        <f t="shared" si="10"/>
        <v>8</v>
      </c>
      <c r="C56" s="10">
        <f t="shared" si="10"/>
        <v>0</v>
      </c>
      <c r="D56" s="10">
        <f t="shared" si="10"/>
        <v>0</v>
      </c>
      <c r="E56" s="11" t="str">
        <f t="shared" si="10"/>
        <v>Se8</v>
      </c>
      <c r="F56" s="26">
        <f t="shared" ca="1" si="11"/>
        <v>-37.6</v>
      </c>
      <c r="G56" s="26">
        <f t="shared" ca="1" si="12"/>
        <v>-41.095999999999997</v>
      </c>
      <c r="H56" s="26">
        <f t="shared" ca="1" si="12"/>
        <v>-44.904000000000003</v>
      </c>
      <c r="I56" s="26">
        <f t="shared" ca="1" si="12"/>
        <v>-48.552</v>
      </c>
      <c r="J56" s="26">
        <f t="shared" ca="1" si="12"/>
        <v>-51.896000000000001</v>
      </c>
      <c r="K56" s="26">
        <f t="shared" ca="1" si="12"/>
        <v>-54.84</v>
      </c>
      <c r="L56" s="26">
        <f t="shared" ca="1" si="12"/>
        <v>-57.496000000000002</v>
      </c>
      <c r="M56" s="26">
        <f t="shared" ca="1" si="12"/>
        <v>-60.088000000000001</v>
      </c>
      <c r="N56" s="26">
        <f t="shared" ca="1" si="12"/>
        <v>-62.847999999999999</v>
      </c>
      <c r="O56" s="26">
        <f t="shared" ca="1" si="12"/>
        <v>-66.231999999999999</v>
      </c>
      <c r="P56" s="26">
        <f t="shared" ca="1" si="12"/>
        <v>0</v>
      </c>
      <c r="Q56" s="26">
        <f t="shared" ca="1" si="12"/>
        <v>0</v>
      </c>
      <c r="R56" s="26">
        <f t="shared" ca="1" si="12"/>
        <v>0</v>
      </c>
      <c r="S56" s="26">
        <f t="shared" ca="1" si="12"/>
        <v>0</v>
      </c>
      <c r="T56" s="26">
        <f t="shared" ca="1" si="12"/>
        <v>0</v>
      </c>
      <c r="U56" s="26">
        <f t="shared" ca="1" si="12"/>
        <v>0</v>
      </c>
      <c r="V56" s="26">
        <f t="shared" ca="1" si="12"/>
        <v>0</v>
      </c>
      <c r="W56" s="26">
        <f t="shared" ca="1" si="12"/>
        <v>0</v>
      </c>
      <c r="X56" s="26">
        <f t="shared" ca="1" si="12"/>
        <v>0</v>
      </c>
      <c r="Y56" s="26">
        <f t="shared" ca="1" si="12"/>
        <v>0</v>
      </c>
      <c r="Z56" s="26">
        <f t="shared" ca="1" si="12"/>
        <v>0</v>
      </c>
      <c r="AA56" s="26">
        <f t="shared" ca="1" si="12"/>
        <v>0</v>
      </c>
      <c r="AB56" s="26">
        <f t="shared" ca="1" si="12"/>
        <v>0</v>
      </c>
      <c r="AC56" s="26">
        <f t="shared" ca="1" si="12"/>
        <v>0</v>
      </c>
      <c r="AD56" s="26">
        <f t="shared" ca="1" si="12"/>
        <v>0</v>
      </c>
      <c r="AE56" s="26">
        <f t="shared" ca="1" si="12"/>
        <v>0</v>
      </c>
      <c r="AF56" s="26">
        <f t="shared" ca="1" si="12"/>
        <v>0</v>
      </c>
      <c r="AG56" s="26">
        <f t="shared" ca="1" si="12"/>
        <v>0</v>
      </c>
      <c r="AH56" s="26">
        <f t="shared" ca="1" si="12"/>
        <v>0</v>
      </c>
      <c r="AI56" s="26">
        <f t="shared" ca="1" si="12"/>
        <v>0</v>
      </c>
      <c r="AJ56" s="26">
        <f t="shared" ca="1" si="12"/>
        <v>0</v>
      </c>
      <c r="AK56" s="26">
        <f t="shared" ca="1" si="12"/>
        <v>0</v>
      </c>
      <c r="AL56" s="26">
        <f t="shared" ca="1" si="12"/>
        <v>0</v>
      </c>
    </row>
    <row r="57" spans="1:38" ht="21" hidden="1" customHeight="1" outlineLevel="1" thickBot="1" x14ac:dyDescent="0.4">
      <c r="A57" s="10">
        <f t="shared" si="10"/>
        <v>0</v>
      </c>
      <c r="B57" s="10">
        <f t="shared" si="10"/>
        <v>2</v>
      </c>
      <c r="C57" s="10">
        <f t="shared" si="10"/>
        <v>0</v>
      </c>
      <c r="D57" s="10">
        <f t="shared" si="10"/>
        <v>0</v>
      </c>
      <c r="E57" s="11" t="str">
        <f t="shared" si="10"/>
        <v>Se2</v>
      </c>
      <c r="F57" s="26">
        <f t="shared" ca="1" si="11"/>
        <v>-9.4</v>
      </c>
      <c r="G57" s="26">
        <f t="shared" ca="1" si="12"/>
        <v>-10.273999999999999</v>
      </c>
      <c r="H57" s="26">
        <f t="shared" ca="1" si="12"/>
        <v>-11.226000000000001</v>
      </c>
      <c r="I57" s="26">
        <f t="shared" ca="1" si="12"/>
        <v>-12.138</v>
      </c>
      <c r="J57" s="26">
        <f t="shared" ca="1" si="12"/>
        <v>-12.974</v>
      </c>
      <c r="K57" s="26">
        <f t="shared" ca="1" si="12"/>
        <v>-13.71</v>
      </c>
      <c r="L57" s="26">
        <f t="shared" ca="1" si="12"/>
        <v>-14.374000000000001</v>
      </c>
      <c r="M57" s="26">
        <f t="shared" ca="1" si="12"/>
        <v>-15.022</v>
      </c>
      <c r="N57" s="26">
        <f t="shared" ca="1" si="12"/>
        <v>-15.712</v>
      </c>
      <c r="O57" s="26">
        <f t="shared" ca="1" si="12"/>
        <v>-16.558</v>
      </c>
      <c r="P57" s="26">
        <f t="shared" ca="1" si="12"/>
        <v>0</v>
      </c>
      <c r="Q57" s="26">
        <f t="shared" ca="1" si="12"/>
        <v>0</v>
      </c>
      <c r="R57" s="26">
        <f t="shared" ca="1" si="12"/>
        <v>0</v>
      </c>
      <c r="S57" s="26">
        <f t="shared" ca="1" si="12"/>
        <v>0</v>
      </c>
      <c r="T57" s="26">
        <f t="shared" ca="1" si="12"/>
        <v>0</v>
      </c>
      <c r="U57" s="26">
        <f t="shared" ca="1" si="12"/>
        <v>0</v>
      </c>
      <c r="V57" s="26">
        <f t="shared" ca="1" si="12"/>
        <v>0</v>
      </c>
      <c r="W57" s="26">
        <f t="shared" ca="1" si="12"/>
        <v>0</v>
      </c>
      <c r="X57" s="26">
        <f t="shared" ca="1" si="12"/>
        <v>0</v>
      </c>
      <c r="Y57" s="26">
        <f t="shared" ca="1" si="12"/>
        <v>0</v>
      </c>
      <c r="Z57" s="26">
        <f t="shared" ca="1" si="12"/>
        <v>0</v>
      </c>
      <c r="AA57" s="26">
        <f t="shared" ca="1" si="12"/>
        <v>0</v>
      </c>
      <c r="AB57" s="26">
        <f t="shared" ca="1" si="12"/>
        <v>0</v>
      </c>
      <c r="AC57" s="26">
        <f t="shared" ca="1" si="12"/>
        <v>0</v>
      </c>
      <c r="AD57" s="26">
        <f t="shared" ca="1" si="12"/>
        <v>0</v>
      </c>
      <c r="AE57" s="26">
        <f t="shared" ca="1" si="12"/>
        <v>0</v>
      </c>
      <c r="AF57" s="26">
        <f t="shared" ca="1" si="12"/>
        <v>0</v>
      </c>
      <c r="AG57" s="26">
        <f t="shared" ca="1" si="12"/>
        <v>0</v>
      </c>
      <c r="AH57" s="26">
        <f t="shared" ca="1" si="12"/>
        <v>0</v>
      </c>
      <c r="AI57" s="26">
        <f t="shared" ca="1" si="12"/>
        <v>0</v>
      </c>
      <c r="AJ57" s="26">
        <f t="shared" ca="1" si="12"/>
        <v>0</v>
      </c>
      <c r="AK57" s="26">
        <f t="shared" ca="1" si="12"/>
        <v>0</v>
      </c>
      <c r="AL57" s="26">
        <f t="shared" ca="1" si="12"/>
        <v>0</v>
      </c>
    </row>
    <row r="58" spans="1:38" ht="21" hidden="1" customHeight="1" outlineLevel="1" thickBot="1" x14ac:dyDescent="0.4">
      <c r="A58" s="10">
        <f t="shared" si="10"/>
        <v>0</v>
      </c>
      <c r="B58" s="10">
        <f t="shared" si="10"/>
        <v>1</v>
      </c>
      <c r="C58" s="10">
        <f t="shared" si="10"/>
        <v>0</v>
      </c>
      <c r="D58" s="10">
        <f t="shared" si="10"/>
        <v>0</v>
      </c>
      <c r="E58" s="11" t="str">
        <f t="shared" si="10"/>
        <v>Se</v>
      </c>
      <c r="F58" s="26">
        <f t="shared" ca="1" si="11"/>
        <v>-4.7</v>
      </c>
      <c r="G58" s="26">
        <f t="shared" ca="1" si="12"/>
        <v>-5.1369999999999996</v>
      </c>
      <c r="H58" s="26">
        <f t="shared" ca="1" si="12"/>
        <v>-5.6130000000000004</v>
      </c>
      <c r="I58" s="26">
        <f t="shared" ca="1" si="12"/>
        <v>-6.069</v>
      </c>
      <c r="J58" s="26">
        <f t="shared" ca="1" si="12"/>
        <v>-6.4870000000000001</v>
      </c>
      <c r="K58" s="26">
        <f t="shared" ca="1" si="12"/>
        <v>-6.8550000000000004</v>
      </c>
      <c r="L58" s="26">
        <f t="shared" ca="1" si="12"/>
        <v>-7.1870000000000003</v>
      </c>
      <c r="M58" s="26">
        <f t="shared" ca="1" si="12"/>
        <v>-7.5110000000000001</v>
      </c>
      <c r="N58" s="26">
        <f t="shared" ca="1" si="12"/>
        <v>-7.8559999999999999</v>
      </c>
      <c r="O58" s="26">
        <f t="shared" ca="1" si="12"/>
        <v>-8.2789999999999999</v>
      </c>
      <c r="P58" s="26">
        <f t="shared" ca="1" si="12"/>
        <v>0</v>
      </c>
      <c r="Q58" s="26">
        <f t="shared" ca="1" si="12"/>
        <v>0</v>
      </c>
      <c r="R58" s="26">
        <f t="shared" ca="1" si="12"/>
        <v>0</v>
      </c>
      <c r="S58" s="26">
        <f t="shared" ca="1" si="12"/>
        <v>0</v>
      </c>
      <c r="T58" s="26">
        <f t="shared" ca="1" si="12"/>
        <v>0</v>
      </c>
      <c r="U58" s="26">
        <f t="shared" ref="G58:AL66" ca="1" si="13">$A58*H.Ar + $B58*H.Se + $C58*H.Ge + $D58*H.Ga</f>
        <v>0</v>
      </c>
      <c r="V58" s="26">
        <f t="shared" ca="1" si="13"/>
        <v>0</v>
      </c>
      <c r="W58" s="26">
        <f t="shared" ca="1" si="13"/>
        <v>0</v>
      </c>
      <c r="X58" s="26">
        <f t="shared" ca="1" si="13"/>
        <v>0</v>
      </c>
      <c r="Y58" s="26">
        <f t="shared" ca="1" si="13"/>
        <v>0</v>
      </c>
      <c r="Z58" s="26">
        <f t="shared" ca="1" si="13"/>
        <v>0</v>
      </c>
      <c r="AA58" s="26">
        <f t="shared" ca="1" si="13"/>
        <v>0</v>
      </c>
      <c r="AB58" s="26">
        <f t="shared" ca="1" si="13"/>
        <v>0</v>
      </c>
      <c r="AC58" s="26">
        <f t="shared" ca="1" si="13"/>
        <v>0</v>
      </c>
      <c r="AD58" s="26">
        <f t="shared" ca="1" si="13"/>
        <v>0</v>
      </c>
      <c r="AE58" s="26">
        <f t="shared" ca="1" si="13"/>
        <v>0</v>
      </c>
      <c r="AF58" s="26">
        <f t="shared" ca="1" si="13"/>
        <v>0</v>
      </c>
      <c r="AG58" s="26">
        <f t="shared" ca="1" si="13"/>
        <v>0</v>
      </c>
      <c r="AH58" s="26">
        <f t="shared" ca="1" si="13"/>
        <v>0</v>
      </c>
      <c r="AI58" s="26">
        <f t="shared" ca="1" si="13"/>
        <v>0</v>
      </c>
      <c r="AJ58" s="26">
        <f t="shared" ca="1" si="13"/>
        <v>0</v>
      </c>
      <c r="AK58" s="26">
        <f t="shared" ca="1" si="13"/>
        <v>0</v>
      </c>
      <c r="AL58" s="26">
        <f t="shared" ca="1" si="13"/>
        <v>0</v>
      </c>
    </row>
    <row r="59" spans="1:38" ht="21" hidden="1" customHeight="1" outlineLevel="1" thickBot="1" x14ac:dyDescent="0.4">
      <c r="A59" s="10">
        <f t="shared" si="10"/>
        <v>0</v>
      </c>
      <c r="B59" s="10">
        <f t="shared" si="10"/>
        <v>1</v>
      </c>
      <c r="C59" s="10">
        <f t="shared" si="10"/>
        <v>0</v>
      </c>
      <c r="D59" s="10">
        <f t="shared" si="10"/>
        <v>2</v>
      </c>
      <c r="E59" s="11" t="str">
        <f t="shared" si="10"/>
        <v>Ga2Se</v>
      </c>
      <c r="F59" s="26">
        <f t="shared" ca="1" si="11"/>
        <v>-17.827999999999999</v>
      </c>
      <c r="G59" s="26">
        <f t="shared" ca="1" si="13"/>
        <v>-19.454999999999998</v>
      </c>
      <c r="H59" s="26">
        <f t="shared" ca="1" si="13"/>
        <v>-20.965</v>
      </c>
      <c r="I59" s="26">
        <f t="shared" ca="1" si="13"/>
        <v>-22.337</v>
      </c>
      <c r="J59" s="26">
        <f t="shared" ca="1" si="13"/>
        <v>-23.658999999999999</v>
      </c>
      <c r="K59" s="26">
        <f t="shared" ca="1" si="13"/>
        <v>-25.152999999999999</v>
      </c>
      <c r="L59" s="26">
        <f t="shared" ca="1" si="13"/>
        <v>-26.863</v>
      </c>
      <c r="M59" s="26">
        <f t="shared" ca="1" si="13"/>
        <v>-28.550999999999998</v>
      </c>
      <c r="N59" s="26">
        <f t="shared" ca="1" si="13"/>
        <v>-30.136000000000003</v>
      </c>
      <c r="O59" s="26">
        <f t="shared" ca="1" si="13"/>
        <v>-31.638999999999999</v>
      </c>
      <c r="P59" s="26">
        <f t="shared" ca="1" si="13"/>
        <v>0</v>
      </c>
      <c r="Q59" s="26">
        <f t="shared" ca="1" si="13"/>
        <v>0</v>
      </c>
      <c r="R59" s="26">
        <f t="shared" ca="1" si="13"/>
        <v>0</v>
      </c>
      <c r="S59" s="26">
        <f t="shared" ca="1" si="13"/>
        <v>0</v>
      </c>
      <c r="T59" s="26">
        <f t="shared" ca="1" si="13"/>
        <v>0</v>
      </c>
      <c r="U59" s="26">
        <f t="shared" ca="1" si="13"/>
        <v>0</v>
      </c>
      <c r="V59" s="26">
        <f t="shared" ca="1" si="13"/>
        <v>0</v>
      </c>
      <c r="W59" s="26">
        <f t="shared" ca="1" si="13"/>
        <v>0</v>
      </c>
      <c r="X59" s="26">
        <f t="shared" ca="1" si="13"/>
        <v>0</v>
      </c>
      <c r="Y59" s="26">
        <f t="shared" ca="1" si="13"/>
        <v>0</v>
      </c>
      <c r="Z59" s="26">
        <f t="shared" ca="1" si="13"/>
        <v>0</v>
      </c>
      <c r="AA59" s="26">
        <f t="shared" ca="1" si="13"/>
        <v>0</v>
      </c>
      <c r="AB59" s="26">
        <f t="shared" ca="1" si="13"/>
        <v>0</v>
      </c>
      <c r="AC59" s="26">
        <f t="shared" ca="1" si="13"/>
        <v>0</v>
      </c>
      <c r="AD59" s="26">
        <f t="shared" ca="1" si="13"/>
        <v>0</v>
      </c>
      <c r="AE59" s="26">
        <f t="shared" ca="1" si="13"/>
        <v>0</v>
      </c>
      <c r="AF59" s="26">
        <f t="shared" ca="1" si="13"/>
        <v>0</v>
      </c>
      <c r="AG59" s="26">
        <f t="shared" ca="1" si="13"/>
        <v>0</v>
      </c>
      <c r="AH59" s="26">
        <f t="shared" ca="1" si="13"/>
        <v>0</v>
      </c>
      <c r="AI59" s="26">
        <f t="shared" ca="1" si="13"/>
        <v>0</v>
      </c>
      <c r="AJ59" s="26">
        <f t="shared" ca="1" si="13"/>
        <v>0</v>
      </c>
      <c r="AK59" s="26">
        <f t="shared" ca="1" si="13"/>
        <v>0</v>
      </c>
      <c r="AL59" s="26">
        <f t="shared" ca="1" si="13"/>
        <v>0</v>
      </c>
    </row>
    <row r="60" spans="1:38" ht="21" hidden="1" customHeight="1" outlineLevel="1" thickBot="1" x14ac:dyDescent="0.4">
      <c r="A60" s="10">
        <f t="shared" si="10"/>
        <v>1</v>
      </c>
      <c r="B60" s="10">
        <f t="shared" si="10"/>
        <v>0</v>
      </c>
      <c r="C60" s="10">
        <f t="shared" si="10"/>
        <v>0</v>
      </c>
      <c r="D60" s="10">
        <f t="shared" si="10"/>
        <v>0</v>
      </c>
      <c r="E60" s="11" t="str">
        <f t="shared" si="10"/>
        <v>Ar</v>
      </c>
      <c r="F60" s="26">
        <f t="shared" ref="F60:U69" ca="1" si="14">$A60*H.Ar + $B60*H.Se + $C60*H.Ge + $D60*H.Ga</f>
        <v>-18.62</v>
      </c>
      <c r="G60" s="26">
        <f t="shared" ca="1" si="14"/>
        <v>-18.649999999999999</v>
      </c>
      <c r="H60" s="26">
        <f t="shared" ca="1" si="14"/>
        <v>-18.77</v>
      </c>
      <c r="I60" s="26">
        <f t="shared" ca="1" si="14"/>
        <v>-18.93</v>
      </c>
      <c r="J60" s="26">
        <f t="shared" ca="1" si="14"/>
        <v>-19.12</v>
      </c>
      <c r="K60" s="26">
        <f t="shared" ca="1" si="14"/>
        <v>-19.34</v>
      </c>
      <c r="L60" s="26">
        <f t="shared" ca="1" si="14"/>
        <v>-19.579999999999998</v>
      </c>
      <c r="M60" s="26">
        <f t="shared" ca="1" si="14"/>
        <v>-19.809999999999999</v>
      </c>
      <c r="N60" s="26">
        <f t="shared" ca="1" si="14"/>
        <v>-20.059999999999999</v>
      </c>
      <c r="O60" s="26">
        <f t="shared" ca="1" si="14"/>
        <v>-20.38</v>
      </c>
      <c r="P60" s="26">
        <f t="shared" ca="1" si="14"/>
        <v>0</v>
      </c>
      <c r="Q60" s="26">
        <f t="shared" ca="1" si="14"/>
        <v>0</v>
      </c>
      <c r="R60" s="26">
        <f t="shared" ca="1" si="14"/>
        <v>0</v>
      </c>
      <c r="S60" s="26">
        <f t="shared" ca="1" si="14"/>
        <v>0</v>
      </c>
      <c r="T60" s="26">
        <f t="shared" ca="1" si="14"/>
        <v>0</v>
      </c>
      <c r="U60" s="26">
        <f t="shared" ca="1" si="14"/>
        <v>0</v>
      </c>
      <c r="V60" s="26">
        <f t="shared" ca="1" si="13"/>
        <v>0</v>
      </c>
      <c r="W60" s="26">
        <f t="shared" ca="1" si="13"/>
        <v>0</v>
      </c>
      <c r="X60" s="26">
        <f t="shared" ca="1" si="13"/>
        <v>0</v>
      </c>
      <c r="Y60" s="26">
        <f t="shared" ca="1" si="13"/>
        <v>0</v>
      </c>
      <c r="Z60" s="26">
        <f t="shared" ca="1" si="13"/>
        <v>0</v>
      </c>
      <c r="AA60" s="26">
        <f t="shared" ca="1" si="13"/>
        <v>0</v>
      </c>
      <c r="AB60" s="26">
        <f t="shared" ca="1" si="13"/>
        <v>0</v>
      </c>
      <c r="AC60" s="26">
        <f t="shared" ca="1" si="13"/>
        <v>0</v>
      </c>
      <c r="AD60" s="26">
        <f t="shared" ca="1" si="13"/>
        <v>0</v>
      </c>
      <c r="AE60" s="26">
        <f t="shared" ca="1" si="13"/>
        <v>0</v>
      </c>
      <c r="AF60" s="26">
        <f t="shared" ca="1" si="13"/>
        <v>0</v>
      </c>
      <c r="AG60" s="26">
        <f t="shared" ca="1" si="13"/>
        <v>0</v>
      </c>
      <c r="AH60" s="26">
        <f t="shared" ca="1" si="13"/>
        <v>0</v>
      </c>
      <c r="AI60" s="26">
        <f t="shared" ca="1" si="13"/>
        <v>0</v>
      </c>
      <c r="AJ60" s="26">
        <f t="shared" ca="1" si="13"/>
        <v>0</v>
      </c>
      <c r="AK60" s="26">
        <f t="shared" ca="1" si="13"/>
        <v>0</v>
      </c>
      <c r="AL60" s="26">
        <f t="shared" ca="1" si="13"/>
        <v>0</v>
      </c>
    </row>
    <row r="61" spans="1:38" ht="21" hidden="1" customHeight="1" outlineLevel="1" thickBot="1" x14ac:dyDescent="0.4">
      <c r="A61" s="10">
        <f t="shared" si="10"/>
        <v>0</v>
      </c>
      <c r="B61" s="10">
        <f t="shared" si="10"/>
        <v>0</v>
      </c>
      <c r="C61" s="10">
        <f t="shared" si="10"/>
        <v>0</v>
      </c>
      <c r="D61" s="10">
        <f t="shared" si="10"/>
        <v>1</v>
      </c>
      <c r="E61" s="11" t="str">
        <f t="shared" si="10"/>
        <v>(l)Ga[l]</v>
      </c>
      <c r="F61" s="26">
        <f t="shared" ca="1" si="14"/>
        <v>-6.5640000000000001</v>
      </c>
      <c r="G61" s="26">
        <f t="shared" ca="1" si="13"/>
        <v>-7.1589999999999998</v>
      </c>
      <c r="H61" s="26">
        <f t="shared" ca="1" si="13"/>
        <v>-7.6760000000000002</v>
      </c>
      <c r="I61" s="26">
        <f t="shared" ca="1" si="13"/>
        <v>-8.1340000000000003</v>
      </c>
      <c r="J61" s="26">
        <f t="shared" ca="1" si="13"/>
        <v>-8.5860000000000003</v>
      </c>
      <c r="K61" s="26">
        <f t="shared" ca="1" si="13"/>
        <v>-9.1489999999999991</v>
      </c>
      <c r="L61" s="26">
        <f t="shared" ca="1" si="13"/>
        <v>-9.8379999999999992</v>
      </c>
      <c r="M61" s="26">
        <f t="shared" ca="1" si="13"/>
        <v>-10.52</v>
      </c>
      <c r="N61" s="26">
        <f t="shared" ca="1" si="13"/>
        <v>-11.14</v>
      </c>
      <c r="O61" s="26">
        <f t="shared" ca="1" si="13"/>
        <v>-11.68</v>
      </c>
      <c r="P61" s="26">
        <f t="shared" ca="1" si="13"/>
        <v>0</v>
      </c>
      <c r="Q61" s="26">
        <f t="shared" ca="1" si="13"/>
        <v>0</v>
      </c>
      <c r="R61" s="26">
        <f t="shared" ca="1" si="13"/>
        <v>0</v>
      </c>
      <c r="S61" s="26">
        <f t="shared" ca="1" si="13"/>
        <v>0</v>
      </c>
      <c r="T61" s="26">
        <f t="shared" ca="1" si="13"/>
        <v>0</v>
      </c>
      <c r="U61" s="26">
        <f t="shared" ca="1" si="13"/>
        <v>0</v>
      </c>
      <c r="V61" s="26">
        <f t="shared" ca="1" si="13"/>
        <v>0</v>
      </c>
      <c r="W61" s="26">
        <f t="shared" ca="1" si="13"/>
        <v>0</v>
      </c>
      <c r="X61" s="26">
        <f t="shared" ca="1" si="13"/>
        <v>0</v>
      </c>
      <c r="Y61" s="26">
        <f t="shared" ca="1" si="13"/>
        <v>0</v>
      </c>
      <c r="Z61" s="26">
        <f t="shared" ca="1" si="13"/>
        <v>0</v>
      </c>
      <c r="AA61" s="26">
        <f t="shared" ca="1" si="13"/>
        <v>0</v>
      </c>
      <c r="AB61" s="26">
        <f t="shared" ca="1" si="13"/>
        <v>0</v>
      </c>
      <c r="AC61" s="26">
        <f t="shared" ca="1" si="13"/>
        <v>0</v>
      </c>
      <c r="AD61" s="26">
        <f t="shared" ca="1" si="13"/>
        <v>0</v>
      </c>
      <c r="AE61" s="26">
        <f t="shared" ca="1" si="13"/>
        <v>0</v>
      </c>
      <c r="AF61" s="26">
        <f t="shared" ca="1" si="13"/>
        <v>0</v>
      </c>
      <c r="AG61" s="26">
        <f t="shared" ca="1" si="13"/>
        <v>0</v>
      </c>
      <c r="AH61" s="26">
        <f t="shared" ca="1" si="13"/>
        <v>0</v>
      </c>
      <c r="AI61" s="26">
        <f t="shared" ca="1" si="13"/>
        <v>0</v>
      </c>
      <c r="AJ61" s="26">
        <f t="shared" ca="1" si="13"/>
        <v>0</v>
      </c>
      <c r="AK61" s="26">
        <f t="shared" ca="1" si="13"/>
        <v>0</v>
      </c>
      <c r="AL61" s="26">
        <f t="shared" ca="1" si="13"/>
        <v>0</v>
      </c>
    </row>
    <row r="62" spans="1:38" ht="21" hidden="1" customHeight="1" outlineLevel="1" thickBot="1" x14ac:dyDescent="0.4">
      <c r="A62" s="10">
        <f t="shared" si="10"/>
        <v>0</v>
      </c>
      <c r="B62" s="10">
        <f t="shared" si="10"/>
        <v>0</v>
      </c>
      <c r="C62" s="10">
        <f t="shared" si="10"/>
        <v>1</v>
      </c>
      <c r="D62" s="10">
        <f t="shared" si="10"/>
        <v>0</v>
      </c>
      <c r="E62" s="11" t="str">
        <f t="shared" si="10"/>
        <v>(l)Ge[l]</v>
      </c>
      <c r="F62" s="26">
        <f t="shared" ca="1" si="14"/>
        <v>7.1749999999999998</v>
      </c>
      <c r="G62" s="26">
        <f t="shared" ca="1" si="13"/>
        <v>3.5760000000000001</v>
      </c>
      <c r="H62" s="26">
        <f t="shared" ca="1" si="13"/>
        <v>1.1719999999999999</v>
      </c>
      <c r="I62" s="26">
        <f t="shared" ca="1" si="13"/>
        <v>-0.5736</v>
      </c>
      <c r="J62" s="26">
        <f t="shared" ca="1" si="13"/>
        <v>-1.9039999999999999</v>
      </c>
      <c r="K62" s="26">
        <f t="shared" ca="1" si="13"/>
        <v>-2.931</v>
      </c>
      <c r="L62" s="26">
        <f t="shared" ca="1" si="13"/>
        <v>-3.754</v>
      </c>
      <c r="M62" s="26">
        <f t="shared" ca="1" si="13"/>
        <v>-4.4349999999999996</v>
      </c>
      <c r="N62" s="26">
        <f t="shared" ca="1" si="13"/>
        <v>-4.9619999999999997</v>
      </c>
      <c r="O62" s="26">
        <f t="shared" ca="1" si="13"/>
        <v>-5.3040000000000003</v>
      </c>
      <c r="P62" s="26">
        <f t="shared" ca="1" si="13"/>
        <v>0</v>
      </c>
      <c r="Q62" s="26">
        <f t="shared" ca="1" si="13"/>
        <v>0</v>
      </c>
      <c r="R62" s="26">
        <f t="shared" ca="1" si="13"/>
        <v>0</v>
      </c>
      <c r="S62" s="26">
        <f t="shared" ca="1" si="13"/>
        <v>0</v>
      </c>
      <c r="T62" s="26">
        <f t="shared" ca="1" si="13"/>
        <v>0</v>
      </c>
      <c r="U62" s="26">
        <f t="shared" ca="1" si="13"/>
        <v>0</v>
      </c>
      <c r="V62" s="26">
        <f t="shared" ca="1" si="13"/>
        <v>0</v>
      </c>
      <c r="W62" s="26">
        <f t="shared" ca="1" si="13"/>
        <v>0</v>
      </c>
      <c r="X62" s="26">
        <f t="shared" ca="1" si="13"/>
        <v>0</v>
      </c>
      <c r="Y62" s="26">
        <f t="shared" ca="1" si="13"/>
        <v>0</v>
      </c>
      <c r="Z62" s="26">
        <f t="shared" ca="1" si="13"/>
        <v>0</v>
      </c>
      <c r="AA62" s="26">
        <f t="shared" ca="1" si="13"/>
        <v>0</v>
      </c>
      <c r="AB62" s="26">
        <f t="shared" ca="1" si="13"/>
        <v>0</v>
      </c>
      <c r="AC62" s="26">
        <f t="shared" ca="1" si="13"/>
        <v>0</v>
      </c>
      <c r="AD62" s="26">
        <f t="shared" ca="1" si="13"/>
        <v>0</v>
      </c>
      <c r="AE62" s="26">
        <f t="shared" ca="1" si="13"/>
        <v>0</v>
      </c>
      <c r="AF62" s="26">
        <f t="shared" ca="1" si="13"/>
        <v>0</v>
      </c>
      <c r="AG62" s="26">
        <f t="shared" ca="1" si="13"/>
        <v>0</v>
      </c>
      <c r="AH62" s="26">
        <f t="shared" ca="1" si="13"/>
        <v>0</v>
      </c>
      <c r="AI62" s="26">
        <f t="shared" ca="1" si="13"/>
        <v>0</v>
      </c>
      <c r="AJ62" s="26">
        <f t="shared" ca="1" si="13"/>
        <v>0</v>
      </c>
      <c r="AK62" s="26">
        <f t="shared" ca="1" si="13"/>
        <v>0</v>
      </c>
      <c r="AL62" s="26">
        <f t="shared" ca="1" si="13"/>
        <v>0</v>
      </c>
    </row>
    <row r="63" spans="1:38" ht="21" hidden="1" customHeight="1" outlineLevel="1" thickBot="1" x14ac:dyDescent="0.4">
      <c r="A63" s="10">
        <f t="shared" si="10"/>
        <v>0</v>
      </c>
      <c r="B63" s="10">
        <f t="shared" si="10"/>
        <v>1</v>
      </c>
      <c r="C63" s="10">
        <f t="shared" si="10"/>
        <v>0</v>
      </c>
      <c r="D63" s="10">
        <f t="shared" si="10"/>
        <v>0</v>
      </c>
      <c r="E63" s="11" t="str">
        <f t="shared" si="10"/>
        <v>(l)SeCl]</v>
      </c>
      <c r="F63" s="26">
        <f t="shared" ca="1" si="14"/>
        <v>-4.7</v>
      </c>
      <c r="G63" s="26">
        <f t="shared" ca="1" si="13"/>
        <v>-5.1369999999999996</v>
      </c>
      <c r="H63" s="26">
        <f t="shared" ca="1" si="13"/>
        <v>-5.6130000000000004</v>
      </c>
      <c r="I63" s="26">
        <f t="shared" ca="1" si="13"/>
        <v>-6.069</v>
      </c>
      <c r="J63" s="26">
        <f t="shared" ca="1" si="13"/>
        <v>-6.4870000000000001</v>
      </c>
      <c r="K63" s="26">
        <f t="shared" ca="1" si="13"/>
        <v>-6.8550000000000004</v>
      </c>
      <c r="L63" s="26">
        <f t="shared" ca="1" si="13"/>
        <v>-7.1870000000000003</v>
      </c>
      <c r="M63" s="26">
        <f t="shared" ca="1" si="13"/>
        <v>-7.5110000000000001</v>
      </c>
      <c r="N63" s="26">
        <f t="shared" ca="1" si="13"/>
        <v>-7.8559999999999999</v>
      </c>
      <c r="O63" s="26">
        <f t="shared" ca="1" si="13"/>
        <v>-8.2789999999999999</v>
      </c>
      <c r="P63" s="26">
        <f t="shared" ca="1" si="13"/>
        <v>0</v>
      </c>
      <c r="Q63" s="26">
        <f t="shared" ca="1" si="13"/>
        <v>0</v>
      </c>
      <c r="R63" s="26">
        <f t="shared" ca="1" si="13"/>
        <v>0</v>
      </c>
      <c r="S63" s="26">
        <f t="shared" ca="1" si="13"/>
        <v>0</v>
      </c>
      <c r="T63" s="26">
        <f t="shared" ca="1" si="13"/>
        <v>0</v>
      </c>
      <c r="U63" s="26">
        <f t="shared" ca="1" si="13"/>
        <v>0</v>
      </c>
      <c r="V63" s="26">
        <f t="shared" ca="1" si="13"/>
        <v>0</v>
      </c>
      <c r="W63" s="26">
        <f t="shared" ca="1" si="13"/>
        <v>0</v>
      </c>
      <c r="X63" s="26">
        <f t="shared" ca="1" si="13"/>
        <v>0</v>
      </c>
      <c r="Y63" s="26">
        <f t="shared" ca="1" si="13"/>
        <v>0</v>
      </c>
      <c r="Z63" s="26">
        <f t="shared" ca="1" si="13"/>
        <v>0</v>
      </c>
      <c r="AA63" s="26">
        <f t="shared" ca="1" si="13"/>
        <v>0</v>
      </c>
      <c r="AB63" s="26">
        <f t="shared" ca="1" si="13"/>
        <v>0</v>
      </c>
      <c r="AC63" s="26">
        <f t="shared" ca="1" si="13"/>
        <v>0</v>
      </c>
      <c r="AD63" s="26">
        <f t="shared" ca="1" si="13"/>
        <v>0</v>
      </c>
      <c r="AE63" s="26">
        <f t="shared" ca="1" si="13"/>
        <v>0</v>
      </c>
      <c r="AF63" s="26">
        <f t="shared" ca="1" si="13"/>
        <v>0</v>
      </c>
      <c r="AG63" s="26">
        <f t="shared" ca="1" si="13"/>
        <v>0</v>
      </c>
      <c r="AH63" s="26">
        <f t="shared" ca="1" si="13"/>
        <v>0</v>
      </c>
      <c r="AI63" s="26">
        <f t="shared" ca="1" si="13"/>
        <v>0</v>
      </c>
      <c r="AJ63" s="26">
        <f t="shared" ca="1" si="13"/>
        <v>0</v>
      </c>
      <c r="AK63" s="26">
        <f t="shared" ca="1" si="13"/>
        <v>0</v>
      </c>
      <c r="AL63" s="26">
        <f t="shared" ca="1" si="13"/>
        <v>0</v>
      </c>
    </row>
    <row r="64" spans="1:38" ht="21" hidden="1" customHeight="1" outlineLevel="1" thickBot="1" x14ac:dyDescent="0.4">
      <c r="A64" s="10">
        <f t="shared" si="10"/>
        <v>1</v>
      </c>
      <c r="B64" s="10">
        <f t="shared" si="10"/>
        <v>0</v>
      </c>
      <c r="C64" s="10">
        <f t="shared" si="10"/>
        <v>0</v>
      </c>
      <c r="D64" s="10">
        <f t="shared" si="10"/>
        <v>0</v>
      </c>
      <c r="E64" s="11" t="str">
        <f t="shared" si="10"/>
        <v>H (Ar)</v>
      </c>
      <c r="F64" s="26">
        <f t="shared" ca="1" si="14"/>
        <v>-18.62</v>
      </c>
      <c r="G64" s="26">
        <f t="shared" ca="1" si="13"/>
        <v>-18.649999999999999</v>
      </c>
      <c r="H64" s="26">
        <f t="shared" ca="1" si="13"/>
        <v>-18.77</v>
      </c>
      <c r="I64" s="26">
        <f t="shared" ca="1" si="13"/>
        <v>-18.93</v>
      </c>
      <c r="J64" s="26">
        <f t="shared" ca="1" si="13"/>
        <v>-19.12</v>
      </c>
      <c r="K64" s="26">
        <f t="shared" ca="1" si="13"/>
        <v>-19.34</v>
      </c>
      <c r="L64" s="26">
        <f t="shared" ca="1" si="13"/>
        <v>-19.579999999999998</v>
      </c>
      <c r="M64" s="26">
        <f t="shared" ca="1" si="13"/>
        <v>-19.809999999999999</v>
      </c>
      <c r="N64" s="26">
        <f t="shared" ca="1" si="13"/>
        <v>-20.059999999999999</v>
      </c>
      <c r="O64" s="26">
        <f t="shared" ca="1" si="13"/>
        <v>-20.38</v>
      </c>
      <c r="P64" s="26">
        <f t="shared" ca="1" si="13"/>
        <v>0</v>
      </c>
      <c r="Q64" s="26">
        <f t="shared" ca="1" si="13"/>
        <v>0</v>
      </c>
      <c r="R64" s="26">
        <f t="shared" ca="1" si="13"/>
        <v>0</v>
      </c>
      <c r="S64" s="26">
        <f t="shared" ca="1" si="13"/>
        <v>0</v>
      </c>
      <c r="T64" s="26">
        <f t="shared" ca="1" si="13"/>
        <v>0</v>
      </c>
      <c r="U64" s="26">
        <f t="shared" ca="1" si="13"/>
        <v>0</v>
      </c>
      <c r="V64" s="26">
        <f t="shared" ca="1" si="13"/>
        <v>0</v>
      </c>
      <c r="W64" s="26">
        <f t="shared" ca="1" si="13"/>
        <v>0</v>
      </c>
      <c r="X64" s="26">
        <f t="shared" ca="1" si="13"/>
        <v>0</v>
      </c>
      <c r="Y64" s="26">
        <f t="shared" ca="1" si="13"/>
        <v>0</v>
      </c>
      <c r="Z64" s="26">
        <f t="shared" ca="1" si="13"/>
        <v>0</v>
      </c>
      <c r="AA64" s="26">
        <f t="shared" ca="1" si="13"/>
        <v>0</v>
      </c>
      <c r="AB64" s="26">
        <f t="shared" ca="1" si="13"/>
        <v>0</v>
      </c>
      <c r="AC64" s="26">
        <f t="shared" ca="1" si="13"/>
        <v>0</v>
      </c>
      <c r="AD64" s="26">
        <f t="shared" ca="1" si="13"/>
        <v>0</v>
      </c>
      <c r="AE64" s="26">
        <f t="shared" ca="1" si="13"/>
        <v>0</v>
      </c>
      <c r="AF64" s="26">
        <f t="shared" ca="1" si="13"/>
        <v>0</v>
      </c>
      <c r="AG64" s="26">
        <f t="shared" ca="1" si="13"/>
        <v>0</v>
      </c>
      <c r="AH64" s="26">
        <f t="shared" ca="1" si="13"/>
        <v>0</v>
      </c>
      <c r="AI64" s="26">
        <f t="shared" ca="1" si="13"/>
        <v>0</v>
      </c>
      <c r="AJ64" s="26">
        <f t="shared" ca="1" si="13"/>
        <v>0</v>
      </c>
      <c r="AK64" s="26">
        <f t="shared" ca="1" si="13"/>
        <v>0</v>
      </c>
      <c r="AL64" s="26">
        <f t="shared" ca="1" si="13"/>
        <v>0</v>
      </c>
    </row>
    <row r="65" spans="1:38" ht="21" hidden="1" customHeight="1" outlineLevel="1" thickBot="1" x14ac:dyDescent="0.4">
      <c r="A65" s="10">
        <f t="shared" si="10"/>
        <v>0</v>
      </c>
      <c r="B65" s="10">
        <f t="shared" si="10"/>
        <v>0</v>
      </c>
      <c r="C65" s="10">
        <f t="shared" si="10"/>
        <v>0</v>
      </c>
      <c r="D65" s="10">
        <f t="shared" si="10"/>
        <v>1</v>
      </c>
      <c r="E65" s="11" t="str">
        <f t="shared" si="10"/>
        <v>H (Ga)</v>
      </c>
      <c r="F65" s="26">
        <f t="shared" ca="1" si="14"/>
        <v>-6.5640000000000001</v>
      </c>
      <c r="G65" s="26">
        <f t="shared" ca="1" si="13"/>
        <v>-7.1589999999999998</v>
      </c>
      <c r="H65" s="26">
        <f t="shared" ca="1" si="13"/>
        <v>-7.6760000000000002</v>
      </c>
      <c r="I65" s="26">
        <f t="shared" ca="1" si="13"/>
        <v>-8.1340000000000003</v>
      </c>
      <c r="J65" s="26">
        <f t="shared" ca="1" si="13"/>
        <v>-8.5860000000000003</v>
      </c>
      <c r="K65" s="26">
        <f t="shared" ca="1" si="13"/>
        <v>-9.1489999999999991</v>
      </c>
      <c r="L65" s="26">
        <f t="shared" ca="1" si="13"/>
        <v>-9.8379999999999992</v>
      </c>
      <c r="M65" s="26">
        <f t="shared" ca="1" si="13"/>
        <v>-10.52</v>
      </c>
      <c r="N65" s="26">
        <f t="shared" ca="1" si="13"/>
        <v>-11.14</v>
      </c>
      <c r="O65" s="26">
        <f t="shared" ca="1" si="13"/>
        <v>-11.68</v>
      </c>
      <c r="P65" s="26">
        <f t="shared" ca="1" si="13"/>
        <v>0</v>
      </c>
      <c r="Q65" s="26">
        <f t="shared" ca="1" si="13"/>
        <v>0</v>
      </c>
      <c r="R65" s="26">
        <f t="shared" ca="1" si="13"/>
        <v>0</v>
      </c>
      <c r="S65" s="26">
        <f t="shared" ca="1" si="13"/>
        <v>0</v>
      </c>
      <c r="T65" s="26">
        <f t="shared" ca="1" si="13"/>
        <v>0</v>
      </c>
      <c r="U65" s="26">
        <f t="shared" ca="1" si="13"/>
        <v>0</v>
      </c>
      <c r="V65" s="26">
        <f t="shared" ca="1" si="13"/>
        <v>0</v>
      </c>
      <c r="W65" s="26">
        <f t="shared" ca="1" si="13"/>
        <v>0</v>
      </c>
      <c r="X65" s="26">
        <f t="shared" ca="1" si="13"/>
        <v>0</v>
      </c>
      <c r="Y65" s="26">
        <f t="shared" ca="1" si="13"/>
        <v>0</v>
      </c>
      <c r="Z65" s="26">
        <f t="shared" ca="1" si="13"/>
        <v>0</v>
      </c>
      <c r="AA65" s="26">
        <f t="shared" ca="1" si="13"/>
        <v>0</v>
      </c>
      <c r="AB65" s="26">
        <f t="shared" ca="1" si="13"/>
        <v>0</v>
      </c>
      <c r="AC65" s="26">
        <f t="shared" ca="1" si="13"/>
        <v>0</v>
      </c>
      <c r="AD65" s="26">
        <f t="shared" ca="1" si="13"/>
        <v>0</v>
      </c>
      <c r="AE65" s="26">
        <f t="shared" ca="1" si="13"/>
        <v>0</v>
      </c>
      <c r="AF65" s="26">
        <f t="shared" ca="1" si="13"/>
        <v>0</v>
      </c>
      <c r="AG65" s="26">
        <f t="shared" ca="1" si="13"/>
        <v>0</v>
      </c>
      <c r="AH65" s="26">
        <f t="shared" ca="1" si="13"/>
        <v>0</v>
      </c>
      <c r="AI65" s="26">
        <f t="shared" ca="1" si="13"/>
        <v>0</v>
      </c>
      <c r="AJ65" s="26">
        <f t="shared" ca="1" si="13"/>
        <v>0</v>
      </c>
      <c r="AK65" s="26">
        <f t="shared" ca="1" si="13"/>
        <v>0</v>
      </c>
      <c r="AL65" s="26">
        <f t="shared" ca="1" si="13"/>
        <v>0</v>
      </c>
    </row>
    <row r="66" spans="1:38" ht="21" hidden="1" customHeight="1" outlineLevel="1" thickBot="1" x14ac:dyDescent="0.4">
      <c r="A66" s="10">
        <f t="shared" ref="A66:E79" si="15">A20</f>
        <v>0</v>
      </c>
      <c r="B66" s="10">
        <f t="shared" si="15"/>
        <v>0</v>
      </c>
      <c r="C66" s="10">
        <f t="shared" si="15"/>
        <v>1</v>
      </c>
      <c r="D66" s="10">
        <f t="shared" si="15"/>
        <v>0</v>
      </c>
      <c r="E66" s="11" t="str">
        <f t="shared" si="15"/>
        <v>H (Ge)</v>
      </c>
      <c r="F66" s="26">
        <f t="shared" ca="1" si="14"/>
        <v>7.1749999999999998</v>
      </c>
      <c r="G66" s="26">
        <f t="shared" ca="1" si="13"/>
        <v>3.5760000000000001</v>
      </c>
      <c r="H66" s="26">
        <f t="shared" ca="1" si="13"/>
        <v>1.1719999999999999</v>
      </c>
      <c r="I66" s="26">
        <f t="shared" ca="1" si="13"/>
        <v>-0.5736</v>
      </c>
      <c r="J66" s="26">
        <f t="shared" ca="1" si="13"/>
        <v>-1.9039999999999999</v>
      </c>
      <c r="K66" s="26">
        <f t="shared" ca="1" si="13"/>
        <v>-2.931</v>
      </c>
      <c r="L66" s="26">
        <f t="shared" ca="1" si="13"/>
        <v>-3.754</v>
      </c>
      <c r="M66" s="26">
        <f t="shared" ca="1" si="13"/>
        <v>-4.4349999999999996</v>
      </c>
      <c r="N66" s="26">
        <f t="shared" ca="1" si="13"/>
        <v>-4.9619999999999997</v>
      </c>
      <c r="O66" s="26">
        <f t="shared" ca="1" si="13"/>
        <v>-5.3040000000000003</v>
      </c>
      <c r="P66" s="26">
        <f t="shared" ca="1" si="13"/>
        <v>0</v>
      </c>
      <c r="Q66" s="26">
        <f t="shared" ca="1" si="13"/>
        <v>0</v>
      </c>
      <c r="R66" s="26">
        <f t="shared" ca="1" si="13"/>
        <v>0</v>
      </c>
      <c r="S66" s="26">
        <f t="shared" ca="1" si="13"/>
        <v>0</v>
      </c>
      <c r="T66" s="26">
        <f t="shared" ca="1" si="13"/>
        <v>0</v>
      </c>
      <c r="U66" s="26">
        <f t="shared" ca="1" si="13"/>
        <v>0</v>
      </c>
      <c r="V66" s="26">
        <f t="shared" ca="1" si="13"/>
        <v>0</v>
      </c>
      <c r="W66" s="26">
        <f t="shared" ca="1" si="13"/>
        <v>0</v>
      </c>
      <c r="X66" s="26">
        <f t="shared" ca="1" si="13"/>
        <v>0</v>
      </c>
      <c r="Y66" s="26">
        <f t="shared" ca="1" si="13"/>
        <v>0</v>
      </c>
      <c r="Z66" s="26">
        <f t="shared" ca="1" si="13"/>
        <v>0</v>
      </c>
      <c r="AA66" s="26">
        <f t="shared" ca="1" si="13"/>
        <v>0</v>
      </c>
      <c r="AB66" s="26">
        <f t="shared" ca="1" si="13"/>
        <v>0</v>
      </c>
      <c r="AC66" s="26">
        <f t="shared" ca="1" si="13"/>
        <v>0</v>
      </c>
      <c r="AD66" s="26">
        <f t="shared" ca="1" si="13"/>
        <v>0</v>
      </c>
      <c r="AE66" s="26">
        <f t="shared" ca="1" si="13"/>
        <v>0</v>
      </c>
      <c r="AF66" s="26">
        <f t="shared" ca="1" si="13"/>
        <v>0</v>
      </c>
      <c r="AG66" s="26">
        <f t="shared" ca="1" si="13"/>
        <v>0</v>
      </c>
      <c r="AH66" s="26">
        <f t="shared" ca="1" si="13"/>
        <v>0</v>
      </c>
      <c r="AI66" s="26">
        <f t="shared" ref="G66:AL75" ca="1" si="16">$A66*H.Ar + $B66*H.Se + $C66*H.Ge + $D66*H.Ga</f>
        <v>0</v>
      </c>
      <c r="AJ66" s="26">
        <f t="shared" ca="1" si="16"/>
        <v>0</v>
      </c>
      <c r="AK66" s="26">
        <f t="shared" ca="1" si="16"/>
        <v>0</v>
      </c>
      <c r="AL66" s="26">
        <f t="shared" ca="1" si="16"/>
        <v>0</v>
      </c>
    </row>
    <row r="67" spans="1:38" ht="21" hidden="1" customHeight="1" outlineLevel="1" thickBot="1" x14ac:dyDescent="0.4">
      <c r="A67" s="10">
        <f t="shared" si="15"/>
        <v>0</v>
      </c>
      <c r="B67" s="10">
        <f t="shared" si="15"/>
        <v>1</v>
      </c>
      <c r="C67" s="10">
        <f t="shared" si="15"/>
        <v>0</v>
      </c>
      <c r="D67" s="10">
        <f t="shared" si="15"/>
        <v>0</v>
      </c>
      <c r="E67" s="11" t="str">
        <f t="shared" si="15"/>
        <v>H (Se)</v>
      </c>
      <c r="F67" s="26">
        <f t="shared" ca="1" si="14"/>
        <v>-4.7</v>
      </c>
      <c r="G67" s="26">
        <f t="shared" ca="1" si="16"/>
        <v>-5.1369999999999996</v>
      </c>
      <c r="H67" s="26">
        <f t="shared" ca="1" si="16"/>
        <v>-5.6130000000000004</v>
      </c>
      <c r="I67" s="26">
        <f t="shared" ca="1" si="16"/>
        <v>-6.069</v>
      </c>
      <c r="J67" s="26">
        <f t="shared" ca="1" si="16"/>
        <v>-6.4870000000000001</v>
      </c>
      <c r="K67" s="26">
        <f t="shared" ca="1" si="16"/>
        <v>-6.8550000000000004</v>
      </c>
      <c r="L67" s="26">
        <f t="shared" ca="1" si="16"/>
        <v>-7.1870000000000003</v>
      </c>
      <c r="M67" s="26">
        <f t="shared" ca="1" si="16"/>
        <v>-7.5110000000000001</v>
      </c>
      <c r="N67" s="26">
        <f t="shared" ca="1" si="16"/>
        <v>-7.8559999999999999</v>
      </c>
      <c r="O67" s="26">
        <f t="shared" ca="1" si="16"/>
        <v>-8.2789999999999999</v>
      </c>
      <c r="P67" s="26">
        <f t="shared" ca="1" si="16"/>
        <v>0</v>
      </c>
      <c r="Q67" s="26">
        <f t="shared" ca="1" si="16"/>
        <v>0</v>
      </c>
      <c r="R67" s="26">
        <f t="shared" ca="1" si="16"/>
        <v>0</v>
      </c>
      <c r="S67" s="26">
        <f t="shared" ca="1" si="16"/>
        <v>0</v>
      </c>
      <c r="T67" s="26">
        <f t="shared" ca="1" si="16"/>
        <v>0</v>
      </c>
      <c r="U67" s="26">
        <f t="shared" ca="1" si="16"/>
        <v>0</v>
      </c>
      <c r="V67" s="26">
        <f t="shared" ca="1" si="16"/>
        <v>0</v>
      </c>
      <c r="W67" s="26">
        <f t="shared" ca="1" si="16"/>
        <v>0</v>
      </c>
      <c r="X67" s="26">
        <f t="shared" ca="1" si="16"/>
        <v>0</v>
      </c>
      <c r="Y67" s="26">
        <f t="shared" ca="1" si="16"/>
        <v>0</v>
      </c>
      <c r="Z67" s="26">
        <f t="shared" ca="1" si="16"/>
        <v>0</v>
      </c>
      <c r="AA67" s="26">
        <f t="shared" ca="1" si="16"/>
        <v>0</v>
      </c>
      <c r="AB67" s="26">
        <f t="shared" ca="1" si="16"/>
        <v>0</v>
      </c>
      <c r="AC67" s="26">
        <f t="shared" ca="1" si="16"/>
        <v>0</v>
      </c>
      <c r="AD67" s="26">
        <f t="shared" ca="1" si="16"/>
        <v>0</v>
      </c>
      <c r="AE67" s="26">
        <f t="shared" ca="1" si="16"/>
        <v>0</v>
      </c>
      <c r="AF67" s="26">
        <f t="shared" ca="1" si="16"/>
        <v>0</v>
      </c>
      <c r="AG67" s="26">
        <f t="shared" ca="1" si="16"/>
        <v>0</v>
      </c>
      <c r="AH67" s="26">
        <f t="shared" ca="1" si="16"/>
        <v>0</v>
      </c>
      <c r="AI67" s="26">
        <f t="shared" ca="1" si="16"/>
        <v>0</v>
      </c>
      <c r="AJ67" s="26">
        <f t="shared" ca="1" si="16"/>
        <v>0</v>
      </c>
      <c r="AK67" s="26">
        <f t="shared" ca="1" si="16"/>
        <v>0</v>
      </c>
      <c r="AL67" s="26">
        <f t="shared" ca="1" si="16"/>
        <v>0</v>
      </c>
    </row>
    <row r="68" spans="1:38" ht="21" hidden="1" customHeight="1" outlineLevel="1" thickBot="1" x14ac:dyDescent="0.4">
      <c r="A68" s="10">
        <f t="shared" si="15"/>
        <v>0</v>
      </c>
      <c r="B68" s="10">
        <f t="shared" si="15"/>
        <v>0</v>
      </c>
      <c r="C68" s="10">
        <f t="shared" si="15"/>
        <v>0</v>
      </c>
      <c r="D68" s="10">
        <f t="shared" si="15"/>
        <v>0</v>
      </c>
      <c r="E68" s="11">
        <f t="shared" si="15"/>
        <v>0</v>
      </c>
      <c r="F68" s="26">
        <f t="shared" ca="1" si="14"/>
        <v>0</v>
      </c>
      <c r="G68" s="26">
        <f t="shared" ca="1" si="16"/>
        <v>0</v>
      </c>
      <c r="H68" s="26">
        <f t="shared" ca="1" si="16"/>
        <v>0</v>
      </c>
      <c r="I68" s="26">
        <f t="shared" ca="1" si="16"/>
        <v>0</v>
      </c>
      <c r="J68" s="26">
        <f t="shared" ca="1" si="16"/>
        <v>0</v>
      </c>
      <c r="K68" s="26">
        <f t="shared" ca="1" si="16"/>
        <v>0</v>
      </c>
      <c r="L68" s="26">
        <f t="shared" ca="1" si="16"/>
        <v>0</v>
      </c>
      <c r="M68" s="26">
        <f t="shared" ca="1" si="16"/>
        <v>0</v>
      </c>
      <c r="N68" s="26">
        <f t="shared" ca="1" si="16"/>
        <v>0</v>
      </c>
      <c r="O68" s="26">
        <f t="shared" ca="1" si="16"/>
        <v>0</v>
      </c>
      <c r="P68" s="26">
        <f t="shared" ca="1" si="16"/>
        <v>0</v>
      </c>
      <c r="Q68" s="26">
        <f t="shared" ca="1" si="16"/>
        <v>0</v>
      </c>
      <c r="R68" s="26">
        <f t="shared" ca="1" si="16"/>
        <v>0</v>
      </c>
      <c r="S68" s="26">
        <f t="shared" ca="1" si="16"/>
        <v>0</v>
      </c>
      <c r="T68" s="26">
        <f t="shared" ca="1" si="16"/>
        <v>0</v>
      </c>
      <c r="U68" s="26">
        <f t="shared" ca="1" si="16"/>
        <v>0</v>
      </c>
      <c r="V68" s="26">
        <f t="shared" ca="1" si="16"/>
        <v>0</v>
      </c>
      <c r="W68" s="26">
        <f t="shared" ca="1" si="16"/>
        <v>0</v>
      </c>
      <c r="X68" s="26">
        <f t="shared" ca="1" si="16"/>
        <v>0</v>
      </c>
      <c r="Y68" s="26">
        <f t="shared" ca="1" si="16"/>
        <v>0</v>
      </c>
      <c r="Z68" s="26">
        <f t="shared" ca="1" si="16"/>
        <v>0</v>
      </c>
      <c r="AA68" s="26">
        <f t="shared" ca="1" si="16"/>
        <v>0</v>
      </c>
      <c r="AB68" s="26">
        <f t="shared" ca="1" si="16"/>
        <v>0</v>
      </c>
      <c r="AC68" s="26">
        <f t="shared" ca="1" si="16"/>
        <v>0</v>
      </c>
      <c r="AD68" s="26">
        <f t="shared" ca="1" si="16"/>
        <v>0</v>
      </c>
      <c r="AE68" s="26">
        <f t="shared" ca="1" si="16"/>
        <v>0</v>
      </c>
      <c r="AF68" s="26">
        <f t="shared" ca="1" si="16"/>
        <v>0</v>
      </c>
      <c r="AG68" s="26">
        <f t="shared" ca="1" si="16"/>
        <v>0</v>
      </c>
      <c r="AH68" s="26">
        <f t="shared" ca="1" si="16"/>
        <v>0</v>
      </c>
      <c r="AI68" s="26">
        <f t="shared" ca="1" si="16"/>
        <v>0</v>
      </c>
      <c r="AJ68" s="26">
        <f t="shared" ca="1" si="16"/>
        <v>0</v>
      </c>
      <c r="AK68" s="26">
        <f t="shared" ca="1" si="16"/>
        <v>0</v>
      </c>
      <c r="AL68" s="26">
        <f t="shared" ca="1" si="16"/>
        <v>0</v>
      </c>
    </row>
    <row r="69" spans="1:38" ht="21" hidden="1" customHeight="1" outlineLevel="1" thickBot="1" x14ac:dyDescent="0.4">
      <c r="A69" s="10">
        <f t="shared" si="15"/>
        <v>0</v>
      </c>
      <c r="B69" s="10">
        <f t="shared" si="15"/>
        <v>0</v>
      </c>
      <c r="C69" s="10">
        <f t="shared" si="15"/>
        <v>0</v>
      </c>
      <c r="D69" s="10">
        <f t="shared" si="15"/>
        <v>0</v>
      </c>
      <c r="E69" s="11">
        <f t="shared" si="15"/>
        <v>0</v>
      </c>
      <c r="F69" s="26">
        <f t="shared" ca="1" si="14"/>
        <v>0</v>
      </c>
      <c r="G69" s="26">
        <f t="shared" ca="1" si="16"/>
        <v>0</v>
      </c>
      <c r="H69" s="26">
        <f t="shared" ca="1" si="16"/>
        <v>0</v>
      </c>
      <c r="I69" s="26">
        <f t="shared" ca="1" si="16"/>
        <v>0</v>
      </c>
      <c r="J69" s="26">
        <f t="shared" ca="1" si="16"/>
        <v>0</v>
      </c>
      <c r="K69" s="26">
        <f t="shared" ca="1" si="16"/>
        <v>0</v>
      </c>
      <c r="L69" s="26">
        <f t="shared" ca="1" si="16"/>
        <v>0</v>
      </c>
      <c r="M69" s="26">
        <f t="shared" ca="1" si="16"/>
        <v>0</v>
      </c>
      <c r="N69" s="26">
        <f t="shared" ca="1" si="16"/>
        <v>0</v>
      </c>
      <c r="O69" s="26">
        <f t="shared" ca="1" si="16"/>
        <v>0</v>
      </c>
      <c r="P69" s="26">
        <f t="shared" ca="1" si="16"/>
        <v>0</v>
      </c>
      <c r="Q69" s="26">
        <f t="shared" ca="1" si="16"/>
        <v>0</v>
      </c>
      <c r="R69" s="26">
        <f t="shared" ca="1" si="16"/>
        <v>0</v>
      </c>
      <c r="S69" s="26">
        <f t="shared" ca="1" si="16"/>
        <v>0</v>
      </c>
      <c r="T69" s="26">
        <f t="shared" ca="1" si="16"/>
        <v>0</v>
      </c>
      <c r="U69" s="26">
        <f t="shared" ca="1" si="16"/>
        <v>0</v>
      </c>
      <c r="V69" s="26">
        <f t="shared" ca="1" si="16"/>
        <v>0</v>
      </c>
      <c r="W69" s="26">
        <f t="shared" ca="1" si="16"/>
        <v>0</v>
      </c>
      <c r="X69" s="26">
        <f t="shared" ca="1" si="16"/>
        <v>0</v>
      </c>
      <c r="Y69" s="26">
        <f t="shared" ca="1" si="16"/>
        <v>0</v>
      </c>
      <c r="Z69" s="26">
        <f t="shared" ca="1" si="16"/>
        <v>0</v>
      </c>
      <c r="AA69" s="26">
        <f t="shared" ca="1" si="16"/>
        <v>0</v>
      </c>
      <c r="AB69" s="26">
        <f t="shared" ca="1" si="16"/>
        <v>0</v>
      </c>
      <c r="AC69" s="26">
        <f t="shared" ca="1" si="16"/>
        <v>0</v>
      </c>
      <c r="AD69" s="26">
        <f t="shared" ca="1" si="16"/>
        <v>0</v>
      </c>
      <c r="AE69" s="26">
        <f t="shared" ca="1" si="16"/>
        <v>0</v>
      </c>
      <c r="AF69" s="26">
        <f t="shared" ca="1" si="16"/>
        <v>0</v>
      </c>
      <c r="AG69" s="26">
        <f t="shared" ca="1" si="16"/>
        <v>0</v>
      </c>
      <c r="AH69" s="26">
        <f t="shared" ca="1" si="16"/>
        <v>0</v>
      </c>
      <c r="AI69" s="26">
        <f t="shared" ca="1" si="16"/>
        <v>0</v>
      </c>
      <c r="AJ69" s="26">
        <f t="shared" ca="1" si="16"/>
        <v>0</v>
      </c>
      <c r="AK69" s="26">
        <f t="shared" ca="1" si="16"/>
        <v>0</v>
      </c>
      <c r="AL69" s="26">
        <f t="shared" ca="1" si="16"/>
        <v>0</v>
      </c>
    </row>
    <row r="70" spans="1:38" ht="21" hidden="1" customHeight="1" outlineLevel="1" thickBot="1" x14ac:dyDescent="0.4">
      <c r="A70" s="10">
        <f t="shared" si="15"/>
        <v>0</v>
      </c>
      <c r="B70" s="10">
        <f t="shared" si="15"/>
        <v>0</v>
      </c>
      <c r="C70" s="10">
        <f t="shared" si="15"/>
        <v>0</v>
      </c>
      <c r="D70" s="10">
        <f t="shared" si="15"/>
        <v>0</v>
      </c>
      <c r="E70" s="11">
        <f t="shared" si="15"/>
        <v>0</v>
      </c>
      <c r="F70" s="26">
        <f t="shared" ref="F70:U78" ca="1" si="17">$A70*H.Ar + $B70*H.Se + $C70*H.Ge + $D70*H.Ga</f>
        <v>0</v>
      </c>
      <c r="G70" s="26">
        <f t="shared" ca="1" si="17"/>
        <v>0</v>
      </c>
      <c r="H70" s="26">
        <f t="shared" ca="1" si="17"/>
        <v>0</v>
      </c>
      <c r="I70" s="26">
        <f t="shared" ca="1" si="17"/>
        <v>0</v>
      </c>
      <c r="J70" s="26">
        <f t="shared" ca="1" si="17"/>
        <v>0</v>
      </c>
      <c r="K70" s="26">
        <f t="shared" ca="1" si="17"/>
        <v>0</v>
      </c>
      <c r="L70" s="26">
        <f t="shared" ca="1" si="17"/>
        <v>0</v>
      </c>
      <c r="M70" s="26">
        <f t="shared" ca="1" si="17"/>
        <v>0</v>
      </c>
      <c r="N70" s="26">
        <f t="shared" ca="1" si="17"/>
        <v>0</v>
      </c>
      <c r="O70" s="26">
        <f t="shared" ca="1" si="17"/>
        <v>0</v>
      </c>
      <c r="P70" s="26">
        <f t="shared" ca="1" si="17"/>
        <v>0</v>
      </c>
      <c r="Q70" s="26">
        <f t="shared" ca="1" si="17"/>
        <v>0</v>
      </c>
      <c r="R70" s="26">
        <f t="shared" ca="1" si="17"/>
        <v>0</v>
      </c>
      <c r="S70" s="26">
        <f t="shared" ca="1" si="17"/>
        <v>0</v>
      </c>
      <c r="T70" s="26">
        <f t="shared" ca="1" si="17"/>
        <v>0</v>
      </c>
      <c r="U70" s="26">
        <f t="shared" ca="1" si="17"/>
        <v>0</v>
      </c>
      <c r="V70" s="26">
        <f t="shared" ca="1" si="16"/>
        <v>0</v>
      </c>
      <c r="W70" s="26">
        <f t="shared" ca="1" si="16"/>
        <v>0</v>
      </c>
      <c r="X70" s="26">
        <f t="shared" ca="1" si="16"/>
        <v>0</v>
      </c>
      <c r="Y70" s="26">
        <f t="shared" ca="1" si="16"/>
        <v>0</v>
      </c>
      <c r="Z70" s="26">
        <f t="shared" ca="1" si="16"/>
        <v>0</v>
      </c>
      <c r="AA70" s="26">
        <f t="shared" ca="1" si="16"/>
        <v>0</v>
      </c>
      <c r="AB70" s="26">
        <f t="shared" ca="1" si="16"/>
        <v>0</v>
      </c>
      <c r="AC70" s="26">
        <f t="shared" ca="1" si="16"/>
        <v>0</v>
      </c>
      <c r="AD70" s="26">
        <f t="shared" ca="1" si="16"/>
        <v>0</v>
      </c>
      <c r="AE70" s="26">
        <f t="shared" ca="1" si="16"/>
        <v>0</v>
      </c>
      <c r="AF70" s="26">
        <f t="shared" ca="1" si="16"/>
        <v>0</v>
      </c>
      <c r="AG70" s="26">
        <f t="shared" ca="1" si="16"/>
        <v>0</v>
      </c>
      <c r="AH70" s="26">
        <f t="shared" ca="1" si="16"/>
        <v>0</v>
      </c>
      <c r="AI70" s="26">
        <f t="shared" ca="1" si="16"/>
        <v>0</v>
      </c>
      <c r="AJ70" s="26">
        <f t="shared" ca="1" si="16"/>
        <v>0</v>
      </c>
      <c r="AK70" s="26">
        <f t="shared" ca="1" si="16"/>
        <v>0</v>
      </c>
      <c r="AL70" s="26">
        <f t="shared" ca="1" si="16"/>
        <v>0</v>
      </c>
    </row>
    <row r="71" spans="1:38" ht="21" hidden="1" customHeight="1" outlineLevel="1" thickBot="1" x14ac:dyDescent="0.4">
      <c r="A71" s="10">
        <f t="shared" si="15"/>
        <v>0</v>
      </c>
      <c r="B71" s="10">
        <f t="shared" si="15"/>
        <v>0</v>
      </c>
      <c r="C71" s="10">
        <f t="shared" si="15"/>
        <v>0</v>
      </c>
      <c r="D71" s="10">
        <f t="shared" si="15"/>
        <v>0</v>
      </c>
      <c r="E71" s="11">
        <f t="shared" si="15"/>
        <v>0</v>
      </c>
      <c r="F71" s="26">
        <f t="shared" ca="1" si="17"/>
        <v>0</v>
      </c>
      <c r="G71" s="26">
        <f t="shared" ca="1" si="16"/>
        <v>0</v>
      </c>
      <c r="H71" s="26">
        <f t="shared" ca="1" si="16"/>
        <v>0</v>
      </c>
      <c r="I71" s="26">
        <f t="shared" ca="1" si="16"/>
        <v>0</v>
      </c>
      <c r="J71" s="26">
        <f t="shared" ca="1" si="16"/>
        <v>0</v>
      </c>
      <c r="K71" s="26">
        <f t="shared" ca="1" si="16"/>
        <v>0</v>
      </c>
      <c r="L71" s="26">
        <f t="shared" ca="1" si="16"/>
        <v>0</v>
      </c>
      <c r="M71" s="26">
        <f t="shared" ca="1" si="16"/>
        <v>0</v>
      </c>
      <c r="N71" s="26">
        <f t="shared" ca="1" si="16"/>
        <v>0</v>
      </c>
      <c r="O71" s="26">
        <f t="shared" ca="1" si="16"/>
        <v>0</v>
      </c>
      <c r="P71" s="26">
        <f t="shared" ca="1" si="16"/>
        <v>0</v>
      </c>
      <c r="Q71" s="26">
        <f t="shared" ca="1" si="16"/>
        <v>0</v>
      </c>
      <c r="R71" s="26">
        <f t="shared" ca="1" si="16"/>
        <v>0</v>
      </c>
      <c r="S71" s="26">
        <f t="shared" ca="1" si="16"/>
        <v>0</v>
      </c>
      <c r="T71" s="26">
        <f t="shared" ca="1" si="16"/>
        <v>0</v>
      </c>
      <c r="U71" s="26">
        <f t="shared" ca="1" si="16"/>
        <v>0</v>
      </c>
      <c r="V71" s="26">
        <f t="shared" ca="1" si="16"/>
        <v>0</v>
      </c>
      <c r="W71" s="26">
        <f t="shared" ca="1" si="16"/>
        <v>0</v>
      </c>
      <c r="X71" s="26">
        <f t="shared" ca="1" si="16"/>
        <v>0</v>
      </c>
      <c r="Y71" s="26">
        <f t="shared" ca="1" si="16"/>
        <v>0</v>
      </c>
      <c r="Z71" s="26">
        <f t="shared" ca="1" si="16"/>
        <v>0</v>
      </c>
      <c r="AA71" s="26">
        <f t="shared" ca="1" si="16"/>
        <v>0</v>
      </c>
      <c r="AB71" s="26">
        <f t="shared" ca="1" si="16"/>
        <v>0</v>
      </c>
      <c r="AC71" s="26">
        <f t="shared" ca="1" si="16"/>
        <v>0</v>
      </c>
      <c r="AD71" s="26">
        <f t="shared" ca="1" si="16"/>
        <v>0</v>
      </c>
      <c r="AE71" s="26">
        <f t="shared" ca="1" si="16"/>
        <v>0</v>
      </c>
      <c r="AF71" s="26">
        <f t="shared" ca="1" si="16"/>
        <v>0</v>
      </c>
      <c r="AG71" s="26">
        <f t="shared" ca="1" si="16"/>
        <v>0</v>
      </c>
      <c r="AH71" s="26">
        <f t="shared" ca="1" si="16"/>
        <v>0</v>
      </c>
      <c r="AI71" s="26">
        <f t="shared" ca="1" si="16"/>
        <v>0</v>
      </c>
      <c r="AJ71" s="26">
        <f t="shared" ca="1" si="16"/>
        <v>0</v>
      </c>
      <c r="AK71" s="26">
        <f t="shared" ca="1" si="16"/>
        <v>0</v>
      </c>
      <c r="AL71" s="26">
        <f t="shared" ca="1" si="16"/>
        <v>0</v>
      </c>
    </row>
    <row r="72" spans="1:38" ht="21" hidden="1" customHeight="1" outlineLevel="1" thickBot="1" x14ac:dyDescent="0.4">
      <c r="A72" s="10">
        <f t="shared" si="15"/>
        <v>0</v>
      </c>
      <c r="B72" s="10">
        <f t="shared" si="15"/>
        <v>0</v>
      </c>
      <c r="C72" s="10">
        <f t="shared" si="15"/>
        <v>0</v>
      </c>
      <c r="D72" s="10">
        <f t="shared" si="15"/>
        <v>0</v>
      </c>
      <c r="E72" s="11">
        <f t="shared" si="15"/>
        <v>0</v>
      </c>
      <c r="F72" s="26">
        <f t="shared" ca="1" si="17"/>
        <v>0</v>
      </c>
      <c r="G72" s="26">
        <f t="shared" ca="1" si="16"/>
        <v>0</v>
      </c>
      <c r="H72" s="26">
        <f t="shared" ca="1" si="16"/>
        <v>0</v>
      </c>
      <c r="I72" s="26">
        <f t="shared" ca="1" si="16"/>
        <v>0</v>
      </c>
      <c r="J72" s="26">
        <f t="shared" ca="1" si="16"/>
        <v>0</v>
      </c>
      <c r="K72" s="26">
        <f t="shared" ca="1" si="16"/>
        <v>0</v>
      </c>
      <c r="L72" s="26">
        <f t="shared" ca="1" si="16"/>
        <v>0</v>
      </c>
      <c r="M72" s="26">
        <f t="shared" ca="1" si="16"/>
        <v>0</v>
      </c>
      <c r="N72" s="26">
        <f t="shared" ca="1" si="16"/>
        <v>0</v>
      </c>
      <c r="O72" s="26">
        <f t="shared" ca="1" si="16"/>
        <v>0</v>
      </c>
      <c r="P72" s="26">
        <f t="shared" ca="1" si="16"/>
        <v>0</v>
      </c>
      <c r="Q72" s="26">
        <f t="shared" ca="1" si="16"/>
        <v>0</v>
      </c>
      <c r="R72" s="26">
        <f t="shared" ca="1" si="16"/>
        <v>0</v>
      </c>
      <c r="S72" s="26">
        <f t="shared" ca="1" si="16"/>
        <v>0</v>
      </c>
      <c r="T72" s="26">
        <f t="shared" ca="1" si="16"/>
        <v>0</v>
      </c>
      <c r="U72" s="26">
        <f t="shared" ca="1" si="16"/>
        <v>0</v>
      </c>
      <c r="V72" s="26">
        <f t="shared" ca="1" si="16"/>
        <v>0</v>
      </c>
      <c r="W72" s="26">
        <f t="shared" ca="1" si="16"/>
        <v>0</v>
      </c>
      <c r="X72" s="26">
        <f t="shared" ca="1" si="16"/>
        <v>0</v>
      </c>
      <c r="Y72" s="26">
        <f t="shared" ca="1" si="16"/>
        <v>0</v>
      </c>
      <c r="Z72" s="26">
        <f t="shared" ca="1" si="16"/>
        <v>0</v>
      </c>
      <c r="AA72" s="26">
        <f t="shared" ca="1" si="16"/>
        <v>0</v>
      </c>
      <c r="AB72" s="26">
        <f t="shared" ca="1" si="16"/>
        <v>0</v>
      </c>
      <c r="AC72" s="26">
        <f t="shared" ca="1" si="16"/>
        <v>0</v>
      </c>
      <c r="AD72" s="26">
        <f t="shared" ca="1" si="16"/>
        <v>0</v>
      </c>
      <c r="AE72" s="26">
        <f t="shared" ca="1" si="16"/>
        <v>0</v>
      </c>
      <c r="AF72" s="26">
        <f t="shared" ca="1" si="16"/>
        <v>0</v>
      </c>
      <c r="AG72" s="26">
        <f t="shared" ca="1" si="16"/>
        <v>0</v>
      </c>
      <c r="AH72" s="26">
        <f t="shared" ca="1" si="16"/>
        <v>0</v>
      </c>
      <c r="AI72" s="26">
        <f t="shared" ca="1" si="16"/>
        <v>0</v>
      </c>
      <c r="AJ72" s="26">
        <f t="shared" ca="1" si="16"/>
        <v>0</v>
      </c>
      <c r="AK72" s="26">
        <f t="shared" ca="1" si="16"/>
        <v>0</v>
      </c>
      <c r="AL72" s="26">
        <f t="shared" ca="1" si="16"/>
        <v>0</v>
      </c>
    </row>
    <row r="73" spans="1:38" ht="21" hidden="1" customHeight="1" outlineLevel="1" thickBot="1" x14ac:dyDescent="0.4">
      <c r="A73" s="10">
        <f t="shared" si="15"/>
        <v>0</v>
      </c>
      <c r="B73" s="10">
        <f t="shared" si="15"/>
        <v>0</v>
      </c>
      <c r="C73" s="10">
        <f t="shared" si="15"/>
        <v>0</v>
      </c>
      <c r="D73" s="10">
        <f t="shared" si="15"/>
        <v>0</v>
      </c>
      <c r="E73" s="11">
        <f t="shared" si="15"/>
        <v>0</v>
      </c>
      <c r="F73" s="26">
        <f t="shared" ca="1" si="17"/>
        <v>0</v>
      </c>
      <c r="G73" s="26">
        <f t="shared" ca="1" si="16"/>
        <v>0</v>
      </c>
      <c r="H73" s="26">
        <f t="shared" ca="1" si="16"/>
        <v>0</v>
      </c>
      <c r="I73" s="26">
        <f t="shared" ca="1" si="16"/>
        <v>0</v>
      </c>
      <c r="J73" s="26">
        <f t="shared" ca="1" si="16"/>
        <v>0</v>
      </c>
      <c r="K73" s="26">
        <f t="shared" ca="1" si="16"/>
        <v>0</v>
      </c>
      <c r="L73" s="26">
        <f t="shared" ca="1" si="16"/>
        <v>0</v>
      </c>
      <c r="M73" s="26">
        <f t="shared" ca="1" si="16"/>
        <v>0</v>
      </c>
      <c r="N73" s="26">
        <f t="shared" ca="1" si="16"/>
        <v>0</v>
      </c>
      <c r="O73" s="26">
        <f t="shared" ca="1" si="16"/>
        <v>0</v>
      </c>
      <c r="P73" s="26">
        <f t="shared" ca="1" si="16"/>
        <v>0</v>
      </c>
      <c r="Q73" s="26">
        <f t="shared" ca="1" si="16"/>
        <v>0</v>
      </c>
      <c r="R73" s="26">
        <f t="shared" ca="1" si="16"/>
        <v>0</v>
      </c>
      <c r="S73" s="26">
        <f t="shared" ca="1" si="16"/>
        <v>0</v>
      </c>
      <c r="T73" s="26">
        <f t="shared" ca="1" si="16"/>
        <v>0</v>
      </c>
      <c r="U73" s="26">
        <f t="shared" ca="1" si="16"/>
        <v>0</v>
      </c>
      <c r="V73" s="26">
        <f t="shared" ca="1" si="16"/>
        <v>0</v>
      </c>
      <c r="W73" s="26">
        <f t="shared" ca="1" si="16"/>
        <v>0</v>
      </c>
      <c r="X73" s="26">
        <f t="shared" ca="1" si="16"/>
        <v>0</v>
      </c>
      <c r="Y73" s="26">
        <f t="shared" ca="1" si="16"/>
        <v>0</v>
      </c>
      <c r="Z73" s="26">
        <f t="shared" ca="1" si="16"/>
        <v>0</v>
      </c>
      <c r="AA73" s="26">
        <f t="shared" ca="1" si="16"/>
        <v>0</v>
      </c>
      <c r="AB73" s="26">
        <f t="shared" ca="1" si="16"/>
        <v>0</v>
      </c>
      <c r="AC73" s="26">
        <f t="shared" ca="1" si="16"/>
        <v>0</v>
      </c>
      <c r="AD73" s="26">
        <f t="shared" ca="1" si="16"/>
        <v>0</v>
      </c>
      <c r="AE73" s="26">
        <f t="shared" ca="1" si="16"/>
        <v>0</v>
      </c>
      <c r="AF73" s="26">
        <f t="shared" ca="1" si="16"/>
        <v>0</v>
      </c>
      <c r="AG73" s="26">
        <f t="shared" ca="1" si="16"/>
        <v>0</v>
      </c>
      <c r="AH73" s="26">
        <f t="shared" ca="1" si="16"/>
        <v>0</v>
      </c>
      <c r="AI73" s="26">
        <f t="shared" ca="1" si="16"/>
        <v>0</v>
      </c>
      <c r="AJ73" s="26">
        <f t="shared" ca="1" si="16"/>
        <v>0</v>
      </c>
      <c r="AK73" s="26">
        <f t="shared" ca="1" si="16"/>
        <v>0</v>
      </c>
      <c r="AL73" s="26">
        <f t="shared" ca="1" si="16"/>
        <v>0</v>
      </c>
    </row>
    <row r="74" spans="1:38" ht="21" hidden="1" customHeight="1" outlineLevel="1" thickBot="1" x14ac:dyDescent="0.4">
      <c r="A74" s="10">
        <f t="shared" si="15"/>
        <v>0</v>
      </c>
      <c r="B74" s="10">
        <f t="shared" si="15"/>
        <v>0</v>
      </c>
      <c r="C74" s="10">
        <f t="shared" si="15"/>
        <v>0</v>
      </c>
      <c r="D74" s="10">
        <f t="shared" si="15"/>
        <v>0</v>
      </c>
      <c r="E74" s="11">
        <f t="shared" si="15"/>
        <v>0</v>
      </c>
      <c r="F74" s="26">
        <f t="shared" ca="1" si="17"/>
        <v>0</v>
      </c>
      <c r="G74" s="26">
        <f t="shared" ca="1" si="16"/>
        <v>0</v>
      </c>
      <c r="H74" s="26">
        <f t="shared" ca="1" si="16"/>
        <v>0</v>
      </c>
      <c r="I74" s="26">
        <f t="shared" ca="1" si="16"/>
        <v>0</v>
      </c>
      <c r="J74" s="26">
        <f t="shared" ca="1" si="16"/>
        <v>0</v>
      </c>
      <c r="K74" s="26">
        <f t="shared" ca="1" si="16"/>
        <v>0</v>
      </c>
      <c r="L74" s="26">
        <f t="shared" ca="1" si="16"/>
        <v>0</v>
      </c>
      <c r="M74" s="26">
        <f t="shared" ca="1" si="16"/>
        <v>0</v>
      </c>
      <c r="N74" s="26">
        <f t="shared" ca="1" si="16"/>
        <v>0</v>
      </c>
      <c r="O74" s="26">
        <f t="shared" ca="1" si="16"/>
        <v>0</v>
      </c>
      <c r="P74" s="26">
        <f t="shared" ca="1" si="16"/>
        <v>0</v>
      </c>
      <c r="Q74" s="26">
        <f t="shared" ca="1" si="16"/>
        <v>0</v>
      </c>
      <c r="R74" s="26">
        <f t="shared" ca="1" si="16"/>
        <v>0</v>
      </c>
      <c r="S74" s="26">
        <f t="shared" ca="1" si="16"/>
        <v>0</v>
      </c>
      <c r="T74" s="26">
        <f t="shared" ca="1" si="16"/>
        <v>0</v>
      </c>
      <c r="U74" s="26">
        <f t="shared" ca="1" si="16"/>
        <v>0</v>
      </c>
      <c r="V74" s="26">
        <f t="shared" ca="1" si="16"/>
        <v>0</v>
      </c>
      <c r="W74" s="26">
        <f t="shared" ca="1" si="16"/>
        <v>0</v>
      </c>
      <c r="X74" s="26">
        <f t="shared" ca="1" si="16"/>
        <v>0</v>
      </c>
      <c r="Y74" s="26">
        <f t="shared" ca="1" si="16"/>
        <v>0</v>
      </c>
      <c r="Z74" s="26">
        <f t="shared" ca="1" si="16"/>
        <v>0</v>
      </c>
      <c r="AA74" s="26">
        <f t="shared" ca="1" si="16"/>
        <v>0</v>
      </c>
      <c r="AB74" s="26">
        <f t="shared" ca="1" si="16"/>
        <v>0</v>
      </c>
      <c r="AC74" s="26">
        <f t="shared" ca="1" si="16"/>
        <v>0</v>
      </c>
      <c r="AD74" s="26">
        <f t="shared" ca="1" si="16"/>
        <v>0</v>
      </c>
      <c r="AE74" s="26">
        <f t="shared" ca="1" si="16"/>
        <v>0</v>
      </c>
      <c r="AF74" s="26">
        <f t="shared" ca="1" si="16"/>
        <v>0</v>
      </c>
      <c r="AG74" s="26">
        <f t="shared" ca="1" si="16"/>
        <v>0</v>
      </c>
      <c r="AH74" s="26">
        <f t="shared" ca="1" si="16"/>
        <v>0</v>
      </c>
      <c r="AI74" s="26">
        <f t="shared" ca="1" si="16"/>
        <v>0</v>
      </c>
      <c r="AJ74" s="26">
        <f t="shared" ca="1" si="16"/>
        <v>0</v>
      </c>
      <c r="AK74" s="26">
        <f t="shared" ca="1" si="16"/>
        <v>0</v>
      </c>
      <c r="AL74" s="26">
        <f t="shared" ca="1" si="16"/>
        <v>0</v>
      </c>
    </row>
    <row r="75" spans="1:38" ht="21" hidden="1" customHeight="1" outlineLevel="1" thickBot="1" x14ac:dyDescent="0.4">
      <c r="A75" s="10">
        <f t="shared" si="15"/>
        <v>0</v>
      </c>
      <c r="B75" s="10">
        <f t="shared" si="15"/>
        <v>0</v>
      </c>
      <c r="C75" s="10">
        <f t="shared" si="15"/>
        <v>0</v>
      </c>
      <c r="D75" s="10">
        <f t="shared" si="15"/>
        <v>0</v>
      </c>
      <c r="E75" s="11">
        <f t="shared" si="15"/>
        <v>0</v>
      </c>
      <c r="F75" s="26">
        <f t="shared" ca="1" si="17"/>
        <v>0</v>
      </c>
      <c r="G75" s="26">
        <f t="shared" ca="1" si="16"/>
        <v>0</v>
      </c>
      <c r="H75" s="26">
        <f t="shared" ca="1" si="16"/>
        <v>0</v>
      </c>
      <c r="I75" s="26">
        <f t="shared" ca="1" si="16"/>
        <v>0</v>
      </c>
      <c r="J75" s="26">
        <f t="shared" ca="1" si="16"/>
        <v>0</v>
      </c>
      <c r="K75" s="26">
        <f t="shared" ca="1" si="16"/>
        <v>0</v>
      </c>
      <c r="L75" s="26">
        <f t="shared" ca="1" si="16"/>
        <v>0</v>
      </c>
      <c r="M75" s="26">
        <f t="shared" ca="1" si="16"/>
        <v>0</v>
      </c>
      <c r="N75" s="26">
        <f t="shared" ca="1" si="16"/>
        <v>0</v>
      </c>
      <c r="O75" s="26">
        <f t="shared" ca="1" si="16"/>
        <v>0</v>
      </c>
      <c r="P75" s="26">
        <f t="shared" ca="1" si="16"/>
        <v>0</v>
      </c>
      <c r="Q75" s="26">
        <f t="shared" ref="G75:AL78" ca="1" si="18">$A75*H.Ar + $B75*H.Se + $C75*H.Ge + $D75*H.Ga</f>
        <v>0</v>
      </c>
      <c r="R75" s="26">
        <f t="shared" ca="1" si="18"/>
        <v>0</v>
      </c>
      <c r="S75" s="26">
        <f t="shared" ca="1" si="18"/>
        <v>0</v>
      </c>
      <c r="T75" s="26">
        <f t="shared" ca="1" si="18"/>
        <v>0</v>
      </c>
      <c r="U75" s="26">
        <f t="shared" ca="1" si="18"/>
        <v>0</v>
      </c>
      <c r="V75" s="26">
        <f t="shared" ca="1" si="18"/>
        <v>0</v>
      </c>
      <c r="W75" s="26">
        <f t="shared" ca="1" si="18"/>
        <v>0</v>
      </c>
      <c r="X75" s="26">
        <f t="shared" ca="1" si="18"/>
        <v>0</v>
      </c>
      <c r="Y75" s="26">
        <f t="shared" ca="1" si="18"/>
        <v>0</v>
      </c>
      <c r="Z75" s="26">
        <f t="shared" ca="1" si="18"/>
        <v>0</v>
      </c>
      <c r="AA75" s="26">
        <f t="shared" ca="1" si="18"/>
        <v>0</v>
      </c>
      <c r="AB75" s="26">
        <f t="shared" ca="1" si="18"/>
        <v>0</v>
      </c>
      <c r="AC75" s="26">
        <f t="shared" ca="1" si="18"/>
        <v>0</v>
      </c>
      <c r="AD75" s="26">
        <f t="shared" ca="1" si="18"/>
        <v>0</v>
      </c>
      <c r="AE75" s="26">
        <f t="shared" ca="1" si="18"/>
        <v>0</v>
      </c>
      <c r="AF75" s="26">
        <f t="shared" ca="1" si="18"/>
        <v>0</v>
      </c>
      <c r="AG75" s="26">
        <f t="shared" ca="1" si="18"/>
        <v>0</v>
      </c>
      <c r="AH75" s="26">
        <f t="shared" ca="1" si="18"/>
        <v>0</v>
      </c>
      <c r="AI75" s="26">
        <f t="shared" ca="1" si="18"/>
        <v>0</v>
      </c>
      <c r="AJ75" s="26">
        <f t="shared" ca="1" si="18"/>
        <v>0</v>
      </c>
      <c r="AK75" s="26">
        <f t="shared" ca="1" si="18"/>
        <v>0</v>
      </c>
      <c r="AL75" s="26">
        <f t="shared" ca="1" si="18"/>
        <v>0</v>
      </c>
    </row>
    <row r="76" spans="1:38" ht="21" hidden="1" customHeight="1" outlineLevel="1" thickBot="1" x14ac:dyDescent="0.4">
      <c r="A76" s="10">
        <f t="shared" si="15"/>
        <v>0</v>
      </c>
      <c r="B76" s="10">
        <f t="shared" si="15"/>
        <v>0</v>
      </c>
      <c r="C76" s="10">
        <f t="shared" si="15"/>
        <v>0</v>
      </c>
      <c r="D76" s="10">
        <f t="shared" si="15"/>
        <v>0</v>
      </c>
      <c r="E76" s="11">
        <f t="shared" si="15"/>
        <v>0</v>
      </c>
      <c r="F76" s="26">
        <f t="shared" ca="1" si="17"/>
        <v>0</v>
      </c>
      <c r="G76" s="26">
        <f t="shared" ca="1" si="18"/>
        <v>0</v>
      </c>
      <c r="H76" s="26">
        <f t="shared" ca="1" si="18"/>
        <v>0</v>
      </c>
      <c r="I76" s="26">
        <f t="shared" ca="1" si="18"/>
        <v>0</v>
      </c>
      <c r="J76" s="26">
        <f t="shared" ca="1" si="18"/>
        <v>0</v>
      </c>
      <c r="K76" s="26">
        <f t="shared" ca="1" si="18"/>
        <v>0</v>
      </c>
      <c r="L76" s="26">
        <f t="shared" ca="1" si="18"/>
        <v>0</v>
      </c>
      <c r="M76" s="26">
        <f t="shared" ca="1" si="18"/>
        <v>0</v>
      </c>
      <c r="N76" s="26">
        <f t="shared" ca="1" si="18"/>
        <v>0</v>
      </c>
      <c r="O76" s="26">
        <f t="shared" ca="1" si="18"/>
        <v>0</v>
      </c>
      <c r="P76" s="26">
        <f t="shared" ca="1" si="18"/>
        <v>0</v>
      </c>
      <c r="Q76" s="26">
        <f t="shared" ca="1" si="18"/>
        <v>0</v>
      </c>
      <c r="R76" s="26">
        <f t="shared" ca="1" si="18"/>
        <v>0</v>
      </c>
      <c r="S76" s="26">
        <f t="shared" ca="1" si="18"/>
        <v>0</v>
      </c>
      <c r="T76" s="26">
        <f t="shared" ca="1" si="18"/>
        <v>0</v>
      </c>
      <c r="U76" s="26">
        <f t="shared" ca="1" si="18"/>
        <v>0</v>
      </c>
      <c r="V76" s="26">
        <f t="shared" ca="1" si="18"/>
        <v>0</v>
      </c>
      <c r="W76" s="26">
        <f t="shared" ca="1" si="18"/>
        <v>0</v>
      </c>
      <c r="X76" s="26">
        <f t="shared" ca="1" si="18"/>
        <v>0</v>
      </c>
      <c r="Y76" s="26">
        <f t="shared" ca="1" si="18"/>
        <v>0</v>
      </c>
      <c r="Z76" s="26">
        <f t="shared" ca="1" si="18"/>
        <v>0</v>
      </c>
      <c r="AA76" s="26">
        <f t="shared" ca="1" si="18"/>
        <v>0</v>
      </c>
      <c r="AB76" s="26">
        <f t="shared" ca="1" si="18"/>
        <v>0</v>
      </c>
      <c r="AC76" s="26">
        <f t="shared" ca="1" si="18"/>
        <v>0</v>
      </c>
      <c r="AD76" s="26">
        <f t="shared" ca="1" si="18"/>
        <v>0</v>
      </c>
      <c r="AE76" s="26">
        <f t="shared" ca="1" si="18"/>
        <v>0</v>
      </c>
      <c r="AF76" s="26">
        <f t="shared" ca="1" si="18"/>
        <v>0</v>
      </c>
      <c r="AG76" s="26">
        <f t="shared" ca="1" si="18"/>
        <v>0</v>
      </c>
      <c r="AH76" s="26">
        <f t="shared" ca="1" si="18"/>
        <v>0</v>
      </c>
      <c r="AI76" s="26">
        <f t="shared" ca="1" si="18"/>
        <v>0</v>
      </c>
      <c r="AJ76" s="26">
        <f t="shared" ca="1" si="18"/>
        <v>0</v>
      </c>
      <c r="AK76" s="26">
        <f t="shared" ca="1" si="18"/>
        <v>0</v>
      </c>
      <c r="AL76" s="26">
        <f t="shared" ca="1" si="18"/>
        <v>0</v>
      </c>
    </row>
    <row r="77" spans="1:38" ht="21" hidden="1" customHeight="1" outlineLevel="1" thickBot="1" x14ac:dyDescent="0.4">
      <c r="A77" s="10">
        <f t="shared" si="15"/>
        <v>0</v>
      </c>
      <c r="B77" s="10">
        <f t="shared" si="15"/>
        <v>0</v>
      </c>
      <c r="C77" s="10">
        <f t="shared" si="15"/>
        <v>0</v>
      </c>
      <c r="D77" s="10">
        <f t="shared" si="15"/>
        <v>0</v>
      </c>
      <c r="E77" s="11">
        <f t="shared" si="15"/>
        <v>0</v>
      </c>
      <c r="F77" s="26">
        <f t="shared" ca="1" si="17"/>
        <v>0</v>
      </c>
      <c r="G77" s="26">
        <f t="shared" ca="1" si="18"/>
        <v>0</v>
      </c>
      <c r="H77" s="26">
        <f t="shared" ca="1" si="18"/>
        <v>0</v>
      </c>
      <c r="I77" s="26">
        <f t="shared" ca="1" si="18"/>
        <v>0</v>
      </c>
      <c r="J77" s="26">
        <f t="shared" ca="1" si="18"/>
        <v>0</v>
      </c>
      <c r="K77" s="26">
        <f t="shared" ca="1" si="18"/>
        <v>0</v>
      </c>
      <c r="L77" s="26">
        <f t="shared" ca="1" si="18"/>
        <v>0</v>
      </c>
      <c r="M77" s="26">
        <f t="shared" ca="1" si="18"/>
        <v>0</v>
      </c>
      <c r="N77" s="26">
        <f t="shared" ca="1" si="18"/>
        <v>0</v>
      </c>
      <c r="O77" s="26">
        <f t="shared" ca="1" si="18"/>
        <v>0</v>
      </c>
      <c r="P77" s="26">
        <f t="shared" ca="1" si="18"/>
        <v>0</v>
      </c>
      <c r="Q77" s="26">
        <f t="shared" ca="1" si="18"/>
        <v>0</v>
      </c>
      <c r="R77" s="26">
        <f t="shared" ca="1" si="18"/>
        <v>0</v>
      </c>
      <c r="S77" s="26">
        <f t="shared" ca="1" si="18"/>
        <v>0</v>
      </c>
      <c r="T77" s="26">
        <f t="shared" ca="1" si="18"/>
        <v>0</v>
      </c>
      <c r="U77" s="26">
        <f t="shared" ca="1" si="18"/>
        <v>0</v>
      </c>
      <c r="V77" s="26">
        <f t="shared" ca="1" si="18"/>
        <v>0</v>
      </c>
      <c r="W77" s="26">
        <f t="shared" ca="1" si="18"/>
        <v>0</v>
      </c>
      <c r="X77" s="26">
        <f t="shared" ca="1" si="18"/>
        <v>0</v>
      </c>
      <c r="Y77" s="26">
        <f t="shared" ca="1" si="18"/>
        <v>0</v>
      </c>
      <c r="Z77" s="26">
        <f t="shared" ca="1" si="18"/>
        <v>0</v>
      </c>
      <c r="AA77" s="26">
        <f t="shared" ca="1" si="18"/>
        <v>0</v>
      </c>
      <c r="AB77" s="26">
        <f t="shared" ca="1" si="18"/>
        <v>0</v>
      </c>
      <c r="AC77" s="26">
        <f t="shared" ca="1" si="18"/>
        <v>0</v>
      </c>
      <c r="AD77" s="26">
        <f t="shared" ca="1" si="18"/>
        <v>0</v>
      </c>
      <c r="AE77" s="26">
        <f t="shared" ca="1" si="18"/>
        <v>0</v>
      </c>
      <c r="AF77" s="26">
        <f t="shared" ca="1" si="18"/>
        <v>0</v>
      </c>
      <c r="AG77" s="26">
        <f t="shared" ca="1" si="18"/>
        <v>0</v>
      </c>
      <c r="AH77" s="26">
        <f t="shared" ca="1" si="18"/>
        <v>0</v>
      </c>
      <c r="AI77" s="26">
        <f t="shared" ca="1" si="18"/>
        <v>0</v>
      </c>
      <c r="AJ77" s="26">
        <f t="shared" ca="1" si="18"/>
        <v>0</v>
      </c>
      <c r="AK77" s="26">
        <f t="shared" ca="1" si="18"/>
        <v>0</v>
      </c>
      <c r="AL77" s="26">
        <f t="shared" ca="1" si="18"/>
        <v>0</v>
      </c>
    </row>
    <row r="78" spans="1:38" ht="21" hidden="1" customHeight="1" outlineLevel="1" thickBot="1" x14ac:dyDescent="0.4">
      <c r="A78" s="10">
        <f t="shared" si="15"/>
        <v>0</v>
      </c>
      <c r="B78" s="10">
        <f t="shared" si="15"/>
        <v>0</v>
      </c>
      <c r="C78" s="10">
        <f t="shared" si="15"/>
        <v>0</v>
      </c>
      <c r="D78" s="10">
        <f t="shared" si="15"/>
        <v>0</v>
      </c>
      <c r="E78" s="11">
        <f t="shared" si="15"/>
        <v>0</v>
      </c>
      <c r="F78" s="26">
        <f t="shared" ca="1" si="17"/>
        <v>0</v>
      </c>
      <c r="G78" s="26">
        <f t="shared" ca="1" si="18"/>
        <v>0</v>
      </c>
      <c r="H78" s="26">
        <f t="shared" ca="1" si="18"/>
        <v>0</v>
      </c>
      <c r="I78" s="26">
        <f t="shared" ca="1" si="18"/>
        <v>0</v>
      </c>
      <c r="J78" s="26">
        <f t="shared" ca="1" si="18"/>
        <v>0</v>
      </c>
      <c r="K78" s="26">
        <f t="shared" ca="1" si="18"/>
        <v>0</v>
      </c>
      <c r="L78" s="26">
        <f t="shared" ca="1" si="18"/>
        <v>0</v>
      </c>
      <c r="M78" s="26">
        <f t="shared" ca="1" si="18"/>
        <v>0</v>
      </c>
      <c r="N78" s="26">
        <f t="shared" ca="1" si="18"/>
        <v>0</v>
      </c>
      <c r="O78" s="26">
        <f t="shared" ca="1" si="18"/>
        <v>0</v>
      </c>
      <c r="P78" s="26">
        <f t="shared" ca="1" si="18"/>
        <v>0</v>
      </c>
      <c r="Q78" s="26">
        <f t="shared" ca="1" si="18"/>
        <v>0</v>
      </c>
      <c r="R78" s="26">
        <f t="shared" ca="1" si="18"/>
        <v>0</v>
      </c>
      <c r="S78" s="26">
        <f t="shared" ca="1" si="18"/>
        <v>0</v>
      </c>
      <c r="T78" s="26">
        <f t="shared" ca="1" si="18"/>
        <v>0</v>
      </c>
      <c r="U78" s="26">
        <f t="shared" ca="1" si="18"/>
        <v>0</v>
      </c>
      <c r="V78" s="26">
        <f t="shared" ca="1" si="18"/>
        <v>0</v>
      </c>
      <c r="W78" s="26">
        <f t="shared" ca="1" si="18"/>
        <v>0</v>
      </c>
      <c r="X78" s="26">
        <f t="shared" ca="1" si="18"/>
        <v>0</v>
      </c>
      <c r="Y78" s="26">
        <f t="shared" ca="1" si="18"/>
        <v>0</v>
      </c>
      <c r="Z78" s="26">
        <f t="shared" ca="1" si="18"/>
        <v>0</v>
      </c>
      <c r="AA78" s="26">
        <f t="shared" ca="1" si="18"/>
        <v>0</v>
      </c>
      <c r="AB78" s="26">
        <f t="shared" ca="1" si="18"/>
        <v>0</v>
      </c>
      <c r="AC78" s="26">
        <f t="shared" ca="1" si="18"/>
        <v>0</v>
      </c>
      <c r="AD78" s="26">
        <f t="shared" ca="1" si="18"/>
        <v>0</v>
      </c>
      <c r="AE78" s="26">
        <f t="shared" ca="1" si="18"/>
        <v>0</v>
      </c>
      <c r="AF78" s="26">
        <f t="shared" ca="1" si="18"/>
        <v>0</v>
      </c>
      <c r="AG78" s="26">
        <f t="shared" ca="1" si="18"/>
        <v>0</v>
      </c>
      <c r="AH78" s="26">
        <f t="shared" ca="1" si="18"/>
        <v>0</v>
      </c>
      <c r="AI78" s="26">
        <f t="shared" ca="1" si="18"/>
        <v>0</v>
      </c>
      <c r="AJ78" s="26">
        <f t="shared" ca="1" si="18"/>
        <v>0</v>
      </c>
      <c r="AK78" s="26">
        <f t="shared" ca="1" si="18"/>
        <v>0</v>
      </c>
      <c r="AL78" s="26">
        <f t="shared" ca="1" si="18"/>
        <v>0</v>
      </c>
    </row>
    <row r="79" spans="1:38" ht="21" hidden="1" customHeight="1" outlineLevel="1" thickBot="1" x14ac:dyDescent="0.4">
      <c r="A79" s="10">
        <f t="shared" si="15"/>
        <v>0</v>
      </c>
      <c r="B79" s="10">
        <f t="shared" si="15"/>
        <v>0</v>
      </c>
      <c r="C79" s="10">
        <f t="shared" si="15"/>
        <v>0</v>
      </c>
      <c r="D79" s="10">
        <f t="shared" si="15"/>
        <v>0</v>
      </c>
      <c r="E79" s="11">
        <f t="shared" si="15"/>
        <v>1</v>
      </c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1:38" ht="21" hidden="1" customHeight="1" outlineLevel="1" x14ac:dyDescent="0.35"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</row>
    <row r="81" spans="1:38" ht="21" customHeight="1" collapsed="1" x14ac:dyDescent="0.35"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</row>
    <row r="82" spans="1:38" ht="21" customHeight="1" x14ac:dyDescent="0.4">
      <c r="A82" s="26"/>
      <c r="B82" s="26"/>
      <c r="C82" s="38">
        <f>E41</f>
        <v>5</v>
      </c>
      <c r="D82" s="3"/>
      <c r="E82" s="4" t="s">
        <v>29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</row>
    <row r="83" spans="1:38" ht="21" hidden="1" customHeight="1" outlineLevel="1" thickTop="1" thickBot="1" x14ac:dyDescent="0.4">
      <c r="A83" s="24" t="s">
        <v>1</v>
      </c>
      <c r="B83" s="7" t="s">
        <v>2</v>
      </c>
      <c r="C83" s="7" t="s">
        <v>3</v>
      </c>
      <c r="D83" s="25" t="s">
        <v>4</v>
      </c>
      <c r="E83" s="8">
        <f t="shared" ref="E83:E113" si="19">E49</f>
        <v>0</v>
      </c>
      <c r="F83" s="8">
        <f t="shared" ref="F83" si="20">F3</f>
        <v>273.10000000000002</v>
      </c>
      <c r="G83" s="8">
        <f t="shared" ref="G83:AL83" si="21">G3</f>
        <v>353.9</v>
      </c>
      <c r="H83" s="8">
        <f t="shared" si="21"/>
        <v>434.7</v>
      </c>
      <c r="I83" s="8">
        <f t="shared" si="21"/>
        <v>515.4</v>
      </c>
      <c r="J83" s="8">
        <f t="shared" si="21"/>
        <v>596.20000000000005</v>
      </c>
      <c r="K83" s="8">
        <f t="shared" si="21"/>
        <v>677</v>
      </c>
      <c r="L83" s="8">
        <f t="shared" si="21"/>
        <v>757.7</v>
      </c>
      <c r="M83" s="8">
        <f t="shared" si="21"/>
        <v>838.5</v>
      </c>
      <c r="N83" s="8">
        <f t="shared" si="21"/>
        <v>919.2</v>
      </c>
      <c r="O83" s="8">
        <f t="shared" si="21"/>
        <v>1000</v>
      </c>
      <c r="P83" s="8">
        <f t="shared" si="21"/>
        <v>0</v>
      </c>
      <c r="Q83" s="8">
        <f t="shared" si="21"/>
        <v>0</v>
      </c>
      <c r="R83" s="8">
        <f t="shared" si="21"/>
        <v>0</v>
      </c>
      <c r="S83" s="8">
        <f t="shared" si="21"/>
        <v>0</v>
      </c>
      <c r="T83" s="8">
        <f t="shared" si="21"/>
        <v>0</v>
      </c>
      <c r="U83" s="8">
        <f t="shared" si="21"/>
        <v>0</v>
      </c>
      <c r="V83" s="8">
        <f t="shared" si="21"/>
        <v>0</v>
      </c>
      <c r="W83" s="8">
        <f t="shared" si="21"/>
        <v>0</v>
      </c>
      <c r="X83" s="8">
        <f t="shared" si="21"/>
        <v>0</v>
      </c>
      <c r="Y83" s="8">
        <f t="shared" si="21"/>
        <v>0</v>
      </c>
      <c r="Z83" s="8">
        <f t="shared" si="21"/>
        <v>0</v>
      </c>
      <c r="AA83" s="8">
        <f t="shared" si="21"/>
        <v>0</v>
      </c>
      <c r="AB83" s="8">
        <f t="shared" si="21"/>
        <v>0</v>
      </c>
      <c r="AC83" s="8">
        <f t="shared" si="21"/>
        <v>0</v>
      </c>
      <c r="AD83" s="8">
        <f t="shared" si="21"/>
        <v>0</v>
      </c>
      <c r="AE83" s="8">
        <f t="shared" si="21"/>
        <v>0</v>
      </c>
      <c r="AF83" s="8">
        <f t="shared" si="21"/>
        <v>0</v>
      </c>
      <c r="AG83" s="8">
        <f t="shared" si="21"/>
        <v>0</v>
      </c>
      <c r="AH83" s="8">
        <f t="shared" si="21"/>
        <v>0</v>
      </c>
      <c r="AI83" s="8">
        <f t="shared" si="21"/>
        <v>0</v>
      </c>
      <c r="AJ83" s="8">
        <f t="shared" si="21"/>
        <v>0</v>
      </c>
      <c r="AK83" s="8">
        <f t="shared" si="21"/>
        <v>0</v>
      </c>
      <c r="AL83" s="8">
        <f t="shared" si="21"/>
        <v>0</v>
      </c>
    </row>
    <row r="84" spans="1:38" ht="21" hidden="1" customHeight="1" outlineLevel="1" thickTop="1" thickBot="1" x14ac:dyDescent="0.4">
      <c r="A84" s="10">
        <f>A50</f>
        <v>0</v>
      </c>
      <c r="B84" s="10">
        <f t="shared" ref="B84:D84" si="22">B50</f>
        <v>1</v>
      </c>
      <c r="C84" s="10">
        <f t="shared" si="22"/>
        <v>0</v>
      </c>
      <c r="D84" s="10">
        <f t="shared" si="22"/>
        <v>0</v>
      </c>
      <c r="E84" s="11" t="str">
        <f t="shared" si="19"/>
        <v>*Se[l]</v>
      </c>
      <c r="F84" s="26">
        <f t="shared" ref="F84:F91" si="23">F4*$C$82</f>
        <v>1.11345E-7</v>
      </c>
      <c r="G84" s="26">
        <f t="shared" ref="G84:AL91" si="24">G4*$C$82</f>
        <v>1.1236000000000001E-7</v>
      </c>
      <c r="H84" s="26">
        <f t="shared" si="24"/>
        <v>9.8739999999999996E-8</v>
      </c>
      <c r="I84" s="26">
        <f t="shared" si="24"/>
        <v>1.01965E-7</v>
      </c>
      <c r="J84" s="26">
        <f t="shared" si="24"/>
        <v>1.2943499999999999E-7</v>
      </c>
      <c r="K84" s="26">
        <f t="shared" si="24"/>
        <v>1.6873499999999998E-7</v>
      </c>
      <c r="L84" s="26">
        <f t="shared" si="24"/>
        <v>1.5909500000000001E-7</v>
      </c>
      <c r="M84" s="26">
        <f t="shared" si="24"/>
        <v>1.7184500000000001E-7</v>
      </c>
      <c r="N84" s="26">
        <f t="shared" si="24"/>
        <v>1.3918499999999999E-7</v>
      </c>
      <c r="O84" s="26">
        <f t="shared" si="24"/>
        <v>5.2140000000000002E-8</v>
      </c>
      <c r="P84" s="26">
        <f t="shared" si="24"/>
        <v>0</v>
      </c>
      <c r="Q84" s="26">
        <f t="shared" si="24"/>
        <v>0</v>
      </c>
      <c r="R84" s="26">
        <f t="shared" si="24"/>
        <v>0</v>
      </c>
      <c r="S84" s="26">
        <f t="shared" si="24"/>
        <v>0</v>
      </c>
      <c r="T84" s="26">
        <f t="shared" si="24"/>
        <v>0</v>
      </c>
      <c r="U84" s="26">
        <f t="shared" si="24"/>
        <v>0</v>
      </c>
      <c r="V84" s="26">
        <f t="shared" si="24"/>
        <v>0</v>
      </c>
      <c r="W84" s="26">
        <f t="shared" si="24"/>
        <v>0</v>
      </c>
      <c r="X84" s="26">
        <f t="shared" si="24"/>
        <v>0</v>
      </c>
      <c r="Y84" s="26">
        <f t="shared" si="24"/>
        <v>0</v>
      </c>
      <c r="Z84" s="26">
        <f t="shared" si="24"/>
        <v>0</v>
      </c>
      <c r="AA84" s="26">
        <f t="shared" si="24"/>
        <v>0</v>
      </c>
      <c r="AB84" s="26">
        <f t="shared" si="24"/>
        <v>0</v>
      </c>
      <c r="AC84" s="26">
        <f t="shared" si="24"/>
        <v>0</v>
      </c>
      <c r="AD84" s="26">
        <f t="shared" si="24"/>
        <v>0</v>
      </c>
      <c r="AE84" s="26">
        <f t="shared" si="24"/>
        <v>0</v>
      </c>
      <c r="AF84" s="26">
        <f t="shared" si="24"/>
        <v>0</v>
      </c>
      <c r="AG84" s="26">
        <f t="shared" si="24"/>
        <v>0</v>
      </c>
      <c r="AH84" s="26">
        <f t="shared" si="24"/>
        <v>0</v>
      </c>
      <c r="AI84" s="26">
        <f t="shared" si="24"/>
        <v>0</v>
      </c>
      <c r="AJ84" s="26">
        <f t="shared" si="24"/>
        <v>0</v>
      </c>
      <c r="AK84" s="26">
        <f t="shared" si="24"/>
        <v>0</v>
      </c>
      <c r="AL84" s="26">
        <f t="shared" si="24"/>
        <v>0</v>
      </c>
    </row>
    <row r="85" spans="1:38" ht="21" hidden="1" customHeight="1" outlineLevel="1" thickBot="1" x14ac:dyDescent="0.4">
      <c r="A85" s="10">
        <f t="shared" ref="A85:D100" si="25">A51</f>
        <v>0</v>
      </c>
      <c r="B85" s="10">
        <f t="shared" si="25"/>
        <v>3</v>
      </c>
      <c r="C85" s="10">
        <f t="shared" si="25"/>
        <v>0</v>
      </c>
      <c r="D85" s="10">
        <f t="shared" si="25"/>
        <v>0</v>
      </c>
      <c r="E85" s="11" t="str">
        <f t="shared" si="19"/>
        <v>Se3</v>
      </c>
      <c r="F85" s="26">
        <f t="shared" si="23"/>
        <v>1.3636000000000002E-24</v>
      </c>
      <c r="G85" s="26">
        <f t="shared" si="24"/>
        <v>2.2757999999999999E-17</v>
      </c>
      <c r="H85" s="26">
        <f t="shared" si="24"/>
        <v>5.7290000000000001E-13</v>
      </c>
      <c r="I85" s="26">
        <f t="shared" si="24"/>
        <v>4.9893999999999993E-10</v>
      </c>
      <c r="J85" s="26">
        <f t="shared" si="24"/>
        <v>6.3384999999999995E-8</v>
      </c>
      <c r="K85" s="26">
        <f t="shared" si="24"/>
        <v>2.5519000000000001E-6</v>
      </c>
      <c r="L85" s="26">
        <f t="shared" si="24"/>
        <v>4.5976500000000003E-5</v>
      </c>
      <c r="M85" s="26">
        <f t="shared" si="24"/>
        <v>4.35155E-4</v>
      </c>
      <c r="N85" s="26">
        <f t="shared" si="24"/>
        <v>2.4424E-3</v>
      </c>
      <c r="O85" s="26">
        <f t="shared" si="24"/>
        <v>7.9314999999999993E-3</v>
      </c>
      <c r="P85" s="26">
        <f t="shared" si="24"/>
        <v>0</v>
      </c>
      <c r="Q85" s="26">
        <f t="shared" si="24"/>
        <v>0</v>
      </c>
      <c r="R85" s="26">
        <f t="shared" si="24"/>
        <v>0</v>
      </c>
      <c r="S85" s="26">
        <f t="shared" si="24"/>
        <v>0</v>
      </c>
      <c r="T85" s="26">
        <f t="shared" si="24"/>
        <v>0</v>
      </c>
      <c r="U85" s="26">
        <f t="shared" si="24"/>
        <v>0</v>
      </c>
      <c r="V85" s="26">
        <f t="shared" si="24"/>
        <v>0</v>
      </c>
      <c r="W85" s="26">
        <f t="shared" si="24"/>
        <v>0</v>
      </c>
      <c r="X85" s="26">
        <f t="shared" si="24"/>
        <v>0</v>
      </c>
      <c r="Y85" s="26">
        <f t="shared" si="24"/>
        <v>0</v>
      </c>
      <c r="Z85" s="26">
        <f t="shared" si="24"/>
        <v>0</v>
      </c>
      <c r="AA85" s="26">
        <f t="shared" si="24"/>
        <v>0</v>
      </c>
      <c r="AB85" s="26">
        <f t="shared" si="24"/>
        <v>0</v>
      </c>
      <c r="AC85" s="26">
        <f t="shared" si="24"/>
        <v>0</v>
      </c>
      <c r="AD85" s="26">
        <f t="shared" si="24"/>
        <v>0</v>
      </c>
      <c r="AE85" s="26">
        <f t="shared" si="24"/>
        <v>0</v>
      </c>
      <c r="AF85" s="26">
        <f t="shared" si="24"/>
        <v>0</v>
      </c>
      <c r="AG85" s="26">
        <f t="shared" si="24"/>
        <v>0</v>
      </c>
      <c r="AH85" s="26">
        <f t="shared" si="24"/>
        <v>0</v>
      </c>
      <c r="AI85" s="26">
        <f t="shared" si="24"/>
        <v>0</v>
      </c>
      <c r="AJ85" s="26">
        <f t="shared" si="24"/>
        <v>0</v>
      </c>
      <c r="AK85" s="26">
        <f t="shared" si="24"/>
        <v>0</v>
      </c>
      <c r="AL85" s="26">
        <f t="shared" si="24"/>
        <v>0</v>
      </c>
    </row>
    <row r="86" spans="1:38" ht="21" hidden="1" customHeight="1" outlineLevel="1" thickBot="1" x14ac:dyDescent="0.4">
      <c r="A86" s="10">
        <f t="shared" si="25"/>
        <v>0</v>
      </c>
      <c r="B86" s="10">
        <f t="shared" si="25"/>
        <v>4</v>
      </c>
      <c r="C86" s="10">
        <f t="shared" si="25"/>
        <v>0</v>
      </c>
      <c r="D86" s="10">
        <f t="shared" si="25"/>
        <v>0</v>
      </c>
      <c r="E86" s="11" t="str">
        <f t="shared" si="19"/>
        <v>Se4</v>
      </c>
      <c r="F86" s="26">
        <f t="shared" si="23"/>
        <v>1.4329500000000001E-22</v>
      </c>
      <c r="G86" s="26">
        <f t="shared" si="24"/>
        <v>4.6475000000000001E-16</v>
      </c>
      <c r="H86" s="26">
        <f t="shared" si="24"/>
        <v>3.8478500000000004E-12</v>
      </c>
      <c r="I86" s="26">
        <f t="shared" si="24"/>
        <v>1.4906E-9</v>
      </c>
      <c r="J86" s="26">
        <f t="shared" si="24"/>
        <v>1.0248E-7</v>
      </c>
      <c r="K86" s="26">
        <f t="shared" si="24"/>
        <v>2.5775500000000004E-6</v>
      </c>
      <c r="L86" s="26">
        <f t="shared" si="24"/>
        <v>3.1899499999999995E-5</v>
      </c>
      <c r="M86" s="26">
        <f t="shared" si="24"/>
        <v>2.1739999999999997E-4</v>
      </c>
      <c r="N86" s="26">
        <f t="shared" si="24"/>
        <v>8.8250000000000004E-4</v>
      </c>
      <c r="O86" s="26">
        <f t="shared" si="24"/>
        <v>1.95195E-3</v>
      </c>
      <c r="P86" s="26">
        <f t="shared" si="24"/>
        <v>0</v>
      </c>
      <c r="Q86" s="26">
        <f t="shared" si="24"/>
        <v>0</v>
      </c>
      <c r="R86" s="26">
        <f t="shared" si="24"/>
        <v>0</v>
      </c>
      <c r="S86" s="26">
        <f t="shared" si="24"/>
        <v>0</v>
      </c>
      <c r="T86" s="26">
        <f t="shared" si="24"/>
        <v>0</v>
      </c>
      <c r="U86" s="26">
        <f t="shared" si="24"/>
        <v>0</v>
      </c>
      <c r="V86" s="26">
        <f t="shared" si="24"/>
        <v>0</v>
      </c>
      <c r="W86" s="26">
        <f t="shared" si="24"/>
        <v>0</v>
      </c>
      <c r="X86" s="26">
        <f t="shared" si="24"/>
        <v>0</v>
      </c>
      <c r="Y86" s="26">
        <f t="shared" si="24"/>
        <v>0</v>
      </c>
      <c r="Z86" s="26">
        <f t="shared" si="24"/>
        <v>0</v>
      </c>
      <c r="AA86" s="26">
        <f t="shared" si="24"/>
        <v>0</v>
      </c>
      <c r="AB86" s="26">
        <f t="shared" si="24"/>
        <v>0</v>
      </c>
      <c r="AC86" s="26">
        <f t="shared" si="24"/>
        <v>0</v>
      </c>
      <c r="AD86" s="26">
        <f t="shared" si="24"/>
        <v>0</v>
      </c>
      <c r="AE86" s="26">
        <f t="shared" si="24"/>
        <v>0</v>
      </c>
      <c r="AF86" s="26">
        <f t="shared" si="24"/>
        <v>0</v>
      </c>
      <c r="AG86" s="26">
        <f t="shared" si="24"/>
        <v>0</v>
      </c>
      <c r="AH86" s="26">
        <f t="shared" si="24"/>
        <v>0</v>
      </c>
      <c r="AI86" s="26">
        <f t="shared" si="24"/>
        <v>0</v>
      </c>
      <c r="AJ86" s="26">
        <f t="shared" si="24"/>
        <v>0</v>
      </c>
      <c r="AK86" s="26">
        <f t="shared" si="24"/>
        <v>0</v>
      </c>
      <c r="AL86" s="26">
        <f t="shared" si="24"/>
        <v>0</v>
      </c>
    </row>
    <row r="87" spans="1:38" ht="21" hidden="1" customHeight="1" outlineLevel="1" thickBot="1" x14ac:dyDescent="0.4">
      <c r="A87" s="10">
        <f t="shared" si="25"/>
        <v>0</v>
      </c>
      <c r="B87" s="10">
        <f t="shared" si="25"/>
        <v>5</v>
      </c>
      <c r="C87" s="10">
        <f t="shared" si="25"/>
        <v>0</v>
      </c>
      <c r="D87" s="10">
        <f t="shared" si="25"/>
        <v>0</v>
      </c>
      <c r="E87" s="11" t="str">
        <f t="shared" si="19"/>
        <v>Se5</v>
      </c>
      <c r="F87" s="26">
        <f t="shared" si="23"/>
        <v>4.1317E-19</v>
      </c>
      <c r="G87" s="26">
        <f t="shared" si="24"/>
        <v>3.5877500000000005E-13</v>
      </c>
      <c r="H87" s="26">
        <f t="shared" si="24"/>
        <v>1.2106500000000002E-9</v>
      </c>
      <c r="I87" s="26">
        <f t="shared" si="24"/>
        <v>2.4320499999999999E-7</v>
      </c>
      <c r="J87" s="26">
        <f t="shared" si="24"/>
        <v>1.01525E-5</v>
      </c>
      <c r="K87" s="26">
        <f t="shared" si="24"/>
        <v>1.74475E-4</v>
      </c>
      <c r="L87" s="26">
        <f t="shared" si="24"/>
        <v>1.5934E-3</v>
      </c>
      <c r="M87" s="26">
        <f t="shared" si="24"/>
        <v>8.2909999999999998E-3</v>
      </c>
      <c r="N87" s="26">
        <f t="shared" si="24"/>
        <v>2.5558500000000001E-2</v>
      </c>
      <c r="O87" s="26">
        <f t="shared" si="24"/>
        <v>4.0127000000000003E-2</v>
      </c>
      <c r="P87" s="26">
        <f t="shared" si="24"/>
        <v>0</v>
      </c>
      <c r="Q87" s="26">
        <f t="shared" si="24"/>
        <v>0</v>
      </c>
      <c r="R87" s="26">
        <f t="shared" si="24"/>
        <v>0</v>
      </c>
      <c r="S87" s="26">
        <f t="shared" si="24"/>
        <v>0</v>
      </c>
      <c r="T87" s="26">
        <f t="shared" si="24"/>
        <v>0</v>
      </c>
      <c r="U87" s="26">
        <f t="shared" si="24"/>
        <v>0</v>
      </c>
      <c r="V87" s="26">
        <f t="shared" si="24"/>
        <v>0</v>
      </c>
      <c r="W87" s="26">
        <f t="shared" si="24"/>
        <v>0</v>
      </c>
      <c r="X87" s="26">
        <f t="shared" si="24"/>
        <v>0</v>
      </c>
      <c r="Y87" s="26">
        <f t="shared" si="24"/>
        <v>0</v>
      </c>
      <c r="Z87" s="26">
        <f t="shared" si="24"/>
        <v>0</v>
      </c>
      <c r="AA87" s="26">
        <f t="shared" si="24"/>
        <v>0</v>
      </c>
      <c r="AB87" s="26">
        <f t="shared" si="24"/>
        <v>0</v>
      </c>
      <c r="AC87" s="26">
        <f t="shared" si="24"/>
        <v>0</v>
      </c>
      <c r="AD87" s="26">
        <f t="shared" si="24"/>
        <v>0</v>
      </c>
      <c r="AE87" s="26">
        <f t="shared" si="24"/>
        <v>0</v>
      </c>
      <c r="AF87" s="26">
        <f t="shared" si="24"/>
        <v>0</v>
      </c>
      <c r="AG87" s="26">
        <f t="shared" si="24"/>
        <v>0</v>
      </c>
      <c r="AH87" s="26">
        <f t="shared" si="24"/>
        <v>0</v>
      </c>
      <c r="AI87" s="26">
        <f t="shared" si="24"/>
        <v>0</v>
      </c>
      <c r="AJ87" s="26">
        <f t="shared" si="24"/>
        <v>0</v>
      </c>
      <c r="AK87" s="26">
        <f t="shared" si="24"/>
        <v>0</v>
      </c>
      <c r="AL87" s="26">
        <f t="shared" si="24"/>
        <v>0</v>
      </c>
    </row>
    <row r="88" spans="1:38" ht="21" hidden="1" customHeight="1" outlineLevel="1" thickBot="1" x14ac:dyDescent="0.4">
      <c r="A88" s="10">
        <f t="shared" si="25"/>
        <v>0</v>
      </c>
      <c r="B88" s="10">
        <f t="shared" si="25"/>
        <v>6</v>
      </c>
      <c r="C88" s="10">
        <f t="shared" si="25"/>
        <v>0</v>
      </c>
      <c r="D88" s="10">
        <f t="shared" si="25"/>
        <v>0</v>
      </c>
      <c r="E88" s="11" t="str">
        <f t="shared" si="19"/>
        <v>Se6</v>
      </c>
      <c r="F88" s="26">
        <f t="shared" si="23"/>
        <v>1.5842499999999998E-16</v>
      </c>
      <c r="G88" s="26">
        <f t="shared" si="24"/>
        <v>1.4072500000000002E-11</v>
      </c>
      <c r="H88" s="26">
        <f t="shared" si="24"/>
        <v>1.0512500000000001E-8</v>
      </c>
      <c r="I88" s="26">
        <f t="shared" si="24"/>
        <v>7.1829999999999997E-7</v>
      </c>
      <c r="J88" s="26">
        <f t="shared" si="24"/>
        <v>1.33675E-5</v>
      </c>
      <c r="K88" s="26">
        <f t="shared" si="24"/>
        <v>1.23965E-4</v>
      </c>
      <c r="L88" s="26">
        <f t="shared" si="24"/>
        <v>6.9350000000000011E-4</v>
      </c>
      <c r="M88" s="26">
        <f t="shared" si="24"/>
        <v>2.3696500000000001E-3</v>
      </c>
      <c r="N88" s="26">
        <f t="shared" si="24"/>
        <v>4.8984500000000004E-3</v>
      </c>
      <c r="O88" s="26">
        <f t="shared" si="24"/>
        <v>4.9173999999999997E-3</v>
      </c>
      <c r="P88" s="26">
        <f t="shared" si="24"/>
        <v>0</v>
      </c>
      <c r="Q88" s="26">
        <f t="shared" si="24"/>
        <v>0</v>
      </c>
      <c r="R88" s="26">
        <f t="shared" si="24"/>
        <v>0</v>
      </c>
      <c r="S88" s="26">
        <f t="shared" si="24"/>
        <v>0</v>
      </c>
      <c r="T88" s="26">
        <f t="shared" si="24"/>
        <v>0</v>
      </c>
      <c r="U88" s="26">
        <f t="shared" si="24"/>
        <v>0</v>
      </c>
      <c r="V88" s="26">
        <f t="shared" si="24"/>
        <v>0</v>
      </c>
      <c r="W88" s="26">
        <f t="shared" si="24"/>
        <v>0</v>
      </c>
      <c r="X88" s="26">
        <f t="shared" si="24"/>
        <v>0</v>
      </c>
      <c r="Y88" s="26">
        <f t="shared" si="24"/>
        <v>0</v>
      </c>
      <c r="Z88" s="26">
        <f t="shared" si="24"/>
        <v>0</v>
      </c>
      <c r="AA88" s="26">
        <f t="shared" si="24"/>
        <v>0</v>
      </c>
      <c r="AB88" s="26">
        <f t="shared" si="24"/>
        <v>0</v>
      </c>
      <c r="AC88" s="26">
        <f t="shared" si="24"/>
        <v>0</v>
      </c>
      <c r="AD88" s="26">
        <f t="shared" si="24"/>
        <v>0</v>
      </c>
      <c r="AE88" s="26">
        <f t="shared" si="24"/>
        <v>0</v>
      </c>
      <c r="AF88" s="26">
        <f t="shared" si="24"/>
        <v>0</v>
      </c>
      <c r="AG88" s="26">
        <f t="shared" si="24"/>
        <v>0</v>
      </c>
      <c r="AH88" s="26">
        <f t="shared" si="24"/>
        <v>0</v>
      </c>
      <c r="AI88" s="26">
        <f t="shared" si="24"/>
        <v>0</v>
      </c>
      <c r="AJ88" s="26">
        <f t="shared" si="24"/>
        <v>0</v>
      </c>
      <c r="AK88" s="26">
        <f t="shared" si="24"/>
        <v>0</v>
      </c>
      <c r="AL88" s="26">
        <f t="shared" si="24"/>
        <v>0</v>
      </c>
    </row>
    <row r="89" spans="1:38" ht="21" hidden="1" customHeight="1" outlineLevel="1" thickBot="1" x14ac:dyDescent="0.4">
      <c r="A89" s="10">
        <f t="shared" si="25"/>
        <v>0</v>
      </c>
      <c r="B89" s="10">
        <f t="shared" si="25"/>
        <v>7</v>
      </c>
      <c r="C89" s="10">
        <f t="shared" si="25"/>
        <v>0</v>
      </c>
      <c r="D89" s="10">
        <f t="shared" si="25"/>
        <v>0</v>
      </c>
      <c r="E89" s="11" t="str">
        <f t="shared" si="19"/>
        <v>Se7</v>
      </c>
      <c r="F89" s="26">
        <f t="shared" si="23"/>
        <v>1.3575999999999999E-17</v>
      </c>
      <c r="G89" s="26">
        <f t="shared" si="24"/>
        <v>2.2984500000000002E-12</v>
      </c>
      <c r="H89" s="26">
        <f t="shared" si="24"/>
        <v>2.3810499999999998E-9</v>
      </c>
      <c r="I89" s="26">
        <f t="shared" si="24"/>
        <v>1.9476499999999998E-7</v>
      </c>
      <c r="J89" s="26">
        <f t="shared" si="24"/>
        <v>4.0412999999999997E-6</v>
      </c>
      <c r="K89" s="26">
        <f t="shared" si="24"/>
        <v>4.0624000000000003E-5</v>
      </c>
      <c r="L89" s="26">
        <f t="shared" si="24"/>
        <v>2.4091500000000002E-4</v>
      </c>
      <c r="M89" s="26">
        <f t="shared" si="24"/>
        <v>8.4164999999999999E-4</v>
      </c>
      <c r="N89" s="26">
        <f t="shared" si="24"/>
        <v>1.6802000000000002E-3</v>
      </c>
      <c r="O89" s="26">
        <f t="shared" si="24"/>
        <v>1.4641999999999999E-3</v>
      </c>
      <c r="P89" s="26">
        <f t="shared" si="24"/>
        <v>0</v>
      </c>
      <c r="Q89" s="26">
        <f t="shared" si="24"/>
        <v>0</v>
      </c>
      <c r="R89" s="26">
        <f t="shared" si="24"/>
        <v>0</v>
      </c>
      <c r="S89" s="26">
        <f t="shared" si="24"/>
        <v>0</v>
      </c>
      <c r="T89" s="26">
        <f t="shared" si="24"/>
        <v>0</v>
      </c>
      <c r="U89" s="26">
        <f t="shared" si="24"/>
        <v>0</v>
      </c>
      <c r="V89" s="26">
        <f t="shared" si="24"/>
        <v>0</v>
      </c>
      <c r="W89" s="26">
        <f t="shared" si="24"/>
        <v>0</v>
      </c>
      <c r="X89" s="26">
        <f t="shared" si="24"/>
        <v>0</v>
      </c>
      <c r="Y89" s="26">
        <f t="shared" si="24"/>
        <v>0</v>
      </c>
      <c r="Z89" s="26">
        <f t="shared" si="24"/>
        <v>0</v>
      </c>
      <c r="AA89" s="26">
        <f t="shared" si="24"/>
        <v>0</v>
      </c>
      <c r="AB89" s="26">
        <f t="shared" si="24"/>
        <v>0</v>
      </c>
      <c r="AC89" s="26">
        <f t="shared" si="24"/>
        <v>0</v>
      </c>
      <c r="AD89" s="26">
        <f t="shared" si="24"/>
        <v>0</v>
      </c>
      <c r="AE89" s="26">
        <f t="shared" si="24"/>
        <v>0</v>
      </c>
      <c r="AF89" s="26">
        <f t="shared" si="24"/>
        <v>0</v>
      </c>
      <c r="AG89" s="26">
        <f t="shared" si="24"/>
        <v>0</v>
      </c>
      <c r="AH89" s="26">
        <f t="shared" si="24"/>
        <v>0</v>
      </c>
      <c r="AI89" s="26">
        <f t="shared" si="24"/>
        <v>0</v>
      </c>
      <c r="AJ89" s="26">
        <f t="shared" si="24"/>
        <v>0</v>
      </c>
      <c r="AK89" s="26">
        <f t="shared" si="24"/>
        <v>0</v>
      </c>
      <c r="AL89" s="26">
        <f t="shared" si="24"/>
        <v>0</v>
      </c>
    </row>
    <row r="90" spans="1:38" ht="21" hidden="1" customHeight="1" outlineLevel="1" thickBot="1" x14ac:dyDescent="0.4">
      <c r="A90" s="10">
        <f t="shared" si="25"/>
        <v>0</v>
      </c>
      <c r="B90" s="10">
        <f t="shared" si="25"/>
        <v>8</v>
      </c>
      <c r="C90" s="10">
        <f t="shared" si="25"/>
        <v>0</v>
      </c>
      <c r="D90" s="10">
        <f t="shared" si="25"/>
        <v>0</v>
      </c>
      <c r="E90" s="11" t="str">
        <f t="shared" si="19"/>
        <v>Se8</v>
      </c>
      <c r="F90" s="26">
        <f t="shared" si="23"/>
        <v>2.4370500000000002E-19</v>
      </c>
      <c r="G90" s="26">
        <f t="shared" si="24"/>
        <v>6.8995E-14</v>
      </c>
      <c r="H90" s="26">
        <f t="shared" si="24"/>
        <v>9.1395000000000011E-11</v>
      </c>
      <c r="I90" s="26">
        <f t="shared" si="24"/>
        <v>8.4690000000000013E-9</v>
      </c>
      <c r="J90" s="26">
        <f t="shared" si="24"/>
        <v>1.8825000000000001E-7</v>
      </c>
      <c r="K90" s="26">
        <f t="shared" si="24"/>
        <v>1.9899499999999999E-6</v>
      </c>
      <c r="L90" s="26">
        <f t="shared" si="24"/>
        <v>1.2217000000000002E-5</v>
      </c>
      <c r="M90" s="26">
        <f t="shared" si="24"/>
        <v>4.2810000000000005E-5</v>
      </c>
      <c r="N90" s="26">
        <f t="shared" si="24"/>
        <v>8.1244999999999999E-5</v>
      </c>
      <c r="O90" s="26">
        <f t="shared" si="24"/>
        <v>6.0659999999999999E-5</v>
      </c>
      <c r="P90" s="26">
        <f t="shared" si="24"/>
        <v>0</v>
      </c>
      <c r="Q90" s="26">
        <f t="shared" si="24"/>
        <v>0</v>
      </c>
      <c r="R90" s="26">
        <f t="shared" si="24"/>
        <v>0</v>
      </c>
      <c r="S90" s="26">
        <f t="shared" si="24"/>
        <v>0</v>
      </c>
      <c r="T90" s="26">
        <f t="shared" si="24"/>
        <v>0</v>
      </c>
      <c r="U90" s="26">
        <f t="shared" si="24"/>
        <v>0</v>
      </c>
      <c r="V90" s="26">
        <f t="shared" si="24"/>
        <v>0</v>
      </c>
      <c r="W90" s="26">
        <f t="shared" si="24"/>
        <v>0</v>
      </c>
      <c r="X90" s="26">
        <f t="shared" si="24"/>
        <v>0</v>
      </c>
      <c r="Y90" s="26">
        <f t="shared" si="24"/>
        <v>0</v>
      </c>
      <c r="Z90" s="26">
        <f t="shared" si="24"/>
        <v>0</v>
      </c>
      <c r="AA90" s="26">
        <f t="shared" si="24"/>
        <v>0</v>
      </c>
      <c r="AB90" s="26">
        <f t="shared" si="24"/>
        <v>0</v>
      </c>
      <c r="AC90" s="26">
        <f t="shared" si="24"/>
        <v>0</v>
      </c>
      <c r="AD90" s="26">
        <f t="shared" si="24"/>
        <v>0</v>
      </c>
      <c r="AE90" s="26">
        <f t="shared" si="24"/>
        <v>0</v>
      </c>
      <c r="AF90" s="26">
        <f t="shared" si="24"/>
        <v>0</v>
      </c>
      <c r="AG90" s="26">
        <f t="shared" si="24"/>
        <v>0</v>
      </c>
      <c r="AH90" s="26">
        <f t="shared" si="24"/>
        <v>0</v>
      </c>
      <c r="AI90" s="26">
        <f t="shared" si="24"/>
        <v>0</v>
      </c>
      <c r="AJ90" s="26">
        <f t="shared" si="24"/>
        <v>0</v>
      </c>
      <c r="AK90" s="26">
        <f t="shared" si="24"/>
        <v>0</v>
      </c>
      <c r="AL90" s="26">
        <f t="shared" si="24"/>
        <v>0</v>
      </c>
    </row>
    <row r="91" spans="1:38" ht="21" hidden="1" customHeight="1" outlineLevel="1" thickBot="1" x14ac:dyDescent="0.4">
      <c r="A91" s="10">
        <f t="shared" si="25"/>
        <v>0</v>
      </c>
      <c r="B91" s="10">
        <f t="shared" si="25"/>
        <v>2</v>
      </c>
      <c r="C91" s="10">
        <f t="shared" si="25"/>
        <v>0</v>
      </c>
      <c r="D91" s="10">
        <f t="shared" si="25"/>
        <v>0</v>
      </c>
      <c r="E91" s="11" t="str">
        <f t="shared" si="19"/>
        <v>Se2</v>
      </c>
      <c r="F91" s="26">
        <f t="shared" si="23"/>
        <v>1.9007999999999999E-19</v>
      </c>
      <c r="G91" s="26">
        <f t="shared" si="24"/>
        <v>1.6249E-13</v>
      </c>
      <c r="H91" s="26">
        <f t="shared" si="24"/>
        <v>7.1980000000000004E-10</v>
      </c>
      <c r="I91" s="26">
        <f t="shared" si="24"/>
        <v>2.0525000000000001E-7</v>
      </c>
      <c r="J91" s="26">
        <f t="shared" si="24"/>
        <v>1.2064499999999999E-5</v>
      </c>
      <c r="K91" s="26">
        <f t="shared" si="24"/>
        <v>2.7465500000000001E-4</v>
      </c>
      <c r="L91" s="26">
        <f t="shared" si="24"/>
        <v>3.2095000000000001E-3</v>
      </c>
      <c r="M91" s="26">
        <f t="shared" si="24"/>
        <v>2.2135499999999999E-2</v>
      </c>
      <c r="N91" s="26">
        <f t="shared" si="24"/>
        <v>0.101575</v>
      </c>
      <c r="O91" s="26">
        <f t="shared" si="24"/>
        <v>0.31331999999999999</v>
      </c>
      <c r="P91" s="26">
        <f t="shared" si="24"/>
        <v>0</v>
      </c>
      <c r="Q91" s="26">
        <f t="shared" si="24"/>
        <v>0</v>
      </c>
      <c r="R91" s="26">
        <f t="shared" si="24"/>
        <v>0</v>
      </c>
      <c r="S91" s="26">
        <f t="shared" si="24"/>
        <v>0</v>
      </c>
      <c r="T91" s="26">
        <f t="shared" si="24"/>
        <v>0</v>
      </c>
      <c r="U91" s="26">
        <f t="shared" si="24"/>
        <v>0</v>
      </c>
      <c r="V91" s="26">
        <f t="shared" si="24"/>
        <v>0</v>
      </c>
      <c r="W91" s="26">
        <f t="shared" si="24"/>
        <v>0</v>
      </c>
      <c r="X91" s="26">
        <f t="shared" si="24"/>
        <v>0</v>
      </c>
      <c r="Y91" s="26">
        <f t="shared" si="24"/>
        <v>0</v>
      </c>
      <c r="Z91" s="26">
        <f t="shared" si="24"/>
        <v>0</v>
      </c>
      <c r="AA91" s="26">
        <f t="shared" si="24"/>
        <v>0</v>
      </c>
      <c r="AB91" s="26">
        <f t="shared" si="24"/>
        <v>0</v>
      </c>
      <c r="AC91" s="26">
        <f t="shared" si="24"/>
        <v>0</v>
      </c>
      <c r="AD91" s="26">
        <f t="shared" si="24"/>
        <v>0</v>
      </c>
      <c r="AE91" s="26">
        <f t="shared" si="24"/>
        <v>0</v>
      </c>
      <c r="AF91" s="26">
        <f t="shared" si="24"/>
        <v>0</v>
      </c>
      <c r="AG91" s="26">
        <f t="shared" si="24"/>
        <v>0</v>
      </c>
      <c r="AH91" s="26">
        <f t="shared" si="24"/>
        <v>0</v>
      </c>
      <c r="AI91" s="26">
        <f t="shared" si="24"/>
        <v>0</v>
      </c>
      <c r="AJ91" s="26">
        <f t="shared" si="24"/>
        <v>0</v>
      </c>
      <c r="AK91" s="26">
        <f t="shared" si="24"/>
        <v>0</v>
      </c>
      <c r="AL91" s="26">
        <f t="shared" ref="AL91" si="26">AL11*$C$82</f>
        <v>0</v>
      </c>
    </row>
    <row r="92" spans="1:38" ht="21" hidden="1" customHeight="1" outlineLevel="1" thickBot="1" x14ac:dyDescent="0.4">
      <c r="A92" s="10">
        <f t="shared" si="25"/>
        <v>0</v>
      </c>
      <c r="B92" s="10">
        <f t="shared" si="25"/>
        <v>1</v>
      </c>
      <c r="C92" s="10">
        <f t="shared" si="25"/>
        <v>0</v>
      </c>
      <c r="D92" s="10">
        <f t="shared" si="25"/>
        <v>0</v>
      </c>
      <c r="E92" s="11" t="str">
        <f t="shared" si="19"/>
        <v>Se</v>
      </c>
      <c r="F92" s="26">
        <f t="shared" ref="F92:F99" si="27">F12*$C$82</f>
        <v>0</v>
      </c>
      <c r="G92" s="26">
        <f t="shared" ref="G92:AL99" si="28">G12*$C$82</f>
        <v>8.7649999999999995E-29</v>
      </c>
      <c r="H92" s="26">
        <f t="shared" si="28"/>
        <v>2.0186499999999999E-22</v>
      </c>
      <c r="I92" s="26">
        <f t="shared" si="28"/>
        <v>4.4723000000000005E-18</v>
      </c>
      <c r="J92" s="26">
        <f t="shared" si="28"/>
        <v>6.5100000000000005E-15</v>
      </c>
      <c r="K92" s="26">
        <f t="shared" si="28"/>
        <v>1.7316E-12</v>
      </c>
      <c r="L92" s="26">
        <f t="shared" si="28"/>
        <v>1.4227000000000002E-10</v>
      </c>
      <c r="M92" s="26">
        <f t="shared" si="28"/>
        <v>4.9062000000000003E-9</v>
      </c>
      <c r="N92" s="26">
        <f t="shared" si="28"/>
        <v>9.025500000000001E-8</v>
      </c>
      <c r="O92" s="26">
        <f t="shared" si="28"/>
        <v>1.0052999999999999E-6</v>
      </c>
      <c r="P92" s="26">
        <f t="shared" si="28"/>
        <v>0</v>
      </c>
      <c r="Q92" s="26">
        <f t="shared" si="28"/>
        <v>0</v>
      </c>
      <c r="R92" s="26">
        <f t="shared" si="28"/>
        <v>0</v>
      </c>
      <c r="S92" s="26">
        <f t="shared" si="28"/>
        <v>0</v>
      </c>
      <c r="T92" s="26">
        <f t="shared" si="28"/>
        <v>0</v>
      </c>
      <c r="U92" s="26">
        <f t="shared" si="28"/>
        <v>0</v>
      </c>
      <c r="V92" s="26">
        <f t="shared" si="28"/>
        <v>0</v>
      </c>
      <c r="W92" s="26">
        <f t="shared" si="28"/>
        <v>0</v>
      </c>
      <c r="X92" s="26">
        <f t="shared" si="28"/>
        <v>0</v>
      </c>
      <c r="Y92" s="26">
        <f t="shared" si="28"/>
        <v>0</v>
      </c>
      <c r="Z92" s="26">
        <f t="shared" si="28"/>
        <v>0</v>
      </c>
      <c r="AA92" s="26">
        <f t="shared" si="28"/>
        <v>0</v>
      </c>
      <c r="AB92" s="26">
        <f t="shared" si="28"/>
        <v>0</v>
      </c>
      <c r="AC92" s="26">
        <f t="shared" si="28"/>
        <v>0</v>
      </c>
      <c r="AD92" s="26">
        <f t="shared" si="28"/>
        <v>0</v>
      </c>
      <c r="AE92" s="26">
        <f t="shared" si="28"/>
        <v>0</v>
      </c>
      <c r="AF92" s="26">
        <f t="shared" si="28"/>
        <v>0</v>
      </c>
      <c r="AG92" s="26">
        <f t="shared" si="28"/>
        <v>0</v>
      </c>
      <c r="AH92" s="26">
        <f t="shared" si="28"/>
        <v>0</v>
      </c>
      <c r="AI92" s="26">
        <f t="shared" si="28"/>
        <v>0</v>
      </c>
      <c r="AJ92" s="26">
        <f t="shared" si="28"/>
        <v>0</v>
      </c>
      <c r="AK92" s="26">
        <f t="shared" si="28"/>
        <v>0</v>
      </c>
      <c r="AL92" s="26">
        <f t="shared" si="28"/>
        <v>0</v>
      </c>
    </row>
    <row r="93" spans="1:38" ht="21" hidden="1" customHeight="1" outlineLevel="1" thickBot="1" x14ac:dyDescent="0.4">
      <c r="A93" s="10">
        <f t="shared" si="25"/>
        <v>0</v>
      </c>
      <c r="B93" s="10">
        <f t="shared" si="25"/>
        <v>1</v>
      </c>
      <c r="C93" s="10">
        <f t="shared" si="25"/>
        <v>0</v>
      </c>
      <c r="D93" s="10">
        <f t="shared" si="25"/>
        <v>2</v>
      </c>
      <c r="E93" s="11" t="str">
        <f t="shared" si="19"/>
        <v>Ga2Se</v>
      </c>
      <c r="F93" s="26">
        <f t="shared" si="27"/>
        <v>2.2508000000000001E-10</v>
      </c>
      <c r="G93" s="26">
        <f t="shared" si="28"/>
        <v>7.4589999999999992E-7</v>
      </c>
      <c r="H93" s="26">
        <f t="shared" si="28"/>
        <v>9.9300000000000001E-5</v>
      </c>
      <c r="I93" s="26">
        <f t="shared" si="28"/>
        <v>2.5002000000000002E-3</v>
      </c>
      <c r="J93" s="26">
        <f t="shared" si="28"/>
        <v>2.2429500000000002E-2</v>
      </c>
      <c r="K93" s="26">
        <f t="shared" si="28"/>
        <v>8.5625000000000007E-2</v>
      </c>
      <c r="L93" s="26">
        <f t="shared" si="28"/>
        <v>0.16108999999999998</v>
      </c>
      <c r="M93" s="26">
        <f t="shared" si="28"/>
        <v>0.212785</v>
      </c>
      <c r="N93" s="26">
        <f t="shared" si="28"/>
        <v>0.24586</v>
      </c>
      <c r="O93" s="26">
        <f t="shared" si="28"/>
        <v>0.26773000000000002</v>
      </c>
      <c r="P93" s="26">
        <f t="shared" si="28"/>
        <v>0</v>
      </c>
      <c r="Q93" s="26">
        <f t="shared" si="28"/>
        <v>0</v>
      </c>
      <c r="R93" s="26">
        <f t="shared" si="28"/>
        <v>0</v>
      </c>
      <c r="S93" s="26">
        <f t="shared" si="28"/>
        <v>0</v>
      </c>
      <c r="T93" s="26">
        <f t="shared" si="28"/>
        <v>0</v>
      </c>
      <c r="U93" s="26">
        <f t="shared" si="28"/>
        <v>0</v>
      </c>
      <c r="V93" s="26">
        <f t="shared" si="28"/>
        <v>0</v>
      </c>
      <c r="W93" s="26">
        <f t="shared" si="28"/>
        <v>0</v>
      </c>
      <c r="X93" s="26">
        <f t="shared" si="28"/>
        <v>0</v>
      </c>
      <c r="Y93" s="26">
        <f t="shared" si="28"/>
        <v>0</v>
      </c>
      <c r="Z93" s="26">
        <f t="shared" si="28"/>
        <v>0</v>
      </c>
      <c r="AA93" s="26">
        <f t="shared" si="28"/>
        <v>0</v>
      </c>
      <c r="AB93" s="26">
        <f t="shared" si="28"/>
        <v>0</v>
      </c>
      <c r="AC93" s="26">
        <f t="shared" si="28"/>
        <v>0</v>
      </c>
      <c r="AD93" s="26">
        <f t="shared" si="28"/>
        <v>0</v>
      </c>
      <c r="AE93" s="26">
        <f t="shared" si="28"/>
        <v>0</v>
      </c>
      <c r="AF93" s="26">
        <f t="shared" si="28"/>
        <v>0</v>
      </c>
      <c r="AG93" s="26">
        <f t="shared" si="28"/>
        <v>0</v>
      </c>
      <c r="AH93" s="26">
        <f t="shared" si="28"/>
        <v>0</v>
      </c>
      <c r="AI93" s="26">
        <f t="shared" si="28"/>
        <v>0</v>
      </c>
      <c r="AJ93" s="26">
        <f t="shared" si="28"/>
        <v>0</v>
      </c>
      <c r="AK93" s="26">
        <f t="shared" si="28"/>
        <v>0</v>
      </c>
      <c r="AL93" s="26">
        <f t="shared" si="28"/>
        <v>0</v>
      </c>
    </row>
    <row r="94" spans="1:38" ht="21" hidden="1" customHeight="1" outlineLevel="1" thickBot="1" x14ac:dyDescent="0.4">
      <c r="A94" s="10">
        <f t="shared" si="25"/>
        <v>1</v>
      </c>
      <c r="B94" s="10">
        <f t="shared" si="25"/>
        <v>0</v>
      </c>
      <c r="C94" s="10">
        <f t="shared" si="25"/>
        <v>0</v>
      </c>
      <c r="D94" s="10">
        <f t="shared" si="25"/>
        <v>0</v>
      </c>
      <c r="E94" s="11" t="str">
        <f t="shared" si="19"/>
        <v>Ar</v>
      </c>
      <c r="F94" s="26">
        <f t="shared" si="27"/>
        <v>1</v>
      </c>
      <c r="G94" s="26">
        <f t="shared" si="28"/>
        <v>1</v>
      </c>
      <c r="H94" s="26">
        <f t="shared" si="28"/>
        <v>1</v>
      </c>
      <c r="I94" s="26">
        <f t="shared" si="28"/>
        <v>1</v>
      </c>
      <c r="J94" s="26">
        <f t="shared" si="28"/>
        <v>1</v>
      </c>
      <c r="K94" s="26">
        <f t="shared" si="28"/>
        <v>1</v>
      </c>
      <c r="L94" s="26">
        <f t="shared" si="28"/>
        <v>1</v>
      </c>
      <c r="M94" s="26">
        <f t="shared" si="28"/>
        <v>1</v>
      </c>
      <c r="N94" s="26">
        <f t="shared" si="28"/>
        <v>1</v>
      </c>
      <c r="O94" s="26">
        <f t="shared" si="28"/>
        <v>1</v>
      </c>
      <c r="P94" s="26">
        <f t="shared" si="28"/>
        <v>0</v>
      </c>
      <c r="Q94" s="26">
        <f t="shared" si="28"/>
        <v>0</v>
      </c>
      <c r="R94" s="26">
        <f t="shared" si="28"/>
        <v>0</v>
      </c>
      <c r="S94" s="26">
        <f t="shared" si="28"/>
        <v>0</v>
      </c>
      <c r="T94" s="26">
        <f t="shared" si="28"/>
        <v>0</v>
      </c>
      <c r="U94" s="26">
        <f t="shared" si="28"/>
        <v>0</v>
      </c>
      <c r="V94" s="26">
        <f t="shared" si="28"/>
        <v>0</v>
      </c>
      <c r="W94" s="26">
        <f t="shared" si="28"/>
        <v>0</v>
      </c>
      <c r="X94" s="26">
        <f t="shared" si="28"/>
        <v>0</v>
      </c>
      <c r="Y94" s="26">
        <f t="shared" si="28"/>
        <v>0</v>
      </c>
      <c r="Z94" s="26">
        <f t="shared" si="28"/>
        <v>0</v>
      </c>
      <c r="AA94" s="26">
        <f t="shared" si="28"/>
        <v>0</v>
      </c>
      <c r="AB94" s="26">
        <f t="shared" si="28"/>
        <v>0</v>
      </c>
      <c r="AC94" s="26">
        <f t="shared" si="28"/>
        <v>0</v>
      </c>
      <c r="AD94" s="26">
        <f t="shared" si="28"/>
        <v>0</v>
      </c>
      <c r="AE94" s="26">
        <f t="shared" si="28"/>
        <v>0</v>
      </c>
      <c r="AF94" s="26">
        <f t="shared" si="28"/>
        <v>0</v>
      </c>
      <c r="AG94" s="26">
        <f t="shared" si="28"/>
        <v>0</v>
      </c>
      <c r="AH94" s="26">
        <f t="shared" si="28"/>
        <v>0</v>
      </c>
      <c r="AI94" s="26">
        <f t="shared" si="28"/>
        <v>0</v>
      </c>
      <c r="AJ94" s="26">
        <f t="shared" si="28"/>
        <v>0</v>
      </c>
      <c r="AK94" s="26">
        <f t="shared" si="28"/>
        <v>0</v>
      </c>
      <c r="AL94" s="26">
        <f t="shared" si="28"/>
        <v>0</v>
      </c>
    </row>
    <row r="95" spans="1:38" ht="21" hidden="1" customHeight="1" outlineLevel="1" thickBot="1" x14ac:dyDescent="0.4">
      <c r="A95" s="10">
        <f t="shared" si="25"/>
        <v>0</v>
      </c>
      <c r="B95" s="10">
        <f t="shared" si="25"/>
        <v>0</v>
      </c>
      <c r="C95" s="10">
        <f t="shared" si="25"/>
        <v>0</v>
      </c>
      <c r="D95" s="10">
        <f t="shared" si="25"/>
        <v>1</v>
      </c>
      <c r="E95" s="11" t="str">
        <f t="shared" si="19"/>
        <v>(l)Ga[l]</v>
      </c>
      <c r="F95" s="26">
        <f t="shared" si="27"/>
        <v>0.6</v>
      </c>
      <c r="G95" s="26">
        <f t="shared" si="28"/>
        <v>0.6</v>
      </c>
      <c r="H95" s="26">
        <f t="shared" si="28"/>
        <v>0.5998</v>
      </c>
      <c r="I95" s="26">
        <f t="shared" si="28"/>
        <v>0.59499999999999997</v>
      </c>
      <c r="J95" s="26">
        <f t="shared" si="28"/>
        <v>0.55515000000000003</v>
      </c>
      <c r="K95" s="26">
        <f t="shared" si="28"/>
        <v>0.42875000000000002</v>
      </c>
      <c r="L95" s="26">
        <f t="shared" si="28"/>
        <v>0.27782000000000001</v>
      </c>
      <c r="M95" s="26">
        <f t="shared" si="28"/>
        <v>0.174425</v>
      </c>
      <c r="N95" s="26">
        <f t="shared" si="28"/>
        <v>0.10827500000000001</v>
      </c>
      <c r="O95" s="26">
        <f t="shared" si="28"/>
        <v>6.454E-2</v>
      </c>
      <c r="P95" s="26">
        <f t="shared" si="28"/>
        <v>0</v>
      </c>
      <c r="Q95" s="26">
        <f t="shared" si="28"/>
        <v>0</v>
      </c>
      <c r="R95" s="26">
        <f t="shared" si="28"/>
        <v>0</v>
      </c>
      <c r="S95" s="26">
        <f t="shared" si="28"/>
        <v>0</v>
      </c>
      <c r="T95" s="26">
        <f t="shared" si="28"/>
        <v>0</v>
      </c>
      <c r="U95" s="26">
        <f t="shared" si="28"/>
        <v>0</v>
      </c>
      <c r="V95" s="26">
        <f t="shared" si="28"/>
        <v>0</v>
      </c>
      <c r="W95" s="26">
        <f t="shared" si="28"/>
        <v>0</v>
      </c>
      <c r="X95" s="26">
        <f t="shared" si="28"/>
        <v>0</v>
      </c>
      <c r="Y95" s="26">
        <f t="shared" si="28"/>
        <v>0</v>
      </c>
      <c r="Z95" s="26">
        <f t="shared" si="28"/>
        <v>0</v>
      </c>
      <c r="AA95" s="26">
        <f t="shared" si="28"/>
        <v>0</v>
      </c>
      <c r="AB95" s="26">
        <f t="shared" si="28"/>
        <v>0</v>
      </c>
      <c r="AC95" s="26">
        <f t="shared" si="28"/>
        <v>0</v>
      </c>
      <c r="AD95" s="26">
        <f t="shared" si="28"/>
        <v>0</v>
      </c>
      <c r="AE95" s="26">
        <f t="shared" si="28"/>
        <v>0</v>
      </c>
      <c r="AF95" s="26">
        <f t="shared" si="28"/>
        <v>0</v>
      </c>
      <c r="AG95" s="26">
        <f t="shared" si="28"/>
        <v>0</v>
      </c>
      <c r="AH95" s="26">
        <f t="shared" si="28"/>
        <v>0</v>
      </c>
      <c r="AI95" s="26">
        <f t="shared" si="28"/>
        <v>0</v>
      </c>
      <c r="AJ95" s="26">
        <f t="shared" si="28"/>
        <v>0</v>
      </c>
      <c r="AK95" s="26">
        <f t="shared" si="28"/>
        <v>0</v>
      </c>
      <c r="AL95" s="26">
        <f t="shared" si="28"/>
        <v>0</v>
      </c>
    </row>
    <row r="96" spans="1:38" ht="21" hidden="1" customHeight="1" outlineLevel="1" thickBot="1" x14ac:dyDescent="0.4">
      <c r="A96" s="10">
        <f t="shared" si="25"/>
        <v>0</v>
      </c>
      <c r="B96" s="10">
        <f t="shared" si="25"/>
        <v>0</v>
      </c>
      <c r="C96" s="10">
        <f t="shared" si="25"/>
        <v>1</v>
      </c>
      <c r="D96" s="10">
        <f t="shared" si="25"/>
        <v>0</v>
      </c>
      <c r="E96" s="11" t="str">
        <f t="shared" si="19"/>
        <v>(l)Ge[l]</v>
      </c>
      <c r="F96" s="26">
        <f t="shared" si="27"/>
        <v>1</v>
      </c>
      <c r="G96" s="26">
        <f t="shared" si="28"/>
        <v>1</v>
      </c>
      <c r="H96" s="26">
        <f t="shared" si="28"/>
        <v>1</v>
      </c>
      <c r="I96" s="26">
        <f t="shared" si="28"/>
        <v>1</v>
      </c>
      <c r="J96" s="26">
        <f t="shared" si="28"/>
        <v>1</v>
      </c>
      <c r="K96" s="26">
        <f t="shared" si="28"/>
        <v>1</v>
      </c>
      <c r="L96" s="26">
        <f t="shared" si="28"/>
        <v>1</v>
      </c>
      <c r="M96" s="26">
        <f t="shared" si="28"/>
        <v>1</v>
      </c>
      <c r="N96" s="26">
        <f t="shared" si="28"/>
        <v>1</v>
      </c>
      <c r="O96" s="26">
        <f t="shared" si="28"/>
        <v>1</v>
      </c>
      <c r="P96" s="26">
        <f t="shared" si="28"/>
        <v>0</v>
      </c>
      <c r="Q96" s="26">
        <f t="shared" si="28"/>
        <v>0</v>
      </c>
      <c r="R96" s="26">
        <f t="shared" si="28"/>
        <v>0</v>
      </c>
      <c r="S96" s="26">
        <f t="shared" si="28"/>
        <v>0</v>
      </c>
      <c r="T96" s="26">
        <f t="shared" si="28"/>
        <v>0</v>
      </c>
      <c r="U96" s="26">
        <f t="shared" si="28"/>
        <v>0</v>
      </c>
      <c r="V96" s="26">
        <f t="shared" si="28"/>
        <v>0</v>
      </c>
      <c r="W96" s="26">
        <f t="shared" si="28"/>
        <v>0</v>
      </c>
      <c r="X96" s="26">
        <f t="shared" si="28"/>
        <v>0</v>
      </c>
      <c r="Y96" s="26">
        <f t="shared" si="28"/>
        <v>0</v>
      </c>
      <c r="Z96" s="26">
        <f t="shared" si="28"/>
        <v>0</v>
      </c>
      <c r="AA96" s="26">
        <f t="shared" si="28"/>
        <v>0</v>
      </c>
      <c r="AB96" s="26">
        <f t="shared" si="28"/>
        <v>0</v>
      </c>
      <c r="AC96" s="26">
        <f t="shared" si="28"/>
        <v>0</v>
      </c>
      <c r="AD96" s="26">
        <f t="shared" si="28"/>
        <v>0</v>
      </c>
      <c r="AE96" s="26">
        <f t="shared" si="28"/>
        <v>0</v>
      </c>
      <c r="AF96" s="26">
        <f t="shared" si="28"/>
        <v>0</v>
      </c>
      <c r="AG96" s="26">
        <f t="shared" si="28"/>
        <v>0</v>
      </c>
      <c r="AH96" s="26">
        <f t="shared" si="28"/>
        <v>0</v>
      </c>
      <c r="AI96" s="26">
        <f t="shared" si="28"/>
        <v>0</v>
      </c>
      <c r="AJ96" s="26">
        <f t="shared" si="28"/>
        <v>0</v>
      </c>
      <c r="AK96" s="26">
        <f t="shared" si="28"/>
        <v>0</v>
      </c>
      <c r="AL96" s="26">
        <f t="shared" si="28"/>
        <v>0</v>
      </c>
    </row>
    <row r="97" spans="1:38" ht="21" hidden="1" customHeight="1" outlineLevel="1" thickBot="1" x14ac:dyDescent="0.4">
      <c r="A97" s="10">
        <f t="shared" si="25"/>
        <v>0</v>
      </c>
      <c r="B97" s="10">
        <f t="shared" si="25"/>
        <v>1</v>
      </c>
      <c r="C97" s="10">
        <f t="shared" si="25"/>
        <v>0</v>
      </c>
      <c r="D97" s="10">
        <f t="shared" si="25"/>
        <v>0</v>
      </c>
      <c r="E97" s="11" t="str">
        <f t="shared" si="19"/>
        <v>(l)SeCl]</v>
      </c>
      <c r="F97" s="26">
        <f t="shared" si="27"/>
        <v>2.4</v>
      </c>
      <c r="G97" s="26">
        <f t="shared" si="28"/>
        <v>2.4</v>
      </c>
      <c r="H97" s="26">
        <f t="shared" si="28"/>
        <v>2.3999000000000001</v>
      </c>
      <c r="I97" s="26">
        <f t="shared" si="28"/>
        <v>2.3975</v>
      </c>
      <c r="J97" s="26">
        <f t="shared" si="28"/>
        <v>2.3774000000000002</v>
      </c>
      <c r="K97" s="26">
        <f t="shared" si="28"/>
        <v>2.3119000000000001</v>
      </c>
      <c r="L97" s="26">
        <f t="shared" si="28"/>
        <v>2.2183000000000002</v>
      </c>
      <c r="M97" s="26">
        <f t="shared" si="28"/>
        <v>2.0788500000000001</v>
      </c>
      <c r="N97" s="26">
        <f t="shared" si="28"/>
        <v>1.7705499999999998</v>
      </c>
      <c r="O97" s="26">
        <f t="shared" si="28"/>
        <v>1.23315</v>
      </c>
      <c r="P97" s="26">
        <f t="shared" si="28"/>
        <v>0</v>
      </c>
      <c r="Q97" s="26">
        <f t="shared" si="28"/>
        <v>0</v>
      </c>
      <c r="R97" s="26">
        <f t="shared" si="28"/>
        <v>0</v>
      </c>
      <c r="S97" s="26">
        <f t="shared" si="28"/>
        <v>0</v>
      </c>
      <c r="T97" s="26">
        <f t="shared" si="28"/>
        <v>0</v>
      </c>
      <c r="U97" s="26">
        <f t="shared" si="28"/>
        <v>0</v>
      </c>
      <c r="V97" s="26">
        <f t="shared" si="28"/>
        <v>0</v>
      </c>
      <c r="W97" s="26">
        <f t="shared" si="28"/>
        <v>0</v>
      </c>
      <c r="X97" s="26">
        <f t="shared" si="28"/>
        <v>0</v>
      </c>
      <c r="Y97" s="26">
        <f t="shared" si="28"/>
        <v>0</v>
      </c>
      <c r="Z97" s="26">
        <f t="shared" si="28"/>
        <v>0</v>
      </c>
      <c r="AA97" s="26">
        <f t="shared" si="28"/>
        <v>0</v>
      </c>
      <c r="AB97" s="26">
        <f t="shared" si="28"/>
        <v>0</v>
      </c>
      <c r="AC97" s="26">
        <f t="shared" si="28"/>
        <v>0</v>
      </c>
      <c r="AD97" s="26">
        <f t="shared" si="28"/>
        <v>0</v>
      </c>
      <c r="AE97" s="26">
        <f t="shared" si="28"/>
        <v>0</v>
      </c>
      <c r="AF97" s="26">
        <f t="shared" si="28"/>
        <v>0</v>
      </c>
      <c r="AG97" s="26">
        <f t="shared" si="28"/>
        <v>0</v>
      </c>
      <c r="AH97" s="26">
        <f t="shared" si="28"/>
        <v>0</v>
      </c>
      <c r="AI97" s="26">
        <f t="shared" si="28"/>
        <v>0</v>
      </c>
      <c r="AJ97" s="26">
        <f t="shared" si="28"/>
        <v>0</v>
      </c>
      <c r="AK97" s="26">
        <f t="shared" si="28"/>
        <v>0</v>
      </c>
      <c r="AL97" s="26">
        <f t="shared" si="28"/>
        <v>0</v>
      </c>
    </row>
    <row r="98" spans="1:38" ht="21" hidden="1" customHeight="1" outlineLevel="1" thickBot="1" x14ac:dyDescent="0.4">
      <c r="A98" s="10">
        <f t="shared" si="25"/>
        <v>1</v>
      </c>
      <c r="B98" s="10">
        <f t="shared" si="25"/>
        <v>0</v>
      </c>
      <c r="C98" s="10">
        <f t="shared" si="25"/>
        <v>0</v>
      </c>
      <c r="D98" s="10">
        <f t="shared" si="25"/>
        <v>0</v>
      </c>
      <c r="E98" s="11" t="str">
        <f t="shared" si="19"/>
        <v>H (Ar)</v>
      </c>
      <c r="F98" s="26">
        <f t="shared" si="27"/>
        <v>-93.100000000000009</v>
      </c>
      <c r="G98" s="26">
        <f t="shared" si="28"/>
        <v>-93.25</v>
      </c>
      <c r="H98" s="26">
        <f t="shared" si="28"/>
        <v>-93.85</v>
      </c>
      <c r="I98" s="26">
        <f t="shared" si="28"/>
        <v>-94.65</v>
      </c>
      <c r="J98" s="26">
        <f t="shared" si="28"/>
        <v>-95.600000000000009</v>
      </c>
      <c r="K98" s="26">
        <f t="shared" si="28"/>
        <v>-96.7</v>
      </c>
      <c r="L98" s="26">
        <f t="shared" si="28"/>
        <v>-97.899999999999991</v>
      </c>
      <c r="M98" s="26">
        <f t="shared" si="28"/>
        <v>-99.05</v>
      </c>
      <c r="N98" s="26">
        <f t="shared" si="28"/>
        <v>-100.3</v>
      </c>
      <c r="O98" s="26">
        <f t="shared" si="28"/>
        <v>-101.89999999999999</v>
      </c>
      <c r="P98" s="26">
        <f t="shared" si="28"/>
        <v>0</v>
      </c>
      <c r="Q98" s="26">
        <f t="shared" si="28"/>
        <v>0</v>
      </c>
      <c r="R98" s="26">
        <f t="shared" si="28"/>
        <v>0</v>
      </c>
      <c r="S98" s="26">
        <f t="shared" si="28"/>
        <v>0</v>
      </c>
      <c r="T98" s="26">
        <f t="shared" si="28"/>
        <v>0</v>
      </c>
      <c r="U98" s="26">
        <f t="shared" si="28"/>
        <v>0</v>
      </c>
      <c r="V98" s="26">
        <f t="shared" si="28"/>
        <v>0</v>
      </c>
      <c r="W98" s="26">
        <f t="shared" si="28"/>
        <v>0</v>
      </c>
      <c r="X98" s="26">
        <f t="shared" si="28"/>
        <v>0</v>
      </c>
      <c r="Y98" s="26">
        <f t="shared" si="28"/>
        <v>0</v>
      </c>
      <c r="Z98" s="26">
        <f t="shared" si="28"/>
        <v>0</v>
      </c>
      <c r="AA98" s="26">
        <f t="shared" si="28"/>
        <v>0</v>
      </c>
      <c r="AB98" s="26">
        <f t="shared" si="28"/>
        <v>0</v>
      </c>
      <c r="AC98" s="26">
        <f t="shared" si="28"/>
        <v>0</v>
      </c>
      <c r="AD98" s="26">
        <f t="shared" si="28"/>
        <v>0</v>
      </c>
      <c r="AE98" s="26">
        <f t="shared" si="28"/>
        <v>0</v>
      </c>
      <c r="AF98" s="26">
        <f t="shared" si="28"/>
        <v>0</v>
      </c>
      <c r="AG98" s="26">
        <f t="shared" si="28"/>
        <v>0</v>
      </c>
      <c r="AH98" s="26">
        <f t="shared" si="28"/>
        <v>0</v>
      </c>
      <c r="AI98" s="26">
        <f t="shared" si="28"/>
        <v>0</v>
      </c>
      <c r="AJ98" s="26">
        <f t="shared" si="28"/>
        <v>0</v>
      </c>
      <c r="AK98" s="26">
        <f t="shared" si="28"/>
        <v>0</v>
      </c>
      <c r="AL98" s="26">
        <f t="shared" si="28"/>
        <v>0</v>
      </c>
    </row>
    <row r="99" spans="1:38" ht="21" hidden="1" customHeight="1" outlineLevel="1" thickBot="1" x14ac:dyDescent="0.4">
      <c r="A99" s="10">
        <f t="shared" si="25"/>
        <v>0</v>
      </c>
      <c r="B99" s="10">
        <f t="shared" si="25"/>
        <v>0</v>
      </c>
      <c r="C99" s="10">
        <f t="shared" si="25"/>
        <v>0</v>
      </c>
      <c r="D99" s="10">
        <f t="shared" si="25"/>
        <v>1</v>
      </c>
      <c r="E99" s="11" t="str">
        <f t="shared" si="19"/>
        <v>H (Ga)</v>
      </c>
      <c r="F99" s="26">
        <f t="shared" si="27"/>
        <v>-32.82</v>
      </c>
      <c r="G99" s="26">
        <f t="shared" si="28"/>
        <v>-35.795000000000002</v>
      </c>
      <c r="H99" s="26">
        <f t="shared" si="28"/>
        <v>-38.380000000000003</v>
      </c>
      <c r="I99" s="26">
        <f t="shared" si="28"/>
        <v>-40.67</v>
      </c>
      <c r="J99" s="26">
        <f t="shared" si="28"/>
        <v>-42.93</v>
      </c>
      <c r="K99" s="26">
        <f t="shared" si="28"/>
        <v>-45.744999999999997</v>
      </c>
      <c r="L99" s="26">
        <f t="shared" si="28"/>
        <v>-49.19</v>
      </c>
      <c r="M99" s="26">
        <f t="shared" si="28"/>
        <v>-52.599999999999994</v>
      </c>
      <c r="N99" s="26">
        <f t="shared" si="28"/>
        <v>-55.7</v>
      </c>
      <c r="O99" s="26">
        <f t="shared" si="28"/>
        <v>-58.4</v>
      </c>
      <c r="P99" s="26">
        <f t="shared" si="28"/>
        <v>0</v>
      </c>
      <c r="Q99" s="26">
        <f t="shared" si="28"/>
        <v>0</v>
      </c>
      <c r="R99" s="26">
        <f t="shared" si="28"/>
        <v>0</v>
      </c>
      <c r="S99" s="26">
        <f t="shared" si="28"/>
        <v>0</v>
      </c>
      <c r="T99" s="26">
        <f t="shared" si="28"/>
        <v>0</v>
      </c>
      <c r="U99" s="26">
        <f t="shared" si="28"/>
        <v>0</v>
      </c>
      <c r="V99" s="26">
        <f t="shared" si="28"/>
        <v>0</v>
      </c>
      <c r="W99" s="26">
        <f t="shared" si="28"/>
        <v>0</v>
      </c>
      <c r="X99" s="26">
        <f t="shared" si="28"/>
        <v>0</v>
      </c>
      <c r="Y99" s="26">
        <f t="shared" si="28"/>
        <v>0</v>
      </c>
      <c r="Z99" s="26">
        <f t="shared" si="28"/>
        <v>0</v>
      </c>
      <c r="AA99" s="26">
        <f t="shared" si="28"/>
        <v>0</v>
      </c>
      <c r="AB99" s="26">
        <f t="shared" si="28"/>
        <v>0</v>
      </c>
      <c r="AC99" s="26">
        <f t="shared" si="28"/>
        <v>0</v>
      </c>
      <c r="AD99" s="26">
        <f t="shared" si="28"/>
        <v>0</v>
      </c>
      <c r="AE99" s="26">
        <f t="shared" si="28"/>
        <v>0</v>
      </c>
      <c r="AF99" s="26">
        <f t="shared" si="28"/>
        <v>0</v>
      </c>
      <c r="AG99" s="26">
        <f t="shared" si="28"/>
        <v>0</v>
      </c>
      <c r="AH99" s="26">
        <f t="shared" si="28"/>
        <v>0</v>
      </c>
      <c r="AI99" s="26">
        <f t="shared" si="28"/>
        <v>0</v>
      </c>
      <c r="AJ99" s="26">
        <f t="shared" si="28"/>
        <v>0</v>
      </c>
      <c r="AK99" s="26">
        <f t="shared" si="28"/>
        <v>0</v>
      </c>
      <c r="AL99" s="26">
        <f t="shared" ref="AL99" si="29">AL19*$C$82</f>
        <v>0</v>
      </c>
    </row>
    <row r="100" spans="1:38" ht="21" hidden="1" customHeight="1" outlineLevel="1" thickBot="1" x14ac:dyDescent="0.4">
      <c r="A100" s="10">
        <f t="shared" si="25"/>
        <v>0</v>
      </c>
      <c r="B100" s="10">
        <f t="shared" si="25"/>
        <v>0</v>
      </c>
      <c r="C100" s="10">
        <f t="shared" si="25"/>
        <v>1</v>
      </c>
      <c r="D100" s="10">
        <f t="shared" si="25"/>
        <v>0</v>
      </c>
      <c r="E100" s="11" t="str">
        <f t="shared" si="19"/>
        <v>H (Ge)</v>
      </c>
      <c r="F100" s="26">
        <f t="shared" ref="F100:F107" si="30">F20*$C$82</f>
        <v>35.875</v>
      </c>
      <c r="G100" s="26">
        <f t="shared" ref="G100:AL107" si="31">G20*$C$82</f>
        <v>17.88</v>
      </c>
      <c r="H100" s="26">
        <f t="shared" si="31"/>
        <v>5.8599999999999994</v>
      </c>
      <c r="I100" s="26">
        <f t="shared" si="31"/>
        <v>-2.8679999999999999</v>
      </c>
      <c r="J100" s="26">
        <f t="shared" si="31"/>
        <v>-9.52</v>
      </c>
      <c r="K100" s="26">
        <f t="shared" si="31"/>
        <v>-14.655000000000001</v>
      </c>
      <c r="L100" s="26">
        <f t="shared" si="31"/>
        <v>-18.77</v>
      </c>
      <c r="M100" s="26">
        <f t="shared" si="31"/>
        <v>-22.174999999999997</v>
      </c>
      <c r="N100" s="26">
        <f t="shared" si="31"/>
        <v>-24.81</v>
      </c>
      <c r="O100" s="26">
        <f t="shared" si="31"/>
        <v>-26.520000000000003</v>
      </c>
      <c r="P100" s="26">
        <f t="shared" si="31"/>
        <v>0</v>
      </c>
      <c r="Q100" s="26">
        <f t="shared" si="31"/>
        <v>0</v>
      </c>
      <c r="R100" s="26">
        <f t="shared" si="31"/>
        <v>0</v>
      </c>
      <c r="S100" s="26">
        <f t="shared" si="31"/>
        <v>0</v>
      </c>
      <c r="T100" s="26">
        <f t="shared" si="31"/>
        <v>0</v>
      </c>
      <c r="U100" s="26">
        <f t="shared" si="31"/>
        <v>0</v>
      </c>
      <c r="V100" s="26">
        <f t="shared" si="31"/>
        <v>0</v>
      </c>
      <c r="W100" s="26">
        <f t="shared" si="31"/>
        <v>0</v>
      </c>
      <c r="X100" s="26">
        <f t="shared" si="31"/>
        <v>0</v>
      </c>
      <c r="Y100" s="26">
        <f t="shared" si="31"/>
        <v>0</v>
      </c>
      <c r="Z100" s="26">
        <f t="shared" si="31"/>
        <v>0</v>
      </c>
      <c r="AA100" s="26">
        <f t="shared" si="31"/>
        <v>0</v>
      </c>
      <c r="AB100" s="26">
        <f t="shared" si="31"/>
        <v>0</v>
      </c>
      <c r="AC100" s="26">
        <f t="shared" si="31"/>
        <v>0</v>
      </c>
      <c r="AD100" s="26">
        <f t="shared" si="31"/>
        <v>0</v>
      </c>
      <c r="AE100" s="26">
        <f t="shared" si="31"/>
        <v>0</v>
      </c>
      <c r="AF100" s="26">
        <f t="shared" si="31"/>
        <v>0</v>
      </c>
      <c r="AG100" s="26">
        <f t="shared" si="31"/>
        <v>0</v>
      </c>
      <c r="AH100" s="26">
        <f t="shared" si="31"/>
        <v>0</v>
      </c>
      <c r="AI100" s="26">
        <f t="shared" si="31"/>
        <v>0</v>
      </c>
      <c r="AJ100" s="26">
        <f t="shared" si="31"/>
        <v>0</v>
      </c>
      <c r="AK100" s="26">
        <f t="shared" si="31"/>
        <v>0</v>
      </c>
      <c r="AL100" s="26">
        <f t="shared" si="31"/>
        <v>0</v>
      </c>
    </row>
    <row r="101" spans="1:38" ht="21" hidden="1" customHeight="1" outlineLevel="1" thickBot="1" x14ac:dyDescent="0.4">
      <c r="A101" s="10">
        <f t="shared" ref="A101:D113" si="32">A67</f>
        <v>0</v>
      </c>
      <c r="B101" s="10">
        <f t="shared" si="32"/>
        <v>1</v>
      </c>
      <c r="C101" s="10">
        <f t="shared" si="32"/>
        <v>0</v>
      </c>
      <c r="D101" s="10">
        <f t="shared" si="32"/>
        <v>0</v>
      </c>
      <c r="E101" s="11" t="str">
        <f t="shared" si="19"/>
        <v>H (Se)</v>
      </c>
      <c r="F101" s="26">
        <f t="shared" si="30"/>
        <v>-23.5</v>
      </c>
      <c r="G101" s="26">
        <f t="shared" si="31"/>
        <v>-25.684999999999999</v>
      </c>
      <c r="H101" s="26">
        <f t="shared" si="31"/>
        <v>-28.065000000000001</v>
      </c>
      <c r="I101" s="26">
        <f t="shared" si="31"/>
        <v>-30.344999999999999</v>
      </c>
      <c r="J101" s="26">
        <f t="shared" si="31"/>
        <v>-32.435000000000002</v>
      </c>
      <c r="K101" s="26">
        <f t="shared" si="31"/>
        <v>-34.275000000000006</v>
      </c>
      <c r="L101" s="26">
        <f t="shared" si="31"/>
        <v>-35.935000000000002</v>
      </c>
      <c r="M101" s="26">
        <f t="shared" si="31"/>
        <v>-37.555</v>
      </c>
      <c r="N101" s="26">
        <f t="shared" si="31"/>
        <v>-39.28</v>
      </c>
      <c r="O101" s="26">
        <f t="shared" si="31"/>
        <v>-41.394999999999996</v>
      </c>
      <c r="P101" s="26">
        <f t="shared" si="31"/>
        <v>0</v>
      </c>
      <c r="Q101" s="26">
        <f t="shared" si="31"/>
        <v>0</v>
      </c>
      <c r="R101" s="26">
        <f t="shared" si="31"/>
        <v>0</v>
      </c>
      <c r="S101" s="26">
        <f t="shared" si="31"/>
        <v>0</v>
      </c>
      <c r="T101" s="26">
        <f t="shared" si="31"/>
        <v>0</v>
      </c>
      <c r="U101" s="26">
        <f t="shared" si="31"/>
        <v>0</v>
      </c>
      <c r="V101" s="26">
        <f t="shared" si="31"/>
        <v>0</v>
      </c>
      <c r="W101" s="26">
        <f t="shared" si="31"/>
        <v>0</v>
      </c>
      <c r="X101" s="26">
        <f t="shared" si="31"/>
        <v>0</v>
      </c>
      <c r="Y101" s="26">
        <f t="shared" si="31"/>
        <v>0</v>
      </c>
      <c r="Z101" s="26">
        <f t="shared" si="31"/>
        <v>0</v>
      </c>
      <c r="AA101" s="26">
        <f t="shared" si="31"/>
        <v>0</v>
      </c>
      <c r="AB101" s="26">
        <f t="shared" si="31"/>
        <v>0</v>
      </c>
      <c r="AC101" s="26">
        <f t="shared" si="31"/>
        <v>0</v>
      </c>
      <c r="AD101" s="26">
        <f t="shared" si="31"/>
        <v>0</v>
      </c>
      <c r="AE101" s="26">
        <f t="shared" si="31"/>
        <v>0</v>
      </c>
      <c r="AF101" s="26">
        <f t="shared" si="31"/>
        <v>0</v>
      </c>
      <c r="AG101" s="26">
        <f t="shared" si="31"/>
        <v>0</v>
      </c>
      <c r="AH101" s="26">
        <f t="shared" si="31"/>
        <v>0</v>
      </c>
      <c r="AI101" s="26">
        <f t="shared" si="31"/>
        <v>0</v>
      </c>
      <c r="AJ101" s="26">
        <f t="shared" si="31"/>
        <v>0</v>
      </c>
      <c r="AK101" s="26">
        <f t="shared" si="31"/>
        <v>0</v>
      </c>
      <c r="AL101" s="26">
        <f t="shared" si="31"/>
        <v>0</v>
      </c>
    </row>
    <row r="102" spans="1:38" ht="21" hidden="1" customHeight="1" outlineLevel="1" thickBot="1" x14ac:dyDescent="0.4">
      <c r="A102" s="10">
        <f t="shared" si="32"/>
        <v>0</v>
      </c>
      <c r="B102" s="10">
        <f t="shared" si="32"/>
        <v>0</v>
      </c>
      <c r="C102" s="10">
        <f t="shared" si="32"/>
        <v>0</v>
      </c>
      <c r="D102" s="10">
        <f t="shared" si="32"/>
        <v>0</v>
      </c>
      <c r="E102" s="11">
        <f t="shared" si="19"/>
        <v>0</v>
      </c>
      <c r="F102" s="26">
        <f t="shared" si="30"/>
        <v>0</v>
      </c>
      <c r="G102" s="26">
        <f t="shared" si="31"/>
        <v>0</v>
      </c>
      <c r="H102" s="26">
        <f t="shared" si="31"/>
        <v>0</v>
      </c>
      <c r="I102" s="26">
        <f t="shared" si="31"/>
        <v>0</v>
      </c>
      <c r="J102" s="26">
        <f t="shared" si="31"/>
        <v>0</v>
      </c>
      <c r="K102" s="26">
        <f t="shared" si="31"/>
        <v>0</v>
      </c>
      <c r="L102" s="26">
        <f t="shared" si="31"/>
        <v>0</v>
      </c>
      <c r="M102" s="26">
        <f t="shared" si="31"/>
        <v>0</v>
      </c>
      <c r="N102" s="26">
        <f t="shared" si="31"/>
        <v>0</v>
      </c>
      <c r="O102" s="26">
        <f t="shared" si="31"/>
        <v>0</v>
      </c>
      <c r="P102" s="26">
        <f t="shared" si="31"/>
        <v>0</v>
      </c>
      <c r="Q102" s="26">
        <f t="shared" si="31"/>
        <v>0</v>
      </c>
      <c r="R102" s="26">
        <f t="shared" si="31"/>
        <v>0</v>
      </c>
      <c r="S102" s="26">
        <f t="shared" si="31"/>
        <v>0</v>
      </c>
      <c r="T102" s="26">
        <f t="shared" si="31"/>
        <v>0</v>
      </c>
      <c r="U102" s="26">
        <f t="shared" si="31"/>
        <v>0</v>
      </c>
      <c r="V102" s="26">
        <f t="shared" si="31"/>
        <v>0</v>
      </c>
      <c r="W102" s="26">
        <f t="shared" si="31"/>
        <v>0</v>
      </c>
      <c r="X102" s="26">
        <f t="shared" si="31"/>
        <v>0</v>
      </c>
      <c r="Y102" s="26">
        <f t="shared" si="31"/>
        <v>0</v>
      </c>
      <c r="Z102" s="26">
        <f t="shared" si="31"/>
        <v>0</v>
      </c>
      <c r="AA102" s="26">
        <f t="shared" si="31"/>
        <v>0</v>
      </c>
      <c r="AB102" s="26">
        <f t="shared" si="31"/>
        <v>0</v>
      </c>
      <c r="AC102" s="26">
        <f t="shared" si="31"/>
        <v>0</v>
      </c>
      <c r="AD102" s="26">
        <f t="shared" si="31"/>
        <v>0</v>
      </c>
      <c r="AE102" s="26">
        <f t="shared" si="31"/>
        <v>0</v>
      </c>
      <c r="AF102" s="26">
        <f t="shared" si="31"/>
        <v>0</v>
      </c>
      <c r="AG102" s="26">
        <f t="shared" si="31"/>
        <v>0</v>
      </c>
      <c r="AH102" s="26">
        <f t="shared" si="31"/>
        <v>0</v>
      </c>
      <c r="AI102" s="26">
        <f t="shared" si="31"/>
        <v>0</v>
      </c>
      <c r="AJ102" s="26">
        <f t="shared" si="31"/>
        <v>0</v>
      </c>
      <c r="AK102" s="26">
        <f t="shared" si="31"/>
        <v>0</v>
      </c>
      <c r="AL102" s="26">
        <f t="shared" si="31"/>
        <v>0</v>
      </c>
    </row>
    <row r="103" spans="1:38" ht="21" hidden="1" customHeight="1" outlineLevel="1" thickBot="1" x14ac:dyDescent="0.4">
      <c r="A103" s="10">
        <f t="shared" si="32"/>
        <v>0</v>
      </c>
      <c r="B103" s="10">
        <f t="shared" si="32"/>
        <v>0</v>
      </c>
      <c r="C103" s="10">
        <f t="shared" si="32"/>
        <v>0</v>
      </c>
      <c r="D103" s="10">
        <f t="shared" si="32"/>
        <v>0</v>
      </c>
      <c r="E103" s="11">
        <f t="shared" si="19"/>
        <v>0</v>
      </c>
      <c r="F103" s="26">
        <f t="shared" si="30"/>
        <v>0</v>
      </c>
      <c r="G103" s="26">
        <f t="shared" si="31"/>
        <v>0</v>
      </c>
      <c r="H103" s="26">
        <f t="shared" si="31"/>
        <v>0</v>
      </c>
      <c r="I103" s="26">
        <f t="shared" si="31"/>
        <v>0</v>
      </c>
      <c r="J103" s="26">
        <f t="shared" si="31"/>
        <v>0</v>
      </c>
      <c r="K103" s="26">
        <f t="shared" si="31"/>
        <v>0</v>
      </c>
      <c r="L103" s="26">
        <f t="shared" si="31"/>
        <v>0</v>
      </c>
      <c r="M103" s="26">
        <f t="shared" si="31"/>
        <v>0</v>
      </c>
      <c r="N103" s="26">
        <f t="shared" si="31"/>
        <v>0</v>
      </c>
      <c r="O103" s="26">
        <f t="shared" si="31"/>
        <v>0</v>
      </c>
      <c r="P103" s="26">
        <f t="shared" si="31"/>
        <v>0</v>
      </c>
      <c r="Q103" s="26">
        <f t="shared" si="31"/>
        <v>0</v>
      </c>
      <c r="R103" s="26">
        <f t="shared" si="31"/>
        <v>0</v>
      </c>
      <c r="S103" s="26">
        <f t="shared" si="31"/>
        <v>0</v>
      </c>
      <c r="T103" s="26">
        <f t="shared" si="31"/>
        <v>0</v>
      </c>
      <c r="U103" s="26">
        <f t="shared" si="31"/>
        <v>0</v>
      </c>
      <c r="V103" s="26">
        <f t="shared" si="31"/>
        <v>0</v>
      </c>
      <c r="W103" s="26">
        <f t="shared" si="31"/>
        <v>0</v>
      </c>
      <c r="X103" s="26">
        <f t="shared" si="31"/>
        <v>0</v>
      </c>
      <c r="Y103" s="26">
        <f t="shared" si="31"/>
        <v>0</v>
      </c>
      <c r="Z103" s="26">
        <f t="shared" si="31"/>
        <v>0</v>
      </c>
      <c r="AA103" s="26">
        <f t="shared" si="31"/>
        <v>0</v>
      </c>
      <c r="AB103" s="26">
        <f t="shared" si="31"/>
        <v>0</v>
      </c>
      <c r="AC103" s="26">
        <f t="shared" si="31"/>
        <v>0</v>
      </c>
      <c r="AD103" s="26">
        <f t="shared" si="31"/>
        <v>0</v>
      </c>
      <c r="AE103" s="26">
        <f t="shared" si="31"/>
        <v>0</v>
      </c>
      <c r="AF103" s="26">
        <f t="shared" si="31"/>
        <v>0</v>
      </c>
      <c r="AG103" s="26">
        <f t="shared" si="31"/>
        <v>0</v>
      </c>
      <c r="AH103" s="26">
        <f t="shared" si="31"/>
        <v>0</v>
      </c>
      <c r="AI103" s="26">
        <f t="shared" si="31"/>
        <v>0</v>
      </c>
      <c r="AJ103" s="26">
        <f t="shared" si="31"/>
        <v>0</v>
      </c>
      <c r="AK103" s="26">
        <f t="shared" si="31"/>
        <v>0</v>
      </c>
      <c r="AL103" s="26">
        <f t="shared" si="31"/>
        <v>0</v>
      </c>
    </row>
    <row r="104" spans="1:38" ht="21" hidden="1" customHeight="1" outlineLevel="1" thickBot="1" x14ac:dyDescent="0.4">
      <c r="A104" s="10">
        <f t="shared" si="32"/>
        <v>0</v>
      </c>
      <c r="B104" s="10">
        <f t="shared" si="32"/>
        <v>0</v>
      </c>
      <c r="C104" s="10">
        <f t="shared" si="32"/>
        <v>0</v>
      </c>
      <c r="D104" s="10">
        <f t="shared" si="32"/>
        <v>0</v>
      </c>
      <c r="E104" s="11">
        <f t="shared" si="19"/>
        <v>0</v>
      </c>
      <c r="F104" s="26">
        <f t="shared" si="30"/>
        <v>0</v>
      </c>
      <c r="G104" s="26">
        <f t="shared" si="31"/>
        <v>0</v>
      </c>
      <c r="H104" s="26">
        <f t="shared" si="31"/>
        <v>0</v>
      </c>
      <c r="I104" s="26">
        <f t="shared" si="31"/>
        <v>0</v>
      </c>
      <c r="J104" s="26">
        <f t="shared" si="31"/>
        <v>0</v>
      </c>
      <c r="K104" s="26">
        <f t="shared" si="31"/>
        <v>0</v>
      </c>
      <c r="L104" s="26">
        <f t="shared" si="31"/>
        <v>0</v>
      </c>
      <c r="M104" s="26">
        <f t="shared" si="31"/>
        <v>0</v>
      </c>
      <c r="N104" s="26">
        <f t="shared" si="31"/>
        <v>0</v>
      </c>
      <c r="O104" s="26">
        <f t="shared" si="31"/>
        <v>0</v>
      </c>
      <c r="P104" s="26">
        <f t="shared" si="31"/>
        <v>0</v>
      </c>
      <c r="Q104" s="26">
        <f t="shared" si="31"/>
        <v>0</v>
      </c>
      <c r="R104" s="26">
        <f t="shared" si="31"/>
        <v>0</v>
      </c>
      <c r="S104" s="26">
        <f t="shared" si="31"/>
        <v>0</v>
      </c>
      <c r="T104" s="26">
        <f t="shared" si="31"/>
        <v>0</v>
      </c>
      <c r="U104" s="26">
        <f t="shared" si="31"/>
        <v>0</v>
      </c>
      <c r="V104" s="26">
        <f t="shared" si="31"/>
        <v>0</v>
      </c>
      <c r="W104" s="26">
        <f t="shared" si="31"/>
        <v>0</v>
      </c>
      <c r="X104" s="26">
        <f t="shared" si="31"/>
        <v>0</v>
      </c>
      <c r="Y104" s="26">
        <f t="shared" si="31"/>
        <v>0</v>
      </c>
      <c r="Z104" s="26">
        <f t="shared" si="31"/>
        <v>0</v>
      </c>
      <c r="AA104" s="26">
        <f t="shared" si="31"/>
        <v>0</v>
      </c>
      <c r="AB104" s="26">
        <f t="shared" si="31"/>
        <v>0</v>
      </c>
      <c r="AC104" s="26">
        <f t="shared" si="31"/>
        <v>0</v>
      </c>
      <c r="AD104" s="26">
        <f t="shared" si="31"/>
        <v>0</v>
      </c>
      <c r="AE104" s="26">
        <f t="shared" si="31"/>
        <v>0</v>
      </c>
      <c r="AF104" s="26">
        <f t="shared" si="31"/>
        <v>0</v>
      </c>
      <c r="AG104" s="26">
        <f t="shared" si="31"/>
        <v>0</v>
      </c>
      <c r="AH104" s="26">
        <f t="shared" si="31"/>
        <v>0</v>
      </c>
      <c r="AI104" s="26">
        <f t="shared" si="31"/>
        <v>0</v>
      </c>
      <c r="AJ104" s="26">
        <f t="shared" si="31"/>
        <v>0</v>
      </c>
      <c r="AK104" s="26">
        <f t="shared" si="31"/>
        <v>0</v>
      </c>
      <c r="AL104" s="26">
        <f t="shared" si="31"/>
        <v>0</v>
      </c>
    </row>
    <row r="105" spans="1:38" ht="21" hidden="1" customHeight="1" outlineLevel="1" thickBot="1" x14ac:dyDescent="0.4">
      <c r="A105" s="10">
        <f t="shared" si="32"/>
        <v>0</v>
      </c>
      <c r="B105" s="10">
        <f t="shared" si="32"/>
        <v>0</v>
      </c>
      <c r="C105" s="10">
        <f t="shared" si="32"/>
        <v>0</v>
      </c>
      <c r="D105" s="10">
        <f t="shared" si="32"/>
        <v>0</v>
      </c>
      <c r="E105" s="11">
        <f t="shared" si="19"/>
        <v>0</v>
      </c>
      <c r="F105" s="26">
        <f t="shared" si="30"/>
        <v>0</v>
      </c>
      <c r="G105" s="26">
        <f t="shared" si="31"/>
        <v>0</v>
      </c>
      <c r="H105" s="26">
        <f t="shared" si="31"/>
        <v>0</v>
      </c>
      <c r="I105" s="26">
        <f t="shared" si="31"/>
        <v>0</v>
      </c>
      <c r="J105" s="26">
        <f t="shared" si="31"/>
        <v>0</v>
      </c>
      <c r="K105" s="26">
        <f t="shared" si="31"/>
        <v>0</v>
      </c>
      <c r="L105" s="26">
        <f t="shared" si="31"/>
        <v>0</v>
      </c>
      <c r="M105" s="26">
        <f t="shared" si="31"/>
        <v>0</v>
      </c>
      <c r="N105" s="26">
        <f t="shared" si="31"/>
        <v>0</v>
      </c>
      <c r="O105" s="26">
        <f t="shared" si="31"/>
        <v>0</v>
      </c>
      <c r="P105" s="26">
        <f t="shared" si="31"/>
        <v>0</v>
      </c>
      <c r="Q105" s="26">
        <f t="shared" si="31"/>
        <v>0</v>
      </c>
      <c r="R105" s="26">
        <f t="shared" si="31"/>
        <v>0</v>
      </c>
      <c r="S105" s="26">
        <f t="shared" si="31"/>
        <v>0</v>
      </c>
      <c r="T105" s="26">
        <f t="shared" si="31"/>
        <v>0</v>
      </c>
      <c r="U105" s="26">
        <f t="shared" si="31"/>
        <v>0</v>
      </c>
      <c r="V105" s="26">
        <f t="shared" si="31"/>
        <v>0</v>
      </c>
      <c r="W105" s="26">
        <f t="shared" si="31"/>
        <v>0</v>
      </c>
      <c r="X105" s="26">
        <f t="shared" si="31"/>
        <v>0</v>
      </c>
      <c r="Y105" s="26">
        <f t="shared" si="31"/>
        <v>0</v>
      </c>
      <c r="Z105" s="26">
        <f t="shared" si="31"/>
        <v>0</v>
      </c>
      <c r="AA105" s="26">
        <f t="shared" si="31"/>
        <v>0</v>
      </c>
      <c r="AB105" s="26">
        <f t="shared" si="31"/>
        <v>0</v>
      </c>
      <c r="AC105" s="26">
        <f t="shared" si="31"/>
        <v>0</v>
      </c>
      <c r="AD105" s="26">
        <f t="shared" si="31"/>
        <v>0</v>
      </c>
      <c r="AE105" s="26">
        <f t="shared" si="31"/>
        <v>0</v>
      </c>
      <c r="AF105" s="26">
        <f t="shared" si="31"/>
        <v>0</v>
      </c>
      <c r="AG105" s="26">
        <f t="shared" si="31"/>
        <v>0</v>
      </c>
      <c r="AH105" s="26">
        <f t="shared" si="31"/>
        <v>0</v>
      </c>
      <c r="AI105" s="26">
        <f t="shared" si="31"/>
        <v>0</v>
      </c>
      <c r="AJ105" s="26">
        <f t="shared" si="31"/>
        <v>0</v>
      </c>
      <c r="AK105" s="26">
        <f t="shared" si="31"/>
        <v>0</v>
      </c>
      <c r="AL105" s="26">
        <f t="shared" si="31"/>
        <v>0</v>
      </c>
    </row>
    <row r="106" spans="1:38" ht="21" hidden="1" customHeight="1" outlineLevel="1" thickBot="1" x14ac:dyDescent="0.4">
      <c r="A106" s="10">
        <f t="shared" si="32"/>
        <v>0</v>
      </c>
      <c r="B106" s="10">
        <f t="shared" si="32"/>
        <v>0</v>
      </c>
      <c r="C106" s="10">
        <f t="shared" si="32"/>
        <v>0</v>
      </c>
      <c r="D106" s="10">
        <f t="shared" si="32"/>
        <v>0</v>
      </c>
      <c r="E106" s="11">
        <f t="shared" si="19"/>
        <v>0</v>
      </c>
      <c r="F106" s="26">
        <f t="shared" si="30"/>
        <v>0</v>
      </c>
      <c r="G106" s="26">
        <f t="shared" si="31"/>
        <v>0</v>
      </c>
      <c r="H106" s="26">
        <f t="shared" si="31"/>
        <v>0</v>
      </c>
      <c r="I106" s="26">
        <f t="shared" si="31"/>
        <v>0</v>
      </c>
      <c r="J106" s="26">
        <f t="shared" si="31"/>
        <v>0</v>
      </c>
      <c r="K106" s="26">
        <f t="shared" si="31"/>
        <v>0</v>
      </c>
      <c r="L106" s="26">
        <f t="shared" si="31"/>
        <v>0</v>
      </c>
      <c r="M106" s="26">
        <f t="shared" si="31"/>
        <v>0</v>
      </c>
      <c r="N106" s="26">
        <f t="shared" si="31"/>
        <v>0</v>
      </c>
      <c r="O106" s="26">
        <f t="shared" si="31"/>
        <v>0</v>
      </c>
      <c r="P106" s="26">
        <f t="shared" si="31"/>
        <v>0</v>
      </c>
      <c r="Q106" s="26">
        <f t="shared" si="31"/>
        <v>0</v>
      </c>
      <c r="R106" s="26">
        <f t="shared" si="31"/>
        <v>0</v>
      </c>
      <c r="S106" s="26">
        <f t="shared" si="31"/>
        <v>0</v>
      </c>
      <c r="T106" s="26">
        <f t="shared" si="31"/>
        <v>0</v>
      </c>
      <c r="U106" s="26">
        <f t="shared" si="31"/>
        <v>0</v>
      </c>
      <c r="V106" s="26">
        <f t="shared" si="31"/>
        <v>0</v>
      </c>
      <c r="W106" s="26">
        <f t="shared" si="31"/>
        <v>0</v>
      </c>
      <c r="X106" s="26">
        <f t="shared" si="31"/>
        <v>0</v>
      </c>
      <c r="Y106" s="26">
        <f t="shared" si="31"/>
        <v>0</v>
      </c>
      <c r="Z106" s="26">
        <f t="shared" si="31"/>
        <v>0</v>
      </c>
      <c r="AA106" s="26">
        <f t="shared" si="31"/>
        <v>0</v>
      </c>
      <c r="AB106" s="26">
        <f t="shared" si="31"/>
        <v>0</v>
      </c>
      <c r="AC106" s="26">
        <f t="shared" si="31"/>
        <v>0</v>
      </c>
      <c r="AD106" s="26">
        <f t="shared" si="31"/>
        <v>0</v>
      </c>
      <c r="AE106" s="26">
        <f t="shared" si="31"/>
        <v>0</v>
      </c>
      <c r="AF106" s="26">
        <f t="shared" si="31"/>
        <v>0</v>
      </c>
      <c r="AG106" s="26">
        <f t="shared" si="31"/>
        <v>0</v>
      </c>
      <c r="AH106" s="26">
        <f t="shared" si="31"/>
        <v>0</v>
      </c>
      <c r="AI106" s="26">
        <f t="shared" si="31"/>
        <v>0</v>
      </c>
      <c r="AJ106" s="26">
        <f t="shared" si="31"/>
        <v>0</v>
      </c>
      <c r="AK106" s="26">
        <f t="shared" si="31"/>
        <v>0</v>
      </c>
      <c r="AL106" s="26">
        <f t="shared" si="31"/>
        <v>0</v>
      </c>
    </row>
    <row r="107" spans="1:38" ht="21" hidden="1" customHeight="1" outlineLevel="1" thickBot="1" x14ac:dyDescent="0.4">
      <c r="A107" s="10">
        <f t="shared" si="32"/>
        <v>0</v>
      </c>
      <c r="B107" s="10">
        <f t="shared" si="32"/>
        <v>0</v>
      </c>
      <c r="C107" s="10">
        <f t="shared" si="32"/>
        <v>0</v>
      </c>
      <c r="D107" s="10">
        <f t="shared" si="32"/>
        <v>0</v>
      </c>
      <c r="E107" s="11">
        <f t="shared" si="19"/>
        <v>0</v>
      </c>
      <c r="F107" s="26">
        <f t="shared" si="30"/>
        <v>0</v>
      </c>
      <c r="G107" s="26">
        <f t="shared" si="31"/>
        <v>0</v>
      </c>
      <c r="H107" s="26">
        <f t="shared" si="31"/>
        <v>0</v>
      </c>
      <c r="I107" s="26">
        <f t="shared" si="31"/>
        <v>0</v>
      </c>
      <c r="J107" s="26">
        <f t="shared" si="31"/>
        <v>0</v>
      </c>
      <c r="K107" s="26">
        <f t="shared" si="31"/>
        <v>0</v>
      </c>
      <c r="L107" s="26">
        <f t="shared" si="31"/>
        <v>0</v>
      </c>
      <c r="M107" s="26">
        <f t="shared" si="31"/>
        <v>0</v>
      </c>
      <c r="N107" s="26">
        <f t="shared" si="31"/>
        <v>0</v>
      </c>
      <c r="O107" s="26">
        <f t="shared" si="31"/>
        <v>0</v>
      </c>
      <c r="P107" s="26">
        <f t="shared" si="31"/>
        <v>0</v>
      </c>
      <c r="Q107" s="26">
        <f t="shared" si="31"/>
        <v>0</v>
      </c>
      <c r="R107" s="26">
        <f t="shared" si="31"/>
        <v>0</v>
      </c>
      <c r="S107" s="26">
        <f t="shared" si="31"/>
        <v>0</v>
      </c>
      <c r="T107" s="26">
        <f t="shared" si="31"/>
        <v>0</v>
      </c>
      <c r="U107" s="26">
        <f t="shared" si="31"/>
        <v>0</v>
      </c>
      <c r="V107" s="26">
        <f t="shared" si="31"/>
        <v>0</v>
      </c>
      <c r="W107" s="26">
        <f t="shared" si="31"/>
        <v>0</v>
      </c>
      <c r="X107" s="26">
        <f t="shared" si="31"/>
        <v>0</v>
      </c>
      <c r="Y107" s="26">
        <f t="shared" si="31"/>
        <v>0</v>
      </c>
      <c r="Z107" s="26">
        <f t="shared" si="31"/>
        <v>0</v>
      </c>
      <c r="AA107" s="26">
        <f t="shared" si="31"/>
        <v>0</v>
      </c>
      <c r="AB107" s="26">
        <f t="shared" si="31"/>
        <v>0</v>
      </c>
      <c r="AC107" s="26">
        <f t="shared" si="31"/>
        <v>0</v>
      </c>
      <c r="AD107" s="26">
        <f t="shared" si="31"/>
        <v>0</v>
      </c>
      <c r="AE107" s="26">
        <f t="shared" si="31"/>
        <v>0</v>
      </c>
      <c r="AF107" s="26">
        <f t="shared" si="31"/>
        <v>0</v>
      </c>
      <c r="AG107" s="26">
        <f t="shared" si="31"/>
        <v>0</v>
      </c>
      <c r="AH107" s="26">
        <f t="shared" si="31"/>
        <v>0</v>
      </c>
      <c r="AI107" s="26">
        <f t="shared" si="31"/>
        <v>0</v>
      </c>
      <c r="AJ107" s="26">
        <f t="shared" si="31"/>
        <v>0</v>
      </c>
      <c r="AK107" s="26">
        <f t="shared" si="31"/>
        <v>0</v>
      </c>
      <c r="AL107" s="26">
        <f t="shared" ref="AL107" si="33">AL27*$C$82</f>
        <v>0</v>
      </c>
    </row>
    <row r="108" spans="1:38" ht="21" hidden="1" customHeight="1" outlineLevel="1" thickBot="1" x14ac:dyDescent="0.4">
      <c r="A108" s="10">
        <f t="shared" si="32"/>
        <v>0</v>
      </c>
      <c r="B108" s="10">
        <f t="shared" si="32"/>
        <v>0</v>
      </c>
      <c r="C108" s="10">
        <f t="shared" si="32"/>
        <v>0</v>
      </c>
      <c r="D108" s="10">
        <f t="shared" si="32"/>
        <v>0</v>
      </c>
      <c r="E108" s="11">
        <f t="shared" si="19"/>
        <v>0</v>
      </c>
      <c r="F108" s="26">
        <f t="shared" ref="F108:F112" si="34">F28*$C$82</f>
        <v>0</v>
      </c>
      <c r="G108" s="26">
        <f t="shared" ref="G108:AL108" si="35">G28*$C$82</f>
        <v>0</v>
      </c>
      <c r="H108" s="26">
        <f t="shared" si="35"/>
        <v>0</v>
      </c>
      <c r="I108" s="26">
        <f t="shared" si="35"/>
        <v>0</v>
      </c>
      <c r="J108" s="26">
        <f t="shared" si="35"/>
        <v>0</v>
      </c>
      <c r="K108" s="26">
        <f t="shared" si="35"/>
        <v>0</v>
      </c>
      <c r="L108" s="26">
        <f t="shared" si="35"/>
        <v>0</v>
      </c>
      <c r="M108" s="26">
        <f t="shared" si="35"/>
        <v>0</v>
      </c>
      <c r="N108" s="26">
        <f t="shared" si="35"/>
        <v>0</v>
      </c>
      <c r="O108" s="26">
        <f t="shared" si="35"/>
        <v>0</v>
      </c>
      <c r="P108" s="26">
        <f t="shared" si="35"/>
        <v>0</v>
      </c>
      <c r="Q108" s="26">
        <f t="shared" si="35"/>
        <v>0</v>
      </c>
      <c r="R108" s="26">
        <f t="shared" si="35"/>
        <v>0</v>
      </c>
      <c r="S108" s="26">
        <f t="shared" si="35"/>
        <v>0</v>
      </c>
      <c r="T108" s="26">
        <f t="shared" si="35"/>
        <v>0</v>
      </c>
      <c r="U108" s="26">
        <f t="shared" si="35"/>
        <v>0</v>
      </c>
      <c r="V108" s="26">
        <f t="shared" si="35"/>
        <v>0</v>
      </c>
      <c r="W108" s="26">
        <f t="shared" si="35"/>
        <v>0</v>
      </c>
      <c r="X108" s="26">
        <f t="shared" si="35"/>
        <v>0</v>
      </c>
      <c r="Y108" s="26">
        <f t="shared" si="35"/>
        <v>0</v>
      </c>
      <c r="Z108" s="26">
        <f t="shared" si="35"/>
        <v>0</v>
      </c>
      <c r="AA108" s="26">
        <f t="shared" si="35"/>
        <v>0</v>
      </c>
      <c r="AB108" s="26">
        <f t="shared" si="35"/>
        <v>0</v>
      </c>
      <c r="AC108" s="26">
        <f t="shared" si="35"/>
        <v>0</v>
      </c>
      <c r="AD108" s="26">
        <f t="shared" si="35"/>
        <v>0</v>
      </c>
      <c r="AE108" s="26">
        <f t="shared" si="35"/>
        <v>0</v>
      </c>
      <c r="AF108" s="26">
        <f t="shared" si="35"/>
        <v>0</v>
      </c>
      <c r="AG108" s="26">
        <f t="shared" si="35"/>
        <v>0</v>
      </c>
      <c r="AH108" s="26">
        <f t="shared" si="35"/>
        <v>0</v>
      </c>
      <c r="AI108" s="26">
        <f t="shared" si="35"/>
        <v>0</v>
      </c>
      <c r="AJ108" s="26">
        <f t="shared" si="35"/>
        <v>0</v>
      </c>
      <c r="AK108" s="26">
        <f t="shared" si="35"/>
        <v>0</v>
      </c>
      <c r="AL108" s="26">
        <f t="shared" si="35"/>
        <v>0</v>
      </c>
    </row>
    <row r="109" spans="1:38" ht="21" hidden="1" customHeight="1" outlineLevel="1" thickBot="1" x14ac:dyDescent="0.4">
      <c r="A109" s="10">
        <f t="shared" si="32"/>
        <v>0</v>
      </c>
      <c r="B109" s="10">
        <f t="shared" si="32"/>
        <v>0</v>
      </c>
      <c r="C109" s="10">
        <f t="shared" si="32"/>
        <v>0</v>
      </c>
      <c r="D109" s="10">
        <f t="shared" si="32"/>
        <v>0</v>
      </c>
      <c r="E109" s="11">
        <f t="shared" si="19"/>
        <v>0</v>
      </c>
      <c r="F109" s="26">
        <f t="shared" si="34"/>
        <v>0</v>
      </c>
      <c r="G109" s="26">
        <f t="shared" ref="G109:AL109" si="36">G29*$C$82</f>
        <v>0</v>
      </c>
      <c r="H109" s="26">
        <f t="shared" si="36"/>
        <v>0</v>
      </c>
      <c r="I109" s="26">
        <f t="shared" si="36"/>
        <v>0</v>
      </c>
      <c r="J109" s="26">
        <f t="shared" si="36"/>
        <v>0</v>
      </c>
      <c r="K109" s="26">
        <f t="shared" si="36"/>
        <v>0</v>
      </c>
      <c r="L109" s="26">
        <f t="shared" si="36"/>
        <v>0</v>
      </c>
      <c r="M109" s="26">
        <f t="shared" si="36"/>
        <v>0</v>
      </c>
      <c r="N109" s="26">
        <f t="shared" si="36"/>
        <v>0</v>
      </c>
      <c r="O109" s="26">
        <f t="shared" si="36"/>
        <v>0</v>
      </c>
      <c r="P109" s="26">
        <f t="shared" si="36"/>
        <v>0</v>
      </c>
      <c r="Q109" s="26">
        <f t="shared" si="36"/>
        <v>0</v>
      </c>
      <c r="R109" s="26">
        <f t="shared" si="36"/>
        <v>0</v>
      </c>
      <c r="S109" s="26">
        <f t="shared" si="36"/>
        <v>0</v>
      </c>
      <c r="T109" s="26">
        <f t="shared" si="36"/>
        <v>0</v>
      </c>
      <c r="U109" s="26">
        <f t="shared" si="36"/>
        <v>0</v>
      </c>
      <c r="V109" s="26">
        <f t="shared" si="36"/>
        <v>0</v>
      </c>
      <c r="W109" s="26">
        <f t="shared" si="36"/>
        <v>0</v>
      </c>
      <c r="X109" s="26">
        <f t="shared" si="36"/>
        <v>0</v>
      </c>
      <c r="Y109" s="26">
        <f t="shared" si="36"/>
        <v>0</v>
      </c>
      <c r="Z109" s="26">
        <f t="shared" si="36"/>
        <v>0</v>
      </c>
      <c r="AA109" s="26">
        <f t="shared" si="36"/>
        <v>0</v>
      </c>
      <c r="AB109" s="26">
        <f t="shared" si="36"/>
        <v>0</v>
      </c>
      <c r="AC109" s="26">
        <f t="shared" si="36"/>
        <v>0</v>
      </c>
      <c r="AD109" s="26">
        <f t="shared" si="36"/>
        <v>0</v>
      </c>
      <c r="AE109" s="26">
        <f t="shared" si="36"/>
        <v>0</v>
      </c>
      <c r="AF109" s="26">
        <f t="shared" si="36"/>
        <v>0</v>
      </c>
      <c r="AG109" s="26">
        <f t="shared" si="36"/>
        <v>0</v>
      </c>
      <c r="AH109" s="26">
        <f t="shared" si="36"/>
        <v>0</v>
      </c>
      <c r="AI109" s="26">
        <f t="shared" si="36"/>
        <v>0</v>
      </c>
      <c r="AJ109" s="26">
        <f t="shared" si="36"/>
        <v>0</v>
      </c>
      <c r="AK109" s="26">
        <f t="shared" si="36"/>
        <v>0</v>
      </c>
      <c r="AL109" s="26">
        <f t="shared" si="36"/>
        <v>0</v>
      </c>
    </row>
    <row r="110" spans="1:38" ht="21" hidden="1" customHeight="1" outlineLevel="1" thickBot="1" x14ac:dyDescent="0.4">
      <c r="A110" s="10">
        <f t="shared" si="32"/>
        <v>0</v>
      </c>
      <c r="B110" s="10">
        <f t="shared" si="32"/>
        <v>0</v>
      </c>
      <c r="C110" s="10">
        <f t="shared" si="32"/>
        <v>0</v>
      </c>
      <c r="D110" s="10">
        <f t="shared" si="32"/>
        <v>0</v>
      </c>
      <c r="E110" s="11">
        <f t="shared" si="19"/>
        <v>0</v>
      </c>
      <c r="F110" s="26">
        <f t="shared" si="34"/>
        <v>0</v>
      </c>
      <c r="G110" s="26">
        <f t="shared" ref="G110:AL110" si="37">G30*$C$82</f>
        <v>0</v>
      </c>
      <c r="H110" s="26">
        <f t="shared" si="37"/>
        <v>0</v>
      </c>
      <c r="I110" s="26">
        <f t="shared" si="37"/>
        <v>0</v>
      </c>
      <c r="J110" s="26">
        <f t="shared" si="37"/>
        <v>0</v>
      </c>
      <c r="K110" s="26">
        <f t="shared" si="37"/>
        <v>0</v>
      </c>
      <c r="L110" s="26">
        <f t="shared" si="37"/>
        <v>0</v>
      </c>
      <c r="M110" s="26">
        <f t="shared" si="37"/>
        <v>0</v>
      </c>
      <c r="N110" s="26">
        <f t="shared" si="37"/>
        <v>0</v>
      </c>
      <c r="O110" s="26">
        <f t="shared" si="37"/>
        <v>0</v>
      </c>
      <c r="P110" s="26">
        <f t="shared" si="37"/>
        <v>0</v>
      </c>
      <c r="Q110" s="26">
        <f t="shared" si="37"/>
        <v>0</v>
      </c>
      <c r="R110" s="26">
        <f t="shared" si="37"/>
        <v>0</v>
      </c>
      <c r="S110" s="26">
        <f t="shared" si="37"/>
        <v>0</v>
      </c>
      <c r="T110" s="26">
        <f t="shared" si="37"/>
        <v>0</v>
      </c>
      <c r="U110" s="26">
        <f t="shared" si="37"/>
        <v>0</v>
      </c>
      <c r="V110" s="26">
        <f t="shared" si="37"/>
        <v>0</v>
      </c>
      <c r="W110" s="26">
        <f t="shared" si="37"/>
        <v>0</v>
      </c>
      <c r="X110" s="26">
        <f t="shared" si="37"/>
        <v>0</v>
      </c>
      <c r="Y110" s="26">
        <f t="shared" si="37"/>
        <v>0</v>
      </c>
      <c r="Z110" s="26">
        <f t="shared" si="37"/>
        <v>0</v>
      </c>
      <c r="AA110" s="26">
        <f t="shared" si="37"/>
        <v>0</v>
      </c>
      <c r="AB110" s="26">
        <f t="shared" si="37"/>
        <v>0</v>
      </c>
      <c r="AC110" s="26">
        <f t="shared" si="37"/>
        <v>0</v>
      </c>
      <c r="AD110" s="26">
        <f t="shared" si="37"/>
        <v>0</v>
      </c>
      <c r="AE110" s="26">
        <f t="shared" si="37"/>
        <v>0</v>
      </c>
      <c r="AF110" s="26">
        <f t="shared" si="37"/>
        <v>0</v>
      </c>
      <c r="AG110" s="26">
        <f t="shared" si="37"/>
        <v>0</v>
      </c>
      <c r="AH110" s="26">
        <f t="shared" si="37"/>
        <v>0</v>
      </c>
      <c r="AI110" s="26">
        <f t="shared" si="37"/>
        <v>0</v>
      </c>
      <c r="AJ110" s="26">
        <f t="shared" si="37"/>
        <v>0</v>
      </c>
      <c r="AK110" s="26">
        <f t="shared" si="37"/>
        <v>0</v>
      </c>
      <c r="AL110" s="26">
        <f t="shared" si="37"/>
        <v>0</v>
      </c>
    </row>
    <row r="111" spans="1:38" ht="21" hidden="1" customHeight="1" outlineLevel="1" thickBot="1" x14ac:dyDescent="0.4">
      <c r="A111" s="10">
        <f t="shared" si="32"/>
        <v>0</v>
      </c>
      <c r="B111" s="10">
        <f t="shared" si="32"/>
        <v>0</v>
      </c>
      <c r="C111" s="10">
        <f t="shared" si="32"/>
        <v>0</v>
      </c>
      <c r="D111" s="10">
        <f t="shared" si="32"/>
        <v>0</v>
      </c>
      <c r="E111" s="11">
        <f t="shared" si="19"/>
        <v>0</v>
      </c>
      <c r="F111" s="26">
        <f t="shared" si="34"/>
        <v>0</v>
      </c>
      <c r="G111" s="26">
        <f t="shared" ref="G111:AL111" si="38">G31*$C$82</f>
        <v>0</v>
      </c>
      <c r="H111" s="26">
        <f t="shared" si="38"/>
        <v>0</v>
      </c>
      <c r="I111" s="26">
        <f t="shared" si="38"/>
        <v>0</v>
      </c>
      <c r="J111" s="26">
        <f t="shared" si="38"/>
        <v>0</v>
      </c>
      <c r="K111" s="26">
        <f t="shared" si="38"/>
        <v>0</v>
      </c>
      <c r="L111" s="26">
        <f t="shared" si="38"/>
        <v>0</v>
      </c>
      <c r="M111" s="26">
        <f t="shared" si="38"/>
        <v>0</v>
      </c>
      <c r="N111" s="26">
        <f t="shared" si="38"/>
        <v>0</v>
      </c>
      <c r="O111" s="26">
        <f t="shared" si="38"/>
        <v>0</v>
      </c>
      <c r="P111" s="26">
        <f t="shared" si="38"/>
        <v>0</v>
      </c>
      <c r="Q111" s="26">
        <f t="shared" si="38"/>
        <v>0</v>
      </c>
      <c r="R111" s="26">
        <f t="shared" si="38"/>
        <v>0</v>
      </c>
      <c r="S111" s="26">
        <f t="shared" si="38"/>
        <v>0</v>
      </c>
      <c r="T111" s="26">
        <f t="shared" si="38"/>
        <v>0</v>
      </c>
      <c r="U111" s="26">
        <f t="shared" si="38"/>
        <v>0</v>
      </c>
      <c r="V111" s="26">
        <f t="shared" si="38"/>
        <v>0</v>
      </c>
      <c r="W111" s="26">
        <f t="shared" si="38"/>
        <v>0</v>
      </c>
      <c r="X111" s="26">
        <f t="shared" si="38"/>
        <v>0</v>
      </c>
      <c r="Y111" s="26">
        <f t="shared" si="38"/>
        <v>0</v>
      </c>
      <c r="Z111" s="26">
        <f t="shared" si="38"/>
        <v>0</v>
      </c>
      <c r="AA111" s="26">
        <f t="shared" si="38"/>
        <v>0</v>
      </c>
      <c r="AB111" s="26">
        <f t="shared" si="38"/>
        <v>0</v>
      </c>
      <c r="AC111" s="26">
        <f t="shared" si="38"/>
        <v>0</v>
      </c>
      <c r="AD111" s="26">
        <f t="shared" si="38"/>
        <v>0</v>
      </c>
      <c r="AE111" s="26">
        <f t="shared" si="38"/>
        <v>0</v>
      </c>
      <c r="AF111" s="26">
        <f t="shared" si="38"/>
        <v>0</v>
      </c>
      <c r="AG111" s="26">
        <f t="shared" si="38"/>
        <v>0</v>
      </c>
      <c r="AH111" s="26">
        <f t="shared" si="38"/>
        <v>0</v>
      </c>
      <c r="AI111" s="26">
        <f t="shared" si="38"/>
        <v>0</v>
      </c>
      <c r="AJ111" s="26">
        <f t="shared" si="38"/>
        <v>0</v>
      </c>
      <c r="AK111" s="26">
        <f t="shared" si="38"/>
        <v>0</v>
      </c>
      <c r="AL111" s="26">
        <f t="shared" si="38"/>
        <v>0</v>
      </c>
    </row>
    <row r="112" spans="1:38" ht="21" hidden="1" customHeight="1" outlineLevel="1" thickBot="1" x14ac:dyDescent="0.4">
      <c r="A112" s="10">
        <f t="shared" si="32"/>
        <v>0</v>
      </c>
      <c r="B112" s="10">
        <f t="shared" si="32"/>
        <v>0</v>
      </c>
      <c r="C112" s="10">
        <f t="shared" si="32"/>
        <v>0</v>
      </c>
      <c r="D112" s="10">
        <f t="shared" si="32"/>
        <v>0</v>
      </c>
      <c r="E112" s="11">
        <f t="shared" si="19"/>
        <v>0</v>
      </c>
      <c r="F112" s="26">
        <f t="shared" si="34"/>
        <v>0</v>
      </c>
      <c r="G112" s="26">
        <f t="shared" ref="G112:AL112" si="39">G32*$C$82</f>
        <v>0</v>
      </c>
      <c r="H112" s="26">
        <f t="shared" si="39"/>
        <v>0</v>
      </c>
      <c r="I112" s="26">
        <f t="shared" si="39"/>
        <v>0</v>
      </c>
      <c r="J112" s="26">
        <f t="shared" si="39"/>
        <v>0</v>
      </c>
      <c r="K112" s="26">
        <f t="shared" si="39"/>
        <v>0</v>
      </c>
      <c r="L112" s="26">
        <f t="shared" si="39"/>
        <v>0</v>
      </c>
      <c r="M112" s="26">
        <f t="shared" si="39"/>
        <v>0</v>
      </c>
      <c r="N112" s="26">
        <f t="shared" si="39"/>
        <v>0</v>
      </c>
      <c r="O112" s="26">
        <f t="shared" si="39"/>
        <v>0</v>
      </c>
      <c r="P112" s="26">
        <f t="shared" si="39"/>
        <v>0</v>
      </c>
      <c r="Q112" s="26">
        <f t="shared" si="39"/>
        <v>0</v>
      </c>
      <c r="R112" s="26">
        <f t="shared" si="39"/>
        <v>0</v>
      </c>
      <c r="S112" s="26">
        <f t="shared" si="39"/>
        <v>0</v>
      </c>
      <c r="T112" s="26">
        <f t="shared" si="39"/>
        <v>0</v>
      </c>
      <c r="U112" s="26">
        <f t="shared" si="39"/>
        <v>0</v>
      </c>
      <c r="V112" s="26">
        <f t="shared" si="39"/>
        <v>0</v>
      </c>
      <c r="W112" s="26">
        <f t="shared" si="39"/>
        <v>0</v>
      </c>
      <c r="X112" s="26">
        <f t="shared" si="39"/>
        <v>0</v>
      </c>
      <c r="Y112" s="26">
        <f t="shared" si="39"/>
        <v>0</v>
      </c>
      <c r="Z112" s="26">
        <f t="shared" si="39"/>
        <v>0</v>
      </c>
      <c r="AA112" s="26">
        <f t="shared" si="39"/>
        <v>0</v>
      </c>
      <c r="AB112" s="26">
        <f t="shared" si="39"/>
        <v>0</v>
      </c>
      <c r="AC112" s="26">
        <f t="shared" si="39"/>
        <v>0</v>
      </c>
      <c r="AD112" s="26">
        <f t="shared" si="39"/>
        <v>0</v>
      </c>
      <c r="AE112" s="26">
        <f t="shared" si="39"/>
        <v>0</v>
      </c>
      <c r="AF112" s="26">
        <f t="shared" si="39"/>
        <v>0</v>
      </c>
      <c r="AG112" s="26">
        <f t="shared" si="39"/>
        <v>0</v>
      </c>
      <c r="AH112" s="26">
        <f t="shared" si="39"/>
        <v>0</v>
      </c>
      <c r="AI112" s="26">
        <f t="shared" si="39"/>
        <v>0</v>
      </c>
      <c r="AJ112" s="26">
        <f t="shared" si="39"/>
        <v>0</v>
      </c>
      <c r="AK112" s="26">
        <f t="shared" si="39"/>
        <v>0</v>
      </c>
      <c r="AL112" s="26">
        <f t="shared" si="39"/>
        <v>0</v>
      </c>
    </row>
    <row r="113" spans="1:38" ht="21" hidden="1" customHeight="1" outlineLevel="1" thickBot="1" x14ac:dyDescent="0.4">
      <c r="A113" s="10">
        <f t="shared" si="32"/>
        <v>0</v>
      </c>
      <c r="B113" s="10">
        <f t="shared" si="32"/>
        <v>0</v>
      </c>
      <c r="C113" s="10">
        <f t="shared" si="32"/>
        <v>0</v>
      </c>
      <c r="D113" s="10">
        <f t="shared" si="32"/>
        <v>0</v>
      </c>
      <c r="E113" s="11">
        <f t="shared" si="19"/>
        <v>1</v>
      </c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</row>
    <row r="114" spans="1:38" ht="21" hidden="1" customHeight="1" outlineLevel="1" x14ac:dyDescent="0.35"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</row>
    <row r="115" spans="1:38" ht="21" customHeight="1" collapsed="1" thickBot="1" x14ac:dyDescent="0.4"/>
    <row r="116" spans="1:38" ht="21" customHeight="1" thickTop="1" thickBot="1" x14ac:dyDescent="0.45">
      <c r="A116" s="3"/>
      <c r="B116" s="3"/>
      <c r="C116" s="3"/>
      <c r="D116" s="3"/>
      <c r="E116" s="4" t="s">
        <v>30</v>
      </c>
      <c r="F116" s="5"/>
      <c r="G116" s="4"/>
      <c r="H116" s="4"/>
      <c r="I116" s="4"/>
      <c r="J116" s="4"/>
      <c r="K116" s="4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</row>
    <row r="117" spans="1:38" ht="21" customHeight="1" outlineLevel="1" thickTop="1" thickBot="1" x14ac:dyDescent="0.4">
      <c r="A117" s="109" t="s">
        <v>11</v>
      </c>
      <c r="B117" s="110"/>
      <c r="C117" s="44" t="s">
        <v>12</v>
      </c>
      <c r="D117" s="27" t="s">
        <v>13</v>
      </c>
      <c r="E117" s="27"/>
      <c r="F117" s="9">
        <f t="shared" ref="F117:AL117" si="40">F3</f>
        <v>273.10000000000002</v>
      </c>
      <c r="G117" s="9">
        <f t="shared" si="40"/>
        <v>353.9</v>
      </c>
      <c r="H117" s="9">
        <f t="shared" si="40"/>
        <v>434.7</v>
      </c>
      <c r="I117" s="9">
        <f t="shared" si="40"/>
        <v>515.4</v>
      </c>
      <c r="J117" s="9">
        <f t="shared" si="40"/>
        <v>596.20000000000005</v>
      </c>
      <c r="K117" s="9">
        <f t="shared" si="40"/>
        <v>677</v>
      </c>
      <c r="L117" s="9">
        <f t="shared" si="40"/>
        <v>757.7</v>
      </c>
      <c r="M117" s="9">
        <f t="shared" si="40"/>
        <v>838.5</v>
      </c>
      <c r="N117" s="9">
        <f t="shared" si="40"/>
        <v>919.2</v>
      </c>
      <c r="O117" s="9">
        <f t="shared" si="40"/>
        <v>1000</v>
      </c>
      <c r="P117" s="9">
        <f t="shared" si="40"/>
        <v>0</v>
      </c>
      <c r="Q117" s="9">
        <f t="shared" si="40"/>
        <v>0</v>
      </c>
      <c r="R117" s="9">
        <f t="shared" si="40"/>
        <v>0</v>
      </c>
      <c r="S117" s="9">
        <f t="shared" si="40"/>
        <v>0</v>
      </c>
      <c r="T117" s="9">
        <f t="shared" si="40"/>
        <v>0</v>
      </c>
      <c r="U117" s="9">
        <f t="shared" si="40"/>
        <v>0</v>
      </c>
      <c r="V117" s="9">
        <f t="shared" si="40"/>
        <v>0</v>
      </c>
      <c r="W117" s="9">
        <f t="shared" si="40"/>
        <v>0</v>
      </c>
      <c r="X117" s="9">
        <f t="shared" si="40"/>
        <v>0</v>
      </c>
      <c r="Y117" s="9">
        <f t="shared" si="40"/>
        <v>0</v>
      </c>
      <c r="Z117" s="9">
        <f t="shared" si="40"/>
        <v>0</v>
      </c>
      <c r="AA117" s="9">
        <f t="shared" si="40"/>
        <v>0</v>
      </c>
      <c r="AB117" s="9">
        <f t="shared" si="40"/>
        <v>0</v>
      </c>
      <c r="AC117" s="9">
        <f t="shared" si="40"/>
        <v>0</v>
      </c>
      <c r="AD117" s="9">
        <f t="shared" si="40"/>
        <v>0</v>
      </c>
      <c r="AE117" s="9">
        <f t="shared" si="40"/>
        <v>0</v>
      </c>
      <c r="AF117" s="9">
        <f t="shared" si="40"/>
        <v>0</v>
      </c>
      <c r="AG117" s="9">
        <f t="shared" si="40"/>
        <v>0</v>
      </c>
      <c r="AH117" s="9">
        <f t="shared" si="40"/>
        <v>0</v>
      </c>
      <c r="AI117" s="9">
        <f t="shared" si="40"/>
        <v>0</v>
      </c>
      <c r="AJ117" s="9">
        <f t="shared" si="40"/>
        <v>0</v>
      </c>
      <c r="AK117" s="9">
        <f t="shared" si="40"/>
        <v>0</v>
      </c>
      <c r="AL117" s="9">
        <f t="shared" si="40"/>
        <v>0</v>
      </c>
    </row>
    <row r="118" spans="1:38" ht="21" customHeight="1" outlineLevel="1" thickTop="1" thickBot="1" x14ac:dyDescent="0.4">
      <c r="A118" s="42" t="e">
        <f>$A$2</f>
        <v>#REF!</v>
      </c>
      <c r="B118" s="76">
        <f ca="1">MIN(MIN(F118:AL120),MIN(F41:AL41))</f>
        <v>-267.57391320000005</v>
      </c>
      <c r="C118" s="45">
        <f>COUNTA(E118:E125)+1</f>
        <v>4</v>
      </c>
      <c r="E118" s="29" t="s">
        <v>14</v>
      </c>
      <c r="F118" s="26">
        <f ca="1">F$117*$B$2*SUMPRODUCT(F$95:F$97,F$61:F$63)/1000</f>
        <v>-18.264067543829999</v>
      </c>
      <c r="G118" s="26">
        <f t="shared" ref="G118:AL118" ca="1" si="41">G$117*$B$2*SUMPRODUCT(G$95:G$97,G$61:G$63)/1000</f>
        <v>-38.394348724709999</v>
      </c>
      <c r="H118" s="26">
        <f t="shared" ca="1" si="41"/>
        <v>-61.091663530601039</v>
      </c>
      <c r="I118" s="26">
        <f t="shared" ca="1" si="41"/>
        <v>-85.550556257574755</v>
      </c>
      <c r="J118" s="26">
        <f t="shared" ca="1" si="41"/>
        <v>-109.51588942235738</v>
      </c>
      <c r="K118" s="26">
        <f t="shared" ca="1" si="41"/>
        <v>-127.78602014661115</v>
      </c>
      <c r="L118" s="26">
        <f t="shared" ca="1" si="41"/>
        <v>-141.3074079855879</v>
      </c>
      <c r="M118" s="26">
        <f t="shared" ca="1" si="41"/>
        <v>-152.57021132279016</v>
      </c>
      <c r="N118" s="26">
        <f t="shared" ca="1" si="41"/>
        <v>-153.44702633716813</v>
      </c>
      <c r="O118" s="26">
        <f t="shared" ca="1" si="41"/>
        <v>-135.252603817725</v>
      </c>
      <c r="P118" s="26">
        <f t="shared" ca="1" si="41"/>
        <v>0</v>
      </c>
      <c r="Q118" s="26">
        <f t="shared" ca="1" si="41"/>
        <v>0</v>
      </c>
      <c r="R118" s="26">
        <f t="shared" ca="1" si="41"/>
        <v>0</v>
      </c>
      <c r="S118" s="26">
        <f t="shared" ca="1" si="41"/>
        <v>0</v>
      </c>
      <c r="T118" s="26">
        <f t="shared" ca="1" si="41"/>
        <v>0</v>
      </c>
      <c r="U118" s="26">
        <f t="shared" ca="1" si="41"/>
        <v>0</v>
      </c>
      <c r="V118" s="26">
        <f t="shared" ca="1" si="41"/>
        <v>0</v>
      </c>
      <c r="W118" s="26">
        <f t="shared" ca="1" si="41"/>
        <v>0</v>
      </c>
      <c r="X118" s="26">
        <f t="shared" ca="1" si="41"/>
        <v>0</v>
      </c>
      <c r="Y118" s="26">
        <f t="shared" ca="1" si="41"/>
        <v>0</v>
      </c>
      <c r="Z118" s="26">
        <f t="shared" ca="1" si="41"/>
        <v>0</v>
      </c>
      <c r="AA118" s="26">
        <f t="shared" ca="1" si="41"/>
        <v>0</v>
      </c>
      <c r="AB118" s="26">
        <f t="shared" ca="1" si="41"/>
        <v>0</v>
      </c>
      <c r="AC118" s="26">
        <f t="shared" ca="1" si="41"/>
        <v>0</v>
      </c>
      <c r="AD118" s="26">
        <f t="shared" ca="1" si="41"/>
        <v>0</v>
      </c>
      <c r="AE118" s="26">
        <f t="shared" ca="1" si="41"/>
        <v>0</v>
      </c>
      <c r="AF118" s="26">
        <f t="shared" ca="1" si="41"/>
        <v>0</v>
      </c>
      <c r="AG118" s="26">
        <f t="shared" ca="1" si="41"/>
        <v>0</v>
      </c>
      <c r="AH118" s="26">
        <f t="shared" ca="1" si="41"/>
        <v>0</v>
      </c>
      <c r="AI118" s="26">
        <f t="shared" ca="1" si="41"/>
        <v>0</v>
      </c>
      <c r="AJ118" s="26">
        <f t="shared" ca="1" si="41"/>
        <v>0</v>
      </c>
      <c r="AK118" s="26">
        <f t="shared" ca="1" si="41"/>
        <v>0</v>
      </c>
      <c r="AL118" s="26">
        <f t="shared" ca="1" si="41"/>
        <v>0</v>
      </c>
    </row>
    <row r="119" spans="1:38" ht="21" customHeight="1" outlineLevel="1" thickBot="1" x14ac:dyDescent="0.4">
      <c r="A119" s="43" t="e">
        <f>$A$118</f>
        <v>#REF!</v>
      </c>
      <c r="B119" s="77">
        <f ca="1">MAX(MAX(F118:AL120),MAX(F41:AL41))</f>
        <v>0</v>
      </c>
      <c r="C119" s="46">
        <f xml:space="preserve"> COUNTIF(F117:AL117,"&lt;&gt;"&amp;0)</f>
        <v>10</v>
      </c>
      <c r="E119" s="29" t="s">
        <v>15</v>
      </c>
      <c r="F119" s="26">
        <f ca="1">F$117*$B$2*SUMPRODUCT(F$85:F$93,F$51:F$59)/1000</f>
        <v>-9.1116683508918282E-9</v>
      </c>
      <c r="G119" s="26">
        <f t="shared" ref="G119:AL119" ca="1" si="42">G$117*$B$2*SUMPRODUCT(G$85:G$93,G$51:G$59)/1000</f>
        <v>-4.2701625520139446E-5</v>
      </c>
      <c r="H119" s="26">
        <f t="shared" ca="1" si="42"/>
        <v>-7.5261505992923498E-3</v>
      </c>
      <c r="I119" s="26">
        <f t="shared" ca="1" si="42"/>
        <v>-0.23951243730260174</v>
      </c>
      <c r="J119" s="26">
        <f t="shared" ca="1" si="42"/>
        <v>-2.6364998159143607</v>
      </c>
      <c r="K119" s="26">
        <f t="shared" ca="1" si="42"/>
        <v>-12.21897940789972</v>
      </c>
      <c r="L119" s="26">
        <f t="shared" ca="1" si="42"/>
        <v>-28.194487712005905</v>
      </c>
      <c r="M119" s="26">
        <f t="shared" ca="1" si="42"/>
        <v>-48.028543746986131</v>
      </c>
      <c r="N119" s="26">
        <f t="shared" ca="1" si="42"/>
        <v>-79.658312741135305</v>
      </c>
      <c r="O119" s="26">
        <f t="shared" ca="1" si="42"/>
        <v>-132.32112939745124</v>
      </c>
      <c r="P119" s="26">
        <f t="shared" ca="1" si="42"/>
        <v>0</v>
      </c>
      <c r="Q119" s="26">
        <f t="shared" ca="1" si="42"/>
        <v>0</v>
      </c>
      <c r="R119" s="26">
        <f t="shared" ca="1" si="42"/>
        <v>0</v>
      </c>
      <c r="S119" s="26">
        <f t="shared" ca="1" si="42"/>
        <v>0</v>
      </c>
      <c r="T119" s="26">
        <f t="shared" ca="1" si="42"/>
        <v>0</v>
      </c>
      <c r="U119" s="26">
        <f t="shared" ca="1" si="42"/>
        <v>0</v>
      </c>
      <c r="V119" s="26">
        <f t="shared" ca="1" si="42"/>
        <v>0</v>
      </c>
      <c r="W119" s="26">
        <f t="shared" ca="1" si="42"/>
        <v>0</v>
      </c>
      <c r="X119" s="26">
        <f t="shared" ca="1" si="42"/>
        <v>0</v>
      </c>
      <c r="Y119" s="26">
        <f t="shared" ca="1" si="42"/>
        <v>0</v>
      </c>
      <c r="Z119" s="26">
        <f t="shared" ca="1" si="42"/>
        <v>0</v>
      </c>
      <c r="AA119" s="26">
        <f t="shared" ca="1" si="42"/>
        <v>0</v>
      </c>
      <c r="AB119" s="26">
        <f t="shared" ca="1" si="42"/>
        <v>0</v>
      </c>
      <c r="AC119" s="26">
        <f t="shared" ca="1" si="42"/>
        <v>0</v>
      </c>
      <c r="AD119" s="26">
        <f t="shared" ca="1" si="42"/>
        <v>0</v>
      </c>
      <c r="AE119" s="26">
        <f t="shared" ca="1" si="42"/>
        <v>0</v>
      </c>
      <c r="AF119" s="26">
        <f t="shared" ca="1" si="42"/>
        <v>0</v>
      </c>
      <c r="AG119" s="26">
        <f t="shared" ca="1" si="42"/>
        <v>0</v>
      </c>
      <c r="AH119" s="26">
        <f t="shared" ca="1" si="42"/>
        <v>0</v>
      </c>
      <c r="AI119" s="26">
        <f t="shared" ca="1" si="42"/>
        <v>0</v>
      </c>
      <c r="AJ119" s="26">
        <f t="shared" ca="1" si="42"/>
        <v>0</v>
      </c>
      <c r="AK119" s="26">
        <f t="shared" ca="1" si="42"/>
        <v>0</v>
      </c>
      <c r="AL119" s="26">
        <f t="shared" ca="1" si="42"/>
        <v>0</v>
      </c>
    </row>
    <row r="120" spans="1:38" ht="21" customHeight="1" outlineLevel="1" thickBot="1" x14ac:dyDescent="0.4">
      <c r="E120" s="29" t="s">
        <v>16</v>
      </c>
      <c r="F120" s="26">
        <f t="shared" ref="F120:AL120" ca="1" si="43">F119+F118</f>
        <v>-18.264067552941668</v>
      </c>
      <c r="G120" s="26">
        <f t="shared" ca="1" si="43"/>
        <v>-38.394391426335517</v>
      </c>
      <c r="H120" s="26">
        <f t="shared" ca="1" si="43"/>
        <v>-61.099189681200329</v>
      </c>
      <c r="I120" s="26">
        <f t="shared" ca="1" si="43"/>
        <v>-85.790068694877363</v>
      </c>
      <c r="J120" s="26">
        <f t="shared" ca="1" si="43"/>
        <v>-112.15238923827174</v>
      </c>
      <c r="K120" s="26">
        <f t="shared" ca="1" si="43"/>
        <v>-140.00499955451087</v>
      </c>
      <c r="L120" s="26">
        <f t="shared" ca="1" si="43"/>
        <v>-169.5018956975938</v>
      </c>
      <c r="M120" s="26">
        <f t="shared" ca="1" si="43"/>
        <v>-200.5987550697763</v>
      </c>
      <c r="N120" s="26">
        <f t="shared" ca="1" si="43"/>
        <v>-233.10533907830342</v>
      </c>
      <c r="O120" s="26">
        <f t="shared" ca="1" si="43"/>
        <v>-267.57373321517628</v>
      </c>
      <c r="P120" s="26">
        <f t="shared" ca="1" si="43"/>
        <v>0</v>
      </c>
      <c r="Q120" s="26">
        <f t="shared" ca="1" si="43"/>
        <v>0</v>
      </c>
      <c r="R120" s="26">
        <f t="shared" ca="1" si="43"/>
        <v>0</v>
      </c>
      <c r="S120" s="26">
        <f t="shared" ca="1" si="43"/>
        <v>0</v>
      </c>
      <c r="T120" s="26">
        <f t="shared" ca="1" si="43"/>
        <v>0</v>
      </c>
      <c r="U120" s="26">
        <f t="shared" ca="1" si="43"/>
        <v>0</v>
      </c>
      <c r="V120" s="26">
        <f t="shared" ca="1" si="43"/>
        <v>0</v>
      </c>
      <c r="W120" s="26">
        <f t="shared" ca="1" si="43"/>
        <v>0</v>
      </c>
      <c r="X120" s="26">
        <f t="shared" ca="1" si="43"/>
        <v>0</v>
      </c>
      <c r="Y120" s="26">
        <f t="shared" ca="1" si="43"/>
        <v>0</v>
      </c>
      <c r="Z120" s="26">
        <f t="shared" ca="1" si="43"/>
        <v>0</v>
      </c>
      <c r="AA120" s="26">
        <f t="shared" ca="1" si="43"/>
        <v>0</v>
      </c>
      <c r="AB120" s="26">
        <f t="shared" ca="1" si="43"/>
        <v>0</v>
      </c>
      <c r="AC120" s="26">
        <f t="shared" ca="1" si="43"/>
        <v>0</v>
      </c>
      <c r="AD120" s="26">
        <f t="shared" ca="1" si="43"/>
        <v>0</v>
      </c>
      <c r="AE120" s="26">
        <f t="shared" ca="1" si="43"/>
        <v>0</v>
      </c>
      <c r="AF120" s="26">
        <f t="shared" ca="1" si="43"/>
        <v>0</v>
      </c>
      <c r="AG120" s="26">
        <f t="shared" ca="1" si="43"/>
        <v>0</v>
      </c>
      <c r="AH120" s="26">
        <f t="shared" ca="1" si="43"/>
        <v>0</v>
      </c>
      <c r="AI120" s="26">
        <f t="shared" ca="1" si="43"/>
        <v>0</v>
      </c>
      <c r="AJ120" s="26">
        <f t="shared" ca="1" si="43"/>
        <v>0</v>
      </c>
      <c r="AK120" s="26">
        <f t="shared" ca="1" si="43"/>
        <v>0</v>
      </c>
      <c r="AL120" s="26">
        <f t="shared" ca="1" si="43"/>
        <v>0</v>
      </c>
    </row>
    <row r="121" spans="1:38" ht="21" customHeight="1" outlineLevel="1" thickBot="1" x14ac:dyDescent="0.4">
      <c r="E121" s="29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</row>
    <row r="122" spans="1:38" ht="21" customHeight="1" outlineLevel="1" thickBot="1" x14ac:dyDescent="0.4">
      <c r="E122" s="57"/>
    </row>
    <row r="123" spans="1:38" ht="21" customHeight="1" outlineLevel="1" thickBot="1" x14ac:dyDescent="0.4">
      <c r="E123" s="29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  <c r="AD123" s="81"/>
      <c r="AE123" s="81"/>
      <c r="AF123" s="81"/>
      <c r="AG123" s="81"/>
      <c r="AH123" s="81"/>
      <c r="AI123" s="81"/>
      <c r="AJ123" s="81"/>
      <c r="AK123" s="81"/>
      <c r="AL123" s="81"/>
    </row>
    <row r="124" spans="1:38" ht="21" customHeight="1" outlineLevel="1" thickBot="1" x14ac:dyDescent="0.4">
      <c r="E124" s="30"/>
      <c r="L124" s="59">
        <v>5</v>
      </c>
    </row>
    <row r="125" spans="1:38" ht="21" customHeight="1" outlineLevel="1" thickBot="1" x14ac:dyDescent="0.4">
      <c r="E125" s="30"/>
      <c r="L125" s="59">
        <v>3</v>
      </c>
    </row>
    <row r="126" spans="1:38" ht="21" customHeight="1" outlineLevel="1" thickTop="1" thickBot="1" x14ac:dyDescent="0.4">
      <c r="E126" s="9">
        <f t="array" aca="1" ref="E126:AL139" ca="1">OFFSET(E117,0,0,C118,C119+1)</f>
        <v>0</v>
      </c>
      <c r="F126" s="9">
        <f ca="1"/>
        <v>273.10000000000002</v>
      </c>
      <c r="G126" s="9">
        <f ca="1"/>
        <v>353.9</v>
      </c>
      <c r="H126" s="9">
        <f ca="1"/>
        <v>434.7</v>
      </c>
      <c r="I126" s="9">
        <f ca="1"/>
        <v>515.4</v>
      </c>
      <c r="J126" s="9">
        <f ca="1"/>
        <v>596.20000000000005</v>
      </c>
      <c r="K126" s="9">
        <f ca="1"/>
        <v>677</v>
      </c>
      <c r="L126" s="9">
        <f ca="1"/>
        <v>757.7</v>
      </c>
      <c r="M126" s="9">
        <f ca="1"/>
        <v>838.5</v>
      </c>
      <c r="N126" s="9">
        <f ca="1"/>
        <v>919.2</v>
      </c>
      <c r="O126" s="9">
        <f ca="1"/>
        <v>1000</v>
      </c>
      <c r="P126" s="9" t="e">
        <f ca="1"/>
        <v>#N/A</v>
      </c>
      <c r="Q126" s="9" t="e">
        <f ca="1"/>
        <v>#N/A</v>
      </c>
      <c r="R126" s="9" t="e">
        <f ca="1"/>
        <v>#N/A</v>
      </c>
      <c r="S126" s="9" t="e">
        <f ca="1"/>
        <v>#N/A</v>
      </c>
      <c r="T126" s="9" t="e">
        <f ca="1"/>
        <v>#N/A</v>
      </c>
      <c r="U126" s="9" t="e">
        <f ca="1"/>
        <v>#N/A</v>
      </c>
      <c r="V126" s="9" t="e">
        <f ca="1"/>
        <v>#N/A</v>
      </c>
      <c r="W126" s="9" t="e">
        <f ca="1"/>
        <v>#N/A</v>
      </c>
      <c r="X126" s="9" t="e">
        <f ca="1"/>
        <v>#N/A</v>
      </c>
      <c r="Y126" s="9" t="e">
        <f ca="1"/>
        <v>#N/A</v>
      </c>
      <c r="Z126" s="9" t="e">
        <f ca="1"/>
        <v>#N/A</v>
      </c>
      <c r="AA126" s="9" t="e">
        <f ca="1"/>
        <v>#N/A</v>
      </c>
      <c r="AB126" s="9" t="e">
        <f ca="1"/>
        <v>#N/A</v>
      </c>
      <c r="AC126" s="9" t="e">
        <f ca="1"/>
        <v>#N/A</v>
      </c>
      <c r="AD126" s="9" t="e">
        <f ca="1"/>
        <v>#N/A</v>
      </c>
      <c r="AE126" s="9" t="e">
        <f ca="1"/>
        <v>#N/A</v>
      </c>
      <c r="AF126" s="9" t="e">
        <f ca="1"/>
        <v>#N/A</v>
      </c>
      <c r="AG126" s="9" t="e">
        <f ca="1"/>
        <v>#N/A</v>
      </c>
      <c r="AH126" s="9" t="e">
        <f ca="1"/>
        <v>#N/A</v>
      </c>
      <c r="AI126" s="9" t="e">
        <f ca="1"/>
        <v>#N/A</v>
      </c>
      <c r="AJ126" s="9" t="e">
        <f ca="1"/>
        <v>#N/A</v>
      </c>
      <c r="AK126" s="9" t="e">
        <f ca="1"/>
        <v>#N/A</v>
      </c>
      <c r="AL126" s="9" t="e">
        <f ca="1"/>
        <v>#N/A</v>
      </c>
    </row>
    <row r="127" spans="1:38" ht="21" customHeight="1" outlineLevel="1" thickTop="1" thickBot="1" x14ac:dyDescent="0.4">
      <c r="E127" s="29" t="str">
        <f ca="1"/>
        <v xml:space="preserve">Раствор (жид): </v>
      </c>
      <c r="F127" s="59">
        <f ca="1"/>
        <v>-18.264067543829999</v>
      </c>
      <c r="G127" s="59">
        <f ca="1"/>
        <v>-38.394348724709999</v>
      </c>
      <c r="H127" s="59">
        <f ca="1"/>
        <v>-61.091663530601039</v>
      </c>
      <c r="I127" s="59">
        <f ca="1"/>
        <v>-85.550556257574755</v>
      </c>
      <c r="J127" s="59">
        <f ca="1"/>
        <v>-109.51588942235738</v>
      </c>
      <c r="K127" s="59">
        <f ca="1"/>
        <v>-127.78602014661115</v>
      </c>
      <c r="L127" s="59">
        <f ca="1"/>
        <v>-141.3074079855879</v>
      </c>
      <c r="M127" s="59">
        <f ca="1"/>
        <v>-152.57021132279016</v>
      </c>
      <c r="N127" s="59">
        <f ca="1"/>
        <v>-153.44702633716813</v>
      </c>
      <c r="O127" s="59">
        <f ca="1"/>
        <v>-135.252603817725</v>
      </c>
      <c r="P127" s="59" t="e">
        <f ca="1"/>
        <v>#N/A</v>
      </c>
      <c r="Q127" s="59" t="e">
        <f ca="1"/>
        <v>#N/A</v>
      </c>
      <c r="R127" s="59" t="e">
        <f ca="1"/>
        <v>#N/A</v>
      </c>
      <c r="S127" s="59" t="e">
        <f ca="1"/>
        <v>#N/A</v>
      </c>
      <c r="T127" s="59" t="e">
        <f ca="1"/>
        <v>#N/A</v>
      </c>
      <c r="U127" s="59" t="e">
        <f ca="1"/>
        <v>#N/A</v>
      </c>
      <c r="V127" s="59" t="e">
        <f ca="1"/>
        <v>#N/A</v>
      </c>
      <c r="W127" s="59" t="e">
        <f ca="1"/>
        <v>#N/A</v>
      </c>
      <c r="X127" s="59" t="e">
        <f ca="1"/>
        <v>#N/A</v>
      </c>
      <c r="Y127" s="59" t="e">
        <f ca="1"/>
        <v>#N/A</v>
      </c>
      <c r="Z127" s="59" t="e">
        <f ca="1"/>
        <v>#N/A</v>
      </c>
      <c r="AA127" s="59" t="e">
        <f ca="1"/>
        <v>#N/A</v>
      </c>
      <c r="AB127" s="59" t="e">
        <f ca="1"/>
        <v>#N/A</v>
      </c>
      <c r="AC127" s="59" t="e">
        <f ca="1"/>
        <v>#N/A</v>
      </c>
      <c r="AD127" s="59" t="e">
        <f ca="1"/>
        <v>#N/A</v>
      </c>
      <c r="AE127" s="59" t="e">
        <f ca="1"/>
        <v>#N/A</v>
      </c>
      <c r="AF127" s="59" t="e">
        <f ca="1"/>
        <v>#N/A</v>
      </c>
      <c r="AG127" s="59" t="e">
        <f ca="1"/>
        <v>#N/A</v>
      </c>
      <c r="AH127" s="59" t="e">
        <f ca="1"/>
        <v>#N/A</v>
      </c>
      <c r="AI127" s="59" t="e">
        <f ca="1"/>
        <v>#N/A</v>
      </c>
      <c r="AJ127" s="59" t="e">
        <f ca="1"/>
        <v>#N/A</v>
      </c>
      <c r="AK127" s="59" t="e">
        <f ca="1"/>
        <v>#N/A</v>
      </c>
      <c r="AL127" s="59" t="e">
        <f ca="1"/>
        <v>#N/A</v>
      </c>
    </row>
    <row r="128" spans="1:38" ht="21" customHeight="1" outlineLevel="1" thickBot="1" x14ac:dyDescent="0.4">
      <c r="E128" s="29" t="str">
        <f ca="1"/>
        <v xml:space="preserve">Газовая без Ar: </v>
      </c>
      <c r="F128" s="59">
        <f ca="1"/>
        <v>-9.1116683508918282E-9</v>
      </c>
      <c r="G128" s="59">
        <f ca="1"/>
        <v>-4.2701625520139446E-5</v>
      </c>
      <c r="H128" s="59">
        <f ca="1"/>
        <v>-7.5261505992923498E-3</v>
      </c>
      <c r="I128" s="59">
        <f ca="1"/>
        <v>-0.23951243730260174</v>
      </c>
      <c r="J128" s="59">
        <f ca="1"/>
        <v>-2.6364998159143607</v>
      </c>
      <c r="K128" s="59">
        <f ca="1"/>
        <v>-12.21897940789972</v>
      </c>
      <c r="L128" s="59">
        <f ca="1"/>
        <v>-28.194487712005905</v>
      </c>
      <c r="M128" s="59">
        <f ca="1"/>
        <v>-48.028543746986131</v>
      </c>
      <c r="N128" s="59">
        <f ca="1"/>
        <v>-79.658312741135305</v>
      </c>
      <c r="O128" s="59">
        <f ca="1"/>
        <v>-132.32112939745124</v>
      </c>
      <c r="P128" s="59" t="e">
        <f ca="1"/>
        <v>#N/A</v>
      </c>
      <c r="Q128" s="59" t="e">
        <f ca="1"/>
        <v>#N/A</v>
      </c>
      <c r="R128" s="59" t="e">
        <f ca="1"/>
        <v>#N/A</v>
      </c>
      <c r="S128" s="59" t="e">
        <f ca="1"/>
        <v>#N/A</v>
      </c>
      <c r="T128" s="59" t="e">
        <f ca="1"/>
        <v>#N/A</v>
      </c>
      <c r="U128" s="59" t="e">
        <f ca="1"/>
        <v>#N/A</v>
      </c>
      <c r="V128" s="59" t="e">
        <f ca="1"/>
        <v>#N/A</v>
      </c>
      <c r="W128" s="59" t="e">
        <f ca="1"/>
        <v>#N/A</v>
      </c>
      <c r="X128" s="59" t="e">
        <f ca="1"/>
        <v>#N/A</v>
      </c>
      <c r="Y128" s="59" t="e">
        <f ca="1"/>
        <v>#N/A</v>
      </c>
      <c r="Z128" s="59" t="e">
        <f ca="1"/>
        <v>#N/A</v>
      </c>
      <c r="AA128" s="59" t="e">
        <f ca="1"/>
        <v>#N/A</v>
      </c>
      <c r="AB128" s="59" t="e">
        <f ca="1"/>
        <v>#N/A</v>
      </c>
      <c r="AC128" s="59" t="e">
        <f ca="1"/>
        <v>#N/A</v>
      </c>
      <c r="AD128" s="59" t="e">
        <f ca="1"/>
        <v>#N/A</v>
      </c>
      <c r="AE128" s="59" t="e">
        <f ca="1"/>
        <v>#N/A</v>
      </c>
      <c r="AF128" s="59" t="e">
        <f ca="1"/>
        <v>#N/A</v>
      </c>
      <c r="AG128" s="59" t="e">
        <f ca="1"/>
        <v>#N/A</v>
      </c>
      <c r="AH128" s="59" t="e">
        <f ca="1"/>
        <v>#N/A</v>
      </c>
      <c r="AI128" s="59" t="e">
        <f ca="1"/>
        <v>#N/A</v>
      </c>
      <c r="AJ128" s="59" t="e">
        <f ca="1"/>
        <v>#N/A</v>
      </c>
      <c r="AK128" s="59" t="e">
        <f ca="1"/>
        <v>#N/A</v>
      </c>
      <c r="AL128" s="59" t="e">
        <f ca="1"/>
        <v>#N/A</v>
      </c>
    </row>
    <row r="129" spans="1:38" ht="21" customHeight="1" outlineLevel="1" thickBot="1" x14ac:dyDescent="0.4">
      <c r="E129" s="29" t="str">
        <f ca="1"/>
        <v xml:space="preserve">Раствор + газовая без Ar: </v>
      </c>
      <c r="F129" s="59">
        <f ca="1"/>
        <v>-18.264067552941668</v>
      </c>
      <c r="G129" s="59">
        <f ca="1"/>
        <v>-38.394391426335517</v>
      </c>
      <c r="H129" s="59">
        <f ca="1"/>
        <v>-61.099189681200329</v>
      </c>
      <c r="I129" s="59">
        <f ca="1"/>
        <v>-85.790068694877363</v>
      </c>
      <c r="J129" s="59">
        <f ca="1"/>
        <v>-112.15238923827174</v>
      </c>
      <c r="K129" s="59">
        <f ca="1"/>
        <v>-140.00499955451087</v>
      </c>
      <c r="L129" s="59">
        <f ca="1"/>
        <v>-169.5018956975938</v>
      </c>
      <c r="M129" s="59">
        <f ca="1"/>
        <v>-200.5987550697763</v>
      </c>
      <c r="N129" s="59">
        <f ca="1"/>
        <v>-233.10533907830342</v>
      </c>
      <c r="O129" s="59">
        <f ca="1"/>
        <v>-267.57373321517628</v>
      </c>
      <c r="P129" s="59" t="e">
        <f ca="1"/>
        <v>#N/A</v>
      </c>
      <c r="Q129" s="59" t="e">
        <f ca="1"/>
        <v>#N/A</v>
      </c>
      <c r="R129" s="59" t="e">
        <f ca="1"/>
        <v>#N/A</v>
      </c>
      <c r="S129" s="59" t="e">
        <f ca="1"/>
        <v>#N/A</v>
      </c>
      <c r="T129" s="59" t="e">
        <f ca="1"/>
        <v>#N/A</v>
      </c>
      <c r="U129" s="59" t="e">
        <f ca="1"/>
        <v>#N/A</v>
      </c>
      <c r="V129" s="59" t="e">
        <f ca="1"/>
        <v>#N/A</v>
      </c>
      <c r="W129" s="59" t="e">
        <f ca="1"/>
        <v>#N/A</v>
      </c>
      <c r="X129" s="59" t="e">
        <f ca="1"/>
        <v>#N/A</v>
      </c>
      <c r="Y129" s="59" t="e">
        <f ca="1"/>
        <v>#N/A</v>
      </c>
      <c r="Z129" s="59" t="e">
        <f ca="1"/>
        <v>#N/A</v>
      </c>
      <c r="AA129" s="59" t="e">
        <f ca="1"/>
        <v>#N/A</v>
      </c>
      <c r="AB129" s="59" t="e">
        <f ca="1"/>
        <v>#N/A</v>
      </c>
      <c r="AC129" s="59" t="e">
        <f ca="1"/>
        <v>#N/A</v>
      </c>
      <c r="AD129" s="59" t="e">
        <f ca="1"/>
        <v>#N/A</v>
      </c>
      <c r="AE129" s="59" t="e">
        <f ca="1"/>
        <v>#N/A</v>
      </c>
      <c r="AF129" s="59" t="e">
        <f ca="1"/>
        <v>#N/A</v>
      </c>
      <c r="AG129" s="59" t="e">
        <f ca="1"/>
        <v>#N/A</v>
      </c>
      <c r="AH129" s="59" t="e">
        <f ca="1"/>
        <v>#N/A</v>
      </c>
      <c r="AI129" s="59" t="e">
        <f ca="1"/>
        <v>#N/A</v>
      </c>
      <c r="AJ129" s="59" t="e">
        <f ca="1"/>
        <v>#N/A</v>
      </c>
      <c r="AK129" s="59" t="e">
        <f ca="1"/>
        <v>#N/A</v>
      </c>
      <c r="AL129" s="59" t="e">
        <f ca="1"/>
        <v>#N/A</v>
      </c>
    </row>
    <row r="130" spans="1:38" ht="21" customHeight="1" outlineLevel="1" thickBot="1" x14ac:dyDescent="0.4">
      <c r="E130" s="29" t="e">
        <f ca="1"/>
        <v>#N/A</v>
      </c>
      <c r="F130" s="59" t="e">
        <f ca="1"/>
        <v>#N/A</v>
      </c>
      <c r="G130" s="59" t="e">
        <f ca="1"/>
        <v>#N/A</v>
      </c>
      <c r="H130" s="59" t="e">
        <f ca="1"/>
        <v>#N/A</v>
      </c>
      <c r="I130" s="59" t="e">
        <f ca="1"/>
        <v>#N/A</v>
      </c>
      <c r="J130" s="59" t="e">
        <f ca="1"/>
        <v>#N/A</v>
      </c>
      <c r="K130" s="59" t="e">
        <f ca="1"/>
        <v>#N/A</v>
      </c>
      <c r="L130" s="59" t="e">
        <f ca="1"/>
        <v>#N/A</v>
      </c>
      <c r="M130" s="59" t="e">
        <f ca="1"/>
        <v>#N/A</v>
      </c>
      <c r="N130" s="59" t="e">
        <f ca="1"/>
        <v>#N/A</v>
      </c>
      <c r="O130" s="59" t="e">
        <f ca="1"/>
        <v>#N/A</v>
      </c>
      <c r="P130" s="59" t="e">
        <f ca="1"/>
        <v>#N/A</v>
      </c>
      <c r="Q130" s="59" t="e">
        <f ca="1"/>
        <v>#N/A</v>
      </c>
      <c r="R130" s="59" t="e">
        <f ca="1"/>
        <v>#N/A</v>
      </c>
      <c r="S130" s="59" t="e">
        <f ca="1"/>
        <v>#N/A</v>
      </c>
      <c r="T130" s="59" t="e">
        <f ca="1"/>
        <v>#N/A</v>
      </c>
      <c r="U130" s="59" t="e">
        <f ca="1"/>
        <v>#N/A</v>
      </c>
      <c r="V130" s="59" t="e">
        <f ca="1"/>
        <v>#N/A</v>
      </c>
      <c r="W130" s="59" t="e">
        <f ca="1"/>
        <v>#N/A</v>
      </c>
      <c r="X130" s="59" t="e">
        <f ca="1"/>
        <v>#N/A</v>
      </c>
      <c r="Y130" s="59" t="e">
        <f ca="1"/>
        <v>#N/A</v>
      </c>
      <c r="Z130" s="59" t="e">
        <f ca="1"/>
        <v>#N/A</v>
      </c>
      <c r="AA130" s="59" t="e">
        <f ca="1"/>
        <v>#N/A</v>
      </c>
      <c r="AB130" s="59" t="e">
        <f ca="1"/>
        <v>#N/A</v>
      </c>
      <c r="AC130" s="59" t="e">
        <f ca="1"/>
        <v>#N/A</v>
      </c>
      <c r="AD130" s="59" t="e">
        <f ca="1"/>
        <v>#N/A</v>
      </c>
      <c r="AE130" s="59" t="e">
        <f ca="1"/>
        <v>#N/A</v>
      </c>
      <c r="AF130" s="59" t="e">
        <f ca="1"/>
        <v>#N/A</v>
      </c>
      <c r="AG130" s="59" t="e">
        <f ca="1"/>
        <v>#N/A</v>
      </c>
      <c r="AH130" s="59" t="e">
        <f ca="1"/>
        <v>#N/A</v>
      </c>
      <c r="AI130" s="59" t="e">
        <f ca="1"/>
        <v>#N/A</v>
      </c>
      <c r="AJ130" s="59" t="e">
        <f ca="1"/>
        <v>#N/A</v>
      </c>
      <c r="AK130" s="59" t="e">
        <f ca="1"/>
        <v>#N/A</v>
      </c>
      <c r="AL130" s="59" t="e">
        <f ca="1"/>
        <v>#N/A</v>
      </c>
    </row>
    <row r="131" spans="1:38" ht="21" customHeight="1" outlineLevel="1" thickBot="1" x14ac:dyDescent="0.4">
      <c r="E131" s="29" t="e">
        <f ca="1"/>
        <v>#N/A</v>
      </c>
      <c r="F131" s="59" t="e">
        <f ca="1"/>
        <v>#N/A</v>
      </c>
      <c r="G131" s="59" t="e">
        <f ca="1"/>
        <v>#N/A</v>
      </c>
      <c r="H131" s="59" t="e">
        <f ca="1"/>
        <v>#N/A</v>
      </c>
      <c r="I131" s="59" t="e">
        <f ca="1"/>
        <v>#N/A</v>
      </c>
      <c r="J131" s="59" t="e">
        <f ca="1"/>
        <v>#N/A</v>
      </c>
      <c r="K131" s="59" t="e">
        <f ca="1"/>
        <v>#N/A</v>
      </c>
      <c r="L131" s="59" t="e">
        <f ca="1"/>
        <v>#N/A</v>
      </c>
      <c r="M131" s="59" t="e">
        <f ca="1"/>
        <v>#N/A</v>
      </c>
      <c r="N131" s="59" t="e">
        <f ca="1"/>
        <v>#N/A</v>
      </c>
      <c r="O131" s="59" t="e">
        <f ca="1"/>
        <v>#N/A</v>
      </c>
      <c r="P131" s="59" t="e">
        <f ca="1"/>
        <v>#N/A</v>
      </c>
      <c r="Q131" s="59" t="e">
        <f ca="1"/>
        <v>#N/A</v>
      </c>
      <c r="R131" s="59" t="e">
        <f ca="1"/>
        <v>#N/A</v>
      </c>
      <c r="S131" s="59" t="e">
        <f ca="1"/>
        <v>#N/A</v>
      </c>
      <c r="T131" s="59" t="e">
        <f ca="1"/>
        <v>#N/A</v>
      </c>
      <c r="U131" s="59" t="e">
        <f ca="1"/>
        <v>#N/A</v>
      </c>
      <c r="V131" s="59" t="e">
        <f ca="1"/>
        <v>#N/A</v>
      </c>
      <c r="W131" s="59" t="e">
        <f ca="1"/>
        <v>#N/A</v>
      </c>
      <c r="X131" s="59" t="e">
        <f ca="1"/>
        <v>#N/A</v>
      </c>
      <c r="Y131" s="59" t="e">
        <f ca="1"/>
        <v>#N/A</v>
      </c>
      <c r="Z131" s="59" t="e">
        <f ca="1"/>
        <v>#N/A</v>
      </c>
      <c r="AA131" s="59" t="e">
        <f ca="1"/>
        <v>#N/A</v>
      </c>
      <c r="AB131" s="59" t="e">
        <f ca="1"/>
        <v>#N/A</v>
      </c>
      <c r="AC131" s="59" t="e">
        <f ca="1"/>
        <v>#N/A</v>
      </c>
      <c r="AD131" s="59" t="e">
        <f ca="1"/>
        <v>#N/A</v>
      </c>
      <c r="AE131" s="59" t="e">
        <f ca="1"/>
        <v>#N/A</v>
      </c>
      <c r="AF131" s="59" t="e">
        <f ca="1"/>
        <v>#N/A</v>
      </c>
      <c r="AG131" s="59" t="e">
        <f ca="1"/>
        <v>#N/A</v>
      </c>
      <c r="AH131" s="59" t="e">
        <f ca="1"/>
        <v>#N/A</v>
      </c>
      <c r="AI131" s="59" t="e">
        <f ca="1"/>
        <v>#N/A</v>
      </c>
      <c r="AJ131" s="59" t="e">
        <f ca="1"/>
        <v>#N/A</v>
      </c>
      <c r="AK131" s="59" t="e">
        <f ca="1"/>
        <v>#N/A</v>
      </c>
      <c r="AL131" s="59" t="e">
        <f ca="1"/>
        <v>#N/A</v>
      </c>
    </row>
    <row r="132" spans="1:38" ht="21" customHeight="1" outlineLevel="1" thickBot="1" x14ac:dyDescent="0.4">
      <c r="E132" s="29" t="e">
        <f ca="1"/>
        <v>#N/A</v>
      </c>
      <c r="F132" s="59" t="e">
        <f ca="1"/>
        <v>#N/A</v>
      </c>
      <c r="G132" s="59" t="e">
        <f ca="1"/>
        <v>#N/A</v>
      </c>
      <c r="H132" s="59" t="e">
        <f ca="1"/>
        <v>#N/A</v>
      </c>
      <c r="I132" s="59" t="e">
        <f ca="1"/>
        <v>#N/A</v>
      </c>
      <c r="J132" s="59" t="e">
        <f ca="1"/>
        <v>#N/A</v>
      </c>
      <c r="K132" s="59" t="e">
        <f ca="1"/>
        <v>#N/A</v>
      </c>
      <c r="L132" s="59" t="e">
        <f ca="1"/>
        <v>#N/A</v>
      </c>
      <c r="M132" s="59" t="e">
        <f ca="1"/>
        <v>#N/A</v>
      </c>
      <c r="N132" s="59" t="e">
        <f ca="1"/>
        <v>#N/A</v>
      </c>
      <c r="O132" s="59" t="e">
        <f ca="1"/>
        <v>#N/A</v>
      </c>
      <c r="P132" s="59" t="e">
        <f ca="1"/>
        <v>#N/A</v>
      </c>
      <c r="Q132" s="59" t="e">
        <f ca="1"/>
        <v>#N/A</v>
      </c>
      <c r="R132" s="59" t="e">
        <f ca="1"/>
        <v>#N/A</v>
      </c>
      <c r="S132" s="59" t="e">
        <f ca="1"/>
        <v>#N/A</v>
      </c>
      <c r="T132" s="59" t="e">
        <f ca="1"/>
        <v>#N/A</v>
      </c>
      <c r="U132" s="59" t="e">
        <f ca="1"/>
        <v>#N/A</v>
      </c>
      <c r="V132" s="59" t="e">
        <f ca="1"/>
        <v>#N/A</v>
      </c>
      <c r="W132" s="59" t="e">
        <f ca="1"/>
        <v>#N/A</v>
      </c>
      <c r="X132" s="59" t="e">
        <f ca="1"/>
        <v>#N/A</v>
      </c>
      <c r="Y132" s="59" t="e">
        <f ca="1"/>
        <v>#N/A</v>
      </c>
      <c r="Z132" s="59" t="e">
        <f ca="1"/>
        <v>#N/A</v>
      </c>
      <c r="AA132" s="59" t="e">
        <f ca="1"/>
        <v>#N/A</v>
      </c>
      <c r="AB132" s="59" t="e">
        <f ca="1"/>
        <v>#N/A</v>
      </c>
      <c r="AC132" s="59" t="e">
        <f ca="1"/>
        <v>#N/A</v>
      </c>
      <c r="AD132" s="59" t="e">
        <f ca="1"/>
        <v>#N/A</v>
      </c>
      <c r="AE132" s="59" t="e">
        <f ca="1"/>
        <v>#N/A</v>
      </c>
      <c r="AF132" s="59" t="e">
        <f ca="1"/>
        <v>#N/A</v>
      </c>
      <c r="AG132" s="59" t="e">
        <f ca="1"/>
        <v>#N/A</v>
      </c>
      <c r="AH132" s="59" t="e">
        <f ca="1"/>
        <v>#N/A</v>
      </c>
      <c r="AI132" s="59" t="e">
        <f ca="1"/>
        <v>#N/A</v>
      </c>
      <c r="AJ132" s="59" t="e">
        <f ca="1"/>
        <v>#N/A</v>
      </c>
      <c r="AK132" s="59" t="e">
        <f ca="1"/>
        <v>#N/A</v>
      </c>
      <c r="AL132" s="59" t="e">
        <f ca="1"/>
        <v>#N/A</v>
      </c>
    </row>
    <row r="133" spans="1:38" ht="21" customHeight="1" outlineLevel="1" thickBot="1" x14ac:dyDescent="0.4">
      <c r="E133" s="29" t="e">
        <f ca="1"/>
        <v>#N/A</v>
      </c>
      <c r="F133" s="59" t="e">
        <f ca="1"/>
        <v>#N/A</v>
      </c>
      <c r="G133" s="59" t="e">
        <f ca="1"/>
        <v>#N/A</v>
      </c>
      <c r="H133" s="59" t="e">
        <f ca="1"/>
        <v>#N/A</v>
      </c>
      <c r="I133" s="59" t="e">
        <f ca="1"/>
        <v>#N/A</v>
      </c>
      <c r="J133" s="59" t="e">
        <f ca="1"/>
        <v>#N/A</v>
      </c>
      <c r="K133" s="59" t="e">
        <f ca="1"/>
        <v>#N/A</v>
      </c>
      <c r="L133" s="59" t="e">
        <f ca="1"/>
        <v>#N/A</v>
      </c>
      <c r="M133" s="59" t="e">
        <f ca="1"/>
        <v>#N/A</v>
      </c>
      <c r="N133" s="59" t="e">
        <f ca="1"/>
        <v>#N/A</v>
      </c>
      <c r="O133" s="59" t="e">
        <f ca="1"/>
        <v>#N/A</v>
      </c>
      <c r="P133" s="59" t="e">
        <f ca="1"/>
        <v>#N/A</v>
      </c>
      <c r="Q133" s="59" t="e">
        <f ca="1"/>
        <v>#N/A</v>
      </c>
      <c r="R133" s="59" t="e">
        <f ca="1"/>
        <v>#N/A</v>
      </c>
      <c r="S133" s="59" t="e">
        <f ca="1"/>
        <v>#N/A</v>
      </c>
      <c r="T133" s="59" t="e">
        <f ca="1"/>
        <v>#N/A</v>
      </c>
      <c r="U133" s="59" t="e">
        <f ca="1"/>
        <v>#N/A</v>
      </c>
      <c r="V133" s="59" t="e">
        <f ca="1"/>
        <v>#N/A</v>
      </c>
      <c r="W133" s="59" t="e">
        <f ca="1"/>
        <v>#N/A</v>
      </c>
      <c r="X133" s="59" t="e">
        <f ca="1"/>
        <v>#N/A</v>
      </c>
      <c r="Y133" s="59" t="e">
        <f ca="1"/>
        <v>#N/A</v>
      </c>
      <c r="Z133" s="59" t="e">
        <f ca="1"/>
        <v>#N/A</v>
      </c>
      <c r="AA133" s="59" t="e">
        <f ca="1"/>
        <v>#N/A</v>
      </c>
      <c r="AB133" s="59" t="e">
        <f ca="1"/>
        <v>#N/A</v>
      </c>
      <c r="AC133" s="59" t="e">
        <f ca="1"/>
        <v>#N/A</v>
      </c>
      <c r="AD133" s="59" t="e">
        <f ca="1"/>
        <v>#N/A</v>
      </c>
      <c r="AE133" s="59" t="e">
        <f ca="1"/>
        <v>#N/A</v>
      </c>
      <c r="AF133" s="59" t="e">
        <f ca="1"/>
        <v>#N/A</v>
      </c>
      <c r="AG133" s="59" t="e">
        <f ca="1"/>
        <v>#N/A</v>
      </c>
      <c r="AH133" s="59" t="e">
        <f ca="1"/>
        <v>#N/A</v>
      </c>
      <c r="AI133" s="59" t="e">
        <f ca="1"/>
        <v>#N/A</v>
      </c>
      <c r="AJ133" s="59" t="e">
        <f ca="1"/>
        <v>#N/A</v>
      </c>
      <c r="AK133" s="59" t="e">
        <f ca="1"/>
        <v>#N/A</v>
      </c>
      <c r="AL133" s="59" t="e">
        <f ca="1"/>
        <v>#N/A</v>
      </c>
    </row>
    <row r="134" spans="1:38" ht="21" customHeight="1" outlineLevel="1" thickBot="1" x14ac:dyDescent="0.4">
      <c r="E134" s="29" t="e">
        <f ca="1"/>
        <v>#N/A</v>
      </c>
      <c r="F134" s="59" t="e">
        <f ca="1"/>
        <v>#N/A</v>
      </c>
      <c r="G134" s="59" t="e">
        <f ca="1"/>
        <v>#N/A</v>
      </c>
      <c r="H134" s="59" t="e">
        <f ca="1"/>
        <v>#N/A</v>
      </c>
      <c r="I134" s="59" t="e">
        <f ca="1"/>
        <v>#N/A</v>
      </c>
      <c r="J134" s="59" t="e">
        <f ca="1"/>
        <v>#N/A</v>
      </c>
      <c r="K134" s="59" t="e">
        <f ca="1"/>
        <v>#N/A</v>
      </c>
      <c r="L134" s="59" t="e">
        <f ca="1"/>
        <v>#N/A</v>
      </c>
      <c r="M134" s="59" t="e">
        <f ca="1"/>
        <v>#N/A</v>
      </c>
      <c r="N134" s="59" t="e">
        <f ca="1"/>
        <v>#N/A</v>
      </c>
      <c r="O134" s="59" t="e">
        <f ca="1"/>
        <v>#N/A</v>
      </c>
      <c r="P134" s="59" t="e">
        <f ca="1"/>
        <v>#N/A</v>
      </c>
      <c r="Q134" s="59" t="e">
        <f ca="1"/>
        <v>#N/A</v>
      </c>
      <c r="R134" s="59" t="e">
        <f ca="1"/>
        <v>#N/A</v>
      </c>
      <c r="S134" s="59" t="e">
        <f ca="1"/>
        <v>#N/A</v>
      </c>
      <c r="T134" s="59" t="e">
        <f ca="1"/>
        <v>#N/A</v>
      </c>
      <c r="U134" s="59" t="e">
        <f ca="1"/>
        <v>#N/A</v>
      </c>
      <c r="V134" s="59" t="e">
        <f ca="1"/>
        <v>#N/A</v>
      </c>
      <c r="W134" s="59" t="e">
        <f ca="1"/>
        <v>#N/A</v>
      </c>
      <c r="X134" s="59" t="e">
        <f ca="1"/>
        <v>#N/A</v>
      </c>
      <c r="Y134" s="59" t="e">
        <f ca="1"/>
        <v>#N/A</v>
      </c>
      <c r="Z134" s="59" t="e">
        <f ca="1"/>
        <v>#N/A</v>
      </c>
      <c r="AA134" s="59" t="e">
        <f ca="1"/>
        <v>#N/A</v>
      </c>
      <c r="AB134" s="59" t="e">
        <f ca="1"/>
        <v>#N/A</v>
      </c>
      <c r="AC134" s="59" t="e">
        <f ca="1"/>
        <v>#N/A</v>
      </c>
      <c r="AD134" s="59" t="e">
        <f ca="1"/>
        <v>#N/A</v>
      </c>
      <c r="AE134" s="59" t="e">
        <f ca="1"/>
        <v>#N/A</v>
      </c>
      <c r="AF134" s="59" t="e">
        <f ca="1"/>
        <v>#N/A</v>
      </c>
      <c r="AG134" s="59" t="e">
        <f ca="1"/>
        <v>#N/A</v>
      </c>
      <c r="AH134" s="59" t="e">
        <f ca="1"/>
        <v>#N/A</v>
      </c>
      <c r="AI134" s="59" t="e">
        <f ca="1"/>
        <v>#N/A</v>
      </c>
      <c r="AJ134" s="59" t="e">
        <f ca="1"/>
        <v>#N/A</v>
      </c>
      <c r="AK134" s="59" t="e">
        <f ca="1"/>
        <v>#N/A</v>
      </c>
      <c r="AL134" s="59" t="e">
        <f ca="1"/>
        <v>#N/A</v>
      </c>
    </row>
    <row r="135" spans="1:38" ht="21" customHeight="1" outlineLevel="1" thickBot="1" x14ac:dyDescent="0.4">
      <c r="E135" s="29" t="e">
        <f ca="1"/>
        <v>#N/A</v>
      </c>
      <c r="F135" s="59" t="e">
        <f ca="1"/>
        <v>#N/A</v>
      </c>
      <c r="G135" s="59" t="e">
        <f ca="1"/>
        <v>#N/A</v>
      </c>
      <c r="H135" s="59" t="e">
        <f ca="1"/>
        <v>#N/A</v>
      </c>
      <c r="I135" s="59" t="e">
        <f ca="1"/>
        <v>#N/A</v>
      </c>
      <c r="J135" s="59" t="e">
        <f ca="1"/>
        <v>#N/A</v>
      </c>
      <c r="K135" s="59" t="e">
        <f ca="1"/>
        <v>#N/A</v>
      </c>
      <c r="L135" s="59" t="e">
        <f ca="1"/>
        <v>#N/A</v>
      </c>
      <c r="M135" s="59" t="e">
        <f ca="1"/>
        <v>#N/A</v>
      </c>
      <c r="N135" s="59" t="e">
        <f ca="1"/>
        <v>#N/A</v>
      </c>
      <c r="O135" s="59" t="e">
        <f ca="1"/>
        <v>#N/A</v>
      </c>
      <c r="P135" s="59" t="e">
        <f ca="1"/>
        <v>#N/A</v>
      </c>
      <c r="Q135" s="59" t="e">
        <f ca="1"/>
        <v>#N/A</v>
      </c>
      <c r="R135" s="59" t="e">
        <f ca="1"/>
        <v>#N/A</v>
      </c>
      <c r="S135" s="59" t="e">
        <f ca="1"/>
        <v>#N/A</v>
      </c>
      <c r="T135" s="59" t="e">
        <f ca="1"/>
        <v>#N/A</v>
      </c>
      <c r="U135" s="59" t="e">
        <f ca="1"/>
        <v>#N/A</v>
      </c>
      <c r="V135" s="59" t="e">
        <f ca="1"/>
        <v>#N/A</v>
      </c>
      <c r="W135" s="59" t="e">
        <f ca="1"/>
        <v>#N/A</v>
      </c>
      <c r="X135" s="59" t="e">
        <f ca="1"/>
        <v>#N/A</v>
      </c>
      <c r="Y135" s="59" t="e">
        <f ca="1"/>
        <v>#N/A</v>
      </c>
      <c r="Z135" s="59" t="e">
        <f ca="1"/>
        <v>#N/A</v>
      </c>
      <c r="AA135" s="59" t="e">
        <f ca="1"/>
        <v>#N/A</v>
      </c>
      <c r="AB135" s="59" t="e">
        <f ca="1"/>
        <v>#N/A</v>
      </c>
      <c r="AC135" s="59" t="e">
        <f ca="1"/>
        <v>#N/A</v>
      </c>
      <c r="AD135" s="59" t="e">
        <f ca="1"/>
        <v>#N/A</v>
      </c>
      <c r="AE135" s="59" t="e">
        <f ca="1"/>
        <v>#N/A</v>
      </c>
      <c r="AF135" s="59" t="e">
        <f ca="1"/>
        <v>#N/A</v>
      </c>
      <c r="AG135" s="59" t="e">
        <f ca="1"/>
        <v>#N/A</v>
      </c>
      <c r="AH135" s="59" t="e">
        <f ca="1"/>
        <v>#N/A</v>
      </c>
      <c r="AI135" s="59" t="e">
        <f ca="1"/>
        <v>#N/A</v>
      </c>
      <c r="AJ135" s="59" t="e">
        <f ca="1"/>
        <v>#N/A</v>
      </c>
      <c r="AK135" s="59" t="e">
        <f ca="1"/>
        <v>#N/A</v>
      </c>
      <c r="AL135" s="59" t="e">
        <f ca="1"/>
        <v>#N/A</v>
      </c>
    </row>
    <row r="136" spans="1:38" ht="21" customHeight="1" outlineLevel="1" thickBot="1" x14ac:dyDescent="0.4">
      <c r="E136" s="29" t="e">
        <f ca="1"/>
        <v>#N/A</v>
      </c>
      <c r="F136" s="59" t="e">
        <f ca="1"/>
        <v>#N/A</v>
      </c>
      <c r="G136" s="59" t="e">
        <f ca="1"/>
        <v>#N/A</v>
      </c>
      <c r="H136" s="59" t="e">
        <f ca="1"/>
        <v>#N/A</v>
      </c>
      <c r="I136" s="59" t="e">
        <f ca="1"/>
        <v>#N/A</v>
      </c>
      <c r="J136" s="59" t="e">
        <f ca="1"/>
        <v>#N/A</v>
      </c>
      <c r="K136" s="59" t="e">
        <f ca="1"/>
        <v>#N/A</v>
      </c>
      <c r="L136" s="59" t="e">
        <f ca="1"/>
        <v>#N/A</v>
      </c>
      <c r="M136" s="59" t="e">
        <f ca="1"/>
        <v>#N/A</v>
      </c>
      <c r="N136" s="59" t="e">
        <f ca="1"/>
        <v>#N/A</v>
      </c>
      <c r="O136" s="59" t="e">
        <f ca="1"/>
        <v>#N/A</v>
      </c>
      <c r="P136" s="59" t="e">
        <f ca="1"/>
        <v>#N/A</v>
      </c>
      <c r="Q136" s="59" t="e">
        <f ca="1"/>
        <v>#N/A</v>
      </c>
      <c r="R136" s="59" t="e">
        <f ca="1"/>
        <v>#N/A</v>
      </c>
      <c r="S136" s="59" t="e">
        <f ca="1"/>
        <v>#N/A</v>
      </c>
      <c r="T136" s="59" t="e">
        <f ca="1"/>
        <v>#N/A</v>
      </c>
      <c r="U136" s="59" t="e">
        <f ca="1"/>
        <v>#N/A</v>
      </c>
      <c r="V136" s="59" t="e">
        <f ca="1"/>
        <v>#N/A</v>
      </c>
      <c r="W136" s="59" t="e">
        <f ca="1"/>
        <v>#N/A</v>
      </c>
      <c r="X136" s="59" t="e">
        <f ca="1"/>
        <v>#N/A</v>
      </c>
      <c r="Y136" s="59" t="e">
        <f ca="1"/>
        <v>#N/A</v>
      </c>
      <c r="Z136" s="59" t="e">
        <f ca="1"/>
        <v>#N/A</v>
      </c>
      <c r="AA136" s="59" t="e">
        <f ca="1"/>
        <v>#N/A</v>
      </c>
      <c r="AB136" s="59" t="e">
        <f ca="1"/>
        <v>#N/A</v>
      </c>
      <c r="AC136" s="59" t="e">
        <f ca="1"/>
        <v>#N/A</v>
      </c>
      <c r="AD136" s="59" t="e">
        <f ca="1"/>
        <v>#N/A</v>
      </c>
      <c r="AE136" s="59" t="e">
        <f ca="1"/>
        <v>#N/A</v>
      </c>
      <c r="AF136" s="59" t="e">
        <f ca="1"/>
        <v>#N/A</v>
      </c>
      <c r="AG136" s="59" t="e">
        <f ca="1"/>
        <v>#N/A</v>
      </c>
      <c r="AH136" s="59" t="e">
        <f ca="1"/>
        <v>#N/A</v>
      </c>
      <c r="AI136" s="59" t="e">
        <f ca="1"/>
        <v>#N/A</v>
      </c>
      <c r="AJ136" s="59" t="e">
        <f ca="1"/>
        <v>#N/A</v>
      </c>
      <c r="AK136" s="59" t="e">
        <f ca="1"/>
        <v>#N/A</v>
      </c>
      <c r="AL136" s="59" t="e">
        <f ca="1"/>
        <v>#N/A</v>
      </c>
    </row>
    <row r="137" spans="1:38" ht="21" customHeight="1" outlineLevel="1" thickBot="1" x14ac:dyDescent="0.4">
      <c r="E137" s="29" t="e">
        <f ca="1"/>
        <v>#N/A</v>
      </c>
      <c r="F137" s="59" t="e">
        <f ca="1"/>
        <v>#N/A</v>
      </c>
      <c r="G137" s="59" t="e">
        <f ca="1"/>
        <v>#N/A</v>
      </c>
      <c r="H137" s="59" t="e">
        <f ca="1"/>
        <v>#N/A</v>
      </c>
      <c r="I137" s="59" t="e">
        <f ca="1"/>
        <v>#N/A</v>
      </c>
      <c r="J137" s="59" t="e">
        <f ca="1"/>
        <v>#N/A</v>
      </c>
      <c r="K137" s="59" t="e">
        <f ca="1"/>
        <v>#N/A</v>
      </c>
      <c r="L137" s="59" t="e">
        <f ca="1"/>
        <v>#N/A</v>
      </c>
      <c r="M137" s="59" t="e">
        <f ca="1"/>
        <v>#N/A</v>
      </c>
      <c r="N137" s="59" t="e">
        <f ca="1"/>
        <v>#N/A</v>
      </c>
      <c r="O137" s="59" t="e">
        <f ca="1"/>
        <v>#N/A</v>
      </c>
      <c r="P137" s="59" t="e">
        <f ca="1"/>
        <v>#N/A</v>
      </c>
      <c r="Q137" s="59" t="e">
        <f ca="1"/>
        <v>#N/A</v>
      </c>
      <c r="R137" s="59" t="e">
        <f ca="1"/>
        <v>#N/A</v>
      </c>
      <c r="S137" s="59" t="e">
        <f ca="1"/>
        <v>#N/A</v>
      </c>
      <c r="T137" s="59" t="e">
        <f ca="1"/>
        <v>#N/A</v>
      </c>
      <c r="U137" s="59" t="e">
        <f ca="1"/>
        <v>#N/A</v>
      </c>
      <c r="V137" s="59" t="e">
        <f ca="1"/>
        <v>#N/A</v>
      </c>
      <c r="W137" s="59" t="e">
        <f ca="1"/>
        <v>#N/A</v>
      </c>
      <c r="X137" s="59" t="e">
        <f ca="1"/>
        <v>#N/A</v>
      </c>
      <c r="Y137" s="59" t="e">
        <f ca="1"/>
        <v>#N/A</v>
      </c>
      <c r="Z137" s="59" t="e">
        <f ca="1"/>
        <v>#N/A</v>
      </c>
      <c r="AA137" s="59" t="e">
        <f ca="1"/>
        <v>#N/A</v>
      </c>
      <c r="AB137" s="59" t="e">
        <f ca="1"/>
        <v>#N/A</v>
      </c>
      <c r="AC137" s="59" t="e">
        <f ca="1"/>
        <v>#N/A</v>
      </c>
      <c r="AD137" s="59" t="e">
        <f ca="1"/>
        <v>#N/A</v>
      </c>
      <c r="AE137" s="59" t="e">
        <f ca="1"/>
        <v>#N/A</v>
      </c>
      <c r="AF137" s="59" t="e">
        <f ca="1"/>
        <v>#N/A</v>
      </c>
      <c r="AG137" s="59" t="e">
        <f ca="1"/>
        <v>#N/A</v>
      </c>
      <c r="AH137" s="59" t="e">
        <f ca="1"/>
        <v>#N/A</v>
      </c>
      <c r="AI137" s="59" t="e">
        <f ca="1"/>
        <v>#N/A</v>
      </c>
      <c r="AJ137" s="59" t="e">
        <f ca="1"/>
        <v>#N/A</v>
      </c>
      <c r="AK137" s="59" t="e">
        <f ca="1"/>
        <v>#N/A</v>
      </c>
      <c r="AL137" s="59" t="e">
        <f ca="1"/>
        <v>#N/A</v>
      </c>
    </row>
    <row r="138" spans="1:38" ht="21" customHeight="1" outlineLevel="1" thickBot="1" x14ac:dyDescent="0.4">
      <c r="E138" s="29" t="e">
        <f ca="1"/>
        <v>#N/A</v>
      </c>
      <c r="F138" s="59" t="e">
        <f ca="1"/>
        <v>#N/A</v>
      </c>
      <c r="G138" s="59" t="e">
        <f ca="1"/>
        <v>#N/A</v>
      </c>
      <c r="H138" s="59" t="e">
        <f ca="1"/>
        <v>#N/A</v>
      </c>
      <c r="I138" s="59" t="e">
        <f ca="1"/>
        <v>#N/A</v>
      </c>
      <c r="J138" s="59" t="e">
        <f ca="1"/>
        <v>#N/A</v>
      </c>
      <c r="K138" s="59" t="e">
        <f ca="1"/>
        <v>#N/A</v>
      </c>
      <c r="L138" s="59" t="e">
        <f ca="1"/>
        <v>#N/A</v>
      </c>
      <c r="M138" s="59" t="e">
        <f ca="1"/>
        <v>#N/A</v>
      </c>
      <c r="N138" s="59" t="e">
        <f ca="1"/>
        <v>#N/A</v>
      </c>
      <c r="O138" s="59" t="e">
        <f ca="1"/>
        <v>#N/A</v>
      </c>
      <c r="P138" s="59" t="e">
        <f ca="1"/>
        <v>#N/A</v>
      </c>
      <c r="Q138" s="59" t="e">
        <f ca="1"/>
        <v>#N/A</v>
      </c>
      <c r="R138" s="59" t="e">
        <f ca="1"/>
        <v>#N/A</v>
      </c>
      <c r="S138" s="59" t="e">
        <f ca="1"/>
        <v>#N/A</v>
      </c>
      <c r="T138" s="59" t="e">
        <f ca="1"/>
        <v>#N/A</v>
      </c>
      <c r="U138" s="59" t="e">
        <f ca="1"/>
        <v>#N/A</v>
      </c>
      <c r="V138" s="59" t="e">
        <f ca="1"/>
        <v>#N/A</v>
      </c>
      <c r="W138" s="59" t="e">
        <f ca="1"/>
        <v>#N/A</v>
      </c>
      <c r="X138" s="59" t="e">
        <f ca="1"/>
        <v>#N/A</v>
      </c>
      <c r="Y138" s="59" t="e">
        <f ca="1"/>
        <v>#N/A</v>
      </c>
      <c r="Z138" s="59" t="e">
        <f ca="1"/>
        <v>#N/A</v>
      </c>
      <c r="AA138" s="59" t="e">
        <f ca="1"/>
        <v>#N/A</v>
      </c>
      <c r="AB138" s="59" t="e">
        <f ca="1"/>
        <v>#N/A</v>
      </c>
      <c r="AC138" s="59" t="e">
        <f ca="1"/>
        <v>#N/A</v>
      </c>
      <c r="AD138" s="59" t="e">
        <f ca="1"/>
        <v>#N/A</v>
      </c>
      <c r="AE138" s="59" t="e">
        <f ca="1"/>
        <v>#N/A</v>
      </c>
      <c r="AF138" s="59" t="e">
        <f ca="1"/>
        <v>#N/A</v>
      </c>
      <c r="AG138" s="59" t="e">
        <f ca="1"/>
        <v>#N/A</v>
      </c>
      <c r="AH138" s="59" t="e">
        <f ca="1"/>
        <v>#N/A</v>
      </c>
      <c r="AI138" s="59" t="e">
        <f ca="1"/>
        <v>#N/A</v>
      </c>
      <c r="AJ138" s="59" t="e">
        <f ca="1"/>
        <v>#N/A</v>
      </c>
      <c r="AK138" s="59" t="e">
        <f ca="1"/>
        <v>#N/A</v>
      </c>
      <c r="AL138" s="59" t="e">
        <f ca="1"/>
        <v>#N/A</v>
      </c>
    </row>
    <row r="139" spans="1:38" ht="21" customHeight="1" outlineLevel="1" thickBot="1" x14ac:dyDescent="0.4">
      <c r="E139" s="29" t="e">
        <f ca="1"/>
        <v>#N/A</v>
      </c>
      <c r="F139" s="59" t="e">
        <f ca="1"/>
        <v>#N/A</v>
      </c>
      <c r="G139" s="59" t="e">
        <f ca="1"/>
        <v>#N/A</v>
      </c>
      <c r="H139" s="59" t="e">
        <f ca="1"/>
        <v>#N/A</v>
      </c>
      <c r="I139" s="59" t="e">
        <f ca="1"/>
        <v>#N/A</v>
      </c>
      <c r="J139" s="59" t="e">
        <f ca="1"/>
        <v>#N/A</v>
      </c>
      <c r="K139" s="59" t="e">
        <f ca="1"/>
        <v>#N/A</v>
      </c>
      <c r="L139" s="59" t="e">
        <f ca="1"/>
        <v>#N/A</v>
      </c>
      <c r="M139" s="59" t="e">
        <f ca="1"/>
        <v>#N/A</v>
      </c>
      <c r="N139" s="59" t="e">
        <f ca="1"/>
        <v>#N/A</v>
      </c>
      <c r="O139" s="59" t="e">
        <f ca="1"/>
        <v>#N/A</v>
      </c>
      <c r="P139" s="59" t="e">
        <f ca="1"/>
        <v>#N/A</v>
      </c>
      <c r="Q139" s="59" t="e">
        <f ca="1"/>
        <v>#N/A</v>
      </c>
      <c r="R139" s="59" t="e">
        <f ca="1"/>
        <v>#N/A</v>
      </c>
      <c r="S139" s="59" t="e">
        <f ca="1"/>
        <v>#N/A</v>
      </c>
      <c r="T139" s="59" t="e">
        <f ca="1"/>
        <v>#N/A</v>
      </c>
      <c r="U139" s="59" t="e">
        <f ca="1"/>
        <v>#N/A</v>
      </c>
      <c r="V139" s="59" t="e">
        <f ca="1"/>
        <v>#N/A</v>
      </c>
      <c r="W139" s="59" t="e">
        <f ca="1"/>
        <v>#N/A</v>
      </c>
      <c r="X139" s="59" t="e">
        <f ca="1"/>
        <v>#N/A</v>
      </c>
      <c r="Y139" s="59" t="e">
        <f ca="1"/>
        <v>#N/A</v>
      </c>
      <c r="Z139" s="59" t="e">
        <f ca="1"/>
        <v>#N/A</v>
      </c>
      <c r="AA139" s="59" t="e">
        <f ca="1"/>
        <v>#N/A</v>
      </c>
      <c r="AB139" s="59" t="e">
        <f ca="1"/>
        <v>#N/A</v>
      </c>
      <c r="AC139" s="59" t="e">
        <f ca="1"/>
        <v>#N/A</v>
      </c>
      <c r="AD139" s="59" t="e">
        <f ca="1"/>
        <v>#N/A</v>
      </c>
      <c r="AE139" s="59" t="e">
        <f ca="1"/>
        <v>#N/A</v>
      </c>
      <c r="AF139" s="59" t="e">
        <f ca="1"/>
        <v>#N/A</v>
      </c>
      <c r="AG139" s="59" t="e">
        <f ca="1"/>
        <v>#N/A</v>
      </c>
      <c r="AH139" s="59" t="e">
        <f ca="1"/>
        <v>#N/A</v>
      </c>
      <c r="AI139" s="59" t="e">
        <f ca="1"/>
        <v>#N/A</v>
      </c>
      <c r="AJ139" s="59" t="e">
        <f ca="1"/>
        <v>#N/A</v>
      </c>
      <c r="AK139" s="59" t="e">
        <f ca="1"/>
        <v>#N/A</v>
      </c>
      <c r="AL139" s="59" t="e">
        <f ca="1"/>
        <v>#N/A</v>
      </c>
    </row>
    <row r="140" spans="1:38" ht="21" customHeight="1" outlineLevel="1" thickBot="1" x14ac:dyDescent="0.4">
      <c r="E140" s="30"/>
    </row>
    <row r="141" spans="1:38" ht="21" customHeight="1" thickBot="1" x14ac:dyDescent="0.4"/>
    <row r="142" spans="1:38" ht="21" customHeight="1" thickBot="1" x14ac:dyDescent="0.45">
      <c r="A142" s="3"/>
      <c r="B142" s="3"/>
      <c r="C142" s="3"/>
      <c r="D142" s="3"/>
      <c r="E142" s="4" t="s">
        <v>17</v>
      </c>
      <c r="F142" s="5"/>
      <c r="G142" s="4"/>
      <c r="H142" s="4"/>
      <c r="I142" s="4"/>
      <c r="J142" s="4"/>
      <c r="K142" s="31"/>
      <c r="L142" s="31"/>
      <c r="M142" s="31"/>
      <c r="N142" s="31"/>
      <c r="O142" s="31"/>
      <c r="P142" s="31"/>
      <c r="Q142" s="31"/>
      <c r="R142" s="31"/>
      <c r="S142" s="32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ht="21" hidden="1" customHeight="1" outlineLevel="1" thickBot="1" x14ac:dyDescent="0.4">
      <c r="A143" s="33" t="s">
        <v>18</v>
      </c>
      <c r="B143" s="34" t="s">
        <v>19</v>
      </c>
      <c r="C143" s="59">
        <v>298.14999999999998</v>
      </c>
    </row>
    <row r="144" spans="1:38" ht="21" hidden="1" customHeight="1" outlineLevel="1" x14ac:dyDescent="0.35">
      <c r="A144" s="59">
        <v>8</v>
      </c>
      <c r="B144" s="35" t="s">
        <v>20</v>
      </c>
      <c r="C144" s="59">
        <v>5</v>
      </c>
    </row>
    <row r="145" spans="2:19" ht="21" hidden="1" customHeight="1" outlineLevel="1" x14ac:dyDescent="0.35">
      <c r="B145" s="36" t="s">
        <v>21</v>
      </c>
      <c r="C145" s="37">
        <f>C144-$C$144</f>
        <v>0</v>
      </c>
      <c r="D145" s="37">
        <f>D144-$C$144</f>
        <v>-5</v>
      </c>
      <c r="E145" s="37">
        <f t="shared" ref="E145:F145" si="44">E144-$C$144</f>
        <v>-5</v>
      </c>
      <c r="F145" s="37">
        <f t="shared" si="44"/>
        <v>-5</v>
      </c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</row>
    <row r="146" spans="2:19" ht="21" hidden="1" customHeight="1" outlineLevel="1" thickBot="1" x14ac:dyDescent="0.4">
      <c r="B146" s="34" t="s">
        <v>22</v>
      </c>
      <c r="C146" s="37">
        <f>C145+$A$144</f>
        <v>8</v>
      </c>
      <c r="D146" s="37">
        <f t="shared" ref="D146:F146" si="45">D145+$A$144</f>
        <v>3</v>
      </c>
      <c r="E146" s="37">
        <f t="shared" si="45"/>
        <v>3</v>
      </c>
      <c r="F146" s="37">
        <f t="shared" si="45"/>
        <v>3</v>
      </c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</row>
    <row r="147" spans="2:19" ht="21" hidden="1" customHeight="1" outlineLevel="1" x14ac:dyDescent="0.35"/>
    <row r="148" spans="2:19" ht="21" customHeight="1" collapsed="1" x14ac:dyDescent="0.35"/>
  </sheetData>
  <mergeCells count="2">
    <mergeCell ref="A1:BB1"/>
    <mergeCell ref="A117:B117"/>
  </mergeCells>
  <conditionalFormatting sqref="A4:D33">
    <cfRule type="cellIs" dxfId="6" priority="3" operator="equal">
      <formula>0</formula>
    </cfRule>
  </conditionalFormatting>
  <conditionalFormatting sqref="A50:D79">
    <cfRule type="cellIs" dxfId="5" priority="2" operator="equal">
      <formula>0</formula>
    </cfRule>
  </conditionalFormatting>
  <conditionalFormatting sqref="A84:D113">
    <cfRule type="cellIs" dxfId="4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C4602-7949-4CF8-A91D-3E3FFA532598}">
  <sheetPr codeName="Лист7">
    <tabColor rgb="FF0070C0"/>
  </sheetPr>
  <dimension ref="A1:BB147"/>
  <sheetViews>
    <sheetView tabSelected="1" zoomScale="85" zoomScaleNormal="85" zoomScaleSheetLayoutView="25" workbookViewId="0">
      <selection activeCell="AT42" sqref="AT42"/>
    </sheetView>
  </sheetViews>
  <sheetFormatPr defaultRowHeight="21" customHeight="1" outlineLevelRow="1" x14ac:dyDescent="0.35"/>
  <cols>
    <col min="1" max="4" width="5.6328125" style="59" customWidth="1"/>
    <col min="5" max="5" width="11.6328125" style="59" customWidth="1"/>
    <col min="6" max="6" width="8.90625" style="59" customWidth="1"/>
    <col min="7" max="37" width="8.6328125" style="59" hidden="1" customWidth="1"/>
    <col min="38" max="38" width="8.6328125" style="59" customWidth="1"/>
    <col min="39" max="16384" width="8.7265625" style="59"/>
  </cols>
  <sheetData>
    <row r="1" spans="1:54" ht="42.75" customHeight="1" thickBot="1" x14ac:dyDescent="0.4">
      <c r="A1" s="113" t="s">
        <v>32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</row>
    <row r="2" spans="1:54" ht="21" customHeight="1" thickBot="1" x14ac:dyDescent="0.45">
      <c r="A2" s="28" t="e">
        <f>Values!#REF!</f>
        <v>#REF!</v>
      </c>
      <c r="B2" s="41">
        <v>8.3145000000000007</v>
      </c>
      <c r="C2" s="3"/>
      <c r="D2" s="3"/>
      <c r="E2" s="4" t="s">
        <v>26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7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9"/>
    </row>
    <row r="3" spans="1:54" ht="21" customHeight="1" outlineLevel="1" thickTop="1" thickBot="1" x14ac:dyDescent="0.4">
      <c r="A3" s="64" t="s">
        <v>1</v>
      </c>
      <c r="B3" s="64" t="s">
        <v>2</v>
      </c>
      <c r="C3" s="64" t="s">
        <v>3</v>
      </c>
      <c r="D3" s="65" t="s">
        <v>4</v>
      </c>
      <c r="E3" s="8"/>
      <c r="F3" s="8">
        <v>273.10000000000002</v>
      </c>
      <c r="G3" s="8">
        <v>293.3</v>
      </c>
      <c r="H3" s="8">
        <v>313.5</v>
      </c>
      <c r="I3" s="8">
        <v>333.7</v>
      </c>
      <c r="J3" s="8">
        <v>353.9</v>
      </c>
      <c r="K3" s="8">
        <v>434.7</v>
      </c>
      <c r="L3" s="8">
        <v>454.9</v>
      </c>
      <c r="M3" s="8">
        <v>475.1</v>
      </c>
      <c r="N3" s="8">
        <v>495.2</v>
      </c>
      <c r="O3" s="8">
        <v>515.4</v>
      </c>
      <c r="P3" s="8">
        <v>535.6</v>
      </c>
      <c r="Q3" s="8">
        <v>555.79999999999995</v>
      </c>
      <c r="R3" s="8">
        <v>576</v>
      </c>
      <c r="S3" s="8">
        <v>596.20000000000005</v>
      </c>
      <c r="T3" s="8">
        <v>677</v>
      </c>
      <c r="U3" s="8">
        <v>757.7</v>
      </c>
      <c r="V3" s="8">
        <v>838.5</v>
      </c>
      <c r="W3" s="8">
        <v>919.2</v>
      </c>
      <c r="X3" s="8">
        <v>1000</v>
      </c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40"/>
      <c r="AM3" s="50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2"/>
    </row>
    <row r="4" spans="1:54" ht="21" customHeight="1" outlineLevel="1" thickTop="1" thickBot="1" x14ac:dyDescent="0.4">
      <c r="A4" s="66">
        <f>IF( ISNUMBER( FIND(A$3,$E4,1)),   IF( ISNUMBER( VALUE(MID($E4,FIND(A$3,$E4,1)+2,1)) ), VALUE( MID($E4,FIND(A$3,$E4,1)+2,1) ),1),0)</f>
        <v>0</v>
      </c>
      <c r="B4" s="66">
        <f t="shared" ref="B4:D19" si="0">IF( ISNUMBER( FIND(B$3,$E4,1)),   IF( ISNUMBER( VALUE(MID($E4,FIND(B$3,$E4,1)+2,1)) ), VALUE( MID($E4,FIND(B$3,$E4,1)+2,1) ),1),0)</f>
        <v>0</v>
      </c>
      <c r="C4" s="66">
        <f t="shared" si="0"/>
        <v>1</v>
      </c>
      <c r="D4" s="66">
        <f t="shared" si="0"/>
        <v>0</v>
      </c>
      <c r="E4" s="11" t="s">
        <v>73</v>
      </c>
      <c r="F4" s="73">
        <v>0</v>
      </c>
      <c r="G4" s="73">
        <v>0</v>
      </c>
      <c r="H4" s="73">
        <v>0</v>
      </c>
      <c r="I4" s="73">
        <v>0</v>
      </c>
      <c r="J4" s="73">
        <v>0</v>
      </c>
      <c r="K4" s="73">
        <v>0</v>
      </c>
      <c r="L4" s="73">
        <v>0</v>
      </c>
      <c r="M4" s="73">
        <v>0</v>
      </c>
      <c r="N4" s="73">
        <v>0</v>
      </c>
      <c r="O4" s="73">
        <v>0</v>
      </c>
      <c r="P4" s="73">
        <v>0</v>
      </c>
      <c r="Q4" s="73">
        <v>8.7828999999999996E-29</v>
      </c>
      <c r="R4" s="73">
        <v>3.7763000000000002E-23</v>
      </c>
      <c r="S4" s="73">
        <v>3.5245E-18</v>
      </c>
      <c r="T4" s="73">
        <v>1.8913E-13</v>
      </c>
      <c r="U4" s="73">
        <v>2.3472999999999999E-12</v>
      </c>
      <c r="V4" s="73">
        <v>1.2146000000000001E-10</v>
      </c>
      <c r="W4" s="73">
        <v>3.1660000000000002E-10</v>
      </c>
      <c r="X4" s="73">
        <v>4.4636000000000002E-9</v>
      </c>
      <c r="AM4" s="50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2"/>
    </row>
    <row r="5" spans="1:54" ht="21" customHeight="1" outlineLevel="1" thickBot="1" x14ac:dyDescent="0.4">
      <c r="A5" s="66">
        <f t="shared" ref="A5:D27" si="1">IF( ISNUMBER( FIND(A$3,$E5,1)),   IF( ISNUMBER( VALUE(MID($E5,FIND(A$3,$E5,1)+2,1)) ), VALUE( MID($E5,FIND(A$3,$E5,1)+2,1) ),1),0)</f>
        <v>0</v>
      </c>
      <c r="B5" s="66">
        <f t="shared" si="0"/>
        <v>0</v>
      </c>
      <c r="C5" s="66">
        <f t="shared" si="0"/>
        <v>1</v>
      </c>
      <c r="D5" s="66">
        <f t="shared" si="0"/>
        <v>0</v>
      </c>
      <c r="E5" s="11" t="s">
        <v>48</v>
      </c>
      <c r="F5" s="73">
        <v>0</v>
      </c>
      <c r="G5" s="73">
        <v>0</v>
      </c>
      <c r="H5" s="73">
        <v>0</v>
      </c>
      <c r="I5" s="73">
        <v>0</v>
      </c>
      <c r="J5" s="73">
        <v>0</v>
      </c>
      <c r="K5" s="73">
        <v>5.0927999999999999E-17</v>
      </c>
      <c r="L5" s="73">
        <v>1.8410999999999999E-12</v>
      </c>
      <c r="M5" s="73">
        <v>1.4124E-10</v>
      </c>
      <c r="N5" s="73">
        <v>1.7804E-9</v>
      </c>
      <c r="O5" s="73">
        <v>9.9999000000000005E-2</v>
      </c>
      <c r="P5" s="73">
        <v>0.1</v>
      </c>
      <c r="Q5" s="73">
        <v>0.1</v>
      </c>
      <c r="R5" s="73">
        <v>0.1</v>
      </c>
      <c r="S5" s="73">
        <v>0.1</v>
      </c>
      <c r="T5" s="73">
        <v>0.1</v>
      </c>
      <c r="U5" s="73">
        <v>0.1</v>
      </c>
      <c r="V5" s="73">
        <v>0.1</v>
      </c>
      <c r="W5" s="73">
        <v>0.1</v>
      </c>
      <c r="X5" s="73">
        <v>0.1</v>
      </c>
      <c r="AM5" s="50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2"/>
    </row>
    <row r="6" spans="1:54" ht="21" customHeight="1" outlineLevel="1" thickBot="1" x14ac:dyDescent="0.4">
      <c r="A6" s="66">
        <f t="shared" si="1"/>
        <v>0</v>
      </c>
      <c r="B6" s="66">
        <f t="shared" si="0"/>
        <v>1</v>
      </c>
      <c r="C6" s="66">
        <f t="shared" si="0"/>
        <v>1</v>
      </c>
      <c r="D6" s="66">
        <f t="shared" si="0"/>
        <v>0</v>
      </c>
      <c r="E6" s="11" t="s">
        <v>47</v>
      </c>
      <c r="F6" s="73">
        <v>0.1</v>
      </c>
      <c r="G6" s="73">
        <v>0.1</v>
      </c>
      <c r="H6" s="73">
        <v>0.1</v>
      </c>
      <c r="I6" s="73">
        <v>0.1</v>
      </c>
      <c r="J6" s="73">
        <v>0.2</v>
      </c>
      <c r="K6" s="73">
        <v>0.2</v>
      </c>
      <c r="L6" s="73">
        <v>0.2</v>
      </c>
      <c r="M6" s="73">
        <v>0.2</v>
      </c>
      <c r="N6" s="73">
        <v>0.2</v>
      </c>
      <c r="O6" s="73">
        <v>2.165E-6</v>
      </c>
      <c r="P6" s="73">
        <v>1.7535E-9</v>
      </c>
      <c r="Q6" s="73">
        <v>2.9718E-10</v>
      </c>
      <c r="R6" s="73">
        <v>6.3669000000000003E-12</v>
      </c>
      <c r="S6" s="73">
        <v>3.5102000000000001E-12</v>
      </c>
      <c r="T6" s="73">
        <v>1.0901999999999999E-20</v>
      </c>
      <c r="U6" s="73">
        <v>0</v>
      </c>
      <c r="V6" s="73">
        <v>0</v>
      </c>
      <c r="W6" s="73">
        <v>0</v>
      </c>
      <c r="X6" s="73">
        <v>0</v>
      </c>
      <c r="AM6" s="50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2"/>
    </row>
    <row r="7" spans="1:54" ht="21" customHeight="1" outlineLevel="1" thickBot="1" x14ac:dyDescent="0.4">
      <c r="A7" s="66">
        <f t="shared" si="1"/>
        <v>0</v>
      </c>
      <c r="B7" s="66">
        <f t="shared" si="0"/>
        <v>0</v>
      </c>
      <c r="C7" s="66">
        <f t="shared" si="0"/>
        <v>0</v>
      </c>
      <c r="D7" s="66">
        <f t="shared" si="0"/>
        <v>1</v>
      </c>
      <c r="E7" s="11" t="s">
        <v>74</v>
      </c>
      <c r="F7" s="73">
        <v>0</v>
      </c>
      <c r="G7" s="73">
        <v>0</v>
      </c>
      <c r="H7" s="73">
        <v>0</v>
      </c>
      <c r="I7" s="73">
        <v>0</v>
      </c>
      <c r="J7" s="73">
        <v>0</v>
      </c>
      <c r="K7" s="73">
        <v>0</v>
      </c>
      <c r="L7" s="73">
        <v>0</v>
      </c>
      <c r="M7" s="73">
        <v>0</v>
      </c>
      <c r="N7" s="73">
        <v>0</v>
      </c>
      <c r="O7" s="73">
        <v>0</v>
      </c>
      <c r="P7" s="73">
        <v>0.10580000000000001</v>
      </c>
      <c r="Q7" s="73">
        <v>0.11995</v>
      </c>
      <c r="R7" s="73">
        <v>0.12</v>
      </c>
      <c r="S7" s="73">
        <v>0.12</v>
      </c>
      <c r="T7" s="73">
        <v>0.12</v>
      </c>
      <c r="U7" s="73">
        <v>0.12</v>
      </c>
      <c r="V7" s="73">
        <v>0.12</v>
      </c>
      <c r="W7" s="73">
        <v>0.12</v>
      </c>
      <c r="X7" s="73">
        <v>0.12</v>
      </c>
      <c r="AM7" s="50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2"/>
    </row>
    <row r="8" spans="1:54" ht="21" customHeight="1" outlineLevel="1" thickBot="1" x14ac:dyDescent="0.4">
      <c r="A8" s="66">
        <f t="shared" si="1"/>
        <v>0</v>
      </c>
      <c r="B8" s="66">
        <f t="shared" si="0"/>
        <v>0</v>
      </c>
      <c r="C8" s="66">
        <f t="shared" si="0"/>
        <v>1</v>
      </c>
      <c r="D8" s="66">
        <f t="shared" si="0"/>
        <v>0</v>
      </c>
      <c r="E8" s="11" t="s">
        <v>46</v>
      </c>
      <c r="F8" s="73">
        <v>0</v>
      </c>
      <c r="G8" s="73">
        <v>0</v>
      </c>
      <c r="H8" s="73">
        <v>0</v>
      </c>
      <c r="I8" s="73">
        <v>0</v>
      </c>
      <c r="J8" s="73">
        <v>0</v>
      </c>
      <c r="K8" s="73">
        <v>5.0927999999999999E-17</v>
      </c>
      <c r="L8" s="73">
        <v>1.8410999999999999E-12</v>
      </c>
      <c r="M8" s="73">
        <v>1.4124E-10</v>
      </c>
      <c r="N8" s="73">
        <v>1.7804E-9</v>
      </c>
      <c r="O8" s="73">
        <v>9.9999000000000005E-2</v>
      </c>
      <c r="P8" s="73">
        <v>0.1</v>
      </c>
      <c r="Q8" s="73">
        <v>0.1</v>
      </c>
      <c r="R8" s="73">
        <v>0.1</v>
      </c>
      <c r="S8" s="73">
        <v>0.1</v>
      </c>
      <c r="T8" s="73">
        <v>0.1</v>
      </c>
      <c r="U8" s="73">
        <v>0.1</v>
      </c>
      <c r="V8" s="73">
        <v>0.1</v>
      </c>
      <c r="W8" s="73">
        <v>0.1</v>
      </c>
      <c r="X8" s="73">
        <v>0.1</v>
      </c>
      <c r="AM8" s="50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2"/>
    </row>
    <row r="9" spans="1:54" ht="21" customHeight="1" outlineLevel="1" thickBot="1" x14ac:dyDescent="0.4">
      <c r="A9" s="66">
        <f t="shared" si="1"/>
        <v>0</v>
      </c>
      <c r="B9" s="66">
        <f t="shared" si="0"/>
        <v>1</v>
      </c>
      <c r="C9" s="66">
        <f t="shared" si="0"/>
        <v>0</v>
      </c>
      <c r="D9" s="66">
        <f t="shared" si="0"/>
        <v>0</v>
      </c>
      <c r="E9" s="11" t="s">
        <v>45</v>
      </c>
      <c r="F9" s="73">
        <v>1.4469E-21</v>
      </c>
      <c r="G9" s="73">
        <v>2.8711E-16</v>
      </c>
      <c r="H9" s="73">
        <v>1.8528999999999999E-10</v>
      </c>
      <c r="I9" s="73">
        <v>2.569E-8</v>
      </c>
      <c r="J9" s="73">
        <v>0.1</v>
      </c>
      <c r="K9" s="73">
        <v>0.1</v>
      </c>
      <c r="L9" s="73">
        <v>0.1</v>
      </c>
      <c r="M9" s="73">
        <v>0.1</v>
      </c>
      <c r="N9" s="73">
        <v>0.1</v>
      </c>
      <c r="O9" s="73">
        <v>0.3</v>
      </c>
      <c r="P9" s="73">
        <v>0.4587</v>
      </c>
      <c r="Q9" s="73">
        <v>0.47992000000000001</v>
      </c>
      <c r="R9" s="73">
        <v>0.48</v>
      </c>
      <c r="S9" s="73">
        <v>0.48</v>
      </c>
      <c r="T9" s="73">
        <v>0.48</v>
      </c>
      <c r="U9" s="73">
        <v>0.48</v>
      </c>
      <c r="V9" s="73">
        <v>0.48</v>
      </c>
      <c r="W9" s="73">
        <v>0.48</v>
      </c>
      <c r="X9" s="73">
        <v>0.48</v>
      </c>
      <c r="AM9" s="50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2"/>
    </row>
    <row r="10" spans="1:54" ht="21" customHeight="1" outlineLevel="1" thickBot="1" x14ac:dyDescent="0.4">
      <c r="A10" s="66">
        <f t="shared" si="1"/>
        <v>0</v>
      </c>
      <c r="B10" s="66">
        <f t="shared" si="0"/>
        <v>2</v>
      </c>
      <c r="C10" s="66">
        <f t="shared" si="0"/>
        <v>1</v>
      </c>
      <c r="D10" s="66">
        <f t="shared" si="0"/>
        <v>0</v>
      </c>
      <c r="E10" s="11" t="s">
        <v>58</v>
      </c>
      <c r="F10" s="73">
        <v>0.1</v>
      </c>
      <c r="G10" s="73">
        <v>0.1</v>
      </c>
      <c r="H10" s="73">
        <v>0.1</v>
      </c>
      <c r="I10" s="73">
        <v>0.1</v>
      </c>
      <c r="J10" s="73">
        <v>6.4815999999999996E-9</v>
      </c>
      <c r="K10" s="73">
        <v>1.8887000000000001E-17</v>
      </c>
      <c r="L10" s="73">
        <v>2.9515999999999999E-20</v>
      </c>
      <c r="M10" s="73">
        <v>7.4554999999999999E-31</v>
      </c>
      <c r="N10" s="73">
        <v>0</v>
      </c>
      <c r="O10" s="73">
        <v>0</v>
      </c>
      <c r="P10" s="73">
        <v>0</v>
      </c>
      <c r="Q10" s="73">
        <v>0</v>
      </c>
      <c r="R10" s="73">
        <v>0</v>
      </c>
      <c r="S10" s="73">
        <v>0</v>
      </c>
      <c r="T10" s="73">
        <v>0</v>
      </c>
      <c r="U10" s="73">
        <v>0</v>
      </c>
      <c r="V10" s="73">
        <v>0</v>
      </c>
      <c r="W10" s="73">
        <v>0</v>
      </c>
      <c r="X10" s="73">
        <v>0</v>
      </c>
      <c r="AM10" s="50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2"/>
    </row>
    <row r="11" spans="1:54" ht="21" customHeight="1" outlineLevel="1" thickBot="1" x14ac:dyDescent="0.4">
      <c r="A11" s="66">
        <f t="shared" si="1"/>
        <v>0</v>
      </c>
      <c r="B11" s="66">
        <f t="shared" si="0"/>
        <v>3</v>
      </c>
      <c r="C11" s="66">
        <f t="shared" si="0"/>
        <v>0</v>
      </c>
      <c r="D11" s="66">
        <f t="shared" si="0"/>
        <v>2</v>
      </c>
      <c r="E11" s="11" t="s">
        <v>57</v>
      </c>
      <c r="F11" s="73">
        <v>0.06</v>
      </c>
      <c r="G11" s="73">
        <v>0.06</v>
      </c>
      <c r="H11" s="73">
        <v>0.06</v>
      </c>
      <c r="I11" s="73">
        <v>0.06</v>
      </c>
      <c r="J11" s="73">
        <v>0.06</v>
      </c>
      <c r="K11" s="73">
        <v>0.06</v>
      </c>
      <c r="L11" s="73">
        <v>0.06</v>
      </c>
      <c r="M11" s="73">
        <v>0.06</v>
      </c>
      <c r="N11" s="73">
        <v>0.06</v>
      </c>
      <c r="O11" s="73">
        <v>0.06</v>
      </c>
      <c r="P11" s="73">
        <v>7.1006000000000003E-3</v>
      </c>
      <c r="Q11" s="73">
        <v>2.5366000000000001E-5</v>
      </c>
      <c r="R11" s="73">
        <v>1.2111E-7</v>
      </c>
      <c r="S11" s="73">
        <v>7.3040999999999996E-10</v>
      </c>
      <c r="T11" s="73">
        <v>7.0818000000000003E-18</v>
      </c>
      <c r="U11" s="73">
        <v>9.1742999999999996E-25</v>
      </c>
      <c r="V11" s="73">
        <v>9.3260000000000005E-31</v>
      </c>
      <c r="W11" s="73">
        <v>5.3264E-36</v>
      </c>
      <c r="X11" s="73">
        <v>0</v>
      </c>
      <c r="AM11" s="50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2"/>
    </row>
    <row r="12" spans="1:54" ht="21" customHeight="1" outlineLevel="1" thickBot="1" x14ac:dyDescent="0.4">
      <c r="A12" s="66">
        <f t="shared" si="1"/>
        <v>1</v>
      </c>
      <c r="B12" s="66">
        <f t="shared" si="0"/>
        <v>0</v>
      </c>
      <c r="C12" s="66">
        <f t="shared" si="0"/>
        <v>0</v>
      </c>
      <c r="D12" s="66">
        <f t="shared" si="0"/>
        <v>0</v>
      </c>
      <c r="E12" s="11" t="s">
        <v>1</v>
      </c>
      <c r="F12" s="73">
        <v>0.2</v>
      </c>
      <c r="G12" s="73">
        <v>0.2</v>
      </c>
      <c r="H12" s="73">
        <v>0.2</v>
      </c>
      <c r="I12" s="73">
        <v>0.2</v>
      </c>
      <c r="J12" s="73">
        <v>0.2</v>
      </c>
      <c r="K12" s="73">
        <v>0.2</v>
      </c>
      <c r="L12" s="73">
        <v>0.2</v>
      </c>
      <c r="M12" s="73">
        <v>0.2</v>
      </c>
      <c r="N12" s="73">
        <v>0.2</v>
      </c>
      <c r="O12" s="73">
        <v>0.2</v>
      </c>
      <c r="P12" s="73">
        <v>0.2</v>
      </c>
      <c r="Q12" s="73">
        <v>0.2</v>
      </c>
      <c r="R12" s="73">
        <v>0.2</v>
      </c>
      <c r="S12" s="73">
        <v>0.2</v>
      </c>
      <c r="T12" s="73">
        <v>0.2</v>
      </c>
      <c r="U12" s="73">
        <v>0.2</v>
      </c>
      <c r="V12" s="73">
        <v>0.2</v>
      </c>
      <c r="W12" s="73">
        <v>0.2</v>
      </c>
      <c r="X12" s="73">
        <v>0.2</v>
      </c>
      <c r="AM12" s="50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2"/>
    </row>
    <row r="13" spans="1:54" ht="21" customHeight="1" outlineLevel="1" thickBot="1" x14ac:dyDescent="0.4">
      <c r="A13" s="66">
        <f t="shared" si="1"/>
        <v>0</v>
      </c>
      <c r="B13" s="66">
        <f t="shared" si="0"/>
        <v>0</v>
      </c>
      <c r="C13" s="66">
        <f t="shared" si="0"/>
        <v>1</v>
      </c>
      <c r="D13" s="66">
        <f t="shared" si="0"/>
        <v>0</v>
      </c>
      <c r="E13" s="11" t="s">
        <v>43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1.0516E-35</v>
      </c>
      <c r="M13" s="73">
        <v>0</v>
      </c>
      <c r="N13" s="73">
        <v>0</v>
      </c>
      <c r="O13" s="73">
        <v>0</v>
      </c>
      <c r="P13" s="73">
        <v>0</v>
      </c>
      <c r="Q13" s="73">
        <v>2.3361999999999999E-27</v>
      </c>
      <c r="R13" s="73">
        <v>8.5098999999999996E-22</v>
      </c>
      <c r="S13" s="73">
        <v>6.8195999999999997E-17</v>
      </c>
      <c r="T13" s="73">
        <v>2.2108999999999998E-12</v>
      </c>
      <c r="U13" s="73">
        <v>1.8937000000000001E-11</v>
      </c>
      <c r="V13" s="73">
        <v>1.7477999999999999E-10</v>
      </c>
      <c r="W13" s="73">
        <v>3.1660000000000002E-10</v>
      </c>
      <c r="X13" s="73">
        <v>4.4636999999999998E-9</v>
      </c>
      <c r="AM13" s="50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2"/>
    </row>
    <row r="14" spans="1:54" ht="21" customHeight="1" outlineLevel="1" thickBot="1" x14ac:dyDescent="0.4">
      <c r="A14" s="66">
        <f t="shared" si="1"/>
        <v>1</v>
      </c>
      <c r="B14" s="66">
        <f t="shared" si="0"/>
        <v>0</v>
      </c>
      <c r="C14" s="66">
        <f t="shared" si="0"/>
        <v>0</v>
      </c>
      <c r="D14" s="66">
        <f t="shared" si="0"/>
        <v>0</v>
      </c>
      <c r="E14" s="11" t="s">
        <v>34</v>
      </c>
      <c r="F14" s="73">
        <v>-18.88</v>
      </c>
      <c r="G14" s="73">
        <v>-18.87</v>
      </c>
      <c r="H14" s="73">
        <v>-18.88</v>
      </c>
      <c r="I14" s="73">
        <v>-18.89</v>
      </c>
      <c r="J14" s="73">
        <v>-18.916</v>
      </c>
      <c r="K14" s="73">
        <v>-19.03</v>
      </c>
      <c r="L14" s="73">
        <v>-19.07</v>
      </c>
      <c r="M14" s="73">
        <v>-19.11</v>
      </c>
      <c r="N14" s="73">
        <v>-19.149999999999999</v>
      </c>
      <c r="O14" s="73">
        <v>-19.190000000000001</v>
      </c>
      <c r="P14" s="73">
        <v>-19</v>
      </c>
      <c r="Q14" s="73">
        <v>-19.010000000000002</v>
      </c>
      <c r="R14" s="73">
        <v>-19.05</v>
      </c>
      <c r="S14" s="73">
        <v>-19.09</v>
      </c>
      <c r="T14" s="73">
        <v>-19.260000000000002</v>
      </c>
      <c r="U14" s="73">
        <v>-19.43</v>
      </c>
      <c r="V14" s="73">
        <v>-19.59</v>
      </c>
      <c r="W14" s="73">
        <v>-19.739999999999998</v>
      </c>
      <c r="X14" s="73">
        <v>-19.88</v>
      </c>
      <c r="AM14" s="50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2"/>
    </row>
    <row r="15" spans="1:54" ht="21" customHeight="1" outlineLevel="1" thickBot="1" x14ac:dyDescent="0.4">
      <c r="A15" s="66">
        <f t="shared" si="1"/>
        <v>0</v>
      </c>
      <c r="B15" s="66">
        <f t="shared" si="0"/>
        <v>0</v>
      </c>
      <c r="C15" s="66">
        <f t="shared" si="0"/>
        <v>0</v>
      </c>
      <c r="D15" s="66">
        <f t="shared" si="0"/>
        <v>1</v>
      </c>
      <c r="E15" s="11" t="s">
        <v>5</v>
      </c>
      <c r="F15" s="73">
        <v>-66.3</v>
      </c>
      <c r="G15" s="73">
        <v>-62.09</v>
      </c>
      <c r="H15" s="73">
        <v>-58.44</v>
      </c>
      <c r="I15" s="73">
        <v>-55.24</v>
      </c>
      <c r="J15" s="73">
        <v>-51.41</v>
      </c>
      <c r="K15" s="73">
        <v>-37.020000000000003</v>
      </c>
      <c r="L15" s="73">
        <v>-34.15</v>
      </c>
      <c r="M15" s="73">
        <v>-31.5</v>
      </c>
      <c r="N15" s="73">
        <v>-29.04</v>
      </c>
      <c r="O15" s="73">
        <v>-26.75</v>
      </c>
      <c r="P15" s="73">
        <v>-25.56</v>
      </c>
      <c r="Q15" s="73">
        <v>-26.36</v>
      </c>
      <c r="R15" s="73">
        <v>-27.15</v>
      </c>
      <c r="S15" s="73">
        <v>-27.94</v>
      </c>
      <c r="T15" s="73">
        <v>-30.98</v>
      </c>
      <c r="U15" s="73">
        <v>-33.840000000000003</v>
      </c>
      <c r="V15" s="73">
        <v>-36.47</v>
      </c>
      <c r="W15" s="73">
        <v>-38.83</v>
      </c>
      <c r="X15" s="73">
        <v>-40.880000000000003</v>
      </c>
      <c r="AM15" s="50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2"/>
    </row>
    <row r="16" spans="1:54" ht="21" customHeight="1" outlineLevel="1" thickBot="1" x14ac:dyDescent="0.4">
      <c r="A16" s="66">
        <f t="shared" si="1"/>
        <v>0</v>
      </c>
      <c r="B16" s="66">
        <f t="shared" si="0"/>
        <v>0</v>
      </c>
      <c r="C16" s="66">
        <f t="shared" si="0"/>
        <v>1</v>
      </c>
      <c r="D16" s="66">
        <f t="shared" si="0"/>
        <v>0</v>
      </c>
      <c r="E16" s="11" t="s">
        <v>6</v>
      </c>
      <c r="F16" s="73">
        <v>-16.29</v>
      </c>
      <c r="G16" s="73">
        <v>-15.52</v>
      </c>
      <c r="H16" s="73">
        <v>-14.86</v>
      </c>
      <c r="I16" s="73">
        <v>-14.3</v>
      </c>
      <c r="J16" s="73">
        <v>-13.135999999999999</v>
      </c>
      <c r="K16" s="73">
        <v>-7.8570000000000002</v>
      </c>
      <c r="L16" s="73">
        <v>-6.79</v>
      </c>
      <c r="M16" s="73">
        <v>-5.8</v>
      </c>
      <c r="N16" s="73">
        <v>-4.8769999999999998</v>
      </c>
      <c r="O16" s="73">
        <v>-4.1020000000000003</v>
      </c>
      <c r="P16" s="73">
        <v>-4.1500000000000004</v>
      </c>
      <c r="Q16" s="73">
        <v>-4.2</v>
      </c>
      <c r="R16" s="73">
        <v>-4.2489999999999997</v>
      </c>
      <c r="S16" s="73">
        <v>-4.2990000000000004</v>
      </c>
      <c r="T16" s="73">
        <v>-4.4989999999999997</v>
      </c>
      <c r="U16" s="73">
        <v>-4.6959999999999997</v>
      </c>
      <c r="V16" s="73">
        <v>-4.8869999999999996</v>
      </c>
      <c r="W16" s="73">
        <v>-5.0709999999999997</v>
      </c>
      <c r="X16" s="73">
        <v>-5.2489999999999997</v>
      </c>
      <c r="AM16" s="50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2"/>
    </row>
    <row r="17" spans="1:54" ht="21" customHeight="1" outlineLevel="1" thickBot="1" x14ac:dyDescent="0.4">
      <c r="A17" s="66">
        <f t="shared" si="1"/>
        <v>0</v>
      </c>
      <c r="B17" s="66">
        <f t="shared" si="0"/>
        <v>1</v>
      </c>
      <c r="C17" s="66">
        <f t="shared" si="0"/>
        <v>0</v>
      </c>
      <c r="D17" s="66">
        <f t="shared" si="0"/>
        <v>0</v>
      </c>
      <c r="E17" s="11" t="s">
        <v>7</v>
      </c>
      <c r="F17" s="73">
        <v>-23.52</v>
      </c>
      <c r="G17" s="73">
        <v>-22.18</v>
      </c>
      <c r="H17" s="73">
        <v>-21.02</v>
      </c>
      <c r="I17" s="73">
        <v>-20.010000000000002</v>
      </c>
      <c r="J17" s="73">
        <v>-19.806000000000001</v>
      </c>
      <c r="K17" s="73">
        <v>-21.02</v>
      </c>
      <c r="L17" s="73">
        <v>-21.34</v>
      </c>
      <c r="M17" s="73">
        <v>-21.65</v>
      </c>
      <c r="N17" s="73">
        <v>-21.96</v>
      </c>
      <c r="O17" s="73">
        <v>-22.27</v>
      </c>
      <c r="P17" s="73">
        <v>-22.57</v>
      </c>
      <c r="Q17" s="73">
        <v>-22.88</v>
      </c>
      <c r="R17" s="73">
        <v>-23.18</v>
      </c>
      <c r="S17" s="73">
        <v>-23.48</v>
      </c>
      <c r="T17" s="73">
        <v>-24.65</v>
      </c>
      <c r="U17" s="73">
        <v>-25.77</v>
      </c>
      <c r="V17" s="73">
        <v>-26.86</v>
      </c>
      <c r="W17" s="73">
        <v>-27.9</v>
      </c>
      <c r="X17" s="73">
        <v>-28.91</v>
      </c>
      <c r="AM17" s="50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2"/>
    </row>
    <row r="18" spans="1:54" ht="21" customHeight="1" outlineLevel="1" thickBot="1" x14ac:dyDescent="0.4">
      <c r="A18" s="66">
        <f t="shared" si="1"/>
        <v>0</v>
      </c>
      <c r="B18" s="66">
        <f t="shared" si="0"/>
        <v>0</v>
      </c>
      <c r="C18" s="66">
        <f t="shared" si="0"/>
        <v>0</v>
      </c>
      <c r="D18" s="66">
        <f t="shared" si="0"/>
        <v>0</v>
      </c>
      <c r="E18" s="11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AM18" s="50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2"/>
    </row>
    <row r="19" spans="1:54" ht="21" customHeight="1" outlineLevel="1" thickBot="1" x14ac:dyDescent="0.4">
      <c r="A19" s="66">
        <f t="shared" si="1"/>
        <v>0</v>
      </c>
      <c r="B19" s="66">
        <f t="shared" si="0"/>
        <v>0</v>
      </c>
      <c r="C19" s="66">
        <f t="shared" si="0"/>
        <v>0</v>
      </c>
      <c r="D19" s="66">
        <f t="shared" si="0"/>
        <v>0</v>
      </c>
      <c r="E19" s="11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AM19" s="50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2"/>
    </row>
    <row r="20" spans="1:54" ht="21" customHeight="1" outlineLevel="1" thickBot="1" x14ac:dyDescent="0.4">
      <c r="A20" s="66">
        <f t="shared" si="1"/>
        <v>0</v>
      </c>
      <c r="B20" s="66">
        <f t="shared" si="1"/>
        <v>0</v>
      </c>
      <c r="C20" s="66">
        <f t="shared" si="1"/>
        <v>0</v>
      </c>
      <c r="D20" s="66">
        <f t="shared" si="1"/>
        <v>0</v>
      </c>
      <c r="E20" s="63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AM20" s="50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2"/>
    </row>
    <row r="21" spans="1:54" ht="21" customHeight="1" outlineLevel="1" thickBot="1" x14ac:dyDescent="0.4">
      <c r="A21" s="66">
        <f t="shared" si="1"/>
        <v>0</v>
      </c>
      <c r="B21" s="66">
        <f t="shared" si="1"/>
        <v>0</v>
      </c>
      <c r="C21" s="66">
        <f t="shared" si="1"/>
        <v>0</v>
      </c>
      <c r="D21" s="66">
        <f t="shared" si="1"/>
        <v>0</v>
      </c>
      <c r="E21" s="63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AM21" s="50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2"/>
    </row>
    <row r="22" spans="1:54" ht="21" customHeight="1" outlineLevel="1" thickBot="1" x14ac:dyDescent="0.4">
      <c r="A22" s="66">
        <f t="shared" si="1"/>
        <v>0</v>
      </c>
      <c r="B22" s="66">
        <f t="shared" si="1"/>
        <v>0</v>
      </c>
      <c r="C22" s="66">
        <f t="shared" si="1"/>
        <v>0</v>
      </c>
      <c r="D22" s="66">
        <f t="shared" si="1"/>
        <v>0</v>
      </c>
      <c r="E22" s="63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AM22" s="50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2"/>
    </row>
    <row r="23" spans="1:54" ht="21" customHeight="1" outlineLevel="1" thickBot="1" x14ac:dyDescent="0.4">
      <c r="A23" s="66">
        <f t="shared" si="1"/>
        <v>0</v>
      </c>
      <c r="B23" s="66">
        <f t="shared" si="1"/>
        <v>0</v>
      </c>
      <c r="C23" s="66">
        <f t="shared" si="1"/>
        <v>0</v>
      </c>
      <c r="D23" s="66">
        <f t="shared" si="1"/>
        <v>0</v>
      </c>
      <c r="E23" s="63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AM23" s="50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2"/>
    </row>
    <row r="24" spans="1:54" ht="21" customHeight="1" outlineLevel="1" thickBot="1" x14ac:dyDescent="0.4">
      <c r="A24" s="66">
        <f t="shared" si="1"/>
        <v>0</v>
      </c>
      <c r="B24" s="66">
        <f t="shared" si="1"/>
        <v>0</v>
      </c>
      <c r="C24" s="66">
        <f t="shared" si="1"/>
        <v>0</v>
      </c>
      <c r="D24" s="66">
        <f t="shared" si="1"/>
        <v>0</v>
      </c>
      <c r="E24" s="63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AM24" s="50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2"/>
    </row>
    <row r="25" spans="1:54" ht="21" customHeight="1" outlineLevel="1" thickBot="1" x14ac:dyDescent="0.4">
      <c r="A25" s="66">
        <f t="shared" si="1"/>
        <v>0</v>
      </c>
      <c r="B25" s="66">
        <f t="shared" si="1"/>
        <v>0</v>
      </c>
      <c r="C25" s="66">
        <f t="shared" si="1"/>
        <v>0</v>
      </c>
      <c r="D25" s="66">
        <f t="shared" si="1"/>
        <v>0</v>
      </c>
      <c r="E25" s="63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AM25" s="50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2"/>
    </row>
    <row r="26" spans="1:54" ht="21" customHeight="1" outlineLevel="1" thickBot="1" x14ac:dyDescent="0.4">
      <c r="A26" s="66">
        <f t="shared" si="1"/>
        <v>0</v>
      </c>
      <c r="B26" s="66">
        <f t="shared" si="1"/>
        <v>0</v>
      </c>
      <c r="C26" s="66">
        <f t="shared" si="1"/>
        <v>0</v>
      </c>
      <c r="D26" s="66">
        <f t="shared" si="1"/>
        <v>0</v>
      </c>
      <c r="E26" s="63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AM26" s="50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2"/>
    </row>
    <row r="27" spans="1:54" ht="21" customHeight="1" outlineLevel="1" thickBot="1" x14ac:dyDescent="0.4">
      <c r="A27" s="66">
        <f t="shared" si="1"/>
        <v>0</v>
      </c>
      <c r="B27" s="66">
        <f t="shared" si="1"/>
        <v>0</v>
      </c>
      <c r="C27" s="66">
        <f t="shared" si="1"/>
        <v>0</v>
      </c>
      <c r="D27" s="66">
        <f t="shared" si="1"/>
        <v>0</v>
      </c>
      <c r="E27" s="63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AM27" s="50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2"/>
    </row>
    <row r="28" spans="1:54" ht="21" customHeight="1" outlineLevel="1" thickBot="1" x14ac:dyDescent="0.4">
      <c r="A28" s="66">
        <f t="shared" ref="A28:D33" si="2">IF( ISNUMBER( FIND(A$3,$E28,1)),   IF( ISNUMBER( VALUE(MID($E28,FIND(A$3,$E28,1)+2,1)) ), VALUE( MID($E28,FIND(A$3,$E28,1)+2,1) ),1),0)</f>
        <v>0</v>
      </c>
      <c r="B28" s="66">
        <f t="shared" si="2"/>
        <v>0</v>
      </c>
      <c r="C28" s="66">
        <f t="shared" si="2"/>
        <v>0</v>
      </c>
      <c r="D28" s="66">
        <f t="shared" si="2"/>
        <v>0</v>
      </c>
      <c r="E28" s="63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AM28" s="50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2"/>
    </row>
    <row r="29" spans="1:54" ht="21" customHeight="1" outlineLevel="1" thickBot="1" x14ac:dyDescent="0.4">
      <c r="A29" s="66">
        <f t="shared" si="2"/>
        <v>0</v>
      </c>
      <c r="B29" s="66">
        <f t="shared" si="2"/>
        <v>0</v>
      </c>
      <c r="C29" s="66">
        <f t="shared" si="2"/>
        <v>0</v>
      </c>
      <c r="D29" s="66">
        <f t="shared" si="2"/>
        <v>0</v>
      </c>
      <c r="E29" s="63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AM29" s="50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2"/>
    </row>
    <row r="30" spans="1:54" ht="21" customHeight="1" outlineLevel="1" thickBot="1" x14ac:dyDescent="0.4">
      <c r="A30" s="66">
        <f t="shared" si="2"/>
        <v>0</v>
      </c>
      <c r="B30" s="66">
        <f t="shared" si="2"/>
        <v>0</v>
      </c>
      <c r="C30" s="66">
        <f t="shared" si="2"/>
        <v>0</v>
      </c>
      <c r="D30" s="66">
        <f t="shared" si="2"/>
        <v>0</v>
      </c>
      <c r="E30" s="63"/>
      <c r="AM30" s="50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2"/>
    </row>
    <row r="31" spans="1:54" ht="21" customHeight="1" outlineLevel="1" thickBot="1" x14ac:dyDescent="0.4">
      <c r="A31" s="66">
        <f t="shared" si="2"/>
        <v>0</v>
      </c>
      <c r="B31" s="66">
        <f t="shared" si="2"/>
        <v>0</v>
      </c>
      <c r="C31" s="66">
        <f t="shared" si="2"/>
        <v>0</v>
      </c>
      <c r="D31" s="66">
        <f t="shared" si="2"/>
        <v>0</v>
      </c>
      <c r="E31" s="63"/>
      <c r="AM31" s="50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2"/>
    </row>
    <row r="32" spans="1:54" ht="21" customHeight="1" outlineLevel="1" thickBot="1" x14ac:dyDescent="0.4">
      <c r="A32" s="66">
        <f t="shared" si="2"/>
        <v>0</v>
      </c>
      <c r="B32" s="66">
        <f t="shared" si="2"/>
        <v>0</v>
      </c>
      <c r="C32" s="66">
        <f t="shared" si="2"/>
        <v>0</v>
      </c>
      <c r="D32" s="66">
        <f t="shared" si="2"/>
        <v>0</v>
      </c>
      <c r="E32" s="63"/>
      <c r="AM32" s="50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2"/>
    </row>
    <row r="33" spans="1:54" ht="21" customHeight="1" outlineLevel="1" thickBot="1" x14ac:dyDescent="0.4">
      <c r="A33" s="66">
        <f t="shared" si="2"/>
        <v>0</v>
      </c>
      <c r="B33" s="66">
        <f t="shared" si="2"/>
        <v>0</v>
      </c>
      <c r="C33" s="66">
        <f t="shared" si="2"/>
        <v>0</v>
      </c>
      <c r="D33" s="66">
        <f t="shared" si="2"/>
        <v>0</v>
      </c>
      <c r="E33" s="63">
        <v>1</v>
      </c>
      <c r="AM33" s="50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2"/>
    </row>
    <row r="34" spans="1:54" ht="21" customHeight="1" outlineLevel="1" x14ac:dyDescent="0.35">
      <c r="A34" s="47" t="e">
        <f>$A$2</f>
        <v>#REF!</v>
      </c>
      <c r="B34" s="74">
        <v>0</v>
      </c>
      <c r="C34" s="23" t="s">
        <v>34</v>
      </c>
      <c r="D34" s="71">
        <f>MATCH(C34,$E$4:$E$33)</f>
        <v>11</v>
      </c>
      <c r="E34" s="23" t="str">
        <f ca="1">OFFSET($E$3:$AL$3,$D34,0)</f>
        <v>H (Ar)</v>
      </c>
      <c r="F34" s="26">
        <f t="shared" ref="F34:AL37" ca="1" si="3">OFFSET($E$3:$AL$3,$D34,0)</f>
        <v>-18.88</v>
      </c>
      <c r="G34" s="26">
        <f t="shared" ca="1" si="3"/>
        <v>-18.87</v>
      </c>
      <c r="H34" s="26">
        <f t="shared" ca="1" si="3"/>
        <v>-18.88</v>
      </c>
      <c r="I34" s="26">
        <f t="shared" ca="1" si="3"/>
        <v>-18.89</v>
      </c>
      <c r="J34" s="26">
        <f t="shared" ca="1" si="3"/>
        <v>-18.916</v>
      </c>
      <c r="K34" s="26">
        <f t="shared" ca="1" si="3"/>
        <v>-19.03</v>
      </c>
      <c r="L34" s="26">
        <f t="shared" ca="1" si="3"/>
        <v>-19.07</v>
      </c>
      <c r="M34" s="26">
        <f t="shared" ca="1" si="3"/>
        <v>-19.11</v>
      </c>
      <c r="N34" s="26">
        <f t="shared" ca="1" si="3"/>
        <v>-19.149999999999999</v>
      </c>
      <c r="O34" s="26">
        <f t="shared" ca="1" si="3"/>
        <v>-19.190000000000001</v>
      </c>
      <c r="P34" s="26">
        <f t="shared" ca="1" si="3"/>
        <v>-19</v>
      </c>
      <c r="Q34" s="26">
        <f t="shared" ca="1" si="3"/>
        <v>-19.010000000000002</v>
      </c>
      <c r="R34" s="26">
        <f t="shared" ca="1" si="3"/>
        <v>-19.05</v>
      </c>
      <c r="S34" s="26">
        <f t="shared" ca="1" si="3"/>
        <v>-19.09</v>
      </c>
      <c r="T34" s="26">
        <f t="shared" ca="1" si="3"/>
        <v>-19.260000000000002</v>
      </c>
      <c r="U34" s="26">
        <f t="shared" ca="1" si="3"/>
        <v>-19.43</v>
      </c>
      <c r="V34" s="26">
        <f t="shared" ca="1" si="3"/>
        <v>-19.59</v>
      </c>
      <c r="W34" s="26">
        <f t="shared" ca="1" si="3"/>
        <v>-19.739999999999998</v>
      </c>
      <c r="X34" s="26">
        <f t="shared" ca="1" si="3"/>
        <v>-19.88</v>
      </c>
      <c r="Y34" s="26">
        <f t="shared" ca="1" si="3"/>
        <v>0</v>
      </c>
      <c r="Z34" s="26">
        <f t="shared" ca="1" si="3"/>
        <v>0</v>
      </c>
      <c r="AA34" s="26">
        <f t="shared" ca="1" si="3"/>
        <v>0</v>
      </c>
      <c r="AB34" s="26">
        <f t="shared" ca="1" si="3"/>
        <v>0</v>
      </c>
      <c r="AC34" s="26">
        <f t="shared" ca="1" si="3"/>
        <v>0</v>
      </c>
      <c r="AD34" s="26">
        <f t="shared" ca="1" si="3"/>
        <v>0</v>
      </c>
      <c r="AE34" s="26">
        <f t="shared" ca="1" si="3"/>
        <v>0</v>
      </c>
      <c r="AF34" s="26">
        <f t="shared" ca="1" si="3"/>
        <v>0</v>
      </c>
      <c r="AG34" s="26">
        <f t="shared" ca="1" si="3"/>
        <v>0</v>
      </c>
      <c r="AH34" s="26">
        <f t="shared" ca="1" si="3"/>
        <v>0</v>
      </c>
      <c r="AI34" s="26">
        <f t="shared" ca="1" si="3"/>
        <v>0</v>
      </c>
      <c r="AJ34" s="26">
        <f t="shared" ca="1" si="3"/>
        <v>0</v>
      </c>
      <c r="AK34" s="26">
        <f t="shared" ca="1" si="3"/>
        <v>0</v>
      </c>
      <c r="AL34" s="26">
        <f t="shared" ca="1" si="3"/>
        <v>0</v>
      </c>
      <c r="AM34" s="50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2"/>
    </row>
    <row r="35" spans="1:54" ht="21" customHeight="1" outlineLevel="1" thickBot="1" x14ac:dyDescent="0.4">
      <c r="A35" s="53" t="e">
        <f>$A$2</f>
        <v>#REF!</v>
      </c>
      <c r="B35" s="75">
        <v>1</v>
      </c>
      <c r="C35" s="23" t="s">
        <v>5</v>
      </c>
      <c r="D35" s="71">
        <f t="shared" ref="D35:D37" si="4">MATCH(C35,$E$4:$E$33)</f>
        <v>12</v>
      </c>
      <c r="E35" s="23" t="str">
        <f t="shared" ref="E35:E37" ca="1" si="5">OFFSET($E$3:$AL$3,$D35,0)</f>
        <v>H (Ga)</v>
      </c>
      <c r="F35" s="26">
        <f t="shared" ca="1" si="3"/>
        <v>-66.3</v>
      </c>
      <c r="G35" s="26">
        <f t="shared" ca="1" si="3"/>
        <v>-62.09</v>
      </c>
      <c r="H35" s="26">
        <f t="shared" ca="1" si="3"/>
        <v>-58.44</v>
      </c>
      <c r="I35" s="26">
        <f t="shared" ca="1" si="3"/>
        <v>-55.24</v>
      </c>
      <c r="J35" s="26">
        <f t="shared" ca="1" si="3"/>
        <v>-51.41</v>
      </c>
      <c r="K35" s="26">
        <f t="shared" ca="1" si="3"/>
        <v>-37.020000000000003</v>
      </c>
      <c r="L35" s="26">
        <f t="shared" ca="1" si="3"/>
        <v>-34.15</v>
      </c>
      <c r="M35" s="26">
        <f t="shared" ca="1" si="3"/>
        <v>-31.5</v>
      </c>
      <c r="N35" s="26">
        <f t="shared" ca="1" si="3"/>
        <v>-29.04</v>
      </c>
      <c r="O35" s="26">
        <f t="shared" ca="1" si="3"/>
        <v>-26.75</v>
      </c>
      <c r="P35" s="26">
        <f t="shared" ca="1" si="3"/>
        <v>-25.56</v>
      </c>
      <c r="Q35" s="26">
        <f t="shared" ca="1" si="3"/>
        <v>-26.36</v>
      </c>
      <c r="R35" s="26">
        <f t="shared" ca="1" si="3"/>
        <v>-27.15</v>
      </c>
      <c r="S35" s="26">
        <f t="shared" ca="1" si="3"/>
        <v>-27.94</v>
      </c>
      <c r="T35" s="26">
        <f t="shared" ca="1" si="3"/>
        <v>-30.98</v>
      </c>
      <c r="U35" s="26">
        <f t="shared" ca="1" si="3"/>
        <v>-33.840000000000003</v>
      </c>
      <c r="V35" s="26">
        <f t="shared" ca="1" si="3"/>
        <v>-36.47</v>
      </c>
      <c r="W35" s="26">
        <f t="shared" ca="1" si="3"/>
        <v>-38.83</v>
      </c>
      <c r="X35" s="26">
        <f t="shared" ca="1" si="3"/>
        <v>-40.880000000000003</v>
      </c>
      <c r="Y35" s="26">
        <f t="shared" ca="1" si="3"/>
        <v>0</v>
      </c>
      <c r="Z35" s="26">
        <f t="shared" ca="1" si="3"/>
        <v>0</v>
      </c>
      <c r="AA35" s="26">
        <f t="shared" ca="1" si="3"/>
        <v>0</v>
      </c>
      <c r="AB35" s="26">
        <f t="shared" ca="1" si="3"/>
        <v>0</v>
      </c>
      <c r="AC35" s="26">
        <f t="shared" ca="1" si="3"/>
        <v>0</v>
      </c>
      <c r="AD35" s="26">
        <f t="shared" ca="1" si="3"/>
        <v>0</v>
      </c>
      <c r="AE35" s="26">
        <f t="shared" ca="1" si="3"/>
        <v>0</v>
      </c>
      <c r="AF35" s="26">
        <f t="shared" ca="1" si="3"/>
        <v>0</v>
      </c>
      <c r="AG35" s="26">
        <f t="shared" ca="1" si="3"/>
        <v>0</v>
      </c>
      <c r="AH35" s="26">
        <f t="shared" ca="1" si="3"/>
        <v>0</v>
      </c>
      <c r="AI35" s="26">
        <f t="shared" ca="1" si="3"/>
        <v>0</v>
      </c>
      <c r="AJ35" s="26">
        <f t="shared" ca="1" si="3"/>
        <v>0</v>
      </c>
      <c r="AK35" s="26">
        <f t="shared" ca="1" si="3"/>
        <v>0</v>
      </c>
      <c r="AL35" s="26">
        <f t="shared" ca="1" si="3"/>
        <v>0</v>
      </c>
      <c r="AM35" s="50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2"/>
    </row>
    <row r="36" spans="1:54" ht="21" customHeight="1" outlineLevel="1" x14ac:dyDescent="0.35">
      <c r="C36" s="23" t="s">
        <v>6</v>
      </c>
      <c r="D36" s="71">
        <f t="shared" si="4"/>
        <v>13</v>
      </c>
      <c r="E36" s="23" t="str">
        <f t="shared" ca="1" si="5"/>
        <v>H (Ge)</v>
      </c>
      <c r="F36" s="26">
        <f t="shared" ca="1" si="3"/>
        <v>-16.29</v>
      </c>
      <c r="G36" s="26">
        <f t="shared" ca="1" si="3"/>
        <v>-15.52</v>
      </c>
      <c r="H36" s="26">
        <f t="shared" ca="1" si="3"/>
        <v>-14.86</v>
      </c>
      <c r="I36" s="26">
        <f t="shared" ca="1" si="3"/>
        <v>-14.3</v>
      </c>
      <c r="J36" s="26">
        <f t="shared" ca="1" si="3"/>
        <v>-13.135999999999999</v>
      </c>
      <c r="K36" s="26">
        <f t="shared" ca="1" si="3"/>
        <v>-7.8570000000000002</v>
      </c>
      <c r="L36" s="26">
        <f t="shared" ca="1" si="3"/>
        <v>-6.79</v>
      </c>
      <c r="M36" s="26">
        <f t="shared" ca="1" si="3"/>
        <v>-5.8</v>
      </c>
      <c r="N36" s="26">
        <f t="shared" ca="1" si="3"/>
        <v>-4.8769999999999998</v>
      </c>
      <c r="O36" s="26">
        <f t="shared" ca="1" si="3"/>
        <v>-4.1020000000000003</v>
      </c>
      <c r="P36" s="26">
        <f t="shared" ca="1" si="3"/>
        <v>-4.1500000000000004</v>
      </c>
      <c r="Q36" s="26">
        <f t="shared" ca="1" si="3"/>
        <v>-4.2</v>
      </c>
      <c r="R36" s="26">
        <f t="shared" ca="1" si="3"/>
        <v>-4.2489999999999997</v>
      </c>
      <c r="S36" s="26">
        <f t="shared" ca="1" si="3"/>
        <v>-4.2990000000000004</v>
      </c>
      <c r="T36" s="26">
        <f t="shared" ca="1" si="3"/>
        <v>-4.4989999999999997</v>
      </c>
      <c r="U36" s="26">
        <f t="shared" ca="1" si="3"/>
        <v>-4.6959999999999997</v>
      </c>
      <c r="V36" s="26">
        <f t="shared" ca="1" si="3"/>
        <v>-4.8869999999999996</v>
      </c>
      <c r="W36" s="26">
        <f t="shared" ca="1" si="3"/>
        <v>-5.0709999999999997</v>
      </c>
      <c r="X36" s="26">
        <f t="shared" ca="1" si="3"/>
        <v>-5.2489999999999997</v>
      </c>
      <c r="Y36" s="26">
        <f t="shared" ca="1" si="3"/>
        <v>0</v>
      </c>
      <c r="Z36" s="26">
        <f t="shared" ca="1" si="3"/>
        <v>0</v>
      </c>
      <c r="AA36" s="26">
        <f t="shared" ca="1" si="3"/>
        <v>0</v>
      </c>
      <c r="AB36" s="26">
        <f t="shared" ca="1" si="3"/>
        <v>0</v>
      </c>
      <c r="AC36" s="26">
        <f t="shared" ca="1" si="3"/>
        <v>0</v>
      </c>
      <c r="AD36" s="26">
        <f t="shared" ca="1" si="3"/>
        <v>0</v>
      </c>
      <c r="AE36" s="26">
        <f t="shared" ca="1" si="3"/>
        <v>0</v>
      </c>
      <c r="AF36" s="26">
        <f t="shared" ca="1" si="3"/>
        <v>0</v>
      </c>
      <c r="AG36" s="26">
        <f t="shared" ca="1" si="3"/>
        <v>0</v>
      </c>
      <c r="AH36" s="26">
        <f t="shared" ca="1" si="3"/>
        <v>0</v>
      </c>
      <c r="AI36" s="26">
        <f t="shared" ca="1" si="3"/>
        <v>0</v>
      </c>
      <c r="AJ36" s="26">
        <f t="shared" ca="1" si="3"/>
        <v>0</v>
      </c>
      <c r="AK36" s="26">
        <f t="shared" ca="1" si="3"/>
        <v>0</v>
      </c>
      <c r="AL36" s="26">
        <f t="shared" ca="1" si="3"/>
        <v>0</v>
      </c>
      <c r="AM36" s="50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2"/>
    </row>
    <row r="37" spans="1:54" ht="21" customHeight="1" outlineLevel="1" thickBot="1" x14ac:dyDescent="0.4">
      <c r="C37" s="23" t="s">
        <v>7</v>
      </c>
      <c r="D37" s="71">
        <f t="shared" si="4"/>
        <v>14</v>
      </c>
      <c r="E37" s="23" t="str">
        <f t="shared" ca="1" si="5"/>
        <v>H (Se)</v>
      </c>
      <c r="F37" s="26">
        <f t="shared" ca="1" si="3"/>
        <v>-23.52</v>
      </c>
      <c r="G37" s="26">
        <f t="shared" ca="1" si="3"/>
        <v>-22.18</v>
      </c>
      <c r="H37" s="26">
        <f t="shared" ca="1" si="3"/>
        <v>-21.02</v>
      </c>
      <c r="I37" s="26">
        <f t="shared" ca="1" si="3"/>
        <v>-20.010000000000002</v>
      </c>
      <c r="J37" s="26">
        <f t="shared" ca="1" si="3"/>
        <v>-19.806000000000001</v>
      </c>
      <c r="K37" s="26">
        <f t="shared" ca="1" si="3"/>
        <v>-21.02</v>
      </c>
      <c r="L37" s="26">
        <f t="shared" ca="1" si="3"/>
        <v>-21.34</v>
      </c>
      <c r="M37" s="26">
        <f t="shared" ca="1" si="3"/>
        <v>-21.65</v>
      </c>
      <c r="N37" s="26">
        <f t="shared" ca="1" si="3"/>
        <v>-21.96</v>
      </c>
      <c r="O37" s="26">
        <f t="shared" ca="1" si="3"/>
        <v>-22.27</v>
      </c>
      <c r="P37" s="26">
        <f t="shared" ca="1" si="3"/>
        <v>-22.57</v>
      </c>
      <c r="Q37" s="26">
        <f t="shared" ca="1" si="3"/>
        <v>-22.88</v>
      </c>
      <c r="R37" s="26">
        <f t="shared" ca="1" si="3"/>
        <v>-23.18</v>
      </c>
      <c r="S37" s="26">
        <f t="shared" ca="1" si="3"/>
        <v>-23.48</v>
      </c>
      <c r="T37" s="26">
        <f t="shared" ca="1" si="3"/>
        <v>-24.65</v>
      </c>
      <c r="U37" s="26">
        <f t="shared" ca="1" si="3"/>
        <v>-25.77</v>
      </c>
      <c r="V37" s="26">
        <f t="shared" ca="1" si="3"/>
        <v>-26.86</v>
      </c>
      <c r="W37" s="26">
        <f t="shared" ca="1" si="3"/>
        <v>-27.9</v>
      </c>
      <c r="X37" s="26">
        <f t="shared" ca="1" si="3"/>
        <v>-28.91</v>
      </c>
      <c r="Y37" s="26">
        <f t="shared" ca="1" si="3"/>
        <v>0</v>
      </c>
      <c r="Z37" s="26">
        <f t="shared" ca="1" si="3"/>
        <v>0</v>
      </c>
      <c r="AA37" s="26">
        <f t="shared" ca="1" si="3"/>
        <v>0</v>
      </c>
      <c r="AB37" s="26">
        <f t="shared" ca="1" si="3"/>
        <v>0</v>
      </c>
      <c r="AC37" s="26">
        <f t="shared" ca="1" si="3"/>
        <v>0</v>
      </c>
      <c r="AD37" s="26">
        <f t="shared" ca="1" si="3"/>
        <v>0</v>
      </c>
      <c r="AE37" s="26">
        <f t="shared" ca="1" si="3"/>
        <v>0</v>
      </c>
      <c r="AF37" s="26">
        <f t="shared" ca="1" si="3"/>
        <v>0</v>
      </c>
      <c r="AG37" s="26">
        <f t="shared" ca="1" si="3"/>
        <v>0</v>
      </c>
      <c r="AH37" s="26">
        <f t="shared" ca="1" si="3"/>
        <v>0</v>
      </c>
      <c r="AI37" s="26">
        <f t="shared" ca="1" si="3"/>
        <v>0</v>
      </c>
      <c r="AJ37" s="26">
        <f t="shared" ca="1" si="3"/>
        <v>0</v>
      </c>
      <c r="AK37" s="26">
        <f t="shared" ca="1" si="3"/>
        <v>0</v>
      </c>
      <c r="AL37" s="26">
        <f t="shared" ca="1" si="3"/>
        <v>0</v>
      </c>
      <c r="AM37" s="53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5"/>
    </row>
    <row r="38" spans="1:54" ht="21" customHeight="1" thickBot="1" x14ac:dyDescent="0.4"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27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17"/>
      <c r="AN39" s="17"/>
      <c r="AO39" s="17"/>
      <c r="AP39" s="17"/>
      <c r="AQ39" s="17"/>
      <c r="AR39" s="17"/>
    </row>
    <row r="40" spans="1:54" ht="2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6">G3</f>
        <v>293.3</v>
      </c>
      <c r="H40" s="19">
        <f t="shared" si="6"/>
        <v>313.5</v>
      </c>
      <c r="I40" s="19">
        <f t="shared" si="6"/>
        <v>333.7</v>
      </c>
      <c r="J40" s="19">
        <f t="shared" si="6"/>
        <v>353.9</v>
      </c>
      <c r="K40" s="19">
        <f t="shared" si="6"/>
        <v>434.7</v>
      </c>
      <c r="L40" s="19">
        <f t="shared" si="6"/>
        <v>454.9</v>
      </c>
      <c r="M40" s="19">
        <f t="shared" si="6"/>
        <v>475.1</v>
      </c>
      <c r="N40" s="19">
        <f t="shared" si="6"/>
        <v>495.2</v>
      </c>
      <c r="O40" s="19">
        <f t="shared" si="6"/>
        <v>515.4</v>
      </c>
      <c r="P40" s="19">
        <f t="shared" si="6"/>
        <v>535.6</v>
      </c>
      <c r="Q40" s="19">
        <f t="shared" si="6"/>
        <v>555.79999999999995</v>
      </c>
      <c r="R40" s="19">
        <f t="shared" si="6"/>
        <v>576</v>
      </c>
      <c r="S40" s="19">
        <f t="shared" si="6"/>
        <v>596.20000000000005</v>
      </c>
      <c r="T40" s="19">
        <f t="shared" si="6"/>
        <v>677</v>
      </c>
      <c r="U40" s="19">
        <f t="shared" si="6"/>
        <v>757.7</v>
      </c>
      <c r="V40" s="19">
        <f t="shared" si="6"/>
        <v>838.5</v>
      </c>
      <c r="W40" s="19">
        <f t="shared" si="6"/>
        <v>919.2</v>
      </c>
      <c r="X40" s="19">
        <f t="shared" si="6"/>
        <v>1000</v>
      </c>
      <c r="Y40" s="19">
        <f t="shared" si="6"/>
        <v>0</v>
      </c>
      <c r="Z40" s="19">
        <f t="shared" si="6"/>
        <v>0</v>
      </c>
      <c r="AA40" s="19">
        <f t="shared" si="6"/>
        <v>0</v>
      </c>
      <c r="AB40" s="19">
        <f t="shared" si="6"/>
        <v>0</v>
      </c>
      <c r="AC40" s="19">
        <f t="shared" si="6"/>
        <v>0</v>
      </c>
      <c r="AD40" s="19">
        <f t="shared" si="6"/>
        <v>0</v>
      </c>
      <c r="AE40" s="19">
        <f t="shared" si="6"/>
        <v>0</v>
      </c>
      <c r="AF40" s="19">
        <f t="shared" si="6"/>
        <v>0</v>
      </c>
      <c r="AG40" s="19">
        <f t="shared" si="6"/>
        <v>0</v>
      </c>
      <c r="AH40" s="19">
        <f t="shared" si="6"/>
        <v>0</v>
      </c>
      <c r="AI40" s="19">
        <f t="shared" si="6"/>
        <v>0</v>
      </c>
      <c r="AJ40" s="19">
        <f t="shared" si="6"/>
        <v>0</v>
      </c>
      <c r="AK40" s="19">
        <f t="shared" si="6"/>
        <v>0</v>
      </c>
      <c r="AL40" s="19">
        <f t="shared" si="6"/>
        <v>0</v>
      </c>
    </row>
    <row r="41" spans="1:54" ht="21" customHeight="1" outlineLevel="1" thickTop="1" x14ac:dyDescent="0.35">
      <c r="A41" s="20">
        <f>A45/$B45</f>
        <v>1</v>
      </c>
      <c r="B41" s="20">
        <f>B45/$B45</f>
        <v>1</v>
      </c>
      <c r="C41" s="20">
        <f>C45/$B45</f>
        <v>0.6</v>
      </c>
      <c r="D41" s="20">
        <f>D45/$B45</f>
        <v>2.4</v>
      </c>
      <c r="E41" s="20">
        <f>SUM(A41:D41)</f>
        <v>5</v>
      </c>
      <c r="F41" s="21">
        <f t="shared" ref="F41:AL41" ca="1" si="7">($B$41*H.Ge+$C$41*H.Ga+$D$41*H.Se)*F$40*$B$2/1000</f>
        <v>-255.49349179410004</v>
      </c>
      <c r="G41" s="21">
        <f t="shared" ca="1" si="7"/>
        <v>-258.51077395710007</v>
      </c>
      <c r="H41" s="21">
        <f t="shared" ca="1" si="7"/>
        <v>-261.629228619</v>
      </c>
      <c r="I41" s="21">
        <f t="shared" ca="1" si="7"/>
        <v>-264.88061051820006</v>
      </c>
      <c r="J41" s="21">
        <f t="shared" ca="1" si="7"/>
        <v>-269.28714885042001</v>
      </c>
      <c r="K41" s="21">
        <f t="shared" ca="1" si="7"/>
        <v>-291.01365189855005</v>
      </c>
      <c r="L41" s="21">
        <f t="shared" ca="1" si="7"/>
        <v>-296.89275586080004</v>
      </c>
      <c r="M41" s="21">
        <f t="shared" ca="1" si="7"/>
        <v>-302.82378470700002</v>
      </c>
      <c r="N41" s="21">
        <f t="shared" ca="1" si="7"/>
        <v>-308.82111670199998</v>
      </c>
      <c r="O41" s="21">
        <f t="shared" ca="1" si="7"/>
        <v>-315.39758687999995</v>
      </c>
      <c r="P41" s="21">
        <f t="shared" ca="1" si="7"/>
        <v>-327.99939561480005</v>
      </c>
      <c r="Q41" s="21">
        <f t="shared" ca="1" si="7"/>
        <v>-346.25720616479998</v>
      </c>
      <c r="R41" s="21">
        <f t="shared" ca="1" si="7"/>
        <v>-364.79449699200001</v>
      </c>
      <c r="S41" s="21">
        <f t="shared" ca="1" si="7"/>
        <v>-383.7542758335</v>
      </c>
      <c r="T41" s="21">
        <f t="shared" ca="1" si="7"/>
        <v>-462.96149537550002</v>
      </c>
      <c r="U41" s="21">
        <f t="shared" ca="1" si="7"/>
        <v>-547.13342425920007</v>
      </c>
      <c r="V41" s="21">
        <f t="shared" ca="1" si="7"/>
        <v>-636.0498587722501</v>
      </c>
      <c r="W41" s="21">
        <f t="shared" ca="1" si="7"/>
        <v>-728.56984248360004</v>
      </c>
      <c r="X41" s="21">
        <f t="shared" ca="1" si="7"/>
        <v>-824.47413449999999</v>
      </c>
      <c r="Y41" s="21">
        <f t="shared" ca="1" si="7"/>
        <v>0</v>
      </c>
      <c r="Z41" s="21">
        <f t="shared" ca="1" si="7"/>
        <v>0</v>
      </c>
      <c r="AA41" s="21">
        <f t="shared" ca="1" si="7"/>
        <v>0</v>
      </c>
      <c r="AB41" s="21">
        <f t="shared" ca="1" si="7"/>
        <v>0</v>
      </c>
      <c r="AC41" s="21">
        <f t="shared" ca="1" si="7"/>
        <v>0</v>
      </c>
      <c r="AD41" s="21">
        <f t="shared" ca="1" si="7"/>
        <v>0</v>
      </c>
      <c r="AE41" s="21">
        <f t="shared" ca="1" si="7"/>
        <v>0</v>
      </c>
      <c r="AF41" s="21">
        <f t="shared" ca="1" si="7"/>
        <v>0</v>
      </c>
      <c r="AG41" s="21">
        <f t="shared" ca="1" si="7"/>
        <v>0</v>
      </c>
      <c r="AH41" s="21">
        <f t="shared" ca="1" si="7"/>
        <v>0</v>
      </c>
      <c r="AI41" s="21">
        <f t="shared" ca="1" si="7"/>
        <v>0</v>
      </c>
      <c r="AJ41" s="21">
        <f t="shared" ca="1" si="7"/>
        <v>0</v>
      </c>
      <c r="AK41" s="21">
        <f t="shared" ca="1" si="7"/>
        <v>0</v>
      </c>
      <c r="AL41" s="21">
        <f t="shared" ca="1" si="7"/>
        <v>0</v>
      </c>
    </row>
    <row r="42" spans="1:54" ht="21" customHeight="1" outlineLevel="1" x14ac:dyDescent="0.35"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81"/>
      <c r="AL42" s="81"/>
    </row>
    <row r="43" spans="1:54" ht="21" customHeight="1" outlineLevel="1" thickBot="1" x14ac:dyDescent="0.4">
      <c r="A43" s="15" t="s">
        <v>10</v>
      </c>
      <c r="B43" s="15"/>
      <c r="C43" s="15"/>
      <c r="D43" s="69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</row>
    <row r="44" spans="1:54" ht="2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81"/>
      <c r="AL44" s="81"/>
    </row>
    <row r="45" spans="1:54" ht="21" customHeight="1" outlineLevel="1" thickTop="1" x14ac:dyDescent="0.35">
      <c r="A45" s="23">
        <f t="array" ref="A45:D45">Values!D3:G3</f>
        <v>25</v>
      </c>
      <c r="B45" s="23">
        <v>25</v>
      </c>
      <c r="C45" s="23">
        <v>15</v>
      </c>
      <c r="D45" s="23">
        <v>60</v>
      </c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81"/>
    </row>
    <row r="46" spans="1:54" ht="21" customHeight="1" outlineLevel="1" x14ac:dyDescent="0.35"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  <c r="AJ46" s="81"/>
      <c r="AK46" s="81"/>
      <c r="AL46" s="81"/>
    </row>
    <row r="47" spans="1:54" ht="21" customHeight="1" x14ac:dyDescent="0.35"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J47" s="81"/>
      <c r="AK47" s="81"/>
      <c r="AL47" s="81"/>
    </row>
    <row r="48" spans="1:54" ht="21" customHeight="1" x14ac:dyDescent="0.4">
      <c r="A48" s="3"/>
      <c r="B48" s="3"/>
      <c r="C48" s="3"/>
      <c r="D48" s="3"/>
      <c r="E48" s="4" t="s">
        <v>28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</row>
    <row r="49" spans="1:38" ht="21" hidden="1" customHeight="1" outlineLevel="1" thickTop="1" thickBot="1" x14ac:dyDescent="0.4">
      <c r="A49" s="24" t="s">
        <v>1</v>
      </c>
      <c r="B49" s="24" t="s">
        <v>2</v>
      </c>
      <c r="C49" s="24" t="s">
        <v>3</v>
      </c>
      <c r="D49" s="25" t="s">
        <v>4</v>
      </c>
      <c r="E49" s="8">
        <f t="shared" ref="E49:F49" si="8">E3</f>
        <v>0</v>
      </c>
      <c r="F49" s="8">
        <f t="shared" si="8"/>
        <v>273.10000000000002</v>
      </c>
      <c r="G49" s="8">
        <f t="shared" ref="G49:AL49" si="9">G3</f>
        <v>293.3</v>
      </c>
      <c r="H49" s="8">
        <f t="shared" si="9"/>
        <v>313.5</v>
      </c>
      <c r="I49" s="8">
        <f t="shared" si="9"/>
        <v>333.7</v>
      </c>
      <c r="J49" s="8">
        <f t="shared" si="9"/>
        <v>353.9</v>
      </c>
      <c r="K49" s="8">
        <f t="shared" si="9"/>
        <v>434.7</v>
      </c>
      <c r="L49" s="8">
        <f t="shared" si="9"/>
        <v>454.9</v>
      </c>
      <c r="M49" s="8">
        <f t="shared" si="9"/>
        <v>475.1</v>
      </c>
      <c r="N49" s="8">
        <f t="shared" si="9"/>
        <v>495.2</v>
      </c>
      <c r="O49" s="8">
        <f t="shared" si="9"/>
        <v>515.4</v>
      </c>
      <c r="P49" s="8">
        <f t="shared" si="9"/>
        <v>535.6</v>
      </c>
      <c r="Q49" s="8">
        <f t="shared" si="9"/>
        <v>555.79999999999995</v>
      </c>
      <c r="R49" s="8">
        <f t="shared" si="9"/>
        <v>576</v>
      </c>
      <c r="S49" s="8">
        <f t="shared" si="9"/>
        <v>596.20000000000005</v>
      </c>
      <c r="T49" s="8">
        <f t="shared" si="9"/>
        <v>677</v>
      </c>
      <c r="U49" s="8">
        <f t="shared" si="9"/>
        <v>757.7</v>
      </c>
      <c r="V49" s="8">
        <f t="shared" si="9"/>
        <v>838.5</v>
      </c>
      <c r="W49" s="8">
        <f t="shared" si="9"/>
        <v>919.2</v>
      </c>
      <c r="X49" s="8">
        <f t="shared" si="9"/>
        <v>1000</v>
      </c>
      <c r="Y49" s="8">
        <f t="shared" si="9"/>
        <v>0</v>
      </c>
      <c r="Z49" s="8">
        <f t="shared" si="9"/>
        <v>0</v>
      </c>
      <c r="AA49" s="8">
        <f t="shared" si="9"/>
        <v>0</v>
      </c>
      <c r="AB49" s="8">
        <f t="shared" si="9"/>
        <v>0</v>
      </c>
      <c r="AC49" s="8">
        <f t="shared" si="9"/>
        <v>0</v>
      </c>
      <c r="AD49" s="8">
        <f t="shared" si="9"/>
        <v>0</v>
      </c>
      <c r="AE49" s="8">
        <f t="shared" si="9"/>
        <v>0</v>
      </c>
      <c r="AF49" s="8">
        <f t="shared" si="9"/>
        <v>0</v>
      </c>
      <c r="AG49" s="8">
        <f t="shared" si="9"/>
        <v>0</v>
      </c>
      <c r="AH49" s="8">
        <f t="shared" si="9"/>
        <v>0</v>
      </c>
      <c r="AI49" s="8">
        <f t="shared" si="9"/>
        <v>0</v>
      </c>
      <c r="AJ49" s="8">
        <f t="shared" si="9"/>
        <v>0</v>
      </c>
      <c r="AK49" s="8">
        <f t="shared" si="9"/>
        <v>0</v>
      </c>
      <c r="AL49" s="8">
        <f t="shared" si="9"/>
        <v>0</v>
      </c>
    </row>
    <row r="50" spans="1:38" ht="21" hidden="1" customHeight="1" outlineLevel="1" thickTop="1" thickBot="1" x14ac:dyDescent="0.4">
      <c r="A50" s="10">
        <f t="shared" ref="A50:E65" si="10">A4</f>
        <v>0</v>
      </c>
      <c r="B50" s="10">
        <f t="shared" si="10"/>
        <v>0</v>
      </c>
      <c r="C50" s="10">
        <f t="shared" si="10"/>
        <v>1</v>
      </c>
      <c r="D50" s="10">
        <f t="shared" si="10"/>
        <v>0</v>
      </c>
      <c r="E50" s="11" t="str">
        <f t="shared" si="10"/>
        <v>*Ge[l]</v>
      </c>
      <c r="F50" s="26">
        <f t="shared" ref="F50:U59" ca="1" si="11">$A50*H.Ar + $B50*H.Se + $C50*H.Ge + $D50*H.Ga</f>
        <v>-16.29</v>
      </c>
      <c r="G50" s="26">
        <f t="shared" ca="1" si="11"/>
        <v>-15.52</v>
      </c>
      <c r="H50" s="26">
        <f t="shared" ca="1" si="11"/>
        <v>-14.86</v>
      </c>
      <c r="I50" s="26">
        <f t="shared" ca="1" si="11"/>
        <v>-14.3</v>
      </c>
      <c r="J50" s="26">
        <f t="shared" ca="1" si="11"/>
        <v>-13.135999999999999</v>
      </c>
      <c r="K50" s="26">
        <f t="shared" ca="1" si="11"/>
        <v>-7.8570000000000002</v>
      </c>
      <c r="L50" s="26">
        <f t="shared" ca="1" si="11"/>
        <v>-6.79</v>
      </c>
      <c r="M50" s="26">
        <f t="shared" ca="1" si="11"/>
        <v>-5.8</v>
      </c>
      <c r="N50" s="26">
        <f t="shared" ca="1" si="11"/>
        <v>-4.8769999999999998</v>
      </c>
      <c r="O50" s="26">
        <f t="shared" ca="1" si="11"/>
        <v>-4.1020000000000003</v>
      </c>
      <c r="P50" s="26">
        <f t="shared" ca="1" si="11"/>
        <v>-4.1500000000000004</v>
      </c>
      <c r="Q50" s="26">
        <f t="shared" ca="1" si="11"/>
        <v>-4.2</v>
      </c>
      <c r="R50" s="26">
        <f t="shared" ca="1" si="11"/>
        <v>-4.2489999999999997</v>
      </c>
      <c r="S50" s="26">
        <f t="shared" ca="1" si="11"/>
        <v>-4.2990000000000004</v>
      </c>
      <c r="T50" s="26">
        <f t="shared" ca="1" si="11"/>
        <v>-4.4989999999999997</v>
      </c>
      <c r="U50" s="26">
        <f t="shared" ca="1" si="11"/>
        <v>-4.6959999999999997</v>
      </c>
      <c r="V50" s="26">
        <f t="shared" ref="G50:AL58" ca="1" si="12">$A50*H.Ar + $B50*H.Se + $C50*H.Ge + $D50*H.Ga</f>
        <v>-4.8869999999999996</v>
      </c>
      <c r="W50" s="26">
        <f t="shared" ca="1" si="12"/>
        <v>-5.0709999999999997</v>
      </c>
      <c r="X50" s="26">
        <f t="shared" ca="1" si="12"/>
        <v>-5.2489999999999997</v>
      </c>
      <c r="Y50" s="26">
        <f t="shared" ca="1" si="12"/>
        <v>0</v>
      </c>
      <c r="Z50" s="26">
        <f t="shared" ca="1" si="12"/>
        <v>0</v>
      </c>
      <c r="AA50" s="26">
        <f t="shared" ca="1" si="12"/>
        <v>0</v>
      </c>
      <c r="AB50" s="26">
        <f t="shared" ca="1" si="12"/>
        <v>0</v>
      </c>
      <c r="AC50" s="26">
        <f t="shared" ca="1" si="12"/>
        <v>0</v>
      </c>
      <c r="AD50" s="26">
        <f t="shared" ca="1" si="12"/>
        <v>0</v>
      </c>
      <c r="AE50" s="26">
        <f t="shared" ca="1" si="12"/>
        <v>0</v>
      </c>
      <c r="AF50" s="26">
        <f t="shared" ca="1" si="12"/>
        <v>0</v>
      </c>
      <c r="AG50" s="26">
        <f t="shared" ca="1" si="12"/>
        <v>0</v>
      </c>
      <c r="AH50" s="26">
        <f t="shared" ca="1" si="12"/>
        <v>0</v>
      </c>
      <c r="AI50" s="26">
        <f t="shared" ca="1" si="12"/>
        <v>0</v>
      </c>
      <c r="AJ50" s="26">
        <f t="shared" ca="1" si="12"/>
        <v>0</v>
      </c>
      <c r="AK50" s="26">
        <f t="shared" ca="1" si="12"/>
        <v>0</v>
      </c>
      <c r="AL50" s="26">
        <f t="shared" ca="1" si="12"/>
        <v>0</v>
      </c>
    </row>
    <row r="51" spans="1:38" ht="21" hidden="1" customHeight="1" outlineLevel="1" thickBot="1" x14ac:dyDescent="0.4">
      <c r="A51" s="10">
        <f t="shared" si="10"/>
        <v>0</v>
      </c>
      <c r="B51" s="10">
        <f t="shared" si="10"/>
        <v>0</v>
      </c>
      <c r="C51" s="10">
        <f t="shared" si="10"/>
        <v>1</v>
      </c>
      <c r="D51" s="10">
        <f t="shared" si="10"/>
        <v>0</v>
      </c>
      <c r="E51" s="11" t="str">
        <f t="shared" si="10"/>
        <v>*Ge</v>
      </c>
      <c r="F51" s="26">
        <f t="shared" ca="1" si="11"/>
        <v>-16.29</v>
      </c>
      <c r="G51" s="26">
        <f t="shared" ca="1" si="12"/>
        <v>-15.52</v>
      </c>
      <c r="H51" s="26">
        <f t="shared" ca="1" si="12"/>
        <v>-14.86</v>
      </c>
      <c r="I51" s="26">
        <f t="shared" ca="1" si="12"/>
        <v>-14.3</v>
      </c>
      <c r="J51" s="26">
        <f t="shared" ca="1" si="12"/>
        <v>-13.135999999999999</v>
      </c>
      <c r="K51" s="26">
        <f t="shared" ca="1" si="12"/>
        <v>-7.8570000000000002</v>
      </c>
      <c r="L51" s="26">
        <f t="shared" ca="1" si="12"/>
        <v>-6.79</v>
      </c>
      <c r="M51" s="26">
        <f t="shared" ca="1" si="12"/>
        <v>-5.8</v>
      </c>
      <c r="N51" s="26">
        <f t="shared" ca="1" si="12"/>
        <v>-4.8769999999999998</v>
      </c>
      <c r="O51" s="26">
        <f t="shared" ca="1" si="12"/>
        <v>-4.1020000000000003</v>
      </c>
      <c r="P51" s="26">
        <f t="shared" ca="1" si="12"/>
        <v>-4.1500000000000004</v>
      </c>
      <c r="Q51" s="26">
        <f t="shared" ca="1" si="12"/>
        <v>-4.2</v>
      </c>
      <c r="R51" s="26">
        <f t="shared" ca="1" si="12"/>
        <v>-4.2489999999999997</v>
      </c>
      <c r="S51" s="26">
        <f t="shared" ca="1" si="12"/>
        <v>-4.2990000000000004</v>
      </c>
      <c r="T51" s="26">
        <f t="shared" ca="1" si="12"/>
        <v>-4.4989999999999997</v>
      </c>
      <c r="U51" s="26">
        <f t="shared" ca="1" si="12"/>
        <v>-4.6959999999999997</v>
      </c>
      <c r="V51" s="26">
        <f t="shared" ca="1" si="12"/>
        <v>-4.8869999999999996</v>
      </c>
      <c r="W51" s="26">
        <f t="shared" ca="1" si="12"/>
        <v>-5.0709999999999997</v>
      </c>
      <c r="X51" s="26">
        <f t="shared" ca="1" si="12"/>
        <v>-5.2489999999999997</v>
      </c>
      <c r="Y51" s="26">
        <f t="shared" ca="1" si="12"/>
        <v>0</v>
      </c>
      <c r="Z51" s="26">
        <f t="shared" ca="1" si="12"/>
        <v>0</v>
      </c>
      <c r="AA51" s="26">
        <f t="shared" ca="1" si="12"/>
        <v>0</v>
      </c>
      <c r="AB51" s="26">
        <f t="shared" ca="1" si="12"/>
        <v>0</v>
      </c>
      <c r="AC51" s="26">
        <f t="shared" ca="1" si="12"/>
        <v>0</v>
      </c>
      <c r="AD51" s="26">
        <f t="shared" ca="1" si="12"/>
        <v>0</v>
      </c>
      <c r="AE51" s="26">
        <f t="shared" ca="1" si="12"/>
        <v>0</v>
      </c>
      <c r="AF51" s="26">
        <f t="shared" ca="1" si="12"/>
        <v>0</v>
      </c>
      <c r="AG51" s="26">
        <f t="shared" ca="1" si="12"/>
        <v>0</v>
      </c>
      <c r="AH51" s="26">
        <f t="shared" ca="1" si="12"/>
        <v>0</v>
      </c>
      <c r="AI51" s="26">
        <f t="shared" ca="1" si="12"/>
        <v>0</v>
      </c>
      <c r="AJ51" s="26">
        <f t="shared" ca="1" si="12"/>
        <v>0</v>
      </c>
      <c r="AK51" s="26">
        <f t="shared" ca="1" si="12"/>
        <v>0</v>
      </c>
      <c r="AL51" s="26">
        <f t="shared" ca="1" si="12"/>
        <v>0</v>
      </c>
    </row>
    <row r="52" spans="1:38" ht="21" hidden="1" customHeight="1" outlineLevel="1" thickBot="1" x14ac:dyDescent="0.4">
      <c r="A52" s="10">
        <f t="shared" si="10"/>
        <v>0</v>
      </c>
      <c r="B52" s="10">
        <f t="shared" si="10"/>
        <v>1</v>
      </c>
      <c r="C52" s="10">
        <f t="shared" si="10"/>
        <v>1</v>
      </c>
      <c r="D52" s="10">
        <f t="shared" si="10"/>
        <v>0</v>
      </c>
      <c r="E52" s="11" t="str">
        <f t="shared" si="10"/>
        <v>*GeSe</v>
      </c>
      <c r="F52" s="26">
        <f t="shared" ca="1" si="11"/>
        <v>-39.81</v>
      </c>
      <c r="G52" s="26">
        <f t="shared" ca="1" si="12"/>
        <v>-37.700000000000003</v>
      </c>
      <c r="H52" s="26">
        <f t="shared" ca="1" si="12"/>
        <v>-35.879999999999995</v>
      </c>
      <c r="I52" s="26">
        <f t="shared" ca="1" si="12"/>
        <v>-34.31</v>
      </c>
      <c r="J52" s="26">
        <f t="shared" ca="1" si="12"/>
        <v>-32.942</v>
      </c>
      <c r="K52" s="26">
        <f t="shared" ca="1" si="12"/>
        <v>-28.876999999999999</v>
      </c>
      <c r="L52" s="26">
        <f t="shared" ca="1" si="12"/>
        <v>-28.13</v>
      </c>
      <c r="M52" s="26">
        <f t="shared" ca="1" si="12"/>
        <v>-27.45</v>
      </c>
      <c r="N52" s="26">
        <f t="shared" ca="1" si="12"/>
        <v>-26.837</v>
      </c>
      <c r="O52" s="26">
        <f t="shared" ca="1" si="12"/>
        <v>-26.372</v>
      </c>
      <c r="P52" s="26">
        <f t="shared" ca="1" si="12"/>
        <v>-26.72</v>
      </c>
      <c r="Q52" s="26">
        <f t="shared" ca="1" si="12"/>
        <v>-27.08</v>
      </c>
      <c r="R52" s="26">
        <f t="shared" ca="1" si="12"/>
        <v>-27.428999999999998</v>
      </c>
      <c r="S52" s="26">
        <f t="shared" ca="1" si="12"/>
        <v>-27.779</v>
      </c>
      <c r="T52" s="26">
        <f t="shared" ca="1" si="12"/>
        <v>-29.148999999999997</v>
      </c>
      <c r="U52" s="26">
        <f t="shared" ca="1" si="12"/>
        <v>-30.466000000000001</v>
      </c>
      <c r="V52" s="26">
        <f t="shared" ca="1" si="12"/>
        <v>-31.747</v>
      </c>
      <c r="W52" s="26">
        <f t="shared" ca="1" si="12"/>
        <v>-32.970999999999997</v>
      </c>
      <c r="X52" s="26">
        <f t="shared" ca="1" si="12"/>
        <v>-34.158999999999999</v>
      </c>
      <c r="Y52" s="26">
        <f t="shared" ca="1" si="12"/>
        <v>0</v>
      </c>
      <c r="Z52" s="26">
        <f t="shared" ca="1" si="12"/>
        <v>0</v>
      </c>
      <c r="AA52" s="26">
        <f t="shared" ca="1" si="12"/>
        <v>0</v>
      </c>
      <c r="AB52" s="26">
        <f t="shared" ca="1" si="12"/>
        <v>0</v>
      </c>
      <c r="AC52" s="26">
        <f t="shared" ca="1" si="12"/>
        <v>0</v>
      </c>
      <c r="AD52" s="26">
        <f t="shared" ca="1" si="12"/>
        <v>0</v>
      </c>
      <c r="AE52" s="26">
        <f t="shared" ca="1" si="12"/>
        <v>0</v>
      </c>
      <c r="AF52" s="26">
        <f t="shared" ca="1" si="12"/>
        <v>0</v>
      </c>
      <c r="AG52" s="26">
        <f t="shared" ca="1" si="12"/>
        <v>0</v>
      </c>
      <c r="AH52" s="26">
        <f t="shared" ca="1" si="12"/>
        <v>0</v>
      </c>
      <c r="AI52" s="26">
        <f t="shared" ca="1" si="12"/>
        <v>0</v>
      </c>
      <c r="AJ52" s="26">
        <f t="shared" ca="1" si="12"/>
        <v>0</v>
      </c>
      <c r="AK52" s="26">
        <f t="shared" ca="1" si="12"/>
        <v>0</v>
      </c>
      <c r="AL52" s="26">
        <f t="shared" ca="1" si="12"/>
        <v>0</v>
      </c>
    </row>
    <row r="53" spans="1:38" ht="21" hidden="1" customHeight="1" outlineLevel="1" thickBot="1" x14ac:dyDescent="0.4">
      <c r="A53" s="10">
        <f t="shared" si="10"/>
        <v>0</v>
      </c>
      <c r="B53" s="10">
        <f t="shared" si="10"/>
        <v>0</v>
      </c>
      <c r="C53" s="10">
        <f t="shared" si="10"/>
        <v>0</v>
      </c>
      <c r="D53" s="10">
        <f t="shared" si="10"/>
        <v>1</v>
      </c>
      <c r="E53" s="11" t="str">
        <f t="shared" si="10"/>
        <v>*Ga</v>
      </c>
      <c r="F53" s="26">
        <f t="shared" ca="1" si="11"/>
        <v>-66.3</v>
      </c>
      <c r="G53" s="26">
        <f t="shared" ca="1" si="12"/>
        <v>-62.09</v>
      </c>
      <c r="H53" s="26">
        <f t="shared" ca="1" si="12"/>
        <v>-58.44</v>
      </c>
      <c r="I53" s="26">
        <f t="shared" ca="1" si="12"/>
        <v>-55.24</v>
      </c>
      <c r="J53" s="26">
        <f t="shared" ca="1" si="12"/>
        <v>-51.41</v>
      </c>
      <c r="K53" s="26">
        <f t="shared" ca="1" si="12"/>
        <v>-37.020000000000003</v>
      </c>
      <c r="L53" s="26">
        <f t="shared" ca="1" si="12"/>
        <v>-34.15</v>
      </c>
      <c r="M53" s="26">
        <f t="shared" ca="1" si="12"/>
        <v>-31.5</v>
      </c>
      <c r="N53" s="26">
        <f t="shared" ca="1" si="12"/>
        <v>-29.04</v>
      </c>
      <c r="O53" s="26">
        <f t="shared" ca="1" si="12"/>
        <v>-26.75</v>
      </c>
      <c r="P53" s="26">
        <f t="shared" ca="1" si="12"/>
        <v>-25.56</v>
      </c>
      <c r="Q53" s="26">
        <f t="shared" ca="1" si="12"/>
        <v>-26.36</v>
      </c>
      <c r="R53" s="26">
        <f t="shared" ca="1" si="12"/>
        <v>-27.15</v>
      </c>
      <c r="S53" s="26">
        <f t="shared" ca="1" si="12"/>
        <v>-27.94</v>
      </c>
      <c r="T53" s="26">
        <f t="shared" ca="1" si="12"/>
        <v>-30.98</v>
      </c>
      <c r="U53" s="26">
        <f t="shared" ca="1" si="12"/>
        <v>-33.840000000000003</v>
      </c>
      <c r="V53" s="26">
        <f t="shared" ca="1" si="12"/>
        <v>-36.47</v>
      </c>
      <c r="W53" s="26">
        <f t="shared" ca="1" si="12"/>
        <v>-38.83</v>
      </c>
      <c r="X53" s="26">
        <f t="shared" ca="1" si="12"/>
        <v>-40.880000000000003</v>
      </c>
      <c r="Y53" s="26">
        <f t="shared" ca="1" si="12"/>
        <v>0</v>
      </c>
      <c r="Z53" s="26">
        <f t="shared" ca="1" si="12"/>
        <v>0</v>
      </c>
      <c r="AA53" s="26">
        <f t="shared" ca="1" si="12"/>
        <v>0</v>
      </c>
      <c r="AB53" s="26">
        <f t="shared" ca="1" si="12"/>
        <v>0</v>
      </c>
      <c r="AC53" s="26">
        <f t="shared" ca="1" si="12"/>
        <v>0</v>
      </c>
      <c r="AD53" s="26">
        <f t="shared" ca="1" si="12"/>
        <v>0</v>
      </c>
      <c r="AE53" s="26">
        <f t="shared" ca="1" si="12"/>
        <v>0</v>
      </c>
      <c r="AF53" s="26">
        <f t="shared" ca="1" si="12"/>
        <v>0</v>
      </c>
      <c r="AG53" s="26">
        <f t="shared" ca="1" si="12"/>
        <v>0</v>
      </c>
      <c r="AH53" s="26">
        <f t="shared" ca="1" si="12"/>
        <v>0</v>
      </c>
      <c r="AI53" s="26">
        <f t="shared" ca="1" si="12"/>
        <v>0</v>
      </c>
      <c r="AJ53" s="26">
        <f t="shared" ca="1" si="12"/>
        <v>0</v>
      </c>
      <c r="AK53" s="26">
        <f t="shared" ca="1" si="12"/>
        <v>0</v>
      </c>
      <c r="AL53" s="26">
        <f t="shared" ca="1" si="12"/>
        <v>0</v>
      </c>
    </row>
    <row r="54" spans="1:38" ht="21" hidden="1" customHeight="1" outlineLevel="1" thickBot="1" x14ac:dyDescent="0.4">
      <c r="A54" s="10">
        <f t="shared" si="10"/>
        <v>0</v>
      </c>
      <c r="B54" s="10">
        <f t="shared" si="10"/>
        <v>0</v>
      </c>
      <c r="C54" s="10">
        <f t="shared" si="10"/>
        <v>1</v>
      </c>
      <c r="D54" s="10">
        <f t="shared" si="10"/>
        <v>0</v>
      </c>
      <c r="E54" s="11" t="str">
        <f t="shared" si="10"/>
        <v>*Ge[c]</v>
      </c>
      <c r="F54" s="26">
        <f t="shared" ca="1" si="11"/>
        <v>-16.29</v>
      </c>
      <c r="G54" s="26">
        <f t="shared" ca="1" si="12"/>
        <v>-15.52</v>
      </c>
      <c r="H54" s="26">
        <f t="shared" ca="1" si="12"/>
        <v>-14.86</v>
      </c>
      <c r="I54" s="26">
        <f t="shared" ca="1" si="12"/>
        <v>-14.3</v>
      </c>
      <c r="J54" s="26">
        <f t="shared" ca="1" si="12"/>
        <v>-13.135999999999999</v>
      </c>
      <c r="K54" s="26">
        <f t="shared" ca="1" si="12"/>
        <v>-7.8570000000000002</v>
      </c>
      <c r="L54" s="26">
        <f t="shared" ca="1" si="12"/>
        <v>-6.79</v>
      </c>
      <c r="M54" s="26">
        <f t="shared" ca="1" si="12"/>
        <v>-5.8</v>
      </c>
      <c r="N54" s="26">
        <f t="shared" ca="1" si="12"/>
        <v>-4.8769999999999998</v>
      </c>
      <c r="O54" s="26">
        <f t="shared" ca="1" si="12"/>
        <v>-4.1020000000000003</v>
      </c>
      <c r="P54" s="26">
        <f t="shared" ca="1" si="12"/>
        <v>-4.1500000000000004</v>
      </c>
      <c r="Q54" s="26">
        <f t="shared" ca="1" si="12"/>
        <v>-4.2</v>
      </c>
      <c r="R54" s="26">
        <f t="shared" ca="1" si="12"/>
        <v>-4.2489999999999997</v>
      </c>
      <c r="S54" s="26">
        <f t="shared" ca="1" si="12"/>
        <v>-4.2990000000000004</v>
      </c>
      <c r="T54" s="26">
        <f t="shared" ca="1" si="12"/>
        <v>-4.4989999999999997</v>
      </c>
      <c r="U54" s="26">
        <f t="shared" ca="1" si="12"/>
        <v>-4.6959999999999997</v>
      </c>
      <c r="V54" s="26">
        <f t="shared" ca="1" si="12"/>
        <v>-4.8869999999999996</v>
      </c>
      <c r="W54" s="26">
        <f t="shared" ca="1" si="12"/>
        <v>-5.0709999999999997</v>
      </c>
      <c r="X54" s="26">
        <f t="shared" ca="1" si="12"/>
        <v>-5.2489999999999997</v>
      </c>
      <c r="Y54" s="26">
        <f t="shared" ca="1" si="12"/>
        <v>0</v>
      </c>
      <c r="Z54" s="26">
        <f t="shared" ca="1" si="12"/>
        <v>0</v>
      </c>
      <c r="AA54" s="26">
        <f t="shared" ca="1" si="12"/>
        <v>0</v>
      </c>
      <c r="AB54" s="26">
        <f t="shared" ca="1" si="12"/>
        <v>0</v>
      </c>
      <c r="AC54" s="26">
        <f t="shared" ca="1" si="12"/>
        <v>0</v>
      </c>
      <c r="AD54" s="26">
        <f t="shared" ca="1" si="12"/>
        <v>0</v>
      </c>
      <c r="AE54" s="26">
        <f t="shared" ca="1" si="12"/>
        <v>0</v>
      </c>
      <c r="AF54" s="26">
        <f t="shared" ca="1" si="12"/>
        <v>0</v>
      </c>
      <c r="AG54" s="26">
        <f t="shared" ca="1" si="12"/>
        <v>0</v>
      </c>
      <c r="AH54" s="26">
        <f t="shared" ca="1" si="12"/>
        <v>0</v>
      </c>
      <c r="AI54" s="26">
        <f t="shared" ca="1" si="12"/>
        <v>0</v>
      </c>
      <c r="AJ54" s="26">
        <f t="shared" ca="1" si="12"/>
        <v>0</v>
      </c>
      <c r="AK54" s="26">
        <f t="shared" ca="1" si="12"/>
        <v>0</v>
      </c>
      <c r="AL54" s="26">
        <f t="shared" ca="1" si="12"/>
        <v>0</v>
      </c>
    </row>
    <row r="55" spans="1:38" ht="21" hidden="1" customHeight="1" outlineLevel="1" thickBot="1" x14ac:dyDescent="0.4">
      <c r="A55" s="10">
        <f t="shared" si="10"/>
        <v>0</v>
      </c>
      <c r="B55" s="10">
        <f t="shared" si="10"/>
        <v>1</v>
      </c>
      <c r="C55" s="10">
        <f t="shared" si="10"/>
        <v>0</v>
      </c>
      <c r="D55" s="10">
        <f t="shared" si="10"/>
        <v>0</v>
      </c>
      <c r="E55" s="11" t="str">
        <f t="shared" si="10"/>
        <v>*Se[m]</v>
      </c>
      <c r="F55" s="26">
        <f t="shared" ca="1" si="11"/>
        <v>-23.52</v>
      </c>
      <c r="G55" s="26">
        <f t="shared" ca="1" si="12"/>
        <v>-22.18</v>
      </c>
      <c r="H55" s="26">
        <f t="shared" ca="1" si="12"/>
        <v>-21.02</v>
      </c>
      <c r="I55" s="26">
        <f t="shared" ca="1" si="12"/>
        <v>-20.010000000000002</v>
      </c>
      <c r="J55" s="26">
        <f t="shared" ca="1" si="12"/>
        <v>-19.806000000000001</v>
      </c>
      <c r="K55" s="26">
        <f t="shared" ca="1" si="12"/>
        <v>-21.02</v>
      </c>
      <c r="L55" s="26">
        <f t="shared" ca="1" si="12"/>
        <v>-21.34</v>
      </c>
      <c r="M55" s="26">
        <f t="shared" ca="1" si="12"/>
        <v>-21.65</v>
      </c>
      <c r="N55" s="26">
        <f t="shared" ca="1" si="12"/>
        <v>-21.96</v>
      </c>
      <c r="O55" s="26">
        <f t="shared" ca="1" si="12"/>
        <v>-22.27</v>
      </c>
      <c r="P55" s="26">
        <f t="shared" ca="1" si="12"/>
        <v>-22.57</v>
      </c>
      <c r="Q55" s="26">
        <f t="shared" ca="1" si="12"/>
        <v>-22.88</v>
      </c>
      <c r="R55" s="26">
        <f t="shared" ca="1" si="12"/>
        <v>-23.18</v>
      </c>
      <c r="S55" s="26">
        <f t="shared" ca="1" si="12"/>
        <v>-23.48</v>
      </c>
      <c r="T55" s="26">
        <f t="shared" ca="1" si="12"/>
        <v>-24.65</v>
      </c>
      <c r="U55" s="26">
        <f t="shared" ca="1" si="12"/>
        <v>-25.77</v>
      </c>
      <c r="V55" s="26">
        <f t="shared" ca="1" si="12"/>
        <v>-26.86</v>
      </c>
      <c r="W55" s="26">
        <f t="shared" ca="1" si="12"/>
        <v>-27.9</v>
      </c>
      <c r="X55" s="26">
        <f t="shared" ca="1" si="12"/>
        <v>-28.91</v>
      </c>
      <c r="Y55" s="26">
        <f t="shared" ca="1" si="12"/>
        <v>0</v>
      </c>
      <c r="Z55" s="26">
        <f t="shared" ca="1" si="12"/>
        <v>0</v>
      </c>
      <c r="AA55" s="26">
        <f t="shared" ca="1" si="12"/>
        <v>0</v>
      </c>
      <c r="AB55" s="26">
        <f t="shared" ca="1" si="12"/>
        <v>0</v>
      </c>
      <c r="AC55" s="26">
        <f t="shared" ca="1" si="12"/>
        <v>0</v>
      </c>
      <c r="AD55" s="26">
        <f t="shared" ca="1" si="12"/>
        <v>0</v>
      </c>
      <c r="AE55" s="26">
        <f t="shared" ca="1" si="12"/>
        <v>0</v>
      </c>
      <c r="AF55" s="26">
        <f t="shared" ca="1" si="12"/>
        <v>0</v>
      </c>
      <c r="AG55" s="26">
        <f t="shared" ca="1" si="12"/>
        <v>0</v>
      </c>
      <c r="AH55" s="26">
        <f t="shared" ca="1" si="12"/>
        <v>0</v>
      </c>
      <c r="AI55" s="26">
        <f t="shared" ca="1" si="12"/>
        <v>0</v>
      </c>
      <c r="AJ55" s="26">
        <f t="shared" ca="1" si="12"/>
        <v>0</v>
      </c>
      <c r="AK55" s="26">
        <f t="shared" ca="1" si="12"/>
        <v>0</v>
      </c>
      <c r="AL55" s="26">
        <f t="shared" ca="1" si="12"/>
        <v>0</v>
      </c>
    </row>
    <row r="56" spans="1:38" ht="21" hidden="1" customHeight="1" outlineLevel="1" thickBot="1" x14ac:dyDescent="0.4">
      <c r="A56" s="10">
        <f t="shared" si="10"/>
        <v>0</v>
      </c>
      <c r="B56" s="10">
        <f t="shared" si="10"/>
        <v>2</v>
      </c>
      <c r="C56" s="10">
        <f t="shared" si="10"/>
        <v>1</v>
      </c>
      <c r="D56" s="10">
        <f t="shared" si="10"/>
        <v>0</v>
      </c>
      <c r="E56" s="11" t="str">
        <f t="shared" si="10"/>
        <v>*GeSe2</v>
      </c>
      <c r="F56" s="26">
        <f t="shared" ca="1" si="11"/>
        <v>-63.33</v>
      </c>
      <c r="G56" s="26">
        <f t="shared" ca="1" si="12"/>
        <v>-59.879999999999995</v>
      </c>
      <c r="H56" s="26">
        <f t="shared" ca="1" si="12"/>
        <v>-56.9</v>
      </c>
      <c r="I56" s="26">
        <f t="shared" ca="1" si="12"/>
        <v>-54.320000000000007</v>
      </c>
      <c r="J56" s="26">
        <f t="shared" ca="1" si="12"/>
        <v>-52.748000000000005</v>
      </c>
      <c r="K56" s="26">
        <f t="shared" ca="1" si="12"/>
        <v>-49.896999999999998</v>
      </c>
      <c r="L56" s="26">
        <f t="shared" ca="1" si="12"/>
        <v>-49.47</v>
      </c>
      <c r="M56" s="26">
        <f t="shared" ca="1" si="12"/>
        <v>-49.099999999999994</v>
      </c>
      <c r="N56" s="26">
        <f t="shared" ca="1" si="12"/>
        <v>-48.797000000000004</v>
      </c>
      <c r="O56" s="26">
        <f t="shared" ca="1" si="12"/>
        <v>-48.641999999999996</v>
      </c>
      <c r="P56" s="26">
        <f t="shared" ca="1" si="12"/>
        <v>-49.29</v>
      </c>
      <c r="Q56" s="26">
        <f t="shared" ca="1" si="12"/>
        <v>-49.96</v>
      </c>
      <c r="R56" s="26">
        <f t="shared" ca="1" si="12"/>
        <v>-50.609000000000002</v>
      </c>
      <c r="S56" s="26">
        <f t="shared" ca="1" si="12"/>
        <v>-51.259</v>
      </c>
      <c r="T56" s="26">
        <f t="shared" ca="1" si="12"/>
        <v>-53.798999999999999</v>
      </c>
      <c r="U56" s="26">
        <f t="shared" ca="1" si="12"/>
        <v>-56.235999999999997</v>
      </c>
      <c r="V56" s="26">
        <f t="shared" ca="1" si="12"/>
        <v>-58.606999999999999</v>
      </c>
      <c r="W56" s="26">
        <f t="shared" ca="1" si="12"/>
        <v>-60.870999999999995</v>
      </c>
      <c r="X56" s="26">
        <f t="shared" ca="1" si="12"/>
        <v>-63.069000000000003</v>
      </c>
      <c r="Y56" s="26">
        <f t="shared" ca="1" si="12"/>
        <v>0</v>
      </c>
      <c r="Z56" s="26">
        <f t="shared" ca="1" si="12"/>
        <v>0</v>
      </c>
      <c r="AA56" s="26">
        <f t="shared" ca="1" si="12"/>
        <v>0</v>
      </c>
      <c r="AB56" s="26">
        <f t="shared" ca="1" si="12"/>
        <v>0</v>
      </c>
      <c r="AC56" s="26">
        <f t="shared" ca="1" si="12"/>
        <v>0</v>
      </c>
      <c r="AD56" s="26">
        <f t="shared" ca="1" si="12"/>
        <v>0</v>
      </c>
      <c r="AE56" s="26">
        <f t="shared" ca="1" si="12"/>
        <v>0</v>
      </c>
      <c r="AF56" s="26">
        <f t="shared" ca="1" si="12"/>
        <v>0</v>
      </c>
      <c r="AG56" s="26">
        <f t="shared" ca="1" si="12"/>
        <v>0</v>
      </c>
      <c r="AH56" s="26">
        <f t="shared" ca="1" si="12"/>
        <v>0</v>
      </c>
      <c r="AI56" s="26">
        <f t="shared" ca="1" si="12"/>
        <v>0</v>
      </c>
      <c r="AJ56" s="26">
        <f t="shared" ca="1" si="12"/>
        <v>0</v>
      </c>
      <c r="AK56" s="26">
        <f t="shared" ca="1" si="12"/>
        <v>0</v>
      </c>
      <c r="AL56" s="26">
        <f t="shared" ca="1" si="12"/>
        <v>0</v>
      </c>
    </row>
    <row r="57" spans="1:38" ht="21" hidden="1" customHeight="1" outlineLevel="1" thickBot="1" x14ac:dyDescent="0.4">
      <c r="A57" s="10">
        <f t="shared" si="10"/>
        <v>0</v>
      </c>
      <c r="B57" s="10">
        <f t="shared" si="10"/>
        <v>3</v>
      </c>
      <c r="C57" s="10">
        <f t="shared" si="10"/>
        <v>0</v>
      </c>
      <c r="D57" s="10">
        <f t="shared" si="10"/>
        <v>2</v>
      </c>
      <c r="E57" s="11" t="str">
        <f t="shared" si="10"/>
        <v>Ga2Se3</v>
      </c>
      <c r="F57" s="26">
        <f t="shared" ca="1" si="11"/>
        <v>-203.16</v>
      </c>
      <c r="G57" s="26">
        <f t="shared" ca="1" si="12"/>
        <v>-190.72</v>
      </c>
      <c r="H57" s="26">
        <f t="shared" ca="1" si="12"/>
        <v>-179.94</v>
      </c>
      <c r="I57" s="26">
        <f t="shared" ca="1" si="12"/>
        <v>-170.51</v>
      </c>
      <c r="J57" s="26">
        <f t="shared" ca="1" si="12"/>
        <v>-162.238</v>
      </c>
      <c r="K57" s="26">
        <f t="shared" ca="1" si="12"/>
        <v>-137.10000000000002</v>
      </c>
      <c r="L57" s="26">
        <f t="shared" ca="1" si="12"/>
        <v>-132.32</v>
      </c>
      <c r="M57" s="26">
        <f t="shared" ca="1" si="12"/>
        <v>-127.94999999999999</v>
      </c>
      <c r="N57" s="26">
        <f t="shared" ca="1" si="12"/>
        <v>-123.96</v>
      </c>
      <c r="O57" s="26">
        <f t="shared" ca="1" si="12"/>
        <v>-120.31</v>
      </c>
      <c r="P57" s="26">
        <f t="shared" ca="1" si="12"/>
        <v>-118.83000000000001</v>
      </c>
      <c r="Q57" s="26">
        <f t="shared" ca="1" si="12"/>
        <v>-121.36</v>
      </c>
      <c r="R57" s="26">
        <f t="shared" ca="1" si="12"/>
        <v>-123.83999999999999</v>
      </c>
      <c r="S57" s="26">
        <f t="shared" ca="1" si="12"/>
        <v>-126.32</v>
      </c>
      <c r="T57" s="26">
        <f t="shared" ca="1" si="12"/>
        <v>-135.91</v>
      </c>
      <c r="U57" s="26">
        <f t="shared" ca="1" si="12"/>
        <v>-144.99</v>
      </c>
      <c r="V57" s="26">
        <f t="shared" ca="1" si="12"/>
        <v>-153.51999999999998</v>
      </c>
      <c r="W57" s="26">
        <f t="shared" ca="1" si="12"/>
        <v>-161.35999999999999</v>
      </c>
      <c r="X57" s="26">
        <f t="shared" ca="1" si="12"/>
        <v>-168.49</v>
      </c>
      <c r="Y57" s="26">
        <f t="shared" ca="1" si="12"/>
        <v>0</v>
      </c>
      <c r="Z57" s="26">
        <f t="shared" ca="1" si="12"/>
        <v>0</v>
      </c>
      <c r="AA57" s="26">
        <f t="shared" ca="1" si="12"/>
        <v>0</v>
      </c>
      <c r="AB57" s="26">
        <f t="shared" ca="1" si="12"/>
        <v>0</v>
      </c>
      <c r="AC57" s="26">
        <f t="shared" ca="1" si="12"/>
        <v>0</v>
      </c>
      <c r="AD57" s="26">
        <f t="shared" ca="1" si="12"/>
        <v>0</v>
      </c>
      <c r="AE57" s="26">
        <f t="shared" ca="1" si="12"/>
        <v>0</v>
      </c>
      <c r="AF57" s="26">
        <f t="shared" ca="1" si="12"/>
        <v>0</v>
      </c>
      <c r="AG57" s="26">
        <f t="shared" ca="1" si="12"/>
        <v>0</v>
      </c>
      <c r="AH57" s="26">
        <f t="shared" ca="1" si="12"/>
        <v>0</v>
      </c>
      <c r="AI57" s="26">
        <f t="shared" ca="1" si="12"/>
        <v>0</v>
      </c>
      <c r="AJ57" s="26">
        <f t="shared" ca="1" si="12"/>
        <v>0</v>
      </c>
      <c r="AK57" s="26">
        <f t="shared" ca="1" si="12"/>
        <v>0</v>
      </c>
      <c r="AL57" s="26">
        <f t="shared" ca="1" si="12"/>
        <v>0</v>
      </c>
    </row>
    <row r="58" spans="1:38" ht="21" hidden="1" customHeight="1" outlineLevel="1" thickBot="1" x14ac:dyDescent="0.4">
      <c r="A58" s="10">
        <f t="shared" si="10"/>
        <v>1</v>
      </c>
      <c r="B58" s="10">
        <f t="shared" si="10"/>
        <v>0</v>
      </c>
      <c r="C58" s="10">
        <f t="shared" si="10"/>
        <v>0</v>
      </c>
      <c r="D58" s="10">
        <f t="shared" si="10"/>
        <v>0</v>
      </c>
      <c r="E58" s="11" t="str">
        <f t="shared" si="10"/>
        <v>Ar</v>
      </c>
      <c r="F58" s="26">
        <f t="shared" ca="1" si="11"/>
        <v>-18.88</v>
      </c>
      <c r="G58" s="26">
        <f t="shared" ca="1" si="12"/>
        <v>-18.87</v>
      </c>
      <c r="H58" s="26">
        <f t="shared" ca="1" si="12"/>
        <v>-18.88</v>
      </c>
      <c r="I58" s="26">
        <f t="shared" ca="1" si="12"/>
        <v>-18.89</v>
      </c>
      <c r="J58" s="26">
        <f t="shared" ca="1" si="12"/>
        <v>-18.916</v>
      </c>
      <c r="K58" s="26">
        <f t="shared" ca="1" si="12"/>
        <v>-19.03</v>
      </c>
      <c r="L58" s="26">
        <f t="shared" ca="1" si="12"/>
        <v>-19.07</v>
      </c>
      <c r="M58" s="26">
        <f t="shared" ca="1" si="12"/>
        <v>-19.11</v>
      </c>
      <c r="N58" s="26">
        <f t="shared" ca="1" si="12"/>
        <v>-19.149999999999999</v>
      </c>
      <c r="O58" s="26">
        <f t="shared" ca="1" si="12"/>
        <v>-19.190000000000001</v>
      </c>
      <c r="P58" s="26">
        <f t="shared" ca="1" si="12"/>
        <v>-19</v>
      </c>
      <c r="Q58" s="26">
        <f t="shared" ca="1" si="12"/>
        <v>-19.010000000000002</v>
      </c>
      <c r="R58" s="26">
        <f t="shared" ca="1" si="12"/>
        <v>-19.05</v>
      </c>
      <c r="S58" s="26">
        <f t="shared" ca="1" si="12"/>
        <v>-19.09</v>
      </c>
      <c r="T58" s="26">
        <f t="shared" ca="1" si="12"/>
        <v>-19.260000000000002</v>
      </c>
      <c r="U58" s="26">
        <f t="shared" ref="G58:AL66" ca="1" si="13">$A58*H.Ar + $B58*H.Se + $C58*H.Ge + $D58*H.Ga</f>
        <v>-19.43</v>
      </c>
      <c r="V58" s="26">
        <f t="shared" ca="1" si="13"/>
        <v>-19.59</v>
      </c>
      <c r="W58" s="26">
        <f t="shared" ca="1" si="13"/>
        <v>-19.739999999999998</v>
      </c>
      <c r="X58" s="26">
        <f t="shared" ca="1" si="13"/>
        <v>-19.88</v>
      </c>
      <c r="Y58" s="26">
        <f t="shared" ca="1" si="13"/>
        <v>0</v>
      </c>
      <c r="Z58" s="26">
        <f t="shared" ca="1" si="13"/>
        <v>0</v>
      </c>
      <c r="AA58" s="26">
        <f t="shared" ca="1" si="13"/>
        <v>0</v>
      </c>
      <c r="AB58" s="26">
        <f t="shared" ca="1" si="13"/>
        <v>0</v>
      </c>
      <c r="AC58" s="26">
        <f t="shared" ca="1" si="13"/>
        <v>0</v>
      </c>
      <c r="AD58" s="26">
        <f t="shared" ca="1" si="13"/>
        <v>0</v>
      </c>
      <c r="AE58" s="26">
        <f t="shared" ca="1" si="13"/>
        <v>0</v>
      </c>
      <c r="AF58" s="26">
        <f t="shared" ca="1" si="13"/>
        <v>0</v>
      </c>
      <c r="AG58" s="26">
        <f t="shared" ca="1" si="13"/>
        <v>0</v>
      </c>
      <c r="AH58" s="26">
        <f t="shared" ca="1" si="13"/>
        <v>0</v>
      </c>
      <c r="AI58" s="26">
        <f t="shared" ca="1" si="13"/>
        <v>0</v>
      </c>
      <c r="AJ58" s="26">
        <f t="shared" ca="1" si="13"/>
        <v>0</v>
      </c>
      <c r="AK58" s="26">
        <f t="shared" ca="1" si="13"/>
        <v>0</v>
      </c>
      <c r="AL58" s="26">
        <f t="shared" ca="1" si="13"/>
        <v>0</v>
      </c>
    </row>
    <row r="59" spans="1:38" ht="21" hidden="1" customHeight="1" outlineLevel="1" thickBot="1" x14ac:dyDescent="0.4">
      <c r="A59" s="10">
        <f t="shared" si="10"/>
        <v>0</v>
      </c>
      <c r="B59" s="10">
        <f t="shared" si="10"/>
        <v>0</v>
      </c>
      <c r="C59" s="10">
        <f t="shared" si="10"/>
        <v>1</v>
      </c>
      <c r="D59" s="10">
        <f t="shared" si="10"/>
        <v>0</v>
      </c>
      <c r="E59" s="11" t="str">
        <f t="shared" si="10"/>
        <v>(l)Ge[l]</v>
      </c>
      <c r="F59" s="26">
        <f t="shared" ca="1" si="11"/>
        <v>-16.29</v>
      </c>
      <c r="G59" s="26">
        <f t="shared" ca="1" si="13"/>
        <v>-15.52</v>
      </c>
      <c r="H59" s="26">
        <f t="shared" ca="1" si="13"/>
        <v>-14.86</v>
      </c>
      <c r="I59" s="26">
        <f t="shared" ca="1" si="13"/>
        <v>-14.3</v>
      </c>
      <c r="J59" s="26">
        <f t="shared" ca="1" si="13"/>
        <v>-13.135999999999999</v>
      </c>
      <c r="K59" s="26">
        <f t="shared" ca="1" si="13"/>
        <v>-7.8570000000000002</v>
      </c>
      <c r="L59" s="26">
        <f t="shared" ca="1" si="13"/>
        <v>-6.79</v>
      </c>
      <c r="M59" s="26">
        <f t="shared" ca="1" si="13"/>
        <v>-5.8</v>
      </c>
      <c r="N59" s="26">
        <f t="shared" ca="1" si="13"/>
        <v>-4.8769999999999998</v>
      </c>
      <c r="O59" s="26">
        <f t="shared" ca="1" si="13"/>
        <v>-4.1020000000000003</v>
      </c>
      <c r="P59" s="26">
        <f t="shared" ca="1" si="13"/>
        <v>-4.1500000000000004</v>
      </c>
      <c r="Q59" s="26">
        <f t="shared" ca="1" si="13"/>
        <v>-4.2</v>
      </c>
      <c r="R59" s="26">
        <f t="shared" ca="1" si="13"/>
        <v>-4.2489999999999997</v>
      </c>
      <c r="S59" s="26">
        <f t="shared" ca="1" si="13"/>
        <v>-4.2990000000000004</v>
      </c>
      <c r="T59" s="26">
        <f t="shared" ca="1" si="13"/>
        <v>-4.4989999999999997</v>
      </c>
      <c r="U59" s="26">
        <f t="shared" ca="1" si="13"/>
        <v>-4.6959999999999997</v>
      </c>
      <c r="V59" s="26">
        <f t="shared" ca="1" si="13"/>
        <v>-4.8869999999999996</v>
      </c>
      <c r="W59" s="26">
        <f t="shared" ca="1" si="13"/>
        <v>-5.0709999999999997</v>
      </c>
      <c r="X59" s="26">
        <f t="shared" ca="1" si="13"/>
        <v>-5.2489999999999997</v>
      </c>
      <c r="Y59" s="26">
        <f t="shared" ca="1" si="13"/>
        <v>0</v>
      </c>
      <c r="Z59" s="26">
        <f t="shared" ca="1" si="13"/>
        <v>0</v>
      </c>
      <c r="AA59" s="26">
        <f t="shared" ca="1" si="13"/>
        <v>0</v>
      </c>
      <c r="AB59" s="26">
        <f t="shared" ca="1" si="13"/>
        <v>0</v>
      </c>
      <c r="AC59" s="26">
        <f t="shared" ca="1" si="13"/>
        <v>0</v>
      </c>
      <c r="AD59" s="26">
        <f t="shared" ca="1" si="13"/>
        <v>0</v>
      </c>
      <c r="AE59" s="26">
        <f t="shared" ca="1" si="13"/>
        <v>0</v>
      </c>
      <c r="AF59" s="26">
        <f t="shared" ca="1" si="13"/>
        <v>0</v>
      </c>
      <c r="AG59" s="26">
        <f t="shared" ca="1" si="13"/>
        <v>0</v>
      </c>
      <c r="AH59" s="26">
        <f t="shared" ca="1" si="13"/>
        <v>0</v>
      </c>
      <c r="AI59" s="26">
        <f t="shared" ca="1" si="13"/>
        <v>0</v>
      </c>
      <c r="AJ59" s="26">
        <f t="shared" ca="1" si="13"/>
        <v>0</v>
      </c>
      <c r="AK59" s="26">
        <f t="shared" ca="1" si="13"/>
        <v>0</v>
      </c>
      <c r="AL59" s="26">
        <f t="shared" ca="1" si="13"/>
        <v>0</v>
      </c>
    </row>
    <row r="60" spans="1:38" ht="21" hidden="1" customHeight="1" outlineLevel="1" thickBot="1" x14ac:dyDescent="0.4">
      <c r="A60" s="10">
        <f t="shared" si="10"/>
        <v>1</v>
      </c>
      <c r="B60" s="10">
        <f t="shared" si="10"/>
        <v>0</v>
      </c>
      <c r="C60" s="10">
        <f t="shared" si="10"/>
        <v>0</v>
      </c>
      <c r="D60" s="10">
        <f t="shared" si="10"/>
        <v>0</v>
      </c>
      <c r="E60" s="11" t="str">
        <f t="shared" si="10"/>
        <v>H (Ar)</v>
      </c>
      <c r="F60" s="26">
        <f t="shared" ref="F60:U69" ca="1" si="14">$A60*H.Ar + $B60*H.Se + $C60*H.Ge + $D60*H.Ga</f>
        <v>-18.88</v>
      </c>
      <c r="G60" s="26">
        <f t="shared" ca="1" si="14"/>
        <v>-18.87</v>
      </c>
      <c r="H60" s="26">
        <f t="shared" ca="1" si="14"/>
        <v>-18.88</v>
      </c>
      <c r="I60" s="26">
        <f t="shared" ca="1" si="14"/>
        <v>-18.89</v>
      </c>
      <c r="J60" s="26">
        <f t="shared" ca="1" si="14"/>
        <v>-18.916</v>
      </c>
      <c r="K60" s="26">
        <f t="shared" ca="1" si="14"/>
        <v>-19.03</v>
      </c>
      <c r="L60" s="26">
        <f t="shared" ca="1" si="14"/>
        <v>-19.07</v>
      </c>
      <c r="M60" s="26">
        <f t="shared" ca="1" si="14"/>
        <v>-19.11</v>
      </c>
      <c r="N60" s="26">
        <f t="shared" ca="1" si="14"/>
        <v>-19.149999999999999</v>
      </c>
      <c r="O60" s="26">
        <f t="shared" ca="1" si="14"/>
        <v>-19.190000000000001</v>
      </c>
      <c r="P60" s="26">
        <f t="shared" ca="1" si="14"/>
        <v>-19</v>
      </c>
      <c r="Q60" s="26">
        <f t="shared" ca="1" si="14"/>
        <v>-19.010000000000002</v>
      </c>
      <c r="R60" s="26">
        <f t="shared" ca="1" si="14"/>
        <v>-19.05</v>
      </c>
      <c r="S60" s="26">
        <f t="shared" ca="1" si="14"/>
        <v>-19.09</v>
      </c>
      <c r="T60" s="26">
        <f t="shared" ca="1" si="14"/>
        <v>-19.260000000000002</v>
      </c>
      <c r="U60" s="26">
        <f t="shared" ca="1" si="14"/>
        <v>-19.43</v>
      </c>
      <c r="V60" s="26">
        <f t="shared" ca="1" si="13"/>
        <v>-19.59</v>
      </c>
      <c r="W60" s="26">
        <f t="shared" ca="1" si="13"/>
        <v>-19.739999999999998</v>
      </c>
      <c r="X60" s="26">
        <f t="shared" ca="1" si="13"/>
        <v>-19.88</v>
      </c>
      <c r="Y60" s="26">
        <f t="shared" ca="1" si="13"/>
        <v>0</v>
      </c>
      <c r="Z60" s="26">
        <f t="shared" ca="1" si="13"/>
        <v>0</v>
      </c>
      <c r="AA60" s="26">
        <f t="shared" ca="1" si="13"/>
        <v>0</v>
      </c>
      <c r="AB60" s="26">
        <f t="shared" ca="1" si="13"/>
        <v>0</v>
      </c>
      <c r="AC60" s="26">
        <f t="shared" ca="1" si="13"/>
        <v>0</v>
      </c>
      <c r="AD60" s="26">
        <f t="shared" ca="1" si="13"/>
        <v>0</v>
      </c>
      <c r="AE60" s="26">
        <f t="shared" ca="1" si="13"/>
        <v>0</v>
      </c>
      <c r="AF60" s="26">
        <f t="shared" ca="1" si="13"/>
        <v>0</v>
      </c>
      <c r="AG60" s="26">
        <f t="shared" ca="1" si="13"/>
        <v>0</v>
      </c>
      <c r="AH60" s="26">
        <f t="shared" ca="1" si="13"/>
        <v>0</v>
      </c>
      <c r="AI60" s="26">
        <f t="shared" ca="1" si="13"/>
        <v>0</v>
      </c>
      <c r="AJ60" s="26">
        <f t="shared" ca="1" si="13"/>
        <v>0</v>
      </c>
      <c r="AK60" s="26">
        <f t="shared" ca="1" si="13"/>
        <v>0</v>
      </c>
      <c r="AL60" s="26">
        <f t="shared" ca="1" si="13"/>
        <v>0</v>
      </c>
    </row>
    <row r="61" spans="1:38" ht="21" hidden="1" customHeight="1" outlineLevel="1" thickBot="1" x14ac:dyDescent="0.4">
      <c r="A61" s="10">
        <f t="shared" si="10"/>
        <v>0</v>
      </c>
      <c r="B61" s="10">
        <f t="shared" si="10"/>
        <v>0</v>
      </c>
      <c r="C61" s="10">
        <f t="shared" si="10"/>
        <v>0</v>
      </c>
      <c r="D61" s="10">
        <f t="shared" si="10"/>
        <v>1</v>
      </c>
      <c r="E61" s="11" t="str">
        <f t="shared" si="10"/>
        <v>H (Ga)</v>
      </c>
      <c r="F61" s="26">
        <f t="shared" ca="1" si="14"/>
        <v>-66.3</v>
      </c>
      <c r="G61" s="26">
        <f t="shared" ca="1" si="13"/>
        <v>-62.09</v>
      </c>
      <c r="H61" s="26">
        <f t="shared" ca="1" si="13"/>
        <v>-58.44</v>
      </c>
      <c r="I61" s="26">
        <f t="shared" ca="1" si="13"/>
        <v>-55.24</v>
      </c>
      <c r="J61" s="26">
        <f t="shared" ca="1" si="13"/>
        <v>-51.41</v>
      </c>
      <c r="K61" s="26">
        <f t="shared" ca="1" si="13"/>
        <v>-37.020000000000003</v>
      </c>
      <c r="L61" s="26">
        <f t="shared" ca="1" si="13"/>
        <v>-34.15</v>
      </c>
      <c r="M61" s="26">
        <f t="shared" ca="1" si="13"/>
        <v>-31.5</v>
      </c>
      <c r="N61" s="26">
        <f t="shared" ca="1" si="13"/>
        <v>-29.04</v>
      </c>
      <c r="O61" s="26">
        <f t="shared" ca="1" si="13"/>
        <v>-26.75</v>
      </c>
      <c r="P61" s="26">
        <f t="shared" ca="1" si="13"/>
        <v>-25.56</v>
      </c>
      <c r="Q61" s="26">
        <f t="shared" ca="1" si="13"/>
        <v>-26.36</v>
      </c>
      <c r="R61" s="26">
        <f t="shared" ca="1" si="13"/>
        <v>-27.15</v>
      </c>
      <c r="S61" s="26">
        <f t="shared" ca="1" si="13"/>
        <v>-27.94</v>
      </c>
      <c r="T61" s="26">
        <f t="shared" ca="1" si="13"/>
        <v>-30.98</v>
      </c>
      <c r="U61" s="26">
        <f t="shared" ca="1" si="13"/>
        <v>-33.840000000000003</v>
      </c>
      <c r="V61" s="26">
        <f t="shared" ca="1" si="13"/>
        <v>-36.47</v>
      </c>
      <c r="W61" s="26">
        <f t="shared" ca="1" si="13"/>
        <v>-38.83</v>
      </c>
      <c r="X61" s="26">
        <f t="shared" ca="1" si="13"/>
        <v>-40.880000000000003</v>
      </c>
      <c r="Y61" s="26">
        <f t="shared" ca="1" si="13"/>
        <v>0</v>
      </c>
      <c r="Z61" s="26">
        <f t="shared" ca="1" si="13"/>
        <v>0</v>
      </c>
      <c r="AA61" s="26">
        <f t="shared" ca="1" si="13"/>
        <v>0</v>
      </c>
      <c r="AB61" s="26">
        <f t="shared" ca="1" si="13"/>
        <v>0</v>
      </c>
      <c r="AC61" s="26">
        <f t="shared" ca="1" si="13"/>
        <v>0</v>
      </c>
      <c r="AD61" s="26">
        <f t="shared" ca="1" si="13"/>
        <v>0</v>
      </c>
      <c r="AE61" s="26">
        <f t="shared" ca="1" si="13"/>
        <v>0</v>
      </c>
      <c r="AF61" s="26">
        <f t="shared" ca="1" si="13"/>
        <v>0</v>
      </c>
      <c r="AG61" s="26">
        <f t="shared" ca="1" si="13"/>
        <v>0</v>
      </c>
      <c r="AH61" s="26">
        <f t="shared" ca="1" si="13"/>
        <v>0</v>
      </c>
      <c r="AI61" s="26">
        <f t="shared" ca="1" si="13"/>
        <v>0</v>
      </c>
      <c r="AJ61" s="26">
        <f t="shared" ca="1" si="13"/>
        <v>0</v>
      </c>
      <c r="AK61" s="26">
        <f t="shared" ca="1" si="13"/>
        <v>0</v>
      </c>
      <c r="AL61" s="26">
        <f t="shared" ca="1" si="13"/>
        <v>0</v>
      </c>
    </row>
    <row r="62" spans="1:38" ht="21" hidden="1" customHeight="1" outlineLevel="1" thickBot="1" x14ac:dyDescent="0.4">
      <c r="A62" s="10">
        <f t="shared" si="10"/>
        <v>0</v>
      </c>
      <c r="B62" s="10">
        <f t="shared" si="10"/>
        <v>0</v>
      </c>
      <c r="C62" s="10">
        <f t="shared" si="10"/>
        <v>1</v>
      </c>
      <c r="D62" s="10">
        <f t="shared" si="10"/>
        <v>0</v>
      </c>
      <c r="E62" s="11" t="str">
        <f t="shared" si="10"/>
        <v>H (Ge)</v>
      </c>
      <c r="F62" s="26">
        <f t="shared" ca="1" si="14"/>
        <v>-16.29</v>
      </c>
      <c r="G62" s="26">
        <f t="shared" ca="1" si="13"/>
        <v>-15.52</v>
      </c>
      <c r="H62" s="26">
        <f t="shared" ca="1" si="13"/>
        <v>-14.86</v>
      </c>
      <c r="I62" s="26">
        <f t="shared" ca="1" si="13"/>
        <v>-14.3</v>
      </c>
      <c r="J62" s="26">
        <f t="shared" ca="1" si="13"/>
        <v>-13.135999999999999</v>
      </c>
      <c r="K62" s="26">
        <f t="shared" ca="1" si="13"/>
        <v>-7.8570000000000002</v>
      </c>
      <c r="L62" s="26">
        <f t="shared" ca="1" si="13"/>
        <v>-6.79</v>
      </c>
      <c r="M62" s="26">
        <f t="shared" ca="1" si="13"/>
        <v>-5.8</v>
      </c>
      <c r="N62" s="26">
        <f t="shared" ca="1" si="13"/>
        <v>-4.8769999999999998</v>
      </c>
      <c r="O62" s="26">
        <f t="shared" ca="1" si="13"/>
        <v>-4.1020000000000003</v>
      </c>
      <c r="P62" s="26">
        <f t="shared" ca="1" si="13"/>
        <v>-4.1500000000000004</v>
      </c>
      <c r="Q62" s="26">
        <f t="shared" ca="1" si="13"/>
        <v>-4.2</v>
      </c>
      <c r="R62" s="26">
        <f t="shared" ca="1" si="13"/>
        <v>-4.2489999999999997</v>
      </c>
      <c r="S62" s="26">
        <f t="shared" ca="1" si="13"/>
        <v>-4.2990000000000004</v>
      </c>
      <c r="T62" s="26">
        <f t="shared" ca="1" si="13"/>
        <v>-4.4989999999999997</v>
      </c>
      <c r="U62" s="26">
        <f t="shared" ca="1" si="13"/>
        <v>-4.6959999999999997</v>
      </c>
      <c r="V62" s="26">
        <f t="shared" ca="1" si="13"/>
        <v>-4.8869999999999996</v>
      </c>
      <c r="W62" s="26">
        <f t="shared" ca="1" si="13"/>
        <v>-5.0709999999999997</v>
      </c>
      <c r="X62" s="26">
        <f t="shared" ca="1" si="13"/>
        <v>-5.2489999999999997</v>
      </c>
      <c r="Y62" s="26">
        <f t="shared" ca="1" si="13"/>
        <v>0</v>
      </c>
      <c r="Z62" s="26">
        <f t="shared" ca="1" si="13"/>
        <v>0</v>
      </c>
      <c r="AA62" s="26">
        <f t="shared" ca="1" si="13"/>
        <v>0</v>
      </c>
      <c r="AB62" s="26">
        <f t="shared" ca="1" si="13"/>
        <v>0</v>
      </c>
      <c r="AC62" s="26">
        <f t="shared" ca="1" si="13"/>
        <v>0</v>
      </c>
      <c r="AD62" s="26">
        <f t="shared" ca="1" si="13"/>
        <v>0</v>
      </c>
      <c r="AE62" s="26">
        <f t="shared" ca="1" si="13"/>
        <v>0</v>
      </c>
      <c r="AF62" s="26">
        <f t="shared" ca="1" si="13"/>
        <v>0</v>
      </c>
      <c r="AG62" s="26">
        <f t="shared" ca="1" si="13"/>
        <v>0</v>
      </c>
      <c r="AH62" s="26">
        <f t="shared" ca="1" si="13"/>
        <v>0</v>
      </c>
      <c r="AI62" s="26">
        <f t="shared" ca="1" si="13"/>
        <v>0</v>
      </c>
      <c r="AJ62" s="26">
        <f t="shared" ca="1" si="13"/>
        <v>0</v>
      </c>
      <c r="AK62" s="26">
        <f t="shared" ca="1" si="13"/>
        <v>0</v>
      </c>
      <c r="AL62" s="26">
        <f t="shared" ca="1" si="13"/>
        <v>0</v>
      </c>
    </row>
    <row r="63" spans="1:38" ht="21" hidden="1" customHeight="1" outlineLevel="1" thickBot="1" x14ac:dyDescent="0.4">
      <c r="A63" s="10">
        <f t="shared" si="10"/>
        <v>0</v>
      </c>
      <c r="B63" s="10">
        <f t="shared" si="10"/>
        <v>1</v>
      </c>
      <c r="C63" s="10">
        <f t="shared" si="10"/>
        <v>0</v>
      </c>
      <c r="D63" s="10">
        <f t="shared" si="10"/>
        <v>0</v>
      </c>
      <c r="E63" s="11" t="str">
        <f t="shared" si="10"/>
        <v>H (Se)</v>
      </c>
      <c r="F63" s="26">
        <f t="shared" ca="1" si="14"/>
        <v>-23.52</v>
      </c>
      <c r="G63" s="26">
        <f t="shared" ca="1" si="13"/>
        <v>-22.18</v>
      </c>
      <c r="H63" s="26">
        <f t="shared" ca="1" si="13"/>
        <v>-21.02</v>
      </c>
      <c r="I63" s="26">
        <f t="shared" ca="1" si="13"/>
        <v>-20.010000000000002</v>
      </c>
      <c r="J63" s="26">
        <f t="shared" ca="1" si="13"/>
        <v>-19.806000000000001</v>
      </c>
      <c r="K63" s="26">
        <f t="shared" ca="1" si="13"/>
        <v>-21.02</v>
      </c>
      <c r="L63" s="26">
        <f t="shared" ca="1" si="13"/>
        <v>-21.34</v>
      </c>
      <c r="M63" s="26">
        <f t="shared" ca="1" si="13"/>
        <v>-21.65</v>
      </c>
      <c r="N63" s="26">
        <f t="shared" ca="1" si="13"/>
        <v>-21.96</v>
      </c>
      <c r="O63" s="26">
        <f t="shared" ca="1" si="13"/>
        <v>-22.27</v>
      </c>
      <c r="P63" s="26">
        <f t="shared" ca="1" si="13"/>
        <v>-22.57</v>
      </c>
      <c r="Q63" s="26">
        <f t="shared" ca="1" si="13"/>
        <v>-22.88</v>
      </c>
      <c r="R63" s="26">
        <f t="shared" ca="1" si="13"/>
        <v>-23.18</v>
      </c>
      <c r="S63" s="26">
        <f t="shared" ca="1" si="13"/>
        <v>-23.48</v>
      </c>
      <c r="T63" s="26">
        <f t="shared" ca="1" si="13"/>
        <v>-24.65</v>
      </c>
      <c r="U63" s="26">
        <f t="shared" ca="1" si="13"/>
        <v>-25.77</v>
      </c>
      <c r="V63" s="26">
        <f t="shared" ca="1" si="13"/>
        <v>-26.86</v>
      </c>
      <c r="W63" s="26">
        <f t="shared" ca="1" si="13"/>
        <v>-27.9</v>
      </c>
      <c r="X63" s="26">
        <f t="shared" ca="1" si="13"/>
        <v>-28.91</v>
      </c>
      <c r="Y63" s="26">
        <f t="shared" ca="1" si="13"/>
        <v>0</v>
      </c>
      <c r="Z63" s="26">
        <f t="shared" ca="1" si="13"/>
        <v>0</v>
      </c>
      <c r="AA63" s="26">
        <f t="shared" ca="1" si="13"/>
        <v>0</v>
      </c>
      <c r="AB63" s="26">
        <f t="shared" ca="1" si="13"/>
        <v>0</v>
      </c>
      <c r="AC63" s="26">
        <f t="shared" ca="1" si="13"/>
        <v>0</v>
      </c>
      <c r="AD63" s="26">
        <f t="shared" ca="1" si="13"/>
        <v>0</v>
      </c>
      <c r="AE63" s="26">
        <f t="shared" ca="1" si="13"/>
        <v>0</v>
      </c>
      <c r="AF63" s="26">
        <f t="shared" ca="1" si="13"/>
        <v>0</v>
      </c>
      <c r="AG63" s="26">
        <f t="shared" ca="1" si="13"/>
        <v>0</v>
      </c>
      <c r="AH63" s="26">
        <f t="shared" ca="1" si="13"/>
        <v>0</v>
      </c>
      <c r="AI63" s="26">
        <f t="shared" ca="1" si="13"/>
        <v>0</v>
      </c>
      <c r="AJ63" s="26">
        <f t="shared" ca="1" si="13"/>
        <v>0</v>
      </c>
      <c r="AK63" s="26">
        <f t="shared" ca="1" si="13"/>
        <v>0</v>
      </c>
      <c r="AL63" s="26">
        <f t="shared" ca="1" si="13"/>
        <v>0</v>
      </c>
    </row>
    <row r="64" spans="1:38" ht="21" hidden="1" customHeight="1" outlineLevel="1" thickBot="1" x14ac:dyDescent="0.4">
      <c r="A64" s="10">
        <f t="shared" si="10"/>
        <v>0</v>
      </c>
      <c r="B64" s="10">
        <f t="shared" si="10"/>
        <v>0</v>
      </c>
      <c r="C64" s="10">
        <f t="shared" si="10"/>
        <v>0</v>
      </c>
      <c r="D64" s="10">
        <f t="shared" si="10"/>
        <v>0</v>
      </c>
      <c r="E64" s="11">
        <f t="shared" si="10"/>
        <v>0</v>
      </c>
      <c r="F64" s="26">
        <f t="shared" ca="1" si="14"/>
        <v>0</v>
      </c>
      <c r="G64" s="26">
        <f t="shared" ca="1" si="13"/>
        <v>0</v>
      </c>
      <c r="H64" s="26">
        <f t="shared" ca="1" si="13"/>
        <v>0</v>
      </c>
      <c r="I64" s="26">
        <f t="shared" ca="1" si="13"/>
        <v>0</v>
      </c>
      <c r="J64" s="26">
        <f t="shared" ca="1" si="13"/>
        <v>0</v>
      </c>
      <c r="K64" s="26">
        <f t="shared" ca="1" si="13"/>
        <v>0</v>
      </c>
      <c r="L64" s="26">
        <f t="shared" ca="1" si="13"/>
        <v>0</v>
      </c>
      <c r="M64" s="26">
        <f t="shared" ca="1" si="13"/>
        <v>0</v>
      </c>
      <c r="N64" s="26">
        <f t="shared" ca="1" si="13"/>
        <v>0</v>
      </c>
      <c r="O64" s="26">
        <f t="shared" ca="1" si="13"/>
        <v>0</v>
      </c>
      <c r="P64" s="26">
        <f t="shared" ca="1" si="13"/>
        <v>0</v>
      </c>
      <c r="Q64" s="26">
        <f t="shared" ca="1" si="13"/>
        <v>0</v>
      </c>
      <c r="R64" s="26">
        <f t="shared" ca="1" si="13"/>
        <v>0</v>
      </c>
      <c r="S64" s="26">
        <f t="shared" ca="1" si="13"/>
        <v>0</v>
      </c>
      <c r="T64" s="26">
        <f t="shared" ca="1" si="13"/>
        <v>0</v>
      </c>
      <c r="U64" s="26">
        <f t="shared" ca="1" si="13"/>
        <v>0</v>
      </c>
      <c r="V64" s="26">
        <f t="shared" ca="1" si="13"/>
        <v>0</v>
      </c>
      <c r="W64" s="26">
        <f t="shared" ca="1" si="13"/>
        <v>0</v>
      </c>
      <c r="X64" s="26">
        <f t="shared" ca="1" si="13"/>
        <v>0</v>
      </c>
      <c r="Y64" s="26">
        <f t="shared" ca="1" si="13"/>
        <v>0</v>
      </c>
      <c r="Z64" s="26">
        <f t="shared" ca="1" si="13"/>
        <v>0</v>
      </c>
      <c r="AA64" s="26">
        <f t="shared" ca="1" si="13"/>
        <v>0</v>
      </c>
      <c r="AB64" s="26">
        <f t="shared" ca="1" si="13"/>
        <v>0</v>
      </c>
      <c r="AC64" s="26">
        <f t="shared" ca="1" si="13"/>
        <v>0</v>
      </c>
      <c r="AD64" s="26">
        <f t="shared" ca="1" si="13"/>
        <v>0</v>
      </c>
      <c r="AE64" s="26">
        <f t="shared" ca="1" si="13"/>
        <v>0</v>
      </c>
      <c r="AF64" s="26">
        <f t="shared" ca="1" si="13"/>
        <v>0</v>
      </c>
      <c r="AG64" s="26">
        <f t="shared" ca="1" si="13"/>
        <v>0</v>
      </c>
      <c r="AH64" s="26">
        <f t="shared" ca="1" si="13"/>
        <v>0</v>
      </c>
      <c r="AI64" s="26">
        <f t="shared" ca="1" si="13"/>
        <v>0</v>
      </c>
      <c r="AJ64" s="26">
        <f t="shared" ca="1" si="13"/>
        <v>0</v>
      </c>
      <c r="AK64" s="26">
        <f t="shared" ca="1" si="13"/>
        <v>0</v>
      </c>
      <c r="AL64" s="26">
        <f t="shared" ca="1" si="13"/>
        <v>0</v>
      </c>
    </row>
    <row r="65" spans="1:38" ht="21" hidden="1" customHeight="1" outlineLevel="1" thickBot="1" x14ac:dyDescent="0.4">
      <c r="A65" s="10">
        <f t="shared" si="10"/>
        <v>0</v>
      </c>
      <c r="B65" s="10">
        <f t="shared" si="10"/>
        <v>0</v>
      </c>
      <c r="C65" s="10">
        <f t="shared" si="10"/>
        <v>0</v>
      </c>
      <c r="D65" s="10">
        <f t="shared" si="10"/>
        <v>0</v>
      </c>
      <c r="E65" s="11">
        <f t="shared" si="10"/>
        <v>0</v>
      </c>
      <c r="F65" s="26">
        <f t="shared" ca="1" si="14"/>
        <v>0</v>
      </c>
      <c r="G65" s="26">
        <f t="shared" ca="1" si="13"/>
        <v>0</v>
      </c>
      <c r="H65" s="26">
        <f t="shared" ca="1" si="13"/>
        <v>0</v>
      </c>
      <c r="I65" s="26">
        <f t="shared" ca="1" si="13"/>
        <v>0</v>
      </c>
      <c r="J65" s="26">
        <f t="shared" ca="1" si="13"/>
        <v>0</v>
      </c>
      <c r="K65" s="26">
        <f t="shared" ca="1" si="13"/>
        <v>0</v>
      </c>
      <c r="L65" s="26">
        <f t="shared" ca="1" si="13"/>
        <v>0</v>
      </c>
      <c r="M65" s="26">
        <f t="shared" ca="1" si="13"/>
        <v>0</v>
      </c>
      <c r="N65" s="26">
        <f t="shared" ca="1" si="13"/>
        <v>0</v>
      </c>
      <c r="O65" s="26">
        <f t="shared" ca="1" si="13"/>
        <v>0</v>
      </c>
      <c r="P65" s="26">
        <f t="shared" ca="1" si="13"/>
        <v>0</v>
      </c>
      <c r="Q65" s="26">
        <f t="shared" ca="1" si="13"/>
        <v>0</v>
      </c>
      <c r="R65" s="26">
        <f t="shared" ca="1" si="13"/>
        <v>0</v>
      </c>
      <c r="S65" s="26">
        <f t="shared" ca="1" si="13"/>
        <v>0</v>
      </c>
      <c r="T65" s="26">
        <f t="shared" ca="1" si="13"/>
        <v>0</v>
      </c>
      <c r="U65" s="26">
        <f t="shared" ca="1" si="13"/>
        <v>0</v>
      </c>
      <c r="V65" s="26">
        <f t="shared" ca="1" si="13"/>
        <v>0</v>
      </c>
      <c r="W65" s="26">
        <f t="shared" ca="1" si="13"/>
        <v>0</v>
      </c>
      <c r="X65" s="26">
        <f t="shared" ca="1" si="13"/>
        <v>0</v>
      </c>
      <c r="Y65" s="26">
        <f t="shared" ca="1" si="13"/>
        <v>0</v>
      </c>
      <c r="Z65" s="26">
        <f t="shared" ca="1" si="13"/>
        <v>0</v>
      </c>
      <c r="AA65" s="26">
        <f t="shared" ca="1" si="13"/>
        <v>0</v>
      </c>
      <c r="AB65" s="26">
        <f t="shared" ca="1" si="13"/>
        <v>0</v>
      </c>
      <c r="AC65" s="26">
        <f t="shared" ca="1" si="13"/>
        <v>0</v>
      </c>
      <c r="AD65" s="26">
        <f t="shared" ca="1" si="13"/>
        <v>0</v>
      </c>
      <c r="AE65" s="26">
        <f t="shared" ca="1" si="13"/>
        <v>0</v>
      </c>
      <c r="AF65" s="26">
        <f t="shared" ca="1" si="13"/>
        <v>0</v>
      </c>
      <c r="AG65" s="26">
        <f t="shared" ca="1" si="13"/>
        <v>0</v>
      </c>
      <c r="AH65" s="26">
        <f t="shared" ca="1" si="13"/>
        <v>0</v>
      </c>
      <c r="AI65" s="26">
        <f t="shared" ca="1" si="13"/>
        <v>0</v>
      </c>
      <c r="AJ65" s="26">
        <f t="shared" ca="1" si="13"/>
        <v>0</v>
      </c>
      <c r="AK65" s="26">
        <f t="shared" ca="1" si="13"/>
        <v>0</v>
      </c>
      <c r="AL65" s="26">
        <f t="shared" ca="1" si="13"/>
        <v>0</v>
      </c>
    </row>
    <row r="66" spans="1:38" ht="21" hidden="1" customHeight="1" outlineLevel="1" thickBot="1" x14ac:dyDescent="0.4">
      <c r="A66" s="10">
        <f t="shared" ref="A66:E79" si="15">A20</f>
        <v>0</v>
      </c>
      <c r="B66" s="10">
        <f t="shared" si="15"/>
        <v>0</v>
      </c>
      <c r="C66" s="10">
        <f t="shared" si="15"/>
        <v>0</v>
      </c>
      <c r="D66" s="10">
        <f t="shared" si="15"/>
        <v>0</v>
      </c>
      <c r="E66" s="11">
        <f t="shared" si="15"/>
        <v>0</v>
      </c>
      <c r="F66" s="26">
        <f t="shared" ca="1" si="14"/>
        <v>0</v>
      </c>
      <c r="G66" s="26">
        <f t="shared" ca="1" si="13"/>
        <v>0</v>
      </c>
      <c r="H66" s="26">
        <f t="shared" ca="1" si="13"/>
        <v>0</v>
      </c>
      <c r="I66" s="26">
        <f t="shared" ca="1" si="13"/>
        <v>0</v>
      </c>
      <c r="J66" s="26">
        <f t="shared" ca="1" si="13"/>
        <v>0</v>
      </c>
      <c r="K66" s="26">
        <f t="shared" ca="1" si="13"/>
        <v>0</v>
      </c>
      <c r="L66" s="26">
        <f t="shared" ca="1" si="13"/>
        <v>0</v>
      </c>
      <c r="M66" s="26">
        <f t="shared" ca="1" si="13"/>
        <v>0</v>
      </c>
      <c r="N66" s="26">
        <f t="shared" ca="1" si="13"/>
        <v>0</v>
      </c>
      <c r="O66" s="26">
        <f t="shared" ca="1" si="13"/>
        <v>0</v>
      </c>
      <c r="P66" s="26">
        <f t="shared" ca="1" si="13"/>
        <v>0</v>
      </c>
      <c r="Q66" s="26">
        <f t="shared" ca="1" si="13"/>
        <v>0</v>
      </c>
      <c r="R66" s="26">
        <f t="shared" ca="1" si="13"/>
        <v>0</v>
      </c>
      <c r="S66" s="26">
        <f t="shared" ca="1" si="13"/>
        <v>0</v>
      </c>
      <c r="T66" s="26">
        <f t="shared" ca="1" si="13"/>
        <v>0</v>
      </c>
      <c r="U66" s="26">
        <f t="shared" ca="1" si="13"/>
        <v>0</v>
      </c>
      <c r="V66" s="26">
        <f t="shared" ca="1" si="13"/>
        <v>0</v>
      </c>
      <c r="W66" s="26">
        <f t="shared" ca="1" si="13"/>
        <v>0</v>
      </c>
      <c r="X66" s="26">
        <f t="shared" ca="1" si="13"/>
        <v>0</v>
      </c>
      <c r="Y66" s="26">
        <f t="shared" ca="1" si="13"/>
        <v>0</v>
      </c>
      <c r="Z66" s="26">
        <f t="shared" ca="1" si="13"/>
        <v>0</v>
      </c>
      <c r="AA66" s="26">
        <f t="shared" ca="1" si="13"/>
        <v>0</v>
      </c>
      <c r="AB66" s="26">
        <f t="shared" ca="1" si="13"/>
        <v>0</v>
      </c>
      <c r="AC66" s="26">
        <f t="shared" ca="1" si="13"/>
        <v>0</v>
      </c>
      <c r="AD66" s="26">
        <f t="shared" ca="1" si="13"/>
        <v>0</v>
      </c>
      <c r="AE66" s="26">
        <f t="shared" ca="1" si="13"/>
        <v>0</v>
      </c>
      <c r="AF66" s="26">
        <f t="shared" ca="1" si="13"/>
        <v>0</v>
      </c>
      <c r="AG66" s="26">
        <f t="shared" ca="1" si="13"/>
        <v>0</v>
      </c>
      <c r="AH66" s="26">
        <f t="shared" ca="1" si="13"/>
        <v>0</v>
      </c>
      <c r="AI66" s="26">
        <f t="shared" ref="G66:AL75" ca="1" si="16">$A66*H.Ar + $B66*H.Se + $C66*H.Ge + $D66*H.Ga</f>
        <v>0</v>
      </c>
      <c r="AJ66" s="26">
        <f t="shared" ca="1" si="16"/>
        <v>0</v>
      </c>
      <c r="AK66" s="26">
        <f t="shared" ca="1" si="16"/>
        <v>0</v>
      </c>
      <c r="AL66" s="26">
        <f t="shared" ca="1" si="16"/>
        <v>0</v>
      </c>
    </row>
    <row r="67" spans="1:38" ht="21" hidden="1" customHeight="1" outlineLevel="1" thickBot="1" x14ac:dyDescent="0.4">
      <c r="A67" s="10">
        <f t="shared" si="15"/>
        <v>0</v>
      </c>
      <c r="B67" s="10">
        <f t="shared" si="15"/>
        <v>0</v>
      </c>
      <c r="C67" s="10">
        <f t="shared" si="15"/>
        <v>0</v>
      </c>
      <c r="D67" s="10">
        <f t="shared" si="15"/>
        <v>0</v>
      </c>
      <c r="E67" s="11">
        <f t="shared" si="15"/>
        <v>0</v>
      </c>
      <c r="F67" s="26">
        <f t="shared" ca="1" si="14"/>
        <v>0</v>
      </c>
      <c r="G67" s="26">
        <f t="shared" ca="1" si="16"/>
        <v>0</v>
      </c>
      <c r="H67" s="26">
        <f t="shared" ca="1" si="16"/>
        <v>0</v>
      </c>
      <c r="I67" s="26">
        <f t="shared" ca="1" si="16"/>
        <v>0</v>
      </c>
      <c r="J67" s="26">
        <f t="shared" ca="1" si="16"/>
        <v>0</v>
      </c>
      <c r="K67" s="26">
        <f t="shared" ca="1" si="16"/>
        <v>0</v>
      </c>
      <c r="L67" s="26">
        <f t="shared" ca="1" si="16"/>
        <v>0</v>
      </c>
      <c r="M67" s="26">
        <f t="shared" ca="1" si="16"/>
        <v>0</v>
      </c>
      <c r="N67" s="26">
        <f t="shared" ca="1" si="16"/>
        <v>0</v>
      </c>
      <c r="O67" s="26">
        <f t="shared" ca="1" si="16"/>
        <v>0</v>
      </c>
      <c r="P67" s="26">
        <f t="shared" ca="1" si="16"/>
        <v>0</v>
      </c>
      <c r="Q67" s="26">
        <f t="shared" ca="1" si="16"/>
        <v>0</v>
      </c>
      <c r="R67" s="26">
        <f t="shared" ca="1" si="16"/>
        <v>0</v>
      </c>
      <c r="S67" s="26">
        <f t="shared" ca="1" si="16"/>
        <v>0</v>
      </c>
      <c r="T67" s="26">
        <f t="shared" ca="1" si="16"/>
        <v>0</v>
      </c>
      <c r="U67" s="26">
        <f t="shared" ca="1" si="16"/>
        <v>0</v>
      </c>
      <c r="V67" s="26">
        <f t="shared" ca="1" si="16"/>
        <v>0</v>
      </c>
      <c r="W67" s="26">
        <f t="shared" ca="1" si="16"/>
        <v>0</v>
      </c>
      <c r="X67" s="26">
        <f t="shared" ca="1" si="16"/>
        <v>0</v>
      </c>
      <c r="Y67" s="26">
        <f t="shared" ca="1" si="16"/>
        <v>0</v>
      </c>
      <c r="Z67" s="26">
        <f t="shared" ca="1" si="16"/>
        <v>0</v>
      </c>
      <c r="AA67" s="26">
        <f t="shared" ca="1" si="16"/>
        <v>0</v>
      </c>
      <c r="AB67" s="26">
        <f t="shared" ca="1" si="16"/>
        <v>0</v>
      </c>
      <c r="AC67" s="26">
        <f t="shared" ca="1" si="16"/>
        <v>0</v>
      </c>
      <c r="AD67" s="26">
        <f t="shared" ca="1" si="16"/>
        <v>0</v>
      </c>
      <c r="AE67" s="26">
        <f t="shared" ca="1" si="16"/>
        <v>0</v>
      </c>
      <c r="AF67" s="26">
        <f t="shared" ca="1" si="16"/>
        <v>0</v>
      </c>
      <c r="AG67" s="26">
        <f t="shared" ca="1" si="16"/>
        <v>0</v>
      </c>
      <c r="AH67" s="26">
        <f t="shared" ca="1" si="16"/>
        <v>0</v>
      </c>
      <c r="AI67" s="26">
        <f t="shared" ca="1" si="16"/>
        <v>0</v>
      </c>
      <c r="AJ67" s="26">
        <f t="shared" ca="1" si="16"/>
        <v>0</v>
      </c>
      <c r="AK67" s="26">
        <f t="shared" ca="1" si="16"/>
        <v>0</v>
      </c>
      <c r="AL67" s="26">
        <f t="shared" ca="1" si="16"/>
        <v>0</v>
      </c>
    </row>
    <row r="68" spans="1:38" ht="21" hidden="1" customHeight="1" outlineLevel="1" thickBot="1" x14ac:dyDescent="0.4">
      <c r="A68" s="10">
        <f t="shared" si="15"/>
        <v>0</v>
      </c>
      <c r="B68" s="10">
        <f t="shared" si="15"/>
        <v>0</v>
      </c>
      <c r="C68" s="10">
        <f t="shared" si="15"/>
        <v>0</v>
      </c>
      <c r="D68" s="10">
        <f t="shared" si="15"/>
        <v>0</v>
      </c>
      <c r="E68" s="11">
        <f t="shared" si="15"/>
        <v>0</v>
      </c>
      <c r="F68" s="26">
        <f t="shared" ca="1" si="14"/>
        <v>0</v>
      </c>
      <c r="G68" s="26">
        <f t="shared" ca="1" si="16"/>
        <v>0</v>
      </c>
      <c r="H68" s="26">
        <f t="shared" ca="1" si="16"/>
        <v>0</v>
      </c>
      <c r="I68" s="26">
        <f t="shared" ca="1" si="16"/>
        <v>0</v>
      </c>
      <c r="J68" s="26">
        <f t="shared" ca="1" si="16"/>
        <v>0</v>
      </c>
      <c r="K68" s="26">
        <f t="shared" ca="1" si="16"/>
        <v>0</v>
      </c>
      <c r="L68" s="26">
        <f t="shared" ca="1" si="16"/>
        <v>0</v>
      </c>
      <c r="M68" s="26">
        <f t="shared" ca="1" si="16"/>
        <v>0</v>
      </c>
      <c r="N68" s="26">
        <f t="shared" ca="1" si="16"/>
        <v>0</v>
      </c>
      <c r="O68" s="26">
        <f t="shared" ca="1" si="16"/>
        <v>0</v>
      </c>
      <c r="P68" s="26">
        <f t="shared" ca="1" si="16"/>
        <v>0</v>
      </c>
      <c r="Q68" s="26">
        <f t="shared" ca="1" si="16"/>
        <v>0</v>
      </c>
      <c r="R68" s="26">
        <f t="shared" ca="1" si="16"/>
        <v>0</v>
      </c>
      <c r="S68" s="26">
        <f t="shared" ca="1" si="16"/>
        <v>0</v>
      </c>
      <c r="T68" s="26">
        <f t="shared" ca="1" si="16"/>
        <v>0</v>
      </c>
      <c r="U68" s="26">
        <f t="shared" ca="1" si="16"/>
        <v>0</v>
      </c>
      <c r="V68" s="26">
        <f t="shared" ca="1" si="16"/>
        <v>0</v>
      </c>
      <c r="W68" s="26">
        <f t="shared" ca="1" si="16"/>
        <v>0</v>
      </c>
      <c r="X68" s="26">
        <f t="shared" ca="1" si="16"/>
        <v>0</v>
      </c>
      <c r="Y68" s="26">
        <f t="shared" ca="1" si="16"/>
        <v>0</v>
      </c>
      <c r="Z68" s="26">
        <f t="shared" ca="1" si="16"/>
        <v>0</v>
      </c>
      <c r="AA68" s="26">
        <f t="shared" ca="1" si="16"/>
        <v>0</v>
      </c>
      <c r="AB68" s="26">
        <f t="shared" ca="1" si="16"/>
        <v>0</v>
      </c>
      <c r="AC68" s="26">
        <f t="shared" ca="1" si="16"/>
        <v>0</v>
      </c>
      <c r="AD68" s="26">
        <f t="shared" ca="1" si="16"/>
        <v>0</v>
      </c>
      <c r="AE68" s="26">
        <f t="shared" ca="1" si="16"/>
        <v>0</v>
      </c>
      <c r="AF68" s="26">
        <f t="shared" ca="1" si="16"/>
        <v>0</v>
      </c>
      <c r="AG68" s="26">
        <f t="shared" ca="1" si="16"/>
        <v>0</v>
      </c>
      <c r="AH68" s="26">
        <f t="shared" ca="1" si="16"/>
        <v>0</v>
      </c>
      <c r="AI68" s="26">
        <f t="shared" ca="1" si="16"/>
        <v>0</v>
      </c>
      <c r="AJ68" s="26">
        <f t="shared" ca="1" si="16"/>
        <v>0</v>
      </c>
      <c r="AK68" s="26">
        <f t="shared" ca="1" si="16"/>
        <v>0</v>
      </c>
      <c r="AL68" s="26">
        <f t="shared" ca="1" si="16"/>
        <v>0</v>
      </c>
    </row>
    <row r="69" spans="1:38" ht="21" hidden="1" customHeight="1" outlineLevel="1" thickBot="1" x14ac:dyDescent="0.4">
      <c r="A69" s="10">
        <f t="shared" si="15"/>
        <v>0</v>
      </c>
      <c r="B69" s="10">
        <f t="shared" si="15"/>
        <v>0</v>
      </c>
      <c r="C69" s="10">
        <f t="shared" si="15"/>
        <v>0</v>
      </c>
      <c r="D69" s="10">
        <f t="shared" si="15"/>
        <v>0</v>
      </c>
      <c r="E69" s="11">
        <f t="shared" si="15"/>
        <v>0</v>
      </c>
      <c r="F69" s="26">
        <f t="shared" ca="1" si="14"/>
        <v>0</v>
      </c>
      <c r="G69" s="26">
        <f t="shared" ca="1" si="16"/>
        <v>0</v>
      </c>
      <c r="H69" s="26">
        <f t="shared" ca="1" si="16"/>
        <v>0</v>
      </c>
      <c r="I69" s="26">
        <f t="shared" ca="1" si="16"/>
        <v>0</v>
      </c>
      <c r="J69" s="26">
        <f t="shared" ca="1" si="16"/>
        <v>0</v>
      </c>
      <c r="K69" s="26">
        <f t="shared" ca="1" si="16"/>
        <v>0</v>
      </c>
      <c r="L69" s="26">
        <f t="shared" ca="1" si="16"/>
        <v>0</v>
      </c>
      <c r="M69" s="26">
        <f t="shared" ca="1" si="16"/>
        <v>0</v>
      </c>
      <c r="N69" s="26">
        <f t="shared" ca="1" si="16"/>
        <v>0</v>
      </c>
      <c r="O69" s="26">
        <f t="shared" ca="1" si="16"/>
        <v>0</v>
      </c>
      <c r="P69" s="26">
        <f t="shared" ca="1" si="16"/>
        <v>0</v>
      </c>
      <c r="Q69" s="26">
        <f t="shared" ca="1" si="16"/>
        <v>0</v>
      </c>
      <c r="R69" s="26">
        <f t="shared" ca="1" si="16"/>
        <v>0</v>
      </c>
      <c r="S69" s="26">
        <f t="shared" ca="1" si="16"/>
        <v>0</v>
      </c>
      <c r="T69" s="26">
        <f t="shared" ca="1" si="16"/>
        <v>0</v>
      </c>
      <c r="U69" s="26">
        <f t="shared" ca="1" si="16"/>
        <v>0</v>
      </c>
      <c r="V69" s="26">
        <f t="shared" ca="1" si="16"/>
        <v>0</v>
      </c>
      <c r="W69" s="26">
        <f t="shared" ca="1" si="16"/>
        <v>0</v>
      </c>
      <c r="X69" s="26">
        <f t="shared" ca="1" si="16"/>
        <v>0</v>
      </c>
      <c r="Y69" s="26">
        <f t="shared" ca="1" si="16"/>
        <v>0</v>
      </c>
      <c r="Z69" s="26">
        <f t="shared" ca="1" si="16"/>
        <v>0</v>
      </c>
      <c r="AA69" s="26">
        <f t="shared" ca="1" si="16"/>
        <v>0</v>
      </c>
      <c r="AB69" s="26">
        <f t="shared" ca="1" si="16"/>
        <v>0</v>
      </c>
      <c r="AC69" s="26">
        <f t="shared" ca="1" si="16"/>
        <v>0</v>
      </c>
      <c r="AD69" s="26">
        <f t="shared" ca="1" si="16"/>
        <v>0</v>
      </c>
      <c r="AE69" s="26">
        <f t="shared" ca="1" si="16"/>
        <v>0</v>
      </c>
      <c r="AF69" s="26">
        <f t="shared" ca="1" si="16"/>
        <v>0</v>
      </c>
      <c r="AG69" s="26">
        <f t="shared" ca="1" si="16"/>
        <v>0</v>
      </c>
      <c r="AH69" s="26">
        <f t="shared" ca="1" si="16"/>
        <v>0</v>
      </c>
      <c r="AI69" s="26">
        <f t="shared" ca="1" si="16"/>
        <v>0</v>
      </c>
      <c r="AJ69" s="26">
        <f t="shared" ca="1" si="16"/>
        <v>0</v>
      </c>
      <c r="AK69" s="26">
        <f t="shared" ca="1" si="16"/>
        <v>0</v>
      </c>
      <c r="AL69" s="26">
        <f t="shared" ca="1" si="16"/>
        <v>0</v>
      </c>
    </row>
    <row r="70" spans="1:38" ht="21" hidden="1" customHeight="1" outlineLevel="1" thickBot="1" x14ac:dyDescent="0.4">
      <c r="A70" s="10">
        <f t="shared" si="15"/>
        <v>0</v>
      </c>
      <c r="B70" s="10">
        <f t="shared" si="15"/>
        <v>0</v>
      </c>
      <c r="C70" s="10">
        <f t="shared" si="15"/>
        <v>0</v>
      </c>
      <c r="D70" s="10">
        <f t="shared" si="15"/>
        <v>0</v>
      </c>
      <c r="E70" s="11">
        <f t="shared" si="15"/>
        <v>0</v>
      </c>
      <c r="F70" s="26">
        <f t="shared" ref="F70:U78" ca="1" si="17">$A70*H.Ar + $B70*H.Se + $C70*H.Ge + $D70*H.Ga</f>
        <v>0</v>
      </c>
      <c r="G70" s="26">
        <f t="shared" ca="1" si="17"/>
        <v>0</v>
      </c>
      <c r="H70" s="26">
        <f t="shared" ca="1" si="17"/>
        <v>0</v>
      </c>
      <c r="I70" s="26">
        <f t="shared" ca="1" si="17"/>
        <v>0</v>
      </c>
      <c r="J70" s="26">
        <f t="shared" ca="1" si="17"/>
        <v>0</v>
      </c>
      <c r="K70" s="26">
        <f t="shared" ca="1" si="17"/>
        <v>0</v>
      </c>
      <c r="L70" s="26">
        <f t="shared" ca="1" si="17"/>
        <v>0</v>
      </c>
      <c r="M70" s="26">
        <f t="shared" ca="1" si="17"/>
        <v>0</v>
      </c>
      <c r="N70" s="26">
        <f t="shared" ca="1" si="17"/>
        <v>0</v>
      </c>
      <c r="O70" s="26">
        <f t="shared" ca="1" si="17"/>
        <v>0</v>
      </c>
      <c r="P70" s="26">
        <f t="shared" ca="1" si="17"/>
        <v>0</v>
      </c>
      <c r="Q70" s="26">
        <f t="shared" ca="1" si="17"/>
        <v>0</v>
      </c>
      <c r="R70" s="26">
        <f t="shared" ca="1" si="17"/>
        <v>0</v>
      </c>
      <c r="S70" s="26">
        <f t="shared" ca="1" si="17"/>
        <v>0</v>
      </c>
      <c r="T70" s="26">
        <f t="shared" ca="1" si="17"/>
        <v>0</v>
      </c>
      <c r="U70" s="26">
        <f t="shared" ca="1" si="17"/>
        <v>0</v>
      </c>
      <c r="V70" s="26">
        <f t="shared" ca="1" si="16"/>
        <v>0</v>
      </c>
      <c r="W70" s="26">
        <f t="shared" ca="1" si="16"/>
        <v>0</v>
      </c>
      <c r="X70" s="26">
        <f t="shared" ca="1" si="16"/>
        <v>0</v>
      </c>
      <c r="Y70" s="26">
        <f t="shared" ca="1" si="16"/>
        <v>0</v>
      </c>
      <c r="Z70" s="26">
        <f t="shared" ca="1" si="16"/>
        <v>0</v>
      </c>
      <c r="AA70" s="26">
        <f t="shared" ca="1" si="16"/>
        <v>0</v>
      </c>
      <c r="AB70" s="26">
        <f t="shared" ca="1" si="16"/>
        <v>0</v>
      </c>
      <c r="AC70" s="26">
        <f t="shared" ca="1" si="16"/>
        <v>0</v>
      </c>
      <c r="AD70" s="26">
        <f t="shared" ca="1" si="16"/>
        <v>0</v>
      </c>
      <c r="AE70" s="26">
        <f t="shared" ca="1" si="16"/>
        <v>0</v>
      </c>
      <c r="AF70" s="26">
        <f t="shared" ca="1" si="16"/>
        <v>0</v>
      </c>
      <c r="AG70" s="26">
        <f t="shared" ca="1" si="16"/>
        <v>0</v>
      </c>
      <c r="AH70" s="26">
        <f t="shared" ca="1" si="16"/>
        <v>0</v>
      </c>
      <c r="AI70" s="26">
        <f t="shared" ca="1" si="16"/>
        <v>0</v>
      </c>
      <c r="AJ70" s="26">
        <f t="shared" ca="1" si="16"/>
        <v>0</v>
      </c>
      <c r="AK70" s="26">
        <f t="shared" ca="1" si="16"/>
        <v>0</v>
      </c>
      <c r="AL70" s="26">
        <f t="shared" ca="1" si="16"/>
        <v>0</v>
      </c>
    </row>
    <row r="71" spans="1:38" ht="21" hidden="1" customHeight="1" outlineLevel="1" thickBot="1" x14ac:dyDescent="0.4">
      <c r="A71" s="10">
        <f t="shared" si="15"/>
        <v>0</v>
      </c>
      <c r="B71" s="10">
        <f t="shared" si="15"/>
        <v>0</v>
      </c>
      <c r="C71" s="10">
        <f t="shared" si="15"/>
        <v>0</v>
      </c>
      <c r="D71" s="10">
        <f t="shared" si="15"/>
        <v>0</v>
      </c>
      <c r="E71" s="11">
        <f t="shared" si="15"/>
        <v>0</v>
      </c>
      <c r="F71" s="26">
        <f t="shared" ca="1" si="17"/>
        <v>0</v>
      </c>
      <c r="G71" s="26">
        <f t="shared" ca="1" si="16"/>
        <v>0</v>
      </c>
      <c r="H71" s="26">
        <f t="shared" ca="1" si="16"/>
        <v>0</v>
      </c>
      <c r="I71" s="26">
        <f t="shared" ca="1" si="16"/>
        <v>0</v>
      </c>
      <c r="J71" s="26">
        <f t="shared" ca="1" si="16"/>
        <v>0</v>
      </c>
      <c r="K71" s="26">
        <f t="shared" ca="1" si="16"/>
        <v>0</v>
      </c>
      <c r="L71" s="26">
        <f t="shared" ca="1" si="16"/>
        <v>0</v>
      </c>
      <c r="M71" s="26">
        <f t="shared" ca="1" si="16"/>
        <v>0</v>
      </c>
      <c r="N71" s="26">
        <f t="shared" ca="1" si="16"/>
        <v>0</v>
      </c>
      <c r="O71" s="26">
        <f t="shared" ca="1" si="16"/>
        <v>0</v>
      </c>
      <c r="P71" s="26">
        <f t="shared" ca="1" si="16"/>
        <v>0</v>
      </c>
      <c r="Q71" s="26">
        <f t="shared" ca="1" si="16"/>
        <v>0</v>
      </c>
      <c r="R71" s="26">
        <f t="shared" ca="1" si="16"/>
        <v>0</v>
      </c>
      <c r="S71" s="26">
        <f t="shared" ca="1" si="16"/>
        <v>0</v>
      </c>
      <c r="T71" s="26">
        <f t="shared" ca="1" si="16"/>
        <v>0</v>
      </c>
      <c r="U71" s="26">
        <f t="shared" ca="1" si="16"/>
        <v>0</v>
      </c>
      <c r="V71" s="26">
        <f t="shared" ca="1" si="16"/>
        <v>0</v>
      </c>
      <c r="W71" s="26">
        <f t="shared" ca="1" si="16"/>
        <v>0</v>
      </c>
      <c r="X71" s="26">
        <f t="shared" ca="1" si="16"/>
        <v>0</v>
      </c>
      <c r="Y71" s="26">
        <f t="shared" ca="1" si="16"/>
        <v>0</v>
      </c>
      <c r="Z71" s="26">
        <f t="shared" ca="1" si="16"/>
        <v>0</v>
      </c>
      <c r="AA71" s="26">
        <f t="shared" ca="1" si="16"/>
        <v>0</v>
      </c>
      <c r="AB71" s="26">
        <f t="shared" ca="1" si="16"/>
        <v>0</v>
      </c>
      <c r="AC71" s="26">
        <f t="shared" ca="1" si="16"/>
        <v>0</v>
      </c>
      <c r="AD71" s="26">
        <f t="shared" ca="1" si="16"/>
        <v>0</v>
      </c>
      <c r="AE71" s="26">
        <f t="shared" ca="1" si="16"/>
        <v>0</v>
      </c>
      <c r="AF71" s="26">
        <f t="shared" ca="1" si="16"/>
        <v>0</v>
      </c>
      <c r="AG71" s="26">
        <f t="shared" ca="1" si="16"/>
        <v>0</v>
      </c>
      <c r="AH71" s="26">
        <f t="shared" ca="1" si="16"/>
        <v>0</v>
      </c>
      <c r="AI71" s="26">
        <f t="shared" ca="1" si="16"/>
        <v>0</v>
      </c>
      <c r="AJ71" s="26">
        <f t="shared" ca="1" si="16"/>
        <v>0</v>
      </c>
      <c r="AK71" s="26">
        <f t="shared" ca="1" si="16"/>
        <v>0</v>
      </c>
      <c r="AL71" s="26">
        <f t="shared" ca="1" si="16"/>
        <v>0</v>
      </c>
    </row>
    <row r="72" spans="1:38" ht="21" hidden="1" customHeight="1" outlineLevel="1" thickBot="1" x14ac:dyDescent="0.4">
      <c r="A72" s="10">
        <f t="shared" si="15"/>
        <v>0</v>
      </c>
      <c r="B72" s="10">
        <f t="shared" si="15"/>
        <v>0</v>
      </c>
      <c r="C72" s="10">
        <f t="shared" si="15"/>
        <v>0</v>
      </c>
      <c r="D72" s="10">
        <f t="shared" si="15"/>
        <v>0</v>
      </c>
      <c r="E72" s="11">
        <f t="shared" si="15"/>
        <v>0</v>
      </c>
      <c r="F72" s="26">
        <f t="shared" ca="1" si="17"/>
        <v>0</v>
      </c>
      <c r="G72" s="26">
        <f t="shared" ca="1" si="16"/>
        <v>0</v>
      </c>
      <c r="H72" s="26">
        <f t="shared" ca="1" si="16"/>
        <v>0</v>
      </c>
      <c r="I72" s="26">
        <f t="shared" ca="1" si="16"/>
        <v>0</v>
      </c>
      <c r="J72" s="26">
        <f t="shared" ca="1" si="16"/>
        <v>0</v>
      </c>
      <c r="K72" s="26">
        <f t="shared" ca="1" si="16"/>
        <v>0</v>
      </c>
      <c r="L72" s="26">
        <f t="shared" ca="1" si="16"/>
        <v>0</v>
      </c>
      <c r="M72" s="26">
        <f t="shared" ca="1" si="16"/>
        <v>0</v>
      </c>
      <c r="N72" s="26">
        <f t="shared" ca="1" si="16"/>
        <v>0</v>
      </c>
      <c r="O72" s="26">
        <f t="shared" ca="1" si="16"/>
        <v>0</v>
      </c>
      <c r="P72" s="26">
        <f t="shared" ca="1" si="16"/>
        <v>0</v>
      </c>
      <c r="Q72" s="26">
        <f t="shared" ca="1" si="16"/>
        <v>0</v>
      </c>
      <c r="R72" s="26">
        <f t="shared" ca="1" si="16"/>
        <v>0</v>
      </c>
      <c r="S72" s="26">
        <f t="shared" ca="1" si="16"/>
        <v>0</v>
      </c>
      <c r="T72" s="26">
        <f t="shared" ca="1" si="16"/>
        <v>0</v>
      </c>
      <c r="U72" s="26">
        <f t="shared" ca="1" si="16"/>
        <v>0</v>
      </c>
      <c r="V72" s="26">
        <f t="shared" ca="1" si="16"/>
        <v>0</v>
      </c>
      <c r="W72" s="26">
        <f t="shared" ca="1" si="16"/>
        <v>0</v>
      </c>
      <c r="X72" s="26">
        <f t="shared" ca="1" si="16"/>
        <v>0</v>
      </c>
      <c r="Y72" s="26">
        <f t="shared" ca="1" si="16"/>
        <v>0</v>
      </c>
      <c r="Z72" s="26">
        <f t="shared" ca="1" si="16"/>
        <v>0</v>
      </c>
      <c r="AA72" s="26">
        <f t="shared" ca="1" si="16"/>
        <v>0</v>
      </c>
      <c r="AB72" s="26">
        <f t="shared" ca="1" si="16"/>
        <v>0</v>
      </c>
      <c r="AC72" s="26">
        <f t="shared" ca="1" si="16"/>
        <v>0</v>
      </c>
      <c r="AD72" s="26">
        <f t="shared" ca="1" si="16"/>
        <v>0</v>
      </c>
      <c r="AE72" s="26">
        <f t="shared" ca="1" si="16"/>
        <v>0</v>
      </c>
      <c r="AF72" s="26">
        <f t="shared" ca="1" si="16"/>
        <v>0</v>
      </c>
      <c r="AG72" s="26">
        <f t="shared" ca="1" si="16"/>
        <v>0</v>
      </c>
      <c r="AH72" s="26">
        <f t="shared" ca="1" si="16"/>
        <v>0</v>
      </c>
      <c r="AI72" s="26">
        <f t="shared" ca="1" si="16"/>
        <v>0</v>
      </c>
      <c r="AJ72" s="26">
        <f t="shared" ca="1" si="16"/>
        <v>0</v>
      </c>
      <c r="AK72" s="26">
        <f t="shared" ca="1" si="16"/>
        <v>0</v>
      </c>
      <c r="AL72" s="26">
        <f t="shared" ca="1" si="16"/>
        <v>0</v>
      </c>
    </row>
    <row r="73" spans="1:38" ht="21" hidden="1" customHeight="1" outlineLevel="1" thickBot="1" x14ac:dyDescent="0.4">
      <c r="A73" s="10">
        <f t="shared" si="15"/>
        <v>0</v>
      </c>
      <c r="B73" s="10">
        <f t="shared" si="15"/>
        <v>0</v>
      </c>
      <c r="C73" s="10">
        <f t="shared" si="15"/>
        <v>0</v>
      </c>
      <c r="D73" s="10">
        <f t="shared" si="15"/>
        <v>0</v>
      </c>
      <c r="E73" s="11">
        <f t="shared" si="15"/>
        <v>0</v>
      </c>
      <c r="F73" s="26">
        <f t="shared" ca="1" si="17"/>
        <v>0</v>
      </c>
      <c r="G73" s="26">
        <f t="shared" ca="1" si="16"/>
        <v>0</v>
      </c>
      <c r="H73" s="26">
        <f t="shared" ca="1" si="16"/>
        <v>0</v>
      </c>
      <c r="I73" s="26">
        <f t="shared" ca="1" si="16"/>
        <v>0</v>
      </c>
      <c r="J73" s="26">
        <f t="shared" ca="1" si="16"/>
        <v>0</v>
      </c>
      <c r="K73" s="26">
        <f t="shared" ca="1" si="16"/>
        <v>0</v>
      </c>
      <c r="L73" s="26">
        <f t="shared" ca="1" si="16"/>
        <v>0</v>
      </c>
      <c r="M73" s="26">
        <f t="shared" ca="1" si="16"/>
        <v>0</v>
      </c>
      <c r="N73" s="26">
        <f t="shared" ca="1" si="16"/>
        <v>0</v>
      </c>
      <c r="O73" s="26">
        <f t="shared" ca="1" si="16"/>
        <v>0</v>
      </c>
      <c r="P73" s="26">
        <f t="shared" ca="1" si="16"/>
        <v>0</v>
      </c>
      <c r="Q73" s="26">
        <f t="shared" ca="1" si="16"/>
        <v>0</v>
      </c>
      <c r="R73" s="26">
        <f t="shared" ca="1" si="16"/>
        <v>0</v>
      </c>
      <c r="S73" s="26">
        <f t="shared" ca="1" si="16"/>
        <v>0</v>
      </c>
      <c r="T73" s="26">
        <f t="shared" ca="1" si="16"/>
        <v>0</v>
      </c>
      <c r="U73" s="26">
        <f t="shared" ca="1" si="16"/>
        <v>0</v>
      </c>
      <c r="V73" s="26">
        <f t="shared" ca="1" si="16"/>
        <v>0</v>
      </c>
      <c r="W73" s="26">
        <f t="shared" ca="1" si="16"/>
        <v>0</v>
      </c>
      <c r="X73" s="26">
        <f t="shared" ca="1" si="16"/>
        <v>0</v>
      </c>
      <c r="Y73" s="26">
        <f t="shared" ca="1" si="16"/>
        <v>0</v>
      </c>
      <c r="Z73" s="26">
        <f t="shared" ca="1" si="16"/>
        <v>0</v>
      </c>
      <c r="AA73" s="26">
        <f t="shared" ca="1" si="16"/>
        <v>0</v>
      </c>
      <c r="AB73" s="26">
        <f t="shared" ca="1" si="16"/>
        <v>0</v>
      </c>
      <c r="AC73" s="26">
        <f t="shared" ca="1" si="16"/>
        <v>0</v>
      </c>
      <c r="AD73" s="26">
        <f t="shared" ca="1" si="16"/>
        <v>0</v>
      </c>
      <c r="AE73" s="26">
        <f t="shared" ca="1" si="16"/>
        <v>0</v>
      </c>
      <c r="AF73" s="26">
        <f t="shared" ca="1" si="16"/>
        <v>0</v>
      </c>
      <c r="AG73" s="26">
        <f t="shared" ca="1" si="16"/>
        <v>0</v>
      </c>
      <c r="AH73" s="26">
        <f t="shared" ca="1" si="16"/>
        <v>0</v>
      </c>
      <c r="AI73" s="26">
        <f t="shared" ca="1" si="16"/>
        <v>0</v>
      </c>
      <c r="AJ73" s="26">
        <f t="shared" ca="1" si="16"/>
        <v>0</v>
      </c>
      <c r="AK73" s="26">
        <f t="shared" ca="1" si="16"/>
        <v>0</v>
      </c>
      <c r="AL73" s="26">
        <f t="shared" ca="1" si="16"/>
        <v>0</v>
      </c>
    </row>
    <row r="74" spans="1:38" ht="21" hidden="1" customHeight="1" outlineLevel="1" thickBot="1" x14ac:dyDescent="0.4">
      <c r="A74" s="10">
        <f t="shared" si="15"/>
        <v>0</v>
      </c>
      <c r="B74" s="10">
        <f t="shared" si="15"/>
        <v>0</v>
      </c>
      <c r="C74" s="10">
        <f t="shared" si="15"/>
        <v>0</v>
      </c>
      <c r="D74" s="10">
        <f t="shared" si="15"/>
        <v>0</v>
      </c>
      <c r="E74" s="11">
        <f t="shared" si="15"/>
        <v>0</v>
      </c>
      <c r="F74" s="26">
        <f t="shared" ca="1" si="17"/>
        <v>0</v>
      </c>
      <c r="G74" s="26">
        <f t="shared" ca="1" si="16"/>
        <v>0</v>
      </c>
      <c r="H74" s="26">
        <f t="shared" ca="1" si="16"/>
        <v>0</v>
      </c>
      <c r="I74" s="26">
        <f t="shared" ca="1" si="16"/>
        <v>0</v>
      </c>
      <c r="J74" s="26">
        <f t="shared" ca="1" si="16"/>
        <v>0</v>
      </c>
      <c r="K74" s="26">
        <f t="shared" ca="1" si="16"/>
        <v>0</v>
      </c>
      <c r="L74" s="26">
        <f t="shared" ca="1" si="16"/>
        <v>0</v>
      </c>
      <c r="M74" s="26">
        <f t="shared" ca="1" si="16"/>
        <v>0</v>
      </c>
      <c r="N74" s="26">
        <f t="shared" ca="1" si="16"/>
        <v>0</v>
      </c>
      <c r="O74" s="26">
        <f t="shared" ca="1" si="16"/>
        <v>0</v>
      </c>
      <c r="P74" s="26">
        <f t="shared" ca="1" si="16"/>
        <v>0</v>
      </c>
      <c r="Q74" s="26">
        <f t="shared" ca="1" si="16"/>
        <v>0</v>
      </c>
      <c r="R74" s="26">
        <f t="shared" ca="1" si="16"/>
        <v>0</v>
      </c>
      <c r="S74" s="26">
        <f t="shared" ca="1" si="16"/>
        <v>0</v>
      </c>
      <c r="T74" s="26">
        <f t="shared" ca="1" si="16"/>
        <v>0</v>
      </c>
      <c r="U74" s="26">
        <f t="shared" ca="1" si="16"/>
        <v>0</v>
      </c>
      <c r="V74" s="26">
        <f t="shared" ca="1" si="16"/>
        <v>0</v>
      </c>
      <c r="W74" s="26">
        <f t="shared" ca="1" si="16"/>
        <v>0</v>
      </c>
      <c r="X74" s="26">
        <f t="shared" ca="1" si="16"/>
        <v>0</v>
      </c>
      <c r="Y74" s="26">
        <f t="shared" ca="1" si="16"/>
        <v>0</v>
      </c>
      <c r="Z74" s="26">
        <f t="shared" ca="1" si="16"/>
        <v>0</v>
      </c>
      <c r="AA74" s="26">
        <f t="shared" ca="1" si="16"/>
        <v>0</v>
      </c>
      <c r="AB74" s="26">
        <f t="shared" ca="1" si="16"/>
        <v>0</v>
      </c>
      <c r="AC74" s="26">
        <f t="shared" ca="1" si="16"/>
        <v>0</v>
      </c>
      <c r="AD74" s="26">
        <f t="shared" ca="1" si="16"/>
        <v>0</v>
      </c>
      <c r="AE74" s="26">
        <f t="shared" ca="1" si="16"/>
        <v>0</v>
      </c>
      <c r="AF74" s="26">
        <f t="shared" ca="1" si="16"/>
        <v>0</v>
      </c>
      <c r="AG74" s="26">
        <f t="shared" ca="1" si="16"/>
        <v>0</v>
      </c>
      <c r="AH74" s="26">
        <f t="shared" ca="1" si="16"/>
        <v>0</v>
      </c>
      <c r="AI74" s="26">
        <f t="shared" ca="1" si="16"/>
        <v>0</v>
      </c>
      <c r="AJ74" s="26">
        <f t="shared" ca="1" si="16"/>
        <v>0</v>
      </c>
      <c r="AK74" s="26">
        <f t="shared" ca="1" si="16"/>
        <v>0</v>
      </c>
      <c r="AL74" s="26">
        <f t="shared" ca="1" si="16"/>
        <v>0</v>
      </c>
    </row>
    <row r="75" spans="1:38" ht="21" hidden="1" customHeight="1" outlineLevel="1" thickBot="1" x14ac:dyDescent="0.4">
      <c r="A75" s="10">
        <f t="shared" si="15"/>
        <v>0</v>
      </c>
      <c r="B75" s="10">
        <f t="shared" si="15"/>
        <v>0</v>
      </c>
      <c r="C75" s="10">
        <f t="shared" si="15"/>
        <v>0</v>
      </c>
      <c r="D75" s="10">
        <f t="shared" si="15"/>
        <v>0</v>
      </c>
      <c r="E75" s="11">
        <f t="shared" si="15"/>
        <v>0</v>
      </c>
      <c r="F75" s="26">
        <f t="shared" ca="1" si="17"/>
        <v>0</v>
      </c>
      <c r="G75" s="26">
        <f t="shared" ca="1" si="16"/>
        <v>0</v>
      </c>
      <c r="H75" s="26">
        <f t="shared" ca="1" si="16"/>
        <v>0</v>
      </c>
      <c r="I75" s="26">
        <f t="shared" ca="1" si="16"/>
        <v>0</v>
      </c>
      <c r="J75" s="26">
        <f t="shared" ca="1" si="16"/>
        <v>0</v>
      </c>
      <c r="K75" s="26">
        <f t="shared" ca="1" si="16"/>
        <v>0</v>
      </c>
      <c r="L75" s="26">
        <f t="shared" ca="1" si="16"/>
        <v>0</v>
      </c>
      <c r="M75" s="26">
        <f t="shared" ca="1" si="16"/>
        <v>0</v>
      </c>
      <c r="N75" s="26">
        <f t="shared" ca="1" si="16"/>
        <v>0</v>
      </c>
      <c r="O75" s="26">
        <f t="shared" ca="1" si="16"/>
        <v>0</v>
      </c>
      <c r="P75" s="26">
        <f t="shared" ca="1" si="16"/>
        <v>0</v>
      </c>
      <c r="Q75" s="26">
        <f t="shared" ref="G75:AL78" ca="1" si="18">$A75*H.Ar + $B75*H.Se + $C75*H.Ge + $D75*H.Ga</f>
        <v>0</v>
      </c>
      <c r="R75" s="26">
        <f t="shared" ca="1" si="18"/>
        <v>0</v>
      </c>
      <c r="S75" s="26">
        <f t="shared" ca="1" si="18"/>
        <v>0</v>
      </c>
      <c r="T75" s="26">
        <f t="shared" ca="1" si="18"/>
        <v>0</v>
      </c>
      <c r="U75" s="26">
        <f t="shared" ca="1" si="18"/>
        <v>0</v>
      </c>
      <c r="V75" s="26">
        <f t="shared" ca="1" si="18"/>
        <v>0</v>
      </c>
      <c r="W75" s="26">
        <f t="shared" ca="1" si="18"/>
        <v>0</v>
      </c>
      <c r="X75" s="26">
        <f t="shared" ca="1" si="18"/>
        <v>0</v>
      </c>
      <c r="Y75" s="26">
        <f t="shared" ca="1" si="18"/>
        <v>0</v>
      </c>
      <c r="Z75" s="26">
        <f t="shared" ca="1" si="18"/>
        <v>0</v>
      </c>
      <c r="AA75" s="26">
        <f t="shared" ca="1" si="18"/>
        <v>0</v>
      </c>
      <c r="AB75" s="26">
        <f t="shared" ca="1" si="18"/>
        <v>0</v>
      </c>
      <c r="AC75" s="26">
        <f t="shared" ca="1" si="18"/>
        <v>0</v>
      </c>
      <c r="AD75" s="26">
        <f t="shared" ca="1" si="18"/>
        <v>0</v>
      </c>
      <c r="AE75" s="26">
        <f t="shared" ca="1" si="18"/>
        <v>0</v>
      </c>
      <c r="AF75" s="26">
        <f t="shared" ca="1" si="18"/>
        <v>0</v>
      </c>
      <c r="AG75" s="26">
        <f t="shared" ca="1" si="18"/>
        <v>0</v>
      </c>
      <c r="AH75" s="26">
        <f t="shared" ca="1" si="18"/>
        <v>0</v>
      </c>
      <c r="AI75" s="26">
        <f t="shared" ca="1" si="18"/>
        <v>0</v>
      </c>
      <c r="AJ75" s="26">
        <f t="shared" ca="1" si="18"/>
        <v>0</v>
      </c>
      <c r="AK75" s="26">
        <f t="shared" ca="1" si="18"/>
        <v>0</v>
      </c>
      <c r="AL75" s="26">
        <f t="shared" ca="1" si="18"/>
        <v>0</v>
      </c>
    </row>
    <row r="76" spans="1:38" ht="21" hidden="1" customHeight="1" outlineLevel="1" thickBot="1" x14ac:dyDescent="0.4">
      <c r="A76" s="10">
        <f t="shared" si="15"/>
        <v>0</v>
      </c>
      <c r="B76" s="10">
        <f t="shared" si="15"/>
        <v>0</v>
      </c>
      <c r="C76" s="10">
        <f t="shared" si="15"/>
        <v>0</v>
      </c>
      <c r="D76" s="10">
        <f t="shared" si="15"/>
        <v>0</v>
      </c>
      <c r="E76" s="11">
        <f t="shared" si="15"/>
        <v>0</v>
      </c>
      <c r="F76" s="26">
        <f t="shared" ca="1" si="17"/>
        <v>0</v>
      </c>
      <c r="G76" s="26">
        <f t="shared" ca="1" si="18"/>
        <v>0</v>
      </c>
      <c r="H76" s="26">
        <f t="shared" ca="1" si="18"/>
        <v>0</v>
      </c>
      <c r="I76" s="26">
        <f t="shared" ca="1" si="18"/>
        <v>0</v>
      </c>
      <c r="J76" s="26">
        <f t="shared" ca="1" si="18"/>
        <v>0</v>
      </c>
      <c r="K76" s="26">
        <f t="shared" ca="1" si="18"/>
        <v>0</v>
      </c>
      <c r="L76" s="26">
        <f t="shared" ca="1" si="18"/>
        <v>0</v>
      </c>
      <c r="M76" s="26">
        <f t="shared" ca="1" si="18"/>
        <v>0</v>
      </c>
      <c r="N76" s="26">
        <f t="shared" ca="1" si="18"/>
        <v>0</v>
      </c>
      <c r="O76" s="26">
        <f t="shared" ca="1" si="18"/>
        <v>0</v>
      </c>
      <c r="P76" s="26">
        <f t="shared" ca="1" si="18"/>
        <v>0</v>
      </c>
      <c r="Q76" s="26">
        <f t="shared" ca="1" si="18"/>
        <v>0</v>
      </c>
      <c r="R76" s="26">
        <f t="shared" ca="1" si="18"/>
        <v>0</v>
      </c>
      <c r="S76" s="26">
        <f t="shared" ca="1" si="18"/>
        <v>0</v>
      </c>
      <c r="T76" s="26">
        <f t="shared" ca="1" si="18"/>
        <v>0</v>
      </c>
      <c r="U76" s="26">
        <f t="shared" ca="1" si="18"/>
        <v>0</v>
      </c>
      <c r="V76" s="26">
        <f t="shared" ca="1" si="18"/>
        <v>0</v>
      </c>
      <c r="W76" s="26">
        <f t="shared" ca="1" si="18"/>
        <v>0</v>
      </c>
      <c r="X76" s="26">
        <f t="shared" ca="1" si="18"/>
        <v>0</v>
      </c>
      <c r="Y76" s="26">
        <f t="shared" ca="1" si="18"/>
        <v>0</v>
      </c>
      <c r="Z76" s="26">
        <f t="shared" ca="1" si="18"/>
        <v>0</v>
      </c>
      <c r="AA76" s="26">
        <f t="shared" ca="1" si="18"/>
        <v>0</v>
      </c>
      <c r="AB76" s="26">
        <f t="shared" ca="1" si="18"/>
        <v>0</v>
      </c>
      <c r="AC76" s="26">
        <f t="shared" ca="1" si="18"/>
        <v>0</v>
      </c>
      <c r="AD76" s="26">
        <f t="shared" ca="1" si="18"/>
        <v>0</v>
      </c>
      <c r="AE76" s="26">
        <f t="shared" ca="1" si="18"/>
        <v>0</v>
      </c>
      <c r="AF76" s="26">
        <f t="shared" ca="1" si="18"/>
        <v>0</v>
      </c>
      <c r="AG76" s="26">
        <f t="shared" ca="1" si="18"/>
        <v>0</v>
      </c>
      <c r="AH76" s="26">
        <f t="shared" ca="1" si="18"/>
        <v>0</v>
      </c>
      <c r="AI76" s="26">
        <f t="shared" ca="1" si="18"/>
        <v>0</v>
      </c>
      <c r="AJ76" s="26">
        <f t="shared" ca="1" si="18"/>
        <v>0</v>
      </c>
      <c r="AK76" s="26">
        <f t="shared" ca="1" si="18"/>
        <v>0</v>
      </c>
      <c r="AL76" s="26">
        <f t="shared" ca="1" si="18"/>
        <v>0</v>
      </c>
    </row>
    <row r="77" spans="1:38" ht="21" hidden="1" customHeight="1" outlineLevel="1" thickBot="1" x14ac:dyDescent="0.4">
      <c r="A77" s="10">
        <f t="shared" si="15"/>
        <v>0</v>
      </c>
      <c r="B77" s="10">
        <f t="shared" si="15"/>
        <v>0</v>
      </c>
      <c r="C77" s="10">
        <f t="shared" si="15"/>
        <v>0</v>
      </c>
      <c r="D77" s="10">
        <f t="shared" si="15"/>
        <v>0</v>
      </c>
      <c r="E77" s="11">
        <f t="shared" si="15"/>
        <v>0</v>
      </c>
      <c r="F77" s="26">
        <f t="shared" ca="1" si="17"/>
        <v>0</v>
      </c>
      <c r="G77" s="26">
        <f t="shared" ca="1" si="18"/>
        <v>0</v>
      </c>
      <c r="H77" s="26">
        <f t="shared" ca="1" si="18"/>
        <v>0</v>
      </c>
      <c r="I77" s="26">
        <f t="shared" ca="1" si="18"/>
        <v>0</v>
      </c>
      <c r="J77" s="26">
        <f t="shared" ca="1" si="18"/>
        <v>0</v>
      </c>
      <c r="K77" s="26">
        <f t="shared" ca="1" si="18"/>
        <v>0</v>
      </c>
      <c r="L77" s="26">
        <f t="shared" ca="1" si="18"/>
        <v>0</v>
      </c>
      <c r="M77" s="26">
        <f t="shared" ca="1" si="18"/>
        <v>0</v>
      </c>
      <c r="N77" s="26">
        <f t="shared" ca="1" si="18"/>
        <v>0</v>
      </c>
      <c r="O77" s="26">
        <f t="shared" ca="1" si="18"/>
        <v>0</v>
      </c>
      <c r="P77" s="26">
        <f t="shared" ca="1" si="18"/>
        <v>0</v>
      </c>
      <c r="Q77" s="26">
        <f t="shared" ca="1" si="18"/>
        <v>0</v>
      </c>
      <c r="R77" s="26">
        <f t="shared" ca="1" si="18"/>
        <v>0</v>
      </c>
      <c r="S77" s="26">
        <f t="shared" ca="1" si="18"/>
        <v>0</v>
      </c>
      <c r="T77" s="26">
        <f t="shared" ca="1" si="18"/>
        <v>0</v>
      </c>
      <c r="U77" s="26">
        <f t="shared" ca="1" si="18"/>
        <v>0</v>
      </c>
      <c r="V77" s="26">
        <f t="shared" ca="1" si="18"/>
        <v>0</v>
      </c>
      <c r="W77" s="26">
        <f t="shared" ca="1" si="18"/>
        <v>0</v>
      </c>
      <c r="X77" s="26">
        <f t="shared" ca="1" si="18"/>
        <v>0</v>
      </c>
      <c r="Y77" s="26">
        <f t="shared" ca="1" si="18"/>
        <v>0</v>
      </c>
      <c r="Z77" s="26">
        <f t="shared" ca="1" si="18"/>
        <v>0</v>
      </c>
      <c r="AA77" s="26">
        <f t="shared" ca="1" si="18"/>
        <v>0</v>
      </c>
      <c r="AB77" s="26">
        <f t="shared" ca="1" si="18"/>
        <v>0</v>
      </c>
      <c r="AC77" s="26">
        <f t="shared" ca="1" si="18"/>
        <v>0</v>
      </c>
      <c r="AD77" s="26">
        <f t="shared" ca="1" si="18"/>
        <v>0</v>
      </c>
      <c r="AE77" s="26">
        <f t="shared" ca="1" si="18"/>
        <v>0</v>
      </c>
      <c r="AF77" s="26">
        <f t="shared" ca="1" si="18"/>
        <v>0</v>
      </c>
      <c r="AG77" s="26">
        <f t="shared" ca="1" si="18"/>
        <v>0</v>
      </c>
      <c r="AH77" s="26">
        <f t="shared" ca="1" si="18"/>
        <v>0</v>
      </c>
      <c r="AI77" s="26">
        <f t="shared" ca="1" si="18"/>
        <v>0</v>
      </c>
      <c r="AJ77" s="26">
        <f t="shared" ca="1" si="18"/>
        <v>0</v>
      </c>
      <c r="AK77" s="26">
        <f t="shared" ca="1" si="18"/>
        <v>0</v>
      </c>
      <c r="AL77" s="26">
        <f t="shared" ca="1" si="18"/>
        <v>0</v>
      </c>
    </row>
    <row r="78" spans="1:38" ht="21" hidden="1" customHeight="1" outlineLevel="1" thickBot="1" x14ac:dyDescent="0.4">
      <c r="A78" s="10">
        <f t="shared" si="15"/>
        <v>0</v>
      </c>
      <c r="B78" s="10">
        <f t="shared" si="15"/>
        <v>0</v>
      </c>
      <c r="C78" s="10">
        <f t="shared" si="15"/>
        <v>0</v>
      </c>
      <c r="D78" s="10">
        <f t="shared" si="15"/>
        <v>0</v>
      </c>
      <c r="E78" s="11">
        <f t="shared" si="15"/>
        <v>0</v>
      </c>
      <c r="F78" s="26">
        <f t="shared" ca="1" si="17"/>
        <v>0</v>
      </c>
      <c r="G78" s="26">
        <f t="shared" ca="1" si="18"/>
        <v>0</v>
      </c>
      <c r="H78" s="26">
        <f t="shared" ca="1" si="18"/>
        <v>0</v>
      </c>
      <c r="I78" s="26">
        <f t="shared" ca="1" si="18"/>
        <v>0</v>
      </c>
      <c r="J78" s="26">
        <f t="shared" ca="1" si="18"/>
        <v>0</v>
      </c>
      <c r="K78" s="26">
        <f t="shared" ca="1" si="18"/>
        <v>0</v>
      </c>
      <c r="L78" s="26">
        <f t="shared" ca="1" si="18"/>
        <v>0</v>
      </c>
      <c r="M78" s="26">
        <f t="shared" ca="1" si="18"/>
        <v>0</v>
      </c>
      <c r="N78" s="26">
        <f t="shared" ca="1" si="18"/>
        <v>0</v>
      </c>
      <c r="O78" s="26">
        <f t="shared" ca="1" si="18"/>
        <v>0</v>
      </c>
      <c r="P78" s="26">
        <f t="shared" ca="1" si="18"/>
        <v>0</v>
      </c>
      <c r="Q78" s="26">
        <f t="shared" ca="1" si="18"/>
        <v>0</v>
      </c>
      <c r="R78" s="26">
        <f t="shared" ca="1" si="18"/>
        <v>0</v>
      </c>
      <c r="S78" s="26">
        <f t="shared" ca="1" si="18"/>
        <v>0</v>
      </c>
      <c r="T78" s="26">
        <f t="shared" ca="1" si="18"/>
        <v>0</v>
      </c>
      <c r="U78" s="26">
        <f t="shared" ca="1" si="18"/>
        <v>0</v>
      </c>
      <c r="V78" s="26">
        <f t="shared" ca="1" si="18"/>
        <v>0</v>
      </c>
      <c r="W78" s="26">
        <f t="shared" ca="1" si="18"/>
        <v>0</v>
      </c>
      <c r="X78" s="26">
        <f t="shared" ca="1" si="18"/>
        <v>0</v>
      </c>
      <c r="Y78" s="26">
        <f t="shared" ca="1" si="18"/>
        <v>0</v>
      </c>
      <c r="Z78" s="26">
        <f t="shared" ca="1" si="18"/>
        <v>0</v>
      </c>
      <c r="AA78" s="26">
        <f t="shared" ca="1" si="18"/>
        <v>0</v>
      </c>
      <c r="AB78" s="26">
        <f t="shared" ca="1" si="18"/>
        <v>0</v>
      </c>
      <c r="AC78" s="26">
        <f t="shared" ca="1" si="18"/>
        <v>0</v>
      </c>
      <c r="AD78" s="26">
        <f t="shared" ca="1" si="18"/>
        <v>0</v>
      </c>
      <c r="AE78" s="26">
        <f t="shared" ca="1" si="18"/>
        <v>0</v>
      </c>
      <c r="AF78" s="26">
        <f t="shared" ca="1" si="18"/>
        <v>0</v>
      </c>
      <c r="AG78" s="26">
        <f t="shared" ca="1" si="18"/>
        <v>0</v>
      </c>
      <c r="AH78" s="26">
        <f t="shared" ca="1" si="18"/>
        <v>0</v>
      </c>
      <c r="AI78" s="26">
        <f t="shared" ca="1" si="18"/>
        <v>0</v>
      </c>
      <c r="AJ78" s="26">
        <f t="shared" ca="1" si="18"/>
        <v>0</v>
      </c>
      <c r="AK78" s="26">
        <f t="shared" ca="1" si="18"/>
        <v>0</v>
      </c>
      <c r="AL78" s="26">
        <f t="shared" ca="1" si="18"/>
        <v>0</v>
      </c>
    </row>
    <row r="79" spans="1:38" ht="21" hidden="1" customHeight="1" outlineLevel="1" thickBot="1" x14ac:dyDescent="0.4">
      <c r="A79" s="10">
        <f t="shared" si="15"/>
        <v>0</v>
      </c>
      <c r="B79" s="10">
        <f t="shared" si="15"/>
        <v>0</v>
      </c>
      <c r="C79" s="10">
        <f t="shared" si="15"/>
        <v>0</v>
      </c>
      <c r="D79" s="10">
        <f t="shared" si="15"/>
        <v>0</v>
      </c>
      <c r="E79" s="11">
        <f t="shared" si="15"/>
        <v>1</v>
      </c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1:38" ht="21" hidden="1" customHeight="1" outlineLevel="1" x14ac:dyDescent="0.35"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</row>
    <row r="81" spans="1:41" ht="21" customHeight="1" collapsed="1" x14ac:dyDescent="0.35"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</row>
    <row r="82" spans="1:41" ht="21" customHeight="1" x14ac:dyDescent="0.4">
      <c r="A82" s="26"/>
      <c r="B82" s="26"/>
      <c r="C82" s="38">
        <f>E41</f>
        <v>5</v>
      </c>
      <c r="D82" s="3"/>
      <c r="E82" s="4" t="s">
        <v>29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81"/>
      <c r="AN82" s="81"/>
      <c r="AO82" s="81"/>
    </row>
    <row r="83" spans="1:41" ht="21" hidden="1" customHeight="1" outlineLevel="1" thickTop="1" thickBot="1" x14ac:dyDescent="0.4">
      <c r="A83" s="24" t="s">
        <v>1</v>
      </c>
      <c r="B83" s="7" t="s">
        <v>2</v>
      </c>
      <c r="C83" s="7" t="s">
        <v>3</v>
      </c>
      <c r="D83" s="25" t="s">
        <v>4</v>
      </c>
      <c r="E83" s="8">
        <f t="shared" ref="E83:E113" si="19">E49</f>
        <v>0</v>
      </c>
      <c r="F83" s="8">
        <f t="shared" ref="F83:AL83" si="20">F3</f>
        <v>273.10000000000002</v>
      </c>
      <c r="G83" s="8">
        <f t="shared" si="20"/>
        <v>293.3</v>
      </c>
      <c r="H83" s="8">
        <f t="shared" si="20"/>
        <v>313.5</v>
      </c>
      <c r="I83" s="8">
        <f t="shared" si="20"/>
        <v>333.7</v>
      </c>
      <c r="J83" s="8">
        <f t="shared" si="20"/>
        <v>353.9</v>
      </c>
      <c r="K83" s="8">
        <f t="shared" si="20"/>
        <v>434.7</v>
      </c>
      <c r="L83" s="8">
        <f t="shared" si="20"/>
        <v>454.9</v>
      </c>
      <c r="M83" s="8">
        <f t="shared" si="20"/>
        <v>475.1</v>
      </c>
      <c r="N83" s="8">
        <f t="shared" si="20"/>
        <v>495.2</v>
      </c>
      <c r="O83" s="8">
        <f t="shared" si="20"/>
        <v>515.4</v>
      </c>
      <c r="P83" s="8">
        <f t="shared" si="20"/>
        <v>535.6</v>
      </c>
      <c r="Q83" s="8">
        <f t="shared" si="20"/>
        <v>555.79999999999995</v>
      </c>
      <c r="R83" s="8">
        <f t="shared" si="20"/>
        <v>576</v>
      </c>
      <c r="S83" s="8">
        <f t="shared" si="20"/>
        <v>596.20000000000005</v>
      </c>
      <c r="T83" s="8">
        <f t="shared" si="20"/>
        <v>677</v>
      </c>
      <c r="U83" s="8">
        <f t="shared" si="20"/>
        <v>757.7</v>
      </c>
      <c r="V83" s="8">
        <f t="shared" si="20"/>
        <v>838.5</v>
      </c>
      <c r="W83" s="8">
        <f t="shared" si="20"/>
        <v>919.2</v>
      </c>
      <c r="X83" s="8">
        <f t="shared" si="20"/>
        <v>1000</v>
      </c>
      <c r="Y83" s="8">
        <f t="shared" si="20"/>
        <v>0</v>
      </c>
      <c r="Z83" s="8">
        <f t="shared" si="20"/>
        <v>0</v>
      </c>
      <c r="AA83" s="8">
        <f t="shared" si="20"/>
        <v>0</v>
      </c>
      <c r="AB83" s="8">
        <f t="shared" si="20"/>
        <v>0</v>
      </c>
      <c r="AC83" s="8">
        <f t="shared" si="20"/>
        <v>0</v>
      </c>
      <c r="AD83" s="8">
        <f t="shared" si="20"/>
        <v>0</v>
      </c>
      <c r="AE83" s="8">
        <f t="shared" si="20"/>
        <v>0</v>
      </c>
      <c r="AF83" s="8">
        <f t="shared" si="20"/>
        <v>0</v>
      </c>
      <c r="AG83" s="8">
        <f t="shared" si="20"/>
        <v>0</v>
      </c>
      <c r="AH83" s="8">
        <f t="shared" si="20"/>
        <v>0</v>
      </c>
      <c r="AI83" s="8">
        <f t="shared" si="20"/>
        <v>0</v>
      </c>
      <c r="AJ83" s="8">
        <f t="shared" si="20"/>
        <v>0</v>
      </c>
      <c r="AK83" s="8">
        <f t="shared" si="20"/>
        <v>0</v>
      </c>
      <c r="AL83" s="8">
        <f t="shared" si="20"/>
        <v>0</v>
      </c>
    </row>
    <row r="84" spans="1:41" ht="21" hidden="1" customHeight="1" outlineLevel="1" thickTop="1" thickBot="1" x14ac:dyDescent="0.4">
      <c r="A84" s="10">
        <f>A50</f>
        <v>0</v>
      </c>
      <c r="B84" s="10">
        <f t="shared" ref="B84:D84" si="21">B50</f>
        <v>0</v>
      </c>
      <c r="C84" s="10">
        <f t="shared" si="21"/>
        <v>1</v>
      </c>
      <c r="D84" s="10">
        <f t="shared" si="21"/>
        <v>0</v>
      </c>
      <c r="E84" s="11" t="str">
        <f t="shared" si="19"/>
        <v>*Ge[l]</v>
      </c>
      <c r="F84" s="26">
        <f t="shared" ref="F84:U91" si="22">F4*$C$82</f>
        <v>0</v>
      </c>
      <c r="G84" s="26">
        <f t="shared" si="22"/>
        <v>0</v>
      </c>
      <c r="H84" s="26">
        <f t="shared" si="22"/>
        <v>0</v>
      </c>
      <c r="I84" s="26">
        <f t="shared" si="22"/>
        <v>0</v>
      </c>
      <c r="J84" s="26">
        <f t="shared" si="22"/>
        <v>0</v>
      </c>
      <c r="K84" s="26">
        <f t="shared" si="22"/>
        <v>0</v>
      </c>
      <c r="L84" s="26">
        <f t="shared" si="22"/>
        <v>0</v>
      </c>
      <c r="M84" s="26">
        <f t="shared" si="22"/>
        <v>0</v>
      </c>
      <c r="N84" s="26">
        <f t="shared" si="22"/>
        <v>0</v>
      </c>
      <c r="O84" s="26">
        <f t="shared" si="22"/>
        <v>0</v>
      </c>
      <c r="P84" s="26">
        <f t="shared" si="22"/>
        <v>0</v>
      </c>
      <c r="Q84" s="26">
        <f t="shared" si="22"/>
        <v>4.3914499999999998E-28</v>
      </c>
      <c r="R84" s="26">
        <f t="shared" si="22"/>
        <v>1.8881500000000001E-22</v>
      </c>
      <c r="S84" s="26">
        <f t="shared" si="22"/>
        <v>1.76225E-17</v>
      </c>
      <c r="T84" s="26">
        <f t="shared" si="22"/>
        <v>9.4564999999999991E-13</v>
      </c>
      <c r="U84" s="26">
        <f t="shared" si="22"/>
        <v>1.1736499999999999E-11</v>
      </c>
      <c r="V84" s="26">
        <f t="shared" ref="G84:AL92" si="23">V4*$C$82</f>
        <v>6.0730000000000006E-10</v>
      </c>
      <c r="W84" s="26">
        <f t="shared" si="23"/>
        <v>1.583E-9</v>
      </c>
      <c r="X84" s="26">
        <f t="shared" si="23"/>
        <v>2.2318000000000002E-8</v>
      </c>
      <c r="Y84" s="26">
        <f t="shared" si="23"/>
        <v>0</v>
      </c>
      <c r="Z84" s="26">
        <f t="shared" si="23"/>
        <v>0</v>
      </c>
      <c r="AA84" s="26">
        <f t="shared" si="23"/>
        <v>0</v>
      </c>
      <c r="AB84" s="26">
        <f t="shared" si="23"/>
        <v>0</v>
      </c>
      <c r="AC84" s="26">
        <f t="shared" si="23"/>
        <v>0</v>
      </c>
      <c r="AD84" s="26">
        <f t="shared" si="23"/>
        <v>0</v>
      </c>
      <c r="AE84" s="26">
        <f t="shared" si="23"/>
        <v>0</v>
      </c>
      <c r="AF84" s="26">
        <f t="shared" si="23"/>
        <v>0</v>
      </c>
      <c r="AG84" s="26">
        <f t="shared" si="23"/>
        <v>0</v>
      </c>
      <c r="AH84" s="26">
        <f t="shared" si="23"/>
        <v>0</v>
      </c>
      <c r="AI84" s="26">
        <f t="shared" si="23"/>
        <v>0</v>
      </c>
      <c r="AJ84" s="26">
        <f t="shared" si="23"/>
        <v>0</v>
      </c>
      <c r="AK84" s="26">
        <f t="shared" si="23"/>
        <v>0</v>
      </c>
      <c r="AL84" s="26">
        <f t="shared" si="23"/>
        <v>0</v>
      </c>
    </row>
    <row r="85" spans="1:41" ht="21" hidden="1" customHeight="1" outlineLevel="1" thickBot="1" x14ac:dyDescent="0.4">
      <c r="A85" s="10">
        <f t="shared" ref="A85:D100" si="24">A51</f>
        <v>0</v>
      </c>
      <c r="B85" s="10">
        <f t="shared" si="24"/>
        <v>0</v>
      </c>
      <c r="C85" s="10">
        <f t="shared" si="24"/>
        <v>1</v>
      </c>
      <c r="D85" s="10">
        <f t="shared" si="24"/>
        <v>0</v>
      </c>
      <c r="E85" s="11" t="str">
        <f t="shared" si="19"/>
        <v>*Ge</v>
      </c>
      <c r="F85" s="26">
        <f t="shared" si="22"/>
        <v>0</v>
      </c>
      <c r="G85" s="26">
        <f t="shared" si="23"/>
        <v>0</v>
      </c>
      <c r="H85" s="26">
        <f t="shared" si="23"/>
        <v>0</v>
      </c>
      <c r="I85" s="26">
        <f t="shared" si="23"/>
        <v>0</v>
      </c>
      <c r="J85" s="26">
        <f t="shared" si="23"/>
        <v>0</v>
      </c>
      <c r="K85" s="26">
        <f t="shared" si="23"/>
        <v>2.5463999999999998E-16</v>
      </c>
      <c r="L85" s="26">
        <f t="shared" si="23"/>
        <v>9.2054999999999999E-12</v>
      </c>
      <c r="M85" s="26">
        <f t="shared" si="23"/>
        <v>7.062E-10</v>
      </c>
      <c r="N85" s="26">
        <f t="shared" si="23"/>
        <v>8.9019999999999992E-9</v>
      </c>
      <c r="O85" s="26">
        <f t="shared" si="23"/>
        <v>0.49999500000000002</v>
      </c>
      <c r="P85" s="26">
        <f t="shared" si="23"/>
        <v>0.5</v>
      </c>
      <c r="Q85" s="26">
        <f t="shared" si="23"/>
        <v>0.5</v>
      </c>
      <c r="R85" s="26">
        <f t="shared" si="23"/>
        <v>0.5</v>
      </c>
      <c r="S85" s="26">
        <f t="shared" si="23"/>
        <v>0.5</v>
      </c>
      <c r="T85" s="26">
        <f t="shared" si="23"/>
        <v>0.5</v>
      </c>
      <c r="U85" s="26">
        <f t="shared" si="23"/>
        <v>0.5</v>
      </c>
      <c r="V85" s="26">
        <f t="shared" si="23"/>
        <v>0.5</v>
      </c>
      <c r="W85" s="26">
        <f t="shared" si="23"/>
        <v>0.5</v>
      </c>
      <c r="X85" s="26">
        <f t="shared" si="23"/>
        <v>0.5</v>
      </c>
      <c r="Y85" s="26">
        <f t="shared" si="23"/>
        <v>0</v>
      </c>
      <c r="Z85" s="26">
        <f t="shared" si="23"/>
        <v>0</v>
      </c>
      <c r="AA85" s="26">
        <f t="shared" si="23"/>
        <v>0</v>
      </c>
      <c r="AB85" s="26">
        <f t="shared" si="23"/>
        <v>0</v>
      </c>
      <c r="AC85" s="26">
        <f t="shared" si="23"/>
        <v>0</v>
      </c>
      <c r="AD85" s="26">
        <f t="shared" si="23"/>
        <v>0</v>
      </c>
      <c r="AE85" s="26">
        <f t="shared" si="23"/>
        <v>0</v>
      </c>
      <c r="AF85" s="26">
        <f t="shared" si="23"/>
        <v>0</v>
      </c>
      <c r="AG85" s="26">
        <f t="shared" si="23"/>
        <v>0</v>
      </c>
      <c r="AH85" s="26">
        <f t="shared" si="23"/>
        <v>0</v>
      </c>
      <c r="AI85" s="26">
        <f t="shared" si="23"/>
        <v>0</v>
      </c>
      <c r="AJ85" s="26">
        <f t="shared" si="23"/>
        <v>0</v>
      </c>
      <c r="AK85" s="26">
        <f t="shared" si="23"/>
        <v>0</v>
      </c>
      <c r="AL85" s="26">
        <f t="shared" si="23"/>
        <v>0</v>
      </c>
    </row>
    <row r="86" spans="1:41" ht="21" hidden="1" customHeight="1" outlineLevel="1" thickBot="1" x14ac:dyDescent="0.4">
      <c r="A86" s="10">
        <f t="shared" si="24"/>
        <v>0</v>
      </c>
      <c r="B86" s="10">
        <f t="shared" si="24"/>
        <v>1</v>
      </c>
      <c r="C86" s="10">
        <f t="shared" si="24"/>
        <v>1</v>
      </c>
      <c r="D86" s="10">
        <f t="shared" si="24"/>
        <v>0</v>
      </c>
      <c r="E86" s="11" t="str">
        <f t="shared" si="19"/>
        <v>*GeSe</v>
      </c>
      <c r="F86" s="26">
        <f t="shared" si="22"/>
        <v>0.5</v>
      </c>
      <c r="G86" s="26">
        <f t="shared" si="23"/>
        <v>0.5</v>
      </c>
      <c r="H86" s="26">
        <f t="shared" si="23"/>
        <v>0.5</v>
      </c>
      <c r="I86" s="26">
        <f t="shared" si="23"/>
        <v>0.5</v>
      </c>
      <c r="J86" s="26">
        <f t="shared" si="23"/>
        <v>1</v>
      </c>
      <c r="K86" s="26">
        <f t="shared" si="23"/>
        <v>1</v>
      </c>
      <c r="L86" s="26">
        <f t="shared" si="23"/>
        <v>1</v>
      </c>
      <c r="M86" s="26">
        <f t="shared" si="23"/>
        <v>1</v>
      </c>
      <c r="N86" s="26">
        <f t="shared" si="23"/>
        <v>1</v>
      </c>
      <c r="O86" s="26">
        <f t="shared" si="23"/>
        <v>1.0825000000000001E-5</v>
      </c>
      <c r="P86" s="26">
        <f t="shared" si="23"/>
        <v>8.7675000000000006E-9</v>
      </c>
      <c r="Q86" s="26">
        <f t="shared" si="23"/>
        <v>1.4859E-9</v>
      </c>
      <c r="R86" s="26">
        <f t="shared" si="23"/>
        <v>3.1834500000000001E-11</v>
      </c>
      <c r="S86" s="26">
        <f t="shared" si="23"/>
        <v>1.7551000000000002E-11</v>
      </c>
      <c r="T86" s="26">
        <f t="shared" si="23"/>
        <v>5.4509999999999997E-20</v>
      </c>
      <c r="U86" s="26">
        <f t="shared" si="23"/>
        <v>0</v>
      </c>
      <c r="V86" s="26">
        <f t="shared" si="23"/>
        <v>0</v>
      </c>
      <c r="W86" s="26">
        <f t="shared" si="23"/>
        <v>0</v>
      </c>
      <c r="X86" s="26">
        <f t="shared" si="23"/>
        <v>0</v>
      </c>
      <c r="Y86" s="26">
        <f t="shared" si="23"/>
        <v>0</v>
      </c>
      <c r="Z86" s="26">
        <f t="shared" si="23"/>
        <v>0</v>
      </c>
      <c r="AA86" s="26">
        <f t="shared" si="23"/>
        <v>0</v>
      </c>
      <c r="AB86" s="26">
        <f t="shared" si="23"/>
        <v>0</v>
      </c>
      <c r="AC86" s="26">
        <f t="shared" si="23"/>
        <v>0</v>
      </c>
      <c r="AD86" s="26">
        <f t="shared" si="23"/>
        <v>0</v>
      </c>
      <c r="AE86" s="26">
        <f t="shared" si="23"/>
        <v>0</v>
      </c>
      <c r="AF86" s="26">
        <f t="shared" si="23"/>
        <v>0</v>
      </c>
      <c r="AG86" s="26">
        <f t="shared" si="23"/>
        <v>0</v>
      </c>
      <c r="AH86" s="26">
        <f t="shared" si="23"/>
        <v>0</v>
      </c>
      <c r="AI86" s="26">
        <f t="shared" si="23"/>
        <v>0</v>
      </c>
      <c r="AJ86" s="26">
        <f t="shared" si="23"/>
        <v>0</v>
      </c>
      <c r="AK86" s="26">
        <f t="shared" si="23"/>
        <v>0</v>
      </c>
      <c r="AL86" s="26">
        <f t="shared" si="23"/>
        <v>0</v>
      </c>
    </row>
    <row r="87" spans="1:41" ht="21" hidden="1" customHeight="1" outlineLevel="1" thickBot="1" x14ac:dyDescent="0.4">
      <c r="A87" s="10">
        <f t="shared" si="24"/>
        <v>0</v>
      </c>
      <c r="B87" s="10">
        <f t="shared" si="24"/>
        <v>0</v>
      </c>
      <c r="C87" s="10">
        <f t="shared" si="24"/>
        <v>0</v>
      </c>
      <c r="D87" s="10">
        <f t="shared" si="24"/>
        <v>1</v>
      </c>
      <c r="E87" s="11" t="str">
        <f t="shared" si="19"/>
        <v>*Ga</v>
      </c>
      <c r="F87" s="26">
        <f t="shared" si="22"/>
        <v>0</v>
      </c>
      <c r="G87" s="26">
        <f t="shared" si="23"/>
        <v>0</v>
      </c>
      <c r="H87" s="26">
        <f t="shared" si="23"/>
        <v>0</v>
      </c>
      <c r="I87" s="26">
        <f t="shared" si="23"/>
        <v>0</v>
      </c>
      <c r="J87" s="26">
        <f t="shared" si="23"/>
        <v>0</v>
      </c>
      <c r="K87" s="26">
        <f t="shared" si="23"/>
        <v>0</v>
      </c>
      <c r="L87" s="26">
        <f t="shared" si="23"/>
        <v>0</v>
      </c>
      <c r="M87" s="26">
        <f t="shared" si="23"/>
        <v>0</v>
      </c>
      <c r="N87" s="26">
        <f t="shared" si="23"/>
        <v>0</v>
      </c>
      <c r="O87" s="26">
        <f t="shared" si="23"/>
        <v>0</v>
      </c>
      <c r="P87" s="26">
        <f t="shared" si="23"/>
        <v>0.52900000000000003</v>
      </c>
      <c r="Q87" s="26">
        <f t="shared" si="23"/>
        <v>0.59975000000000001</v>
      </c>
      <c r="R87" s="26">
        <f t="shared" si="23"/>
        <v>0.6</v>
      </c>
      <c r="S87" s="26">
        <f t="shared" si="23"/>
        <v>0.6</v>
      </c>
      <c r="T87" s="26">
        <f t="shared" si="23"/>
        <v>0.6</v>
      </c>
      <c r="U87" s="26">
        <f t="shared" si="23"/>
        <v>0.6</v>
      </c>
      <c r="V87" s="26">
        <f t="shared" si="23"/>
        <v>0.6</v>
      </c>
      <c r="W87" s="26">
        <f t="shared" si="23"/>
        <v>0.6</v>
      </c>
      <c r="X87" s="26">
        <f t="shared" si="23"/>
        <v>0.6</v>
      </c>
      <c r="Y87" s="26">
        <f t="shared" si="23"/>
        <v>0</v>
      </c>
      <c r="Z87" s="26">
        <f t="shared" si="23"/>
        <v>0</v>
      </c>
      <c r="AA87" s="26">
        <f t="shared" si="23"/>
        <v>0</v>
      </c>
      <c r="AB87" s="26">
        <f t="shared" si="23"/>
        <v>0</v>
      </c>
      <c r="AC87" s="26">
        <f t="shared" si="23"/>
        <v>0</v>
      </c>
      <c r="AD87" s="26">
        <f t="shared" si="23"/>
        <v>0</v>
      </c>
      <c r="AE87" s="26">
        <f t="shared" si="23"/>
        <v>0</v>
      </c>
      <c r="AF87" s="26">
        <f t="shared" si="23"/>
        <v>0</v>
      </c>
      <c r="AG87" s="26">
        <f t="shared" si="23"/>
        <v>0</v>
      </c>
      <c r="AH87" s="26">
        <f t="shared" si="23"/>
        <v>0</v>
      </c>
      <c r="AI87" s="26">
        <f t="shared" si="23"/>
        <v>0</v>
      </c>
      <c r="AJ87" s="26">
        <f t="shared" si="23"/>
        <v>0</v>
      </c>
      <c r="AK87" s="26">
        <f t="shared" si="23"/>
        <v>0</v>
      </c>
      <c r="AL87" s="26">
        <f t="shared" si="23"/>
        <v>0</v>
      </c>
    </row>
    <row r="88" spans="1:41" ht="21" hidden="1" customHeight="1" outlineLevel="1" thickBot="1" x14ac:dyDescent="0.4">
      <c r="A88" s="10">
        <f t="shared" si="24"/>
        <v>0</v>
      </c>
      <c r="B88" s="10">
        <f t="shared" si="24"/>
        <v>0</v>
      </c>
      <c r="C88" s="10">
        <f t="shared" si="24"/>
        <v>1</v>
      </c>
      <c r="D88" s="10">
        <f t="shared" si="24"/>
        <v>0</v>
      </c>
      <c r="E88" s="11" t="str">
        <f t="shared" si="19"/>
        <v>*Ge[c]</v>
      </c>
      <c r="F88" s="26">
        <f t="shared" si="22"/>
        <v>0</v>
      </c>
      <c r="G88" s="26">
        <f t="shared" si="23"/>
        <v>0</v>
      </c>
      <c r="H88" s="26">
        <f t="shared" si="23"/>
        <v>0</v>
      </c>
      <c r="I88" s="26">
        <f t="shared" si="23"/>
        <v>0</v>
      </c>
      <c r="J88" s="26">
        <f t="shared" si="23"/>
        <v>0</v>
      </c>
      <c r="K88" s="26">
        <f t="shared" si="23"/>
        <v>2.5463999999999998E-16</v>
      </c>
      <c r="L88" s="26">
        <f t="shared" si="23"/>
        <v>9.2054999999999999E-12</v>
      </c>
      <c r="M88" s="26">
        <f t="shared" si="23"/>
        <v>7.062E-10</v>
      </c>
      <c r="N88" s="26">
        <f t="shared" si="23"/>
        <v>8.9019999999999992E-9</v>
      </c>
      <c r="O88" s="26">
        <f t="shared" si="23"/>
        <v>0.49999500000000002</v>
      </c>
      <c r="P88" s="26">
        <f t="shared" si="23"/>
        <v>0.5</v>
      </c>
      <c r="Q88" s="26">
        <f t="shared" si="23"/>
        <v>0.5</v>
      </c>
      <c r="R88" s="26">
        <f t="shared" si="23"/>
        <v>0.5</v>
      </c>
      <c r="S88" s="26">
        <f t="shared" si="23"/>
        <v>0.5</v>
      </c>
      <c r="T88" s="26">
        <f t="shared" si="23"/>
        <v>0.5</v>
      </c>
      <c r="U88" s="26">
        <f t="shared" si="23"/>
        <v>0.5</v>
      </c>
      <c r="V88" s="26">
        <f t="shared" si="23"/>
        <v>0.5</v>
      </c>
      <c r="W88" s="26">
        <f t="shared" si="23"/>
        <v>0.5</v>
      </c>
      <c r="X88" s="26">
        <f t="shared" si="23"/>
        <v>0.5</v>
      </c>
      <c r="Y88" s="26">
        <f t="shared" si="23"/>
        <v>0</v>
      </c>
      <c r="Z88" s="26">
        <f t="shared" si="23"/>
        <v>0</v>
      </c>
      <c r="AA88" s="26">
        <f t="shared" si="23"/>
        <v>0</v>
      </c>
      <c r="AB88" s="26">
        <f t="shared" si="23"/>
        <v>0</v>
      </c>
      <c r="AC88" s="26">
        <f t="shared" si="23"/>
        <v>0</v>
      </c>
      <c r="AD88" s="26">
        <f t="shared" si="23"/>
        <v>0</v>
      </c>
      <c r="AE88" s="26">
        <f t="shared" si="23"/>
        <v>0</v>
      </c>
      <c r="AF88" s="26">
        <f t="shared" si="23"/>
        <v>0</v>
      </c>
      <c r="AG88" s="26">
        <f t="shared" si="23"/>
        <v>0</v>
      </c>
      <c r="AH88" s="26">
        <f t="shared" si="23"/>
        <v>0</v>
      </c>
      <c r="AI88" s="26">
        <f t="shared" si="23"/>
        <v>0</v>
      </c>
      <c r="AJ88" s="26">
        <f t="shared" si="23"/>
        <v>0</v>
      </c>
      <c r="AK88" s="26">
        <f t="shared" si="23"/>
        <v>0</v>
      </c>
      <c r="AL88" s="26">
        <f t="shared" si="23"/>
        <v>0</v>
      </c>
    </row>
    <row r="89" spans="1:41" ht="21" hidden="1" customHeight="1" outlineLevel="1" thickBot="1" x14ac:dyDescent="0.4">
      <c r="A89" s="10">
        <f t="shared" si="24"/>
        <v>0</v>
      </c>
      <c r="B89" s="10">
        <f t="shared" si="24"/>
        <v>1</v>
      </c>
      <c r="C89" s="10">
        <f t="shared" si="24"/>
        <v>0</v>
      </c>
      <c r="D89" s="10">
        <f t="shared" si="24"/>
        <v>0</v>
      </c>
      <c r="E89" s="11" t="str">
        <f t="shared" si="19"/>
        <v>*Se[m]</v>
      </c>
      <c r="F89" s="26">
        <f t="shared" si="22"/>
        <v>7.2345000000000001E-21</v>
      </c>
      <c r="G89" s="26">
        <f t="shared" si="23"/>
        <v>1.43555E-15</v>
      </c>
      <c r="H89" s="26">
        <f t="shared" si="23"/>
        <v>9.2644999999999994E-10</v>
      </c>
      <c r="I89" s="26">
        <f t="shared" si="23"/>
        <v>1.2845000000000002E-7</v>
      </c>
      <c r="J89" s="26">
        <f t="shared" si="23"/>
        <v>0.5</v>
      </c>
      <c r="K89" s="26">
        <f t="shared" si="23"/>
        <v>0.5</v>
      </c>
      <c r="L89" s="26">
        <f t="shared" si="23"/>
        <v>0.5</v>
      </c>
      <c r="M89" s="26">
        <f t="shared" si="23"/>
        <v>0.5</v>
      </c>
      <c r="N89" s="26">
        <f t="shared" si="23"/>
        <v>0.5</v>
      </c>
      <c r="O89" s="26">
        <f t="shared" si="23"/>
        <v>1.5</v>
      </c>
      <c r="P89" s="26">
        <f t="shared" si="23"/>
        <v>2.2934999999999999</v>
      </c>
      <c r="Q89" s="26">
        <f t="shared" si="23"/>
        <v>2.3996</v>
      </c>
      <c r="R89" s="26">
        <f t="shared" si="23"/>
        <v>2.4</v>
      </c>
      <c r="S89" s="26">
        <f t="shared" si="23"/>
        <v>2.4</v>
      </c>
      <c r="T89" s="26">
        <f t="shared" si="23"/>
        <v>2.4</v>
      </c>
      <c r="U89" s="26">
        <f t="shared" si="23"/>
        <v>2.4</v>
      </c>
      <c r="V89" s="26">
        <f t="shared" si="23"/>
        <v>2.4</v>
      </c>
      <c r="W89" s="26">
        <f t="shared" si="23"/>
        <v>2.4</v>
      </c>
      <c r="X89" s="26">
        <f t="shared" si="23"/>
        <v>2.4</v>
      </c>
      <c r="Y89" s="26">
        <f t="shared" si="23"/>
        <v>0</v>
      </c>
      <c r="Z89" s="26">
        <f t="shared" si="23"/>
        <v>0</v>
      </c>
      <c r="AA89" s="26">
        <f t="shared" si="23"/>
        <v>0</v>
      </c>
      <c r="AB89" s="26">
        <f t="shared" si="23"/>
        <v>0</v>
      </c>
      <c r="AC89" s="26">
        <f t="shared" si="23"/>
        <v>0</v>
      </c>
      <c r="AD89" s="26">
        <f t="shared" si="23"/>
        <v>0</v>
      </c>
      <c r="AE89" s="26">
        <f t="shared" si="23"/>
        <v>0</v>
      </c>
      <c r="AF89" s="26">
        <f t="shared" si="23"/>
        <v>0</v>
      </c>
      <c r="AG89" s="26">
        <f t="shared" si="23"/>
        <v>0</v>
      </c>
      <c r="AH89" s="26">
        <f t="shared" si="23"/>
        <v>0</v>
      </c>
      <c r="AI89" s="26">
        <f t="shared" si="23"/>
        <v>0</v>
      </c>
      <c r="AJ89" s="26">
        <f t="shared" si="23"/>
        <v>0</v>
      </c>
      <c r="AK89" s="26">
        <f t="shared" si="23"/>
        <v>0</v>
      </c>
      <c r="AL89" s="26">
        <f t="shared" si="23"/>
        <v>0</v>
      </c>
    </row>
    <row r="90" spans="1:41" ht="21" hidden="1" customHeight="1" outlineLevel="1" thickBot="1" x14ac:dyDescent="0.4">
      <c r="A90" s="10">
        <f t="shared" si="24"/>
        <v>0</v>
      </c>
      <c r="B90" s="10">
        <f t="shared" si="24"/>
        <v>2</v>
      </c>
      <c r="C90" s="10">
        <f t="shared" si="24"/>
        <v>1</v>
      </c>
      <c r="D90" s="10">
        <f t="shared" si="24"/>
        <v>0</v>
      </c>
      <c r="E90" s="11" t="str">
        <f t="shared" si="19"/>
        <v>*GeSe2</v>
      </c>
      <c r="F90" s="26">
        <f t="shared" si="22"/>
        <v>0.5</v>
      </c>
      <c r="G90" s="26">
        <f t="shared" si="23"/>
        <v>0.5</v>
      </c>
      <c r="H90" s="26">
        <f t="shared" si="23"/>
        <v>0.5</v>
      </c>
      <c r="I90" s="26">
        <f t="shared" si="23"/>
        <v>0.5</v>
      </c>
      <c r="J90" s="26">
        <f t="shared" si="23"/>
        <v>3.2407999999999995E-8</v>
      </c>
      <c r="K90" s="26">
        <f t="shared" si="23"/>
        <v>9.4435E-17</v>
      </c>
      <c r="L90" s="26">
        <f t="shared" si="23"/>
        <v>1.4758E-19</v>
      </c>
      <c r="M90" s="26">
        <f t="shared" si="23"/>
        <v>3.72775E-30</v>
      </c>
      <c r="N90" s="26">
        <f t="shared" si="23"/>
        <v>0</v>
      </c>
      <c r="O90" s="26">
        <f t="shared" si="23"/>
        <v>0</v>
      </c>
      <c r="P90" s="26">
        <f t="shared" si="23"/>
        <v>0</v>
      </c>
      <c r="Q90" s="26">
        <f t="shared" si="23"/>
        <v>0</v>
      </c>
      <c r="R90" s="26">
        <f t="shared" si="23"/>
        <v>0</v>
      </c>
      <c r="S90" s="26">
        <f t="shared" si="23"/>
        <v>0</v>
      </c>
      <c r="T90" s="26">
        <f t="shared" si="23"/>
        <v>0</v>
      </c>
      <c r="U90" s="26">
        <f t="shared" si="23"/>
        <v>0</v>
      </c>
      <c r="V90" s="26">
        <f t="shared" si="23"/>
        <v>0</v>
      </c>
      <c r="W90" s="26">
        <f t="shared" si="23"/>
        <v>0</v>
      </c>
      <c r="X90" s="26">
        <f t="shared" si="23"/>
        <v>0</v>
      </c>
      <c r="Y90" s="26">
        <f t="shared" si="23"/>
        <v>0</v>
      </c>
      <c r="Z90" s="26">
        <f t="shared" si="23"/>
        <v>0</v>
      </c>
      <c r="AA90" s="26">
        <f t="shared" si="23"/>
        <v>0</v>
      </c>
      <c r="AB90" s="26">
        <f t="shared" si="23"/>
        <v>0</v>
      </c>
      <c r="AC90" s="26">
        <f t="shared" si="23"/>
        <v>0</v>
      </c>
      <c r="AD90" s="26">
        <f t="shared" si="23"/>
        <v>0</v>
      </c>
      <c r="AE90" s="26">
        <f t="shared" si="23"/>
        <v>0</v>
      </c>
      <c r="AF90" s="26">
        <f t="shared" si="23"/>
        <v>0</v>
      </c>
      <c r="AG90" s="26">
        <f t="shared" si="23"/>
        <v>0</v>
      </c>
      <c r="AH90" s="26">
        <f t="shared" si="23"/>
        <v>0</v>
      </c>
      <c r="AI90" s="26">
        <f t="shared" si="23"/>
        <v>0</v>
      </c>
      <c r="AJ90" s="26">
        <f t="shared" si="23"/>
        <v>0</v>
      </c>
      <c r="AK90" s="26">
        <f t="shared" si="23"/>
        <v>0</v>
      </c>
      <c r="AL90" s="26">
        <f t="shared" si="23"/>
        <v>0</v>
      </c>
    </row>
    <row r="91" spans="1:41" ht="21" hidden="1" customHeight="1" outlineLevel="1" thickBot="1" x14ac:dyDescent="0.4">
      <c r="A91" s="10">
        <f t="shared" si="24"/>
        <v>0</v>
      </c>
      <c r="B91" s="10">
        <f t="shared" si="24"/>
        <v>3</v>
      </c>
      <c r="C91" s="10">
        <f t="shared" si="24"/>
        <v>0</v>
      </c>
      <c r="D91" s="10">
        <f t="shared" si="24"/>
        <v>2</v>
      </c>
      <c r="E91" s="11" t="str">
        <f t="shared" si="19"/>
        <v>Ga2Se3</v>
      </c>
      <c r="F91" s="26">
        <f t="shared" si="22"/>
        <v>0.3</v>
      </c>
      <c r="G91" s="26">
        <f t="shared" si="23"/>
        <v>0.3</v>
      </c>
      <c r="H91" s="26">
        <f t="shared" si="23"/>
        <v>0.3</v>
      </c>
      <c r="I91" s="26">
        <f t="shared" si="23"/>
        <v>0.3</v>
      </c>
      <c r="J91" s="26">
        <f t="shared" si="23"/>
        <v>0.3</v>
      </c>
      <c r="K91" s="26">
        <f t="shared" si="23"/>
        <v>0.3</v>
      </c>
      <c r="L91" s="26">
        <f t="shared" si="23"/>
        <v>0.3</v>
      </c>
      <c r="M91" s="26">
        <f t="shared" si="23"/>
        <v>0.3</v>
      </c>
      <c r="N91" s="26">
        <f t="shared" si="23"/>
        <v>0.3</v>
      </c>
      <c r="O91" s="26">
        <f t="shared" si="23"/>
        <v>0.3</v>
      </c>
      <c r="P91" s="26">
        <f t="shared" si="23"/>
        <v>3.5503E-2</v>
      </c>
      <c r="Q91" s="26">
        <f t="shared" si="23"/>
        <v>1.2683E-4</v>
      </c>
      <c r="R91" s="26">
        <f t="shared" si="23"/>
        <v>6.0555000000000007E-7</v>
      </c>
      <c r="S91" s="26">
        <f t="shared" si="23"/>
        <v>3.6520499999999996E-9</v>
      </c>
      <c r="T91" s="26">
        <f t="shared" si="23"/>
        <v>3.5409E-17</v>
      </c>
      <c r="U91" s="26">
        <f t="shared" si="23"/>
        <v>4.5871499999999996E-24</v>
      </c>
      <c r="V91" s="26">
        <f t="shared" si="23"/>
        <v>4.6630000000000001E-30</v>
      </c>
      <c r="W91" s="26">
        <f t="shared" si="23"/>
        <v>2.6632000000000002E-35</v>
      </c>
      <c r="X91" s="26">
        <f t="shared" si="23"/>
        <v>0</v>
      </c>
      <c r="Y91" s="26">
        <f t="shared" si="23"/>
        <v>0</v>
      </c>
      <c r="Z91" s="26">
        <f t="shared" si="23"/>
        <v>0</v>
      </c>
      <c r="AA91" s="26">
        <f t="shared" si="23"/>
        <v>0</v>
      </c>
      <c r="AB91" s="26">
        <f t="shared" si="23"/>
        <v>0</v>
      </c>
      <c r="AC91" s="26">
        <f t="shared" si="23"/>
        <v>0</v>
      </c>
      <c r="AD91" s="26">
        <f t="shared" si="23"/>
        <v>0</v>
      </c>
      <c r="AE91" s="26">
        <f t="shared" si="23"/>
        <v>0</v>
      </c>
      <c r="AF91" s="26">
        <f t="shared" si="23"/>
        <v>0</v>
      </c>
      <c r="AG91" s="26">
        <f t="shared" si="23"/>
        <v>0</v>
      </c>
      <c r="AH91" s="26">
        <f t="shared" si="23"/>
        <v>0</v>
      </c>
      <c r="AI91" s="26">
        <f t="shared" si="23"/>
        <v>0</v>
      </c>
      <c r="AJ91" s="26">
        <f t="shared" si="23"/>
        <v>0</v>
      </c>
      <c r="AK91" s="26">
        <f t="shared" si="23"/>
        <v>0</v>
      </c>
      <c r="AL91" s="26">
        <f t="shared" si="23"/>
        <v>0</v>
      </c>
    </row>
    <row r="92" spans="1:41" ht="21" hidden="1" customHeight="1" outlineLevel="1" thickBot="1" x14ac:dyDescent="0.4">
      <c r="A92" s="10">
        <f t="shared" si="24"/>
        <v>1</v>
      </c>
      <c r="B92" s="10">
        <f t="shared" si="24"/>
        <v>0</v>
      </c>
      <c r="C92" s="10">
        <f t="shared" si="24"/>
        <v>0</v>
      </c>
      <c r="D92" s="10">
        <f t="shared" si="24"/>
        <v>0</v>
      </c>
      <c r="E92" s="11" t="str">
        <f t="shared" si="19"/>
        <v>Ar</v>
      </c>
      <c r="F92" s="26">
        <f t="shared" ref="F92:U99" si="25">F12*$C$82</f>
        <v>1</v>
      </c>
      <c r="G92" s="26">
        <f t="shared" si="25"/>
        <v>1</v>
      </c>
      <c r="H92" s="26">
        <f t="shared" si="25"/>
        <v>1</v>
      </c>
      <c r="I92" s="26">
        <f t="shared" si="25"/>
        <v>1</v>
      </c>
      <c r="J92" s="26">
        <f t="shared" si="25"/>
        <v>1</v>
      </c>
      <c r="K92" s="26">
        <f t="shared" si="25"/>
        <v>1</v>
      </c>
      <c r="L92" s="26">
        <f t="shared" si="25"/>
        <v>1</v>
      </c>
      <c r="M92" s="26">
        <f t="shared" si="25"/>
        <v>1</v>
      </c>
      <c r="N92" s="26">
        <f t="shared" si="25"/>
        <v>1</v>
      </c>
      <c r="O92" s="26">
        <f t="shared" si="25"/>
        <v>1</v>
      </c>
      <c r="P92" s="26">
        <f t="shared" si="25"/>
        <v>1</v>
      </c>
      <c r="Q92" s="26">
        <f t="shared" si="25"/>
        <v>1</v>
      </c>
      <c r="R92" s="26">
        <f t="shared" si="25"/>
        <v>1</v>
      </c>
      <c r="S92" s="26">
        <f t="shared" si="25"/>
        <v>1</v>
      </c>
      <c r="T92" s="26">
        <f t="shared" si="25"/>
        <v>1</v>
      </c>
      <c r="U92" s="26">
        <f t="shared" si="25"/>
        <v>1</v>
      </c>
      <c r="V92" s="26">
        <f t="shared" si="23"/>
        <v>1</v>
      </c>
      <c r="W92" s="26">
        <f t="shared" si="23"/>
        <v>1</v>
      </c>
      <c r="X92" s="26">
        <f t="shared" si="23"/>
        <v>1</v>
      </c>
      <c r="Y92" s="26">
        <f t="shared" si="23"/>
        <v>0</v>
      </c>
      <c r="Z92" s="26">
        <f t="shared" si="23"/>
        <v>0</v>
      </c>
      <c r="AA92" s="26">
        <f t="shared" si="23"/>
        <v>0</v>
      </c>
      <c r="AB92" s="26">
        <f t="shared" si="23"/>
        <v>0</v>
      </c>
      <c r="AC92" s="26">
        <f t="shared" si="23"/>
        <v>0</v>
      </c>
      <c r="AD92" s="26">
        <f t="shared" si="23"/>
        <v>0</v>
      </c>
      <c r="AE92" s="26">
        <f t="shared" si="23"/>
        <v>0</v>
      </c>
      <c r="AF92" s="26">
        <f t="shared" si="23"/>
        <v>0</v>
      </c>
      <c r="AG92" s="26">
        <f t="shared" si="23"/>
        <v>0</v>
      </c>
      <c r="AH92" s="26">
        <f t="shared" si="23"/>
        <v>0</v>
      </c>
      <c r="AI92" s="26">
        <f t="shared" si="23"/>
        <v>0</v>
      </c>
      <c r="AJ92" s="26">
        <f t="shared" ref="G92:AL101" si="26">AJ12*$C$82</f>
        <v>0</v>
      </c>
      <c r="AK92" s="26">
        <f t="shared" si="26"/>
        <v>0</v>
      </c>
      <c r="AL92" s="26">
        <f t="shared" si="26"/>
        <v>0</v>
      </c>
    </row>
    <row r="93" spans="1:41" ht="21" hidden="1" customHeight="1" outlineLevel="1" thickBot="1" x14ac:dyDescent="0.4">
      <c r="A93" s="10">
        <f t="shared" si="24"/>
        <v>0</v>
      </c>
      <c r="B93" s="10">
        <f t="shared" si="24"/>
        <v>0</v>
      </c>
      <c r="C93" s="10">
        <f t="shared" si="24"/>
        <v>1</v>
      </c>
      <c r="D93" s="10">
        <f t="shared" si="24"/>
        <v>0</v>
      </c>
      <c r="E93" s="11" t="str">
        <f t="shared" si="19"/>
        <v>(l)Ge[l]</v>
      </c>
      <c r="F93" s="26">
        <f t="shared" si="25"/>
        <v>0</v>
      </c>
      <c r="G93" s="26">
        <f t="shared" si="26"/>
        <v>0</v>
      </c>
      <c r="H93" s="26">
        <f t="shared" si="26"/>
        <v>0</v>
      </c>
      <c r="I93" s="26">
        <f t="shared" si="26"/>
        <v>0</v>
      </c>
      <c r="J93" s="26">
        <f t="shared" si="26"/>
        <v>0</v>
      </c>
      <c r="K93" s="26">
        <f t="shared" si="26"/>
        <v>0</v>
      </c>
      <c r="L93" s="26">
        <f t="shared" si="26"/>
        <v>5.258E-35</v>
      </c>
      <c r="M93" s="26">
        <f t="shared" si="26"/>
        <v>0</v>
      </c>
      <c r="N93" s="26">
        <f t="shared" si="26"/>
        <v>0</v>
      </c>
      <c r="O93" s="26">
        <f t="shared" si="26"/>
        <v>0</v>
      </c>
      <c r="P93" s="26">
        <f t="shared" si="26"/>
        <v>0</v>
      </c>
      <c r="Q93" s="26">
        <f t="shared" si="26"/>
        <v>1.1680999999999999E-26</v>
      </c>
      <c r="R93" s="26">
        <f t="shared" si="26"/>
        <v>4.2549500000000002E-21</v>
      </c>
      <c r="S93" s="26">
        <f t="shared" si="26"/>
        <v>3.4097999999999997E-16</v>
      </c>
      <c r="T93" s="26">
        <f t="shared" si="26"/>
        <v>1.10545E-11</v>
      </c>
      <c r="U93" s="26">
        <f t="shared" si="26"/>
        <v>9.4685000000000007E-11</v>
      </c>
      <c r="V93" s="26">
        <f t="shared" si="26"/>
        <v>8.7389999999999995E-10</v>
      </c>
      <c r="W93" s="26">
        <f t="shared" si="26"/>
        <v>1.583E-9</v>
      </c>
      <c r="X93" s="26">
        <f t="shared" si="26"/>
        <v>2.2318499999999999E-8</v>
      </c>
      <c r="Y93" s="26">
        <f t="shared" si="26"/>
        <v>0</v>
      </c>
      <c r="Z93" s="26">
        <f t="shared" si="26"/>
        <v>0</v>
      </c>
      <c r="AA93" s="26">
        <f t="shared" si="26"/>
        <v>0</v>
      </c>
      <c r="AB93" s="26">
        <f t="shared" si="26"/>
        <v>0</v>
      </c>
      <c r="AC93" s="26">
        <f t="shared" si="26"/>
        <v>0</v>
      </c>
      <c r="AD93" s="26">
        <f t="shared" si="26"/>
        <v>0</v>
      </c>
      <c r="AE93" s="26">
        <f t="shared" si="26"/>
        <v>0</v>
      </c>
      <c r="AF93" s="26">
        <f t="shared" si="26"/>
        <v>0</v>
      </c>
      <c r="AG93" s="26">
        <f t="shared" si="26"/>
        <v>0</v>
      </c>
      <c r="AH93" s="26">
        <f t="shared" si="26"/>
        <v>0</v>
      </c>
      <c r="AI93" s="26">
        <f t="shared" si="26"/>
        <v>0</v>
      </c>
      <c r="AJ93" s="26">
        <f t="shared" si="26"/>
        <v>0</v>
      </c>
      <c r="AK93" s="26">
        <f t="shared" si="26"/>
        <v>0</v>
      </c>
      <c r="AL93" s="26">
        <f t="shared" si="26"/>
        <v>0</v>
      </c>
    </row>
    <row r="94" spans="1:41" ht="21" hidden="1" customHeight="1" outlineLevel="1" thickBot="1" x14ac:dyDescent="0.4">
      <c r="A94" s="10">
        <f t="shared" si="24"/>
        <v>1</v>
      </c>
      <c r="B94" s="10">
        <f t="shared" si="24"/>
        <v>0</v>
      </c>
      <c r="C94" s="10">
        <f t="shared" si="24"/>
        <v>0</v>
      </c>
      <c r="D94" s="10">
        <f t="shared" si="24"/>
        <v>0</v>
      </c>
      <c r="E94" s="11" t="str">
        <f t="shared" si="19"/>
        <v>H (Ar)</v>
      </c>
      <c r="F94" s="26">
        <f t="shared" si="25"/>
        <v>-94.399999999999991</v>
      </c>
      <c r="G94" s="26">
        <f t="shared" si="26"/>
        <v>-94.350000000000009</v>
      </c>
      <c r="H94" s="26">
        <f t="shared" si="26"/>
        <v>-94.399999999999991</v>
      </c>
      <c r="I94" s="26">
        <f t="shared" si="26"/>
        <v>-94.45</v>
      </c>
      <c r="J94" s="26">
        <f t="shared" si="26"/>
        <v>-94.58</v>
      </c>
      <c r="K94" s="26">
        <f t="shared" si="26"/>
        <v>-95.15</v>
      </c>
      <c r="L94" s="26">
        <f t="shared" si="26"/>
        <v>-95.35</v>
      </c>
      <c r="M94" s="26">
        <f t="shared" si="26"/>
        <v>-95.55</v>
      </c>
      <c r="N94" s="26">
        <f t="shared" si="26"/>
        <v>-95.75</v>
      </c>
      <c r="O94" s="26">
        <f t="shared" si="26"/>
        <v>-95.95</v>
      </c>
      <c r="P94" s="26">
        <f t="shared" si="26"/>
        <v>-95</v>
      </c>
      <c r="Q94" s="26">
        <f t="shared" si="26"/>
        <v>-95.050000000000011</v>
      </c>
      <c r="R94" s="26">
        <f t="shared" si="26"/>
        <v>-95.25</v>
      </c>
      <c r="S94" s="26">
        <f t="shared" si="26"/>
        <v>-95.45</v>
      </c>
      <c r="T94" s="26">
        <f t="shared" si="26"/>
        <v>-96.300000000000011</v>
      </c>
      <c r="U94" s="26">
        <f t="shared" si="26"/>
        <v>-97.15</v>
      </c>
      <c r="V94" s="26">
        <f t="shared" si="26"/>
        <v>-97.95</v>
      </c>
      <c r="W94" s="26">
        <f t="shared" si="26"/>
        <v>-98.699999999999989</v>
      </c>
      <c r="X94" s="26">
        <f t="shared" si="26"/>
        <v>-99.399999999999991</v>
      </c>
      <c r="Y94" s="26">
        <f t="shared" si="26"/>
        <v>0</v>
      </c>
      <c r="Z94" s="26">
        <f t="shared" si="26"/>
        <v>0</v>
      </c>
      <c r="AA94" s="26">
        <f t="shared" si="26"/>
        <v>0</v>
      </c>
      <c r="AB94" s="26">
        <f t="shared" si="26"/>
        <v>0</v>
      </c>
      <c r="AC94" s="26">
        <f t="shared" si="26"/>
        <v>0</v>
      </c>
      <c r="AD94" s="26">
        <f t="shared" si="26"/>
        <v>0</v>
      </c>
      <c r="AE94" s="26">
        <f t="shared" si="26"/>
        <v>0</v>
      </c>
      <c r="AF94" s="26">
        <f t="shared" si="26"/>
        <v>0</v>
      </c>
      <c r="AG94" s="26">
        <f t="shared" si="26"/>
        <v>0</v>
      </c>
      <c r="AH94" s="26">
        <f t="shared" si="26"/>
        <v>0</v>
      </c>
      <c r="AI94" s="26">
        <f t="shared" si="26"/>
        <v>0</v>
      </c>
      <c r="AJ94" s="26">
        <f t="shared" si="26"/>
        <v>0</v>
      </c>
      <c r="AK94" s="26">
        <f t="shared" si="26"/>
        <v>0</v>
      </c>
      <c r="AL94" s="26">
        <f t="shared" si="26"/>
        <v>0</v>
      </c>
    </row>
    <row r="95" spans="1:41" ht="21" hidden="1" customHeight="1" outlineLevel="1" thickBot="1" x14ac:dyDescent="0.4">
      <c r="A95" s="10">
        <f t="shared" si="24"/>
        <v>0</v>
      </c>
      <c r="B95" s="10">
        <f t="shared" si="24"/>
        <v>0</v>
      </c>
      <c r="C95" s="10">
        <f t="shared" si="24"/>
        <v>0</v>
      </c>
      <c r="D95" s="10">
        <f t="shared" si="24"/>
        <v>1</v>
      </c>
      <c r="E95" s="11" t="str">
        <f t="shared" si="19"/>
        <v>H (Ga)</v>
      </c>
      <c r="F95" s="26">
        <f t="shared" si="25"/>
        <v>-331.5</v>
      </c>
      <c r="G95" s="26">
        <f t="shared" si="26"/>
        <v>-310.45000000000005</v>
      </c>
      <c r="H95" s="26">
        <f t="shared" si="26"/>
        <v>-292.2</v>
      </c>
      <c r="I95" s="26">
        <f t="shared" si="26"/>
        <v>-276.2</v>
      </c>
      <c r="J95" s="26">
        <f t="shared" si="26"/>
        <v>-257.04999999999995</v>
      </c>
      <c r="K95" s="26">
        <f t="shared" si="26"/>
        <v>-185.10000000000002</v>
      </c>
      <c r="L95" s="26">
        <f t="shared" si="26"/>
        <v>-170.75</v>
      </c>
      <c r="M95" s="26">
        <f t="shared" si="26"/>
        <v>-157.5</v>
      </c>
      <c r="N95" s="26">
        <f t="shared" si="26"/>
        <v>-145.19999999999999</v>
      </c>
      <c r="O95" s="26">
        <f t="shared" si="26"/>
        <v>-133.75</v>
      </c>
      <c r="P95" s="26">
        <f t="shared" si="26"/>
        <v>-127.8</v>
      </c>
      <c r="Q95" s="26">
        <f t="shared" si="26"/>
        <v>-131.80000000000001</v>
      </c>
      <c r="R95" s="26">
        <f t="shared" si="26"/>
        <v>-135.75</v>
      </c>
      <c r="S95" s="26">
        <f t="shared" si="26"/>
        <v>-139.70000000000002</v>
      </c>
      <c r="T95" s="26">
        <f t="shared" si="26"/>
        <v>-154.9</v>
      </c>
      <c r="U95" s="26">
        <f t="shared" si="26"/>
        <v>-169.20000000000002</v>
      </c>
      <c r="V95" s="26">
        <f t="shared" si="26"/>
        <v>-182.35</v>
      </c>
      <c r="W95" s="26">
        <f t="shared" si="26"/>
        <v>-194.14999999999998</v>
      </c>
      <c r="X95" s="26">
        <f t="shared" si="26"/>
        <v>-204.4</v>
      </c>
      <c r="Y95" s="26">
        <f t="shared" si="26"/>
        <v>0</v>
      </c>
      <c r="Z95" s="26">
        <f t="shared" si="26"/>
        <v>0</v>
      </c>
      <c r="AA95" s="26">
        <f t="shared" si="26"/>
        <v>0</v>
      </c>
      <c r="AB95" s="26">
        <f t="shared" si="26"/>
        <v>0</v>
      </c>
      <c r="AC95" s="26">
        <f t="shared" si="26"/>
        <v>0</v>
      </c>
      <c r="AD95" s="26">
        <f t="shared" si="26"/>
        <v>0</v>
      </c>
      <c r="AE95" s="26">
        <f t="shared" si="26"/>
        <v>0</v>
      </c>
      <c r="AF95" s="26">
        <f t="shared" si="26"/>
        <v>0</v>
      </c>
      <c r="AG95" s="26">
        <f t="shared" si="26"/>
        <v>0</v>
      </c>
      <c r="AH95" s="26">
        <f t="shared" si="26"/>
        <v>0</v>
      </c>
      <c r="AI95" s="26">
        <f t="shared" si="26"/>
        <v>0</v>
      </c>
      <c r="AJ95" s="26">
        <f t="shared" si="26"/>
        <v>0</v>
      </c>
      <c r="AK95" s="26">
        <f t="shared" si="26"/>
        <v>0</v>
      </c>
      <c r="AL95" s="26">
        <f t="shared" si="26"/>
        <v>0</v>
      </c>
    </row>
    <row r="96" spans="1:41" ht="21" hidden="1" customHeight="1" outlineLevel="1" thickBot="1" x14ac:dyDescent="0.4">
      <c r="A96" s="10">
        <f t="shared" si="24"/>
        <v>0</v>
      </c>
      <c r="B96" s="10">
        <f t="shared" si="24"/>
        <v>0</v>
      </c>
      <c r="C96" s="10">
        <f t="shared" si="24"/>
        <v>1</v>
      </c>
      <c r="D96" s="10">
        <f t="shared" si="24"/>
        <v>0</v>
      </c>
      <c r="E96" s="11" t="str">
        <f t="shared" si="19"/>
        <v>H (Ge)</v>
      </c>
      <c r="F96" s="26">
        <f t="shared" si="25"/>
        <v>-81.449999999999989</v>
      </c>
      <c r="G96" s="26">
        <f t="shared" si="26"/>
        <v>-77.599999999999994</v>
      </c>
      <c r="H96" s="26">
        <f t="shared" si="26"/>
        <v>-74.3</v>
      </c>
      <c r="I96" s="26">
        <f t="shared" si="26"/>
        <v>-71.5</v>
      </c>
      <c r="J96" s="26">
        <f t="shared" si="26"/>
        <v>-65.679999999999993</v>
      </c>
      <c r="K96" s="26">
        <f t="shared" si="26"/>
        <v>-39.285000000000004</v>
      </c>
      <c r="L96" s="26">
        <f t="shared" si="26"/>
        <v>-33.950000000000003</v>
      </c>
      <c r="M96" s="26">
        <f t="shared" si="26"/>
        <v>-29</v>
      </c>
      <c r="N96" s="26">
        <f t="shared" si="26"/>
        <v>-24.384999999999998</v>
      </c>
      <c r="O96" s="26">
        <f t="shared" si="26"/>
        <v>-20.51</v>
      </c>
      <c r="P96" s="26">
        <f t="shared" si="26"/>
        <v>-20.75</v>
      </c>
      <c r="Q96" s="26">
        <f t="shared" si="26"/>
        <v>-21</v>
      </c>
      <c r="R96" s="26">
        <f t="shared" si="26"/>
        <v>-21.244999999999997</v>
      </c>
      <c r="S96" s="26">
        <f t="shared" si="26"/>
        <v>-21.495000000000001</v>
      </c>
      <c r="T96" s="26">
        <f t="shared" si="26"/>
        <v>-22.494999999999997</v>
      </c>
      <c r="U96" s="26">
        <f t="shared" si="26"/>
        <v>-23.479999999999997</v>
      </c>
      <c r="V96" s="26">
        <f t="shared" si="26"/>
        <v>-24.434999999999999</v>
      </c>
      <c r="W96" s="26">
        <f t="shared" si="26"/>
        <v>-25.354999999999997</v>
      </c>
      <c r="X96" s="26">
        <f t="shared" si="26"/>
        <v>-26.244999999999997</v>
      </c>
      <c r="Y96" s="26">
        <f t="shared" si="26"/>
        <v>0</v>
      </c>
      <c r="Z96" s="26">
        <f t="shared" si="26"/>
        <v>0</v>
      </c>
      <c r="AA96" s="26">
        <f t="shared" si="26"/>
        <v>0</v>
      </c>
      <c r="AB96" s="26">
        <f t="shared" si="26"/>
        <v>0</v>
      </c>
      <c r="AC96" s="26">
        <f t="shared" si="26"/>
        <v>0</v>
      </c>
      <c r="AD96" s="26">
        <f t="shared" si="26"/>
        <v>0</v>
      </c>
      <c r="AE96" s="26">
        <f t="shared" si="26"/>
        <v>0</v>
      </c>
      <c r="AF96" s="26">
        <f t="shared" si="26"/>
        <v>0</v>
      </c>
      <c r="AG96" s="26">
        <f t="shared" si="26"/>
        <v>0</v>
      </c>
      <c r="AH96" s="26">
        <f t="shared" si="26"/>
        <v>0</v>
      </c>
      <c r="AI96" s="26">
        <f t="shared" si="26"/>
        <v>0</v>
      </c>
      <c r="AJ96" s="26">
        <f t="shared" si="26"/>
        <v>0</v>
      </c>
      <c r="AK96" s="26">
        <f t="shared" si="26"/>
        <v>0</v>
      </c>
      <c r="AL96" s="26">
        <f t="shared" si="26"/>
        <v>0</v>
      </c>
    </row>
    <row r="97" spans="1:38" ht="21" hidden="1" customHeight="1" outlineLevel="1" thickBot="1" x14ac:dyDescent="0.4">
      <c r="A97" s="10">
        <f t="shared" si="24"/>
        <v>0</v>
      </c>
      <c r="B97" s="10">
        <f t="shared" si="24"/>
        <v>1</v>
      </c>
      <c r="C97" s="10">
        <f t="shared" si="24"/>
        <v>0</v>
      </c>
      <c r="D97" s="10">
        <f t="shared" si="24"/>
        <v>0</v>
      </c>
      <c r="E97" s="11" t="str">
        <f t="shared" si="19"/>
        <v>H (Se)</v>
      </c>
      <c r="F97" s="26">
        <f t="shared" si="25"/>
        <v>-117.6</v>
      </c>
      <c r="G97" s="26">
        <f t="shared" si="26"/>
        <v>-110.9</v>
      </c>
      <c r="H97" s="26">
        <f t="shared" si="26"/>
        <v>-105.1</v>
      </c>
      <c r="I97" s="26">
        <f t="shared" si="26"/>
        <v>-100.05000000000001</v>
      </c>
      <c r="J97" s="26">
        <f t="shared" si="26"/>
        <v>-99.03</v>
      </c>
      <c r="K97" s="26">
        <f t="shared" si="26"/>
        <v>-105.1</v>
      </c>
      <c r="L97" s="26">
        <f t="shared" si="26"/>
        <v>-106.7</v>
      </c>
      <c r="M97" s="26">
        <f t="shared" si="26"/>
        <v>-108.25</v>
      </c>
      <c r="N97" s="26">
        <f t="shared" si="26"/>
        <v>-109.80000000000001</v>
      </c>
      <c r="O97" s="26">
        <f t="shared" si="26"/>
        <v>-111.35</v>
      </c>
      <c r="P97" s="26">
        <f t="shared" si="26"/>
        <v>-112.85</v>
      </c>
      <c r="Q97" s="26">
        <f t="shared" si="26"/>
        <v>-114.39999999999999</v>
      </c>
      <c r="R97" s="26">
        <f t="shared" si="26"/>
        <v>-115.9</v>
      </c>
      <c r="S97" s="26">
        <f t="shared" si="26"/>
        <v>-117.4</v>
      </c>
      <c r="T97" s="26">
        <f t="shared" si="26"/>
        <v>-123.25</v>
      </c>
      <c r="U97" s="26">
        <f t="shared" si="26"/>
        <v>-128.85</v>
      </c>
      <c r="V97" s="26">
        <f t="shared" si="26"/>
        <v>-134.30000000000001</v>
      </c>
      <c r="W97" s="26">
        <f t="shared" si="26"/>
        <v>-139.5</v>
      </c>
      <c r="X97" s="26">
        <f t="shared" si="26"/>
        <v>-144.55000000000001</v>
      </c>
      <c r="Y97" s="26">
        <f t="shared" si="26"/>
        <v>0</v>
      </c>
      <c r="Z97" s="26">
        <f t="shared" si="26"/>
        <v>0</v>
      </c>
      <c r="AA97" s="26">
        <f t="shared" si="26"/>
        <v>0</v>
      </c>
      <c r="AB97" s="26">
        <f t="shared" si="26"/>
        <v>0</v>
      </c>
      <c r="AC97" s="26">
        <f t="shared" si="26"/>
        <v>0</v>
      </c>
      <c r="AD97" s="26">
        <f t="shared" si="26"/>
        <v>0</v>
      </c>
      <c r="AE97" s="26">
        <f t="shared" si="26"/>
        <v>0</v>
      </c>
      <c r="AF97" s="26">
        <f t="shared" si="26"/>
        <v>0</v>
      </c>
      <c r="AG97" s="26">
        <f t="shared" si="26"/>
        <v>0</v>
      </c>
      <c r="AH97" s="26">
        <f t="shared" si="26"/>
        <v>0</v>
      </c>
      <c r="AI97" s="26">
        <f t="shared" si="26"/>
        <v>0</v>
      </c>
      <c r="AJ97" s="26">
        <f t="shared" si="26"/>
        <v>0</v>
      </c>
      <c r="AK97" s="26">
        <f t="shared" si="26"/>
        <v>0</v>
      </c>
      <c r="AL97" s="26">
        <f t="shared" si="26"/>
        <v>0</v>
      </c>
    </row>
    <row r="98" spans="1:38" ht="21" hidden="1" customHeight="1" outlineLevel="1" thickBot="1" x14ac:dyDescent="0.4">
      <c r="A98" s="10">
        <f t="shared" si="24"/>
        <v>0</v>
      </c>
      <c r="B98" s="10">
        <f t="shared" si="24"/>
        <v>0</v>
      </c>
      <c r="C98" s="10">
        <f t="shared" si="24"/>
        <v>0</v>
      </c>
      <c r="D98" s="10">
        <f t="shared" si="24"/>
        <v>0</v>
      </c>
      <c r="E98" s="11">
        <f t="shared" si="19"/>
        <v>0</v>
      </c>
      <c r="F98" s="26">
        <f t="shared" si="25"/>
        <v>0</v>
      </c>
      <c r="G98" s="26">
        <f t="shared" si="26"/>
        <v>0</v>
      </c>
      <c r="H98" s="26">
        <f t="shared" si="26"/>
        <v>0</v>
      </c>
      <c r="I98" s="26">
        <f t="shared" si="26"/>
        <v>0</v>
      </c>
      <c r="J98" s="26">
        <f t="shared" si="26"/>
        <v>0</v>
      </c>
      <c r="K98" s="26">
        <f t="shared" si="26"/>
        <v>0</v>
      </c>
      <c r="L98" s="26">
        <f t="shared" si="26"/>
        <v>0</v>
      </c>
      <c r="M98" s="26">
        <f t="shared" si="26"/>
        <v>0</v>
      </c>
      <c r="N98" s="26">
        <f t="shared" si="26"/>
        <v>0</v>
      </c>
      <c r="O98" s="26">
        <f t="shared" si="26"/>
        <v>0</v>
      </c>
      <c r="P98" s="26">
        <f t="shared" si="26"/>
        <v>0</v>
      </c>
      <c r="Q98" s="26">
        <f t="shared" si="26"/>
        <v>0</v>
      </c>
      <c r="R98" s="26">
        <f t="shared" si="26"/>
        <v>0</v>
      </c>
      <c r="S98" s="26">
        <f t="shared" si="26"/>
        <v>0</v>
      </c>
      <c r="T98" s="26">
        <f t="shared" si="26"/>
        <v>0</v>
      </c>
      <c r="U98" s="26">
        <f t="shared" si="26"/>
        <v>0</v>
      </c>
      <c r="V98" s="26">
        <f t="shared" si="26"/>
        <v>0</v>
      </c>
      <c r="W98" s="26">
        <f t="shared" si="26"/>
        <v>0</v>
      </c>
      <c r="X98" s="26">
        <f t="shared" si="26"/>
        <v>0</v>
      </c>
      <c r="Y98" s="26">
        <f t="shared" si="26"/>
        <v>0</v>
      </c>
      <c r="Z98" s="26">
        <f t="shared" si="26"/>
        <v>0</v>
      </c>
      <c r="AA98" s="26">
        <f t="shared" si="26"/>
        <v>0</v>
      </c>
      <c r="AB98" s="26">
        <f t="shared" si="26"/>
        <v>0</v>
      </c>
      <c r="AC98" s="26">
        <f t="shared" si="26"/>
        <v>0</v>
      </c>
      <c r="AD98" s="26">
        <f t="shared" si="26"/>
        <v>0</v>
      </c>
      <c r="AE98" s="26">
        <f t="shared" si="26"/>
        <v>0</v>
      </c>
      <c r="AF98" s="26">
        <f t="shared" si="26"/>
        <v>0</v>
      </c>
      <c r="AG98" s="26">
        <f t="shared" si="26"/>
        <v>0</v>
      </c>
      <c r="AH98" s="26">
        <f t="shared" si="26"/>
        <v>0</v>
      </c>
      <c r="AI98" s="26">
        <f t="shared" si="26"/>
        <v>0</v>
      </c>
      <c r="AJ98" s="26">
        <f t="shared" si="26"/>
        <v>0</v>
      </c>
      <c r="AK98" s="26">
        <f t="shared" si="26"/>
        <v>0</v>
      </c>
      <c r="AL98" s="26">
        <f t="shared" si="26"/>
        <v>0</v>
      </c>
    </row>
    <row r="99" spans="1:38" ht="21" hidden="1" customHeight="1" outlineLevel="1" thickBot="1" x14ac:dyDescent="0.4">
      <c r="A99" s="10">
        <f t="shared" si="24"/>
        <v>0</v>
      </c>
      <c r="B99" s="10">
        <f t="shared" si="24"/>
        <v>0</v>
      </c>
      <c r="C99" s="10">
        <f t="shared" si="24"/>
        <v>0</v>
      </c>
      <c r="D99" s="10">
        <f t="shared" si="24"/>
        <v>0</v>
      </c>
      <c r="E99" s="11">
        <f t="shared" si="19"/>
        <v>0</v>
      </c>
      <c r="F99" s="26">
        <f t="shared" si="25"/>
        <v>0</v>
      </c>
      <c r="G99" s="26">
        <f t="shared" si="26"/>
        <v>0</v>
      </c>
      <c r="H99" s="26">
        <f t="shared" si="26"/>
        <v>0</v>
      </c>
      <c r="I99" s="26">
        <f t="shared" si="26"/>
        <v>0</v>
      </c>
      <c r="J99" s="26">
        <f t="shared" si="26"/>
        <v>0</v>
      </c>
      <c r="K99" s="26">
        <f t="shared" si="26"/>
        <v>0</v>
      </c>
      <c r="L99" s="26">
        <f t="shared" si="26"/>
        <v>0</v>
      </c>
      <c r="M99" s="26">
        <f t="shared" si="26"/>
        <v>0</v>
      </c>
      <c r="N99" s="26">
        <f t="shared" si="26"/>
        <v>0</v>
      </c>
      <c r="O99" s="26">
        <f t="shared" si="26"/>
        <v>0</v>
      </c>
      <c r="P99" s="26">
        <f t="shared" si="26"/>
        <v>0</v>
      </c>
      <c r="Q99" s="26">
        <f t="shared" si="26"/>
        <v>0</v>
      </c>
      <c r="R99" s="26">
        <f t="shared" si="26"/>
        <v>0</v>
      </c>
      <c r="S99" s="26">
        <f t="shared" si="26"/>
        <v>0</v>
      </c>
      <c r="T99" s="26">
        <f t="shared" si="26"/>
        <v>0</v>
      </c>
      <c r="U99" s="26">
        <f t="shared" si="26"/>
        <v>0</v>
      </c>
      <c r="V99" s="26">
        <f t="shared" si="26"/>
        <v>0</v>
      </c>
      <c r="W99" s="26">
        <f t="shared" si="26"/>
        <v>0</v>
      </c>
      <c r="X99" s="26">
        <f t="shared" si="26"/>
        <v>0</v>
      </c>
      <c r="Y99" s="26">
        <f t="shared" si="26"/>
        <v>0</v>
      </c>
      <c r="Z99" s="26">
        <f t="shared" si="26"/>
        <v>0</v>
      </c>
      <c r="AA99" s="26">
        <f t="shared" si="26"/>
        <v>0</v>
      </c>
      <c r="AB99" s="26">
        <f t="shared" si="26"/>
        <v>0</v>
      </c>
      <c r="AC99" s="26">
        <f t="shared" si="26"/>
        <v>0</v>
      </c>
      <c r="AD99" s="26">
        <f t="shared" si="26"/>
        <v>0</v>
      </c>
      <c r="AE99" s="26">
        <f t="shared" si="26"/>
        <v>0</v>
      </c>
      <c r="AF99" s="26">
        <f t="shared" si="26"/>
        <v>0</v>
      </c>
      <c r="AG99" s="26">
        <f t="shared" si="26"/>
        <v>0</v>
      </c>
      <c r="AH99" s="26">
        <f t="shared" si="26"/>
        <v>0</v>
      </c>
      <c r="AI99" s="26">
        <f t="shared" si="26"/>
        <v>0</v>
      </c>
      <c r="AJ99" s="26">
        <f t="shared" si="26"/>
        <v>0</v>
      </c>
      <c r="AK99" s="26">
        <f t="shared" si="26"/>
        <v>0</v>
      </c>
      <c r="AL99" s="26">
        <f t="shared" si="26"/>
        <v>0</v>
      </c>
    </row>
    <row r="100" spans="1:38" ht="21" hidden="1" customHeight="1" outlineLevel="1" thickBot="1" x14ac:dyDescent="0.4">
      <c r="A100" s="10">
        <f t="shared" si="24"/>
        <v>0</v>
      </c>
      <c r="B100" s="10">
        <f t="shared" si="24"/>
        <v>0</v>
      </c>
      <c r="C100" s="10">
        <f t="shared" si="24"/>
        <v>0</v>
      </c>
      <c r="D100" s="10">
        <f t="shared" si="24"/>
        <v>0</v>
      </c>
      <c r="E100" s="11">
        <f t="shared" si="19"/>
        <v>0</v>
      </c>
      <c r="F100" s="26">
        <f t="shared" ref="F100:U107" si="27">F20*$C$82</f>
        <v>0</v>
      </c>
      <c r="G100" s="26">
        <f t="shared" si="27"/>
        <v>0</v>
      </c>
      <c r="H100" s="26">
        <f t="shared" si="27"/>
        <v>0</v>
      </c>
      <c r="I100" s="26">
        <f t="shared" si="27"/>
        <v>0</v>
      </c>
      <c r="J100" s="26">
        <f t="shared" si="27"/>
        <v>0</v>
      </c>
      <c r="K100" s="26">
        <f t="shared" si="27"/>
        <v>0</v>
      </c>
      <c r="L100" s="26">
        <f t="shared" si="27"/>
        <v>0</v>
      </c>
      <c r="M100" s="26">
        <f t="shared" si="27"/>
        <v>0</v>
      </c>
      <c r="N100" s="26">
        <f t="shared" si="27"/>
        <v>0</v>
      </c>
      <c r="O100" s="26">
        <f t="shared" si="27"/>
        <v>0</v>
      </c>
      <c r="P100" s="26">
        <f t="shared" si="27"/>
        <v>0</v>
      </c>
      <c r="Q100" s="26">
        <f t="shared" si="27"/>
        <v>0</v>
      </c>
      <c r="R100" s="26">
        <f t="shared" si="27"/>
        <v>0</v>
      </c>
      <c r="S100" s="26">
        <f t="shared" si="27"/>
        <v>0</v>
      </c>
      <c r="T100" s="26">
        <f t="shared" si="27"/>
        <v>0</v>
      </c>
      <c r="U100" s="26">
        <f t="shared" si="27"/>
        <v>0</v>
      </c>
      <c r="V100" s="26">
        <f t="shared" si="26"/>
        <v>0</v>
      </c>
      <c r="W100" s="26">
        <f t="shared" si="26"/>
        <v>0</v>
      </c>
      <c r="X100" s="26">
        <f t="shared" si="26"/>
        <v>0</v>
      </c>
      <c r="Y100" s="26">
        <f t="shared" si="26"/>
        <v>0</v>
      </c>
      <c r="Z100" s="26">
        <f t="shared" si="26"/>
        <v>0</v>
      </c>
      <c r="AA100" s="26">
        <f t="shared" si="26"/>
        <v>0</v>
      </c>
      <c r="AB100" s="26">
        <f t="shared" si="26"/>
        <v>0</v>
      </c>
      <c r="AC100" s="26">
        <f t="shared" si="26"/>
        <v>0</v>
      </c>
      <c r="AD100" s="26">
        <f t="shared" si="26"/>
        <v>0</v>
      </c>
      <c r="AE100" s="26">
        <f t="shared" si="26"/>
        <v>0</v>
      </c>
      <c r="AF100" s="26">
        <f t="shared" si="26"/>
        <v>0</v>
      </c>
      <c r="AG100" s="26">
        <f t="shared" si="26"/>
        <v>0</v>
      </c>
      <c r="AH100" s="26">
        <f t="shared" si="26"/>
        <v>0</v>
      </c>
      <c r="AI100" s="26">
        <f t="shared" si="26"/>
        <v>0</v>
      </c>
      <c r="AJ100" s="26">
        <f t="shared" si="26"/>
        <v>0</v>
      </c>
      <c r="AK100" s="26">
        <f t="shared" si="26"/>
        <v>0</v>
      </c>
      <c r="AL100" s="26">
        <f t="shared" si="26"/>
        <v>0</v>
      </c>
    </row>
    <row r="101" spans="1:38" ht="21" hidden="1" customHeight="1" outlineLevel="1" thickBot="1" x14ac:dyDescent="0.4">
      <c r="A101" s="10">
        <f t="shared" ref="A101:D113" si="28">A67</f>
        <v>0</v>
      </c>
      <c r="B101" s="10">
        <f t="shared" si="28"/>
        <v>0</v>
      </c>
      <c r="C101" s="10">
        <f t="shared" si="28"/>
        <v>0</v>
      </c>
      <c r="D101" s="10">
        <f t="shared" si="28"/>
        <v>0</v>
      </c>
      <c r="E101" s="11">
        <f t="shared" si="19"/>
        <v>0</v>
      </c>
      <c r="F101" s="26">
        <f t="shared" si="27"/>
        <v>0</v>
      </c>
      <c r="G101" s="26">
        <f t="shared" si="26"/>
        <v>0</v>
      </c>
      <c r="H101" s="26">
        <f t="shared" si="26"/>
        <v>0</v>
      </c>
      <c r="I101" s="26">
        <f t="shared" si="26"/>
        <v>0</v>
      </c>
      <c r="J101" s="26">
        <f t="shared" si="26"/>
        <v>0</v>
      </c>
      <c r="K101" s="26">
        <f t="shared" si="26"/>
        <v>0</v>
      </c>
      <c r="L101" s="26">
        <f t="shared" si="26"/>
        <v>0</v>
      </c>
      <c r="M101" s="26">
        <f t="shared" si="26"/>
        <v>0</v>
      </c>
      <c r="N101" s="26">
        <f t="shared" si="26"/>
        <v>0</v>
      </c>
      <c r="O101" s="26">
        <f t="shared" si="26"/>
        <v>0</v>
      </c>
      <c r="P101" s="26">
        <f t="shared" si="26"/>
        <v>0</v>
      </c>
      <c r="Q101" s="26">
        <f t="shared" si="26"/>
        <v>0</v>
      </c>
      <c r="R101" s="26">
        <f t="shared" ref="G101:AL109" si="29">R21*$C$82</f>
        <v>0</v>
      </c>
      <c r="S101" s="26">
        <f t="shared" si="29"/>
        <v>0</v>
      </c>
      <c r="T101" s="26">
        <f t="shared" si="29"/>
        <v>0</v>
      </c>
      <c r="U101" s="26">
        <f t="shared" si="29"/>
        <v>0</v>
      </c>
      <c r="V101" s="26">
        <f t="shared" si="29"/>
        <v>0</v>
      </c>
      <c r="W101" s="26">
        <f t="shared" si="29"/>
        <v>0</v>
      </c>
      <c r="X101" s="26">
        <f t="shared" si="29"/>
        <v>0</v>
      </c>
      <c r="Y101" s="26">
        <f t="shared" si="29"/>
        <v>0</v>
      </c>
      <c r="Z101" s="26">
        <f t="shared" si="29"/>
        <v>0</v>
      </c>
      <c r="AA101" s="26">
        <f t="shared" si="29"/>
        <v>0</v>
      </c>
      <c r="AB101" s="26">
        <f t="shared" si="29"/>
        <v>0</v>
      </c>
      <c r="AC101" s="26">
        <f t="shared" si="29"/>
        <v>0</v>
      </c>
      <c r="AD101" s="26">
        <f t="shared" si="29"/>
        <v>0</v>
      </c>
      <c r="AE101" s="26">
        <f t="shared" si="29"/>
        <v>0</v>
      </c>
      <c r="AF101" s="26">
        <f t="shared" si="29"/>
        <v>0</v>
      </c>
      <c r="AG101" s="26">
        <f t="shared" si="29"/>
        <v>0</v>
      </c>
      <c r="AH101" s="26">
        <f t="shared" si="29"/>
        <v>0</v>
      </c>
      <c r="AI101" s="26">
        <f t="shared" si="29"/>
        <v>0</v>
      </c>
      <c r="AJ101" s="26">
        <f t="shared" si="29"/>
        <v>0</v>
      </c>
      <c r="AK101" s="26">
        <f t="shared" si="29"/>
        <v>0</v>
      </c>
      <c r="AL101" s="26">
        <f t="shared" si="29"/>
        <v>0</v>
      </c>
    </row>
    <row r="102" spans="1:38" ht="21" hidden="1" customHeight="1" outlineLevel="1" thickBot="1" x14ac:dyDescent="0.4">
      <c r="A102" s="10">
        <f t="shared" si="28"/>
        <v>0</v>
      </c>
      <c r="B102" s="10">
        <f t="shared" si="28"/>
        <v>0</v>
      </c>
      <c r="C102" s="10">
        <f t="shared" si="28"/>
        <v>0</v>
      </c>
      <c r="D102" s="10">
        <f t="shared" si="28"/>
        <v>0</v>
      </c>
      <c r="E102" s="11">
        <f t="shared" si="19"/>
        <v>0</v>
      </c>
      <c r="F102" s="26">
        <f t="shared" si="27"/>
        <v>0</v>
      </c>
      <c r="G102" s="26">
        <f t="shared" si="29"/>
        <v>0</v>
      </c>
      <c r="H102" s="26">
        <f t="shared" si="29"/>
        <v>0</v>
      </c>
      <c r="I102" s="26">
        <f t="shared" si="29"/>
        <v>0</v>
      </c>
      <c r="J102" s="26">
        <f t="shared" si="29"/>
        <v>0</v>
      </c>
      <c r="K102" s="26">
        <f t="shared" si="29"/>
        <v>0</v>
      </c>
      <c r="L102" s="26">
        <f t="shared" si="29"/>
        <v>0</v>
      </c>
      <c r="M102" s="26">
        <f t="shared" si="29"/>
        <v>0</v>
      </c>
      <c r="N102" s="26">
        <f t="shared" si="29"/>
        <v>0</v>
      </c>
      <c r="O102" s="26">
        <f t="shared" si="29"/>
        <v>0</v>
      </c>
      <c r="P102" s="26">
        <f t="shared" si="29"/>
        <v>0</v>
      </c>
      <c r="Q102" s="26">
        <f t="shared" si="29"/>
        <v>0</v>
      </c>
      <c r="R102" s="26">
        <f t="shared" si="29"/>
        <v>0</v>
      </c>
      <c r="S102" s="26">
        <f t="shared" si="29"/>
        <v>0</v>
      </c>
      <c r="T102" s="26">
        <f t="shared" si="29"/>
        <v>0</v>
      </c>
      <c r="U102" s="26">
        <f t="shared" si="29"/>
        <v>0</v>
      </c>
      <c r="V102" s="26">
        <f t="shared" si="29"/>
        <v>0</v>
      </c>
      <c r="W102" s="26">
        <f t="shared" si="29"/>
        <v>0</v>
      </c>
      <c r="X102" s="26">
        <f t="shared" si="29"/>
        <v>0</v>
      </c>
      <c r="Y102" s="26">
        <f t="shared" si="29"/>
        <v>0</v>
      </c>
      <c r="Z102" s="26">
        <f t="shared" si="29"/>
        <v>0</v>
      </c>
      <c r="AA102" s="26">
        <f t="shared" si="29"/>
        <v>0</v>
      </c>
      <c r="AB102" s="26">
        <f t="shared" si="29"/>
        <v>0</v>
      </c>
      <c r="AC102" s="26">
        <f t="shared" si="29"/>
        <v>0</v>
      </c>
      <c r="AD102" s="26">
        <f t="shared" si="29"/>
        <v>0</v>
      </c>
      <c r="AE102" s="26">
        <f t="shared" si="29"/>
        <v>0</v>
      </c>
      <c r="AF102" s="26">
        <f t="shared" si="29"/>
        <v>0</v>
      </c>
      <c r="AG102" s="26">
        <f t="shared" si="29"/>
        <v>0</v>
      </c>
      <c r="AH102" s="26">
        <f t="shared" si="29"/>
        <v>0</v>
      </c>
      <c r="AI102" s="26">
        <f t="shared" si="29"/>
        <v>0</v>
      </c>
      <c r="AJ102" s="26">
        <f t="shared" si="29"/>
        <v>0</v>
      </c>
      <c r="AK102" s="26">
        <f t="shared" si="29"/>
        <v>0</v>
      </c>
      <c r="AL102" s="26">
        <f t="shared" si="29"/>
        <v>0</v>
      </c>
    </row>
    <row r="103" spans="1:38" ht="21" hidden="1" customHeight="1" outlineLevel="1" thickBot="1" x14ac:dyDescent="0.4">
      <c r="A103" s="10">
        <f t="shared" si="28"/>
        <v>0</v>
      </c>
      <c r="B103" s="10">
        <f t="shared" si="28"/>
        <v>0</v>
      </c>
      <c r="C103" s="10">
        <f t="shared" si="28"/>
        <v>0</v>
      </c>
      <c r="D103" s="10">
        <f t="shared" si="28"/>
        <v>0</v>
      </c>
      <c r="E103" s="11">
        <f t="shared" si="19"/>
        <v>0</v>
      </c>
      <c r="F103" s="26">
        <f t="shared" si="27"/>
        <v>0</v>
      </c>
      <c r="G103" s="26">
        <f t="shared" si="29"/>
        <v>0</v>
      </c>
      <c r="H103" s="26">
        <f t="shared" si="29"/>
        <v>0</v>
      </c>
      <c r="I103" s="26">
        <f t="shared" si="29"/>
        <v>0</v>
      </c>
      <c r="J103" s="26">
        <f t="shared" si="29"/>
        <v>0</v>
      </c>
      <c r="K103" s="26">
        <f t="shared" si="29"/>
        <v>0</v>
      </c>
      <c r="L103" s="26">
        <f t="shared" si="29"/>
        <v>0</v>
      </c>
      <c r="M103" s="26">
        <f t="shared" si="29"/>
        <v>0</v>
      </c>
      <c r="N103" s="26">
        <f t="shared" si="29"/>
        <v>0</v>
      </c>
      <c r="O103" s="26">
        <f t="shared" si="29"/>
        <v>0</v>
      </c>
      <c r="P103" s="26">
        <f t="shared" si="29"/>
        <v>0</v>
      </c>
      <c r="Q103" s="26">
        <f t="shared" si="29"/>
        <v>0</v>
      </c>
      <c r="R103" s="26">
        <f t="shared" si="29"/>
        <v>0</v>
      </c>
      <c r="S103" s="26">
        <f t="shared" si="29"/>
        <v>0</v>
      </c>
      <c r="T103" s="26">
        <f t="shared" si="29"/>
        <v>0</v>
      </c>
      <c r="U103" s="26">
        <f t="shared" si="29"/>
        <v>0</v>
      </c>
      <c r="V103" s="26">
        <f t="shared" si="29"/>
        <v>0</v>
      </c>
      <c r="W103" s="26">
        <f t="shared" si="29"/>
        <v>0</v>
      </c>
      <c r="X103" s="26">
        <f t="shared" si="29"/>
        <v>0</v>
      </c>
      <c r="Y103" s="26">
        <f t="shared" si="29"/>
        <v>0</v>
      </c>
      <c r="Z103" s="26">
        <f t="shared" si="29"/>
        <v>0</v>
      </c>
      <c r="AA103" s="26">
        <f t="shared" si="29"/>
        <v>0</v>
      </c>
      <c r="AB103" s="26">
        <f t="shared" si="29"/>
        <v>0</v>
      </c>
      <c r="AC103" s="26">
        <f t="shared" si="29"/>
        <v>0</v>
      </c>
      <c r="AD103" s="26">
        <f t="shared" si="29"/>
        <v>0</v>
      </c>
      <c r="AE103" s="26">
        <f t="shared" si="29"/>
        <v>0</v>
      </c>
      <c r="AF103" s="26">
        <f t="shared" si="29"/>
        <v>0</v>
      </c>
      <c r="AG103" s="26">
        <f t="shared" si="29"/>
        <v>0</v>
      </c>
      <c r="AH103" s="26">
        <f t="shared" si="29"/>
        <v>0</v>
      </c>
      <c r="AI103" s="26">
        <f t="shared" si="29"/>
        <v>0</v>
      </c>
      <c r="AJ103" s="26">
        <f t="shared" si="29"/>
        <v>0</v>
      </c>
      <c r="AK103" s="26">
        <f t="shared" si="29"/>
        <v>0</v>
      </c>
      <c r="AL103" s="26">
        <f t="shared" si="29"/>
        <v>0</v>
      </c>
    </row>
    <row r="104" spans="1:38" ht="21" hidden="1" customHeight="1" outlineLevel="1" thickBot="1" x14ac:dyDescent="0.4">
      <c r="A104" s="10">
        <f t="shared" si="28"/>
        <v>0</v>
      </c>
      <c r="B104" s="10">
        <f t="shared" si="28"/>
        <v>0</v>
      </c>
      <c r="C104" s="10">
        <f t="shared" si="28"/>
        <v>0</v>
      </c>
      <c r="D104" s="10">
        <f t="shared" si="28"/>
        <v>0</v>
      </c>
      <c r="E104" s="11">
        <f t="shared" si="19"/>
        <v>0</v>
      </c>
      <c r="F104" s="26">
        <f t="shared" si="27"/>
        <v>0</v>
      </c>
      <c r="G104" s="26">
        <f t="shared" si="29"/>
        <v>0</v>
      </c>
      <c r="H104" s="26">
        <f t="shared" si="29"/>
        <v>0</v>
      </c>
      <c r="I104" s="26">
        <f t="shared" si="29"/>
        <v>0</v>
      </c>
      <c r="J104" s="26">
        <f t="shared" si="29"/>
        <v>0</v>
      </c>
      <c r="K104" s="26">
        <f t="shared" si="29"/>
        <v>0</v>
      </c>
      <c r="L104" s="26">
        <f t="shared" si="29"/>
        <v>0</v>
      </c>
      <c r="M104" s="26">
        <f t="shared" si="29"/>
        <v>0</v>
      </c>
      <c r="N104" s="26">
        <f t="shared" si="29"/>
        <v>0</v>
      </c>
      <c r="O104" s="26">
        <f t="shared" si="29"/>
        <v>0</v>
      </c>
      <c r="P104" s="26">
        <f t="shared" si="29"/>
        <v>0</v>
      </c>
      <c r="Q104" s="26">
        <f t="shared" si="29"/>
        <v>0</v>
      </c>
      <c r="R104" s="26">
        <f t="shared" si="29"/>
        <v>0</v>
      </c>
      <c r="S104" s="26">
        <f t="shared" si="29"/>
        <v>0</v>
      </c>
      <c r="T104" s="26">
        <f t="shared" si="29"/>
        <v>0</v>
      </c>
      <c r="U104" s="26">
        <f t="shared" si="29"/>
        <v>0</v>
      </c>
      <c r="V104" s="26">
        <f t="shared" si="29"/>
        <v>0</v>
      </c>
      <c r="W104" s="26">
        <f t="shared" si="29"/>
        <v>0</v>
      </c>
      <c r="X104" s="26">
        <f t="shared" si="29"/>
        <v>0</v>
      </c>
      <c r="Y104" s="26">
        <f t="shared" si="29"/>
        <v>0</v>
      </c>
      <c r="Z104" s="26">
        <f t="shared" si="29"/>
        <v>0</v>
      </c>
      <c r="AA104" s="26">
        <f t="shared" si="29"/>
        <v>0</v>
      </c>
      <c r="AB104" s="26">
        <f t="shared" si="29"/>
        <v>0</v>
      </c>
      <c r="AC104" s="26">
        <f t="shared" si="29"/>
        <v>0</v>
      </c>
      <c r="AD104" s="26">
        <f t="shared" si="29"/>
        <v>0</v>
      </c>
      <c r="AE104" s="26">
        <f t="shared" si="29"/>
        <v>0</v>
      </c>
      <c r="AF104" s="26">
        <f t="shared" si="29"/>
        <v>0</v>
      </c>
      <c r="AG104" s="26">
        <f t="shared" si="29"/>
        <v>0</v>
      </c>
      <c r="AH104" s="26">
        <f t="shared" si="29"/>
        <v>0</v>
      </c>
      <c r="AI104" s="26">
        <f t="shared" si="29"/>
        <v>0</v>
      </c>
      <c r="AJ104" s="26">
        <f t="shared" si="29"/>
        <v>0</v>
      </c>
      <c r="AK104" s="26">
        <f t="shared" si="29"/>
        <v>0</v>
      </c>
      <c r="AL104" s="26">
        <f t="shared" si="29"/>
        <v>0</v>
      </c>
    </row>
    <row r="105" spans="1:38" ht="21" hidden="1" customHeight="1" outlineLevel="1" thickBot="1" x14ac:dyDescent="0.4">
      <c r="A105" s="10">
        <f t="shared" si="28"/>
        <v>0</v>
      </c>
      <c r="B105" s="10">
        <f t="shared" si="28"/>
        <v>0</v>
      </c>
      <c r="C105" s="10">
        <f t="shared" si="28"/>
        <v>0</v>
      </c>
      <c r="D105" s="10">
        <f t="shared" si="28"/>
        <v>0</v>
      </c>
      <c r="E105" s="11">
        <f t="shared" si="19"/>
        <v>0</v>
      </c>
      <c r="F105" s="26">
        <f t="shared" si="27"/>
        <v>0</v>
      </c>
      <c r="G105" s="26">
        <f t="shared" si="29"/>
        <v>0</v>
      </c>
      <c r="H105" s="26">
        <f t="shared" si="29"/>
        <v>0</v>
      </c>
      <c r="I105" s="26">
        <f t="shared" si="29"/>
        <v>0</v>
      </c>
      <c r="J105" s="26">
        <f t="shared" si="29"/>
        <v>0</v>
      </c>
      <c r="K105" s="26">
        <f t="shared" si="29"/>
        <v>0</v>
      </c>
      <c r="L105" s="26">
        <f t="shared" si="29"/>
        <v>0</v>
      </c>
      <c r="M105" s="26">
        <f t="shared" si="29"/>
        <v>0</v>
      </c>
      <c r="N105" s="26">
        <f t="shared" si="29"/>
        <v>0</v>
      </c>
      <c r="O105" s="26">
        <f t="shared" si="29"/>
        <v>0</v>
      </c>
      <c r="P105" s="26">
        <f t="shared" si="29"/>
        <v>0</v>
      </c>
      <c r="Q105" s="26">
        <f t="shared" si="29"/>
        <v>0</v>
      </c>
      <c r="R105" s="26">
        <f t="shared" si="29"/>
        <v>0</v>
      </c>
      <c r="S105" s="26">
        <f t="shared" si="29"/>
        <v>0</v>
      </c>
      <c r="T105" s="26">
        <f t="shared" si="29"/>
        <v>0</v>
      </c>
      <c r="U105" s="26">
        <f t="shared" si="29"/>
        <v>0</v>
      </c>
      <c r="V105" s="26">
        <f t="shared" si="29"/>
        <v>0</v>
      </c>
      <c r="W105" s="26">
        <f t="shared" si="29"/>
        <v>0</v>
      </c>
      <c r="X105" s="26">
        <f t="shared" si="29"/>
        <v>0</v>
      </c>
      <c r="Y105" s="26">
        <f t="shared" si="29"/>
        <v>0</v>
      </c>
      <c r="Z105" s="26">
        <f t="shared" si="29"/>
        <v>0</v>
      </c>
      <c r="AA105" s="26">
        <f t="shared" si="29"/>
        <v>0</v>
      </c>
      <c r="AB105" s="26">
        <f t="shared" si="29"/>
        <v>0</v>
      </c>
      <c r="AC105" s="26">
        <f t="shared" si="29"/>
        <v>0</v>
      </c>
      <c r="AD105" s="26">
        <f t="shared" si="29"/>
        <v>0</v>
      </c>
      <c r="AE105" s="26">
        <f t="shared" si="29"/>
        <v>0</v>
      </c>
      <c r="AF105" s="26">
        <f t="shared" si="29"/>
        <v>0</v>
      </c>
      <c r="AG105" s="26">
        <f t="shared" si="29"/>
        <v>0</v>
      </c>
      <c r="AH105" s="26">
        <f t="shared" si="29"/>
        <v>0</v>
      </c>
      <c r="AI105" s="26">
        <f t="shared" si="29"/>
        <v>0</v>
      </c>
      <c r="AJ105" s="26">
        <f t="shared" si="29"/>
        <v>0</v>
      </c>
      <c r="AK105" s="26">
        <f t="shared" si="29"/>
        <v>0</v>
      </c>
      <c r="AL105" s="26">
        <f t="shared" si="29"/>
        <v>0</v>
      </c>
    </row>
    <row r="106" spans="1:38" ht="21" hidden="1" customHeight="1" outlineLevel="1" thickBot="1" x14ac:dyDescent="0.4">
      <c r="A106" s="10">
        <f t="shared" si="28"/>
        <v>0</v>
      </c>
      <c r="B106" s="10">
        <f t="shared" si="28"/>
        <v>0</v>
      </c>
      <c r="C106" s="10">
        <f t="shared" si="28"/>
        <v>0</v>
      </c>
      <c r="D106" s="10">
        <f t="shared" si="28"/>
        <v>0</v>
      </c>
      <c r="E106" s="11">
        <f t="shared" si="19"/>
        <v>0</v>
      </c>
      <c r="F106" s="26">
        <f t="shared" si="27"/>
        <v>0</v>
      </c>
      <c r="G106" s="26">
        <f t="shared" si="29"/>
        <v>0</v>
      </c>
      <c r="H106" s="26">
        <f t="shared" si="29"/>
        <v>0</v>
      </c>
      <c r="I106" s="26">
        <f t="shared" si="29"/>
        <v>0</v>
      </c>
      <c r="J106" s="26">
        <f t="shared" si="29"/>
        <v>0</v>
      </c>
      <c r="K106" s="26">
        <f t="shared" si="29"/>
        <v>0</v>
      </c>
      <c r="L106" s="26">
        <f t="shared" si="29"/>
        <v>0</v>
      </c>
      <c r="M106" s="26">
        <f t="shared" si="29"/>
        <v>0</v>
      </c>
      <c r="N106" s="26">
        <f t="shared" si="29"/>
        <v>0</v>
      </c>
      <c r="O106" s="26">
        <f t="shared" si="29"/>
        <v>0</v>
      </c>
      <c r="P106" s="26">
        <f t="shared" si="29"/>
        <v>0</v>
      </c>
      <c r="Q106" s="26">
        <f t="shared" si="29"/>
        <v>0</v>
      </c>
      <c r="R106" s="26">
        <f t="shared" si="29"/>
        <v>0</v>
      </c>
      <c r="S106" s="26">
        <f t="shared" si="29"/>
        <v>0</v>
      </c>
      <c r="T106" s="26">
        <f t="shared" si="29"/>
        <v>0</v>
      </c>
      <c r="U106" s="26">
        <f t="shared" si="29"/>
        <v>0</v>
      </c>
      <c r="V106" s="26">
        <f t="shared" si="29"/>
        <v>0</v>
      </c>
      <c r="W106" s="26">
        <f t="shared" si="29"/>
        <v>0</v>
      </c>
      <c r="X106" s="26">
        <f t="shared" si="29"/>
        <v>0</v>
      </c>
      <c r="Y106" s="26">
        <f t="shared" si="29"/>
        <v>0</v>
      </c>
      <c r="Z106" s="26">
        <f t="shared" si="29"/>
        <v>0</v>
      </c>
      <c r="AA106" s="26">
        <f t="shared" si="29"/>
        <v>0</v>
      </c>
      <c r="AB106" s="26">
        <f t="shared" si="29"/>
        <v>0</v>
      </c>
      <c r="AC106" s="26">
        <f t="shared" si="29"/>
        <v>0</v>
      </c>
      <c r="AD106" s="26">
        <f t="shared" si="29"/>
        <v>0</v>
      </c>
      <c r="AE106" s="26">
        <f t="shared" si="29"/>
        <v>0</v>
      </c>
      <c r="AF106" s="26">
        <f t="shared" si="29"/>
        <v>0</v>
      </c>
      <c r="AG106" s="26">
        <f t="shared" si="29"/>
        <v>0</v>
      </c>
      <c r="AH106" s="26">
        <f t="shared" si="29"/>
        <v>0</v>
      </c>
      <c r="AI106" s="26">
        <f t="shared" si="29"/>
        <v>0</v>
      </c>
      <c r="AJ106" s="26">
        <f t="shared" si="29"/>
        <v>0</v>
      </c>
      <c r="AK106" s="26">
        <f t="shared" si="29"/>
        <v>0</v>
      </c>
      <c r="AL106" s="26">
        <f t="shared" si="29"/>
        <v>0</v>
      </c>
    </row>
    <row r="107" spans="1:38" ht="21" hidden="1" customHeight="1" outlineLevel="1" thickBot="1" x14ac:dyDescent="0.4">
      <c r="A107" s="10">
        <f t="shared" si="28"/>
        <v>0</v>
      </c>
      <c r="B107" s="10">
        <f t="shared" si="28"/>
        <v>0</v>
      </c>
      <c r="C107" s="10">
        <f t="shared" si="28"/>
        <v>0</v>
      </c>
      <c r="D107" s="10">
        <f t="shared" si="28"/>
        <v>0</v>
      </c>
      <c r="E107" s="11">
        <f t="shared" si="19"/>
        <v>0</v>
      </c>
      <c r="F107" s="26">
        <f t="shared" si="27"/>
        <v>0</v>
      </c>
      <c r="G107" s="26">
        <f t="shared" si="29"/>
        <v>0</v>
      </c>
      <c r="H107" s="26">
        <f t="shared" si="29"/>
        <v>0</v>
      </c>
      <c r="I107" s="26">
        <f t="shared" si="29"/>
        <v>0</v>
      </c>
      <c r="J107" s="26">
        <f t="shared" si="29"/>
        <v>0</v>
      </c>
      <c r="K107" s="26">
        <f t="shared" si="29"/>
        <v>0</v>
      </c>
      <c r="L107" s="26">
        <f t="shared" si="29"/>
        <v>0</v>
      </c>
      <c r="M107" s="26">
        <f t="shared" si="29"/>
        <v>0</v>
      </c>
      <c r="N107" s="26">
        <f t="shared" si="29"/>
        <v>0</v>
      </c>
      <c r="O107" s="26">
        <f t="shared" si="29"/>
        <v>0</v>
      </c>
      <c r="P107" s="26">
        <f t="shared" si="29"/>
        <v>0</v>
      </c>
      <c r="Q107" s="26">
        <f t="shared" si="29"/>
        <v>0</v>
      </c>
      <c r="R107" s="26">
        <f t="shared" si="29"/>
        <v>0</v>
      </c>
      <c r="S107" s="26">
        <f t="shared" si="29"/>
        <v>0</v>
      </c>
      <c r="T107" s="26">
        <f t="shared" si="29"/>
        <v>0</v>
      </c>
      <c r="U107" s="26">
        <f t="shared" si="29"/>
        <v>0</v>
      </c>
      <c r="V107" s="26">
        <f t="shared" si="29"/>
        <v>0</v>
      </c>
      <c r="W107" s="26">
        <f t="shared" si="29"/>
        <v>0</v>
      </c>
      <c r="X107" s="26">
        <f t="shared" si="29"/>
        <v>0</v>
      </c>
      <c r="Y107" s="26">
        <f t="shared" si="29"/>
        <v>0</v>
      </c>
      <c r="Z107" s="26">
        <f t="shared" si="29"/>
        <v>0</v>
      </c>
      <c r="AA107" s="26">
        <f t="shared" si="29"/>
        <v>0</v>
      </c>
      <c r="AB107" s="26">
        <f t="shared" si="29"/>
        <v>0</v>
      </c>
      <c r="AC107" s="26">
        <f t="shared" si="29"/>
        <v>0</v>
      </c>
      <c r="AD107" s="26">
        <f t="shared" si="29"/>
        <v>0</v>
      </c>
      <c r="AE107" s="26">
        <f t="shared" si="29"/>
        <v>0</v>
      </c>
      <c r="AF107" s="26">
        <f t="shared" si="29"/>
        <v>0</v>
      </c>
      <c r="AG107" s="26">
        <f t="shared" si="29"/>
        <v>0</v>
      </c>
      <c r="AH107" s="26">
        <f t="shared" si="29"/>
        <v>0</v>
      </c>
      <c r="AI107" s="26">
        <f t="shared" si="29"/>
        <v>0</v>
      </c>
      <c r="AJ107" s="26">
        <f t="shared" si="29"/>
        <v>0</v>
      </c>
      <c r="AK107" s="26">
        <f t="shared" si="29"/>
        <v>0</v>
      </c>
      <c r="AL107" s="26">
        <f t="shared" si="29"/>
        <v>0</v>
      </c>
    </row>
    <row r="108" spans="1:38" ht="21" hidden="1" customHeight="1" outlineLevel="1" thickBot="1" x14ac:dyDescent="0.4">
      <c r="A108" s="10">
        <f t="shared" si="28"/>
        <v>0</v>
      </c>
      <c r="B108" s="10">
        <f t="shared" si="28"/>
        <v>0</v>
      </c>
      <c r="C108" s="10">
        <f t="shared" si="28"/>
        <v>0</v>
      </c>
      <c r="D108" s="10">
        <f t="shared" si="28"/>
        <v>0</v>
      </c>
      <c r="E108" s="11">
        <f t="shared" si="19"/>
        <v>0</v>
      </c>
      <c r="F108" s="26">
        <f t="shared" ref="F108:U112" si="30">F28*$C$82</f>
        <v>0</v>
      </c>
      <c r="G108" s="26">
        <f t="shared" si="30"/>
        <v>0</v>
      </c>
      <c r="H108" s="26">
        <f t="shared" si="30"/>
        <v>0</v>
      </c>
      <c r="I108" s="26">
        <f t="shared" si="30"/>
        <v>0</v>
      </c>
      <c r="J108" s="26">
        <f t="shared" si="30"/>
        <v>0</v>
      </c>
      <c r="K108" s="26">
        <f t="shared" si="30"/>
        <v>0</v>
      </c>
      <c r="L108" s="26">
        <f t="shared" si="30"/>
        <v>0</v>
      </c>
      <c r="M108" s="26">
        <f t="shared" si="30"/>
        <v>0</v>
      </c>
      <c r="N108" s="26">
        <f t="shared" si="30"/>
        <v>0</v>
      </c>
      <c r="O108" s="26">
        <f t="shared" si="30"/>
        <v>0</v>
      </c>
      <c r="P108" s="26">
        <f t="shared" si="30"/>
        <v>0</v>
      </c>
      <c r="Q108" s="26">
        <f t="shared" si="30"/>
        <v>0</v>
      </c>
      <c r="R108" s="26">
        <f t="shared" si="30"/>
        <v>0</v>
      </c>
      <c r="S108" s="26">
        <f t="shared" si="30"/>
        <v>0</v>
      </c>
      <c r="T108" s="26">
        <f t="shared" si="30"/>
        <v>0</v>
      </c>
      <c r="U108" s="26">
        <f t="shared" si="30"/>
        <v>0</v>
      </c>
      <c r="V108" s="26">
        <f t="shared" si="29"/>
        <v>0</v>
      </c>
      <c r="W108" s="26">
        <f t="shared" si="29"/>
        <v>0</v>
      </c>
      <c r="X108" s="26">
        <f t="shared" si="29"/>
        <v>0</v>
      </c>
      <c r="Y108" s="26">
        <f t="shared" si="29"/>
        <v>0</v>
      </c>
      <c r="Z108" s="26">
        <f t="shared" si="29"/>
        <v>0</v>
      </c>
      <c r="AA108" s="26">
        <f t="shared" si="29"/>
        <v>0</v>
      </c>
      <c r="AB108" s="26">
        <f t="shared" si="29"/>
        <v>0</v>
      </c>
      <c r="AC108" s="26">
        <f t="shared" si="29"/>
        <v>0</v>
      </c>
      <c r="AD108" s="26">
        <f t="shared" si="29"/>
        <v>0</v>
      </c>
      <c r="AE108" s="26">
        <f t="shared" si="29"/>
        <v>0</v>
      </c>
      <c r="AF108" s="26">
        <f t="shared" si="29"/>
        <v>0</v>
      </c>
      <c r="AG108" s="26">
        <f t="shared" si="29"/>
        <v>0</v>
      </c>
      <c r="AH108" s="26">
        <f t="shared" si="29"/>
        <v>0</v>
      </c>
      <c r="AI108" s="26">
        <f t="shared" si="29"/>
        <v>0</v>
      </c>
      <c r="AJ108" s="26">
        <f t="shared" si="29"/>
        <v>0</v>
      </c>
      <c r="AK108" s="26">
        <f t="shared" si="29"/>
        <v>0</v>
      </c>
      <c r="AL108" s="26">
        <f t="shared" si="29"/>
        <v>0</v>
      </c>
    </row>
    <row r="109" spans="1:38" ht="21" hidden="1" customHeight="1" outlineLevel="1" thickBot="1" x14ac:dyDescent="0.4">
      <c r="A109" s="10">
        <f t="shared" si="28"/>
        <v>0</v>
      </c>
      <c r="B109" s="10">
        <f t="shared" si="28"/>
        <v>0</v>
      </c>
      <c r="C109" s="10">
        <f t="shared" si="28"/>
        <v>0</v>
      </c>
      <c r="D109" s="10">
        <f t="shared" si="28"/>
        <v>0</v>
      </c>
      <c r="E109" s="11">
        <f t="shared" si="19"/>
        <v>0</v>
      </c>
      <c r="F109" s="26">
        <f t="shared" si="30"/>
        <v>0</v>
      </c>
      <c r="G109" s="26">
        <f t="shared" si="29"/>
        <v>0</v>
      </c>
      <c r="H109" s="26">
        <f t="shared" si="29"/>
        <v>0</v>
      </c>
      <c r="I109" s="26">
        <f t="shared" si="29"/>
        <v>0</v>
      </c>
      <c r="J109" s="26">
        <f t="shared" si="29"/>
        <v>0</v>
      </c>
      <c r="K109" s="26">
        <f t="shared" si="29"/>
        <v>0</v>
      </c>
      <c r="L109" s="26">
        <f t="shared" si="29"/>
        <v>0</v>
      </c>
      <c r="M109" s="26">
        <f t="shared" si="29"/>
        <v>0</v>
      </c>
      <c r="N109" s="26">
        <f t="shared" si="29"/>
        <v>0</v>
      </c>
      <c r="O109" s="26">
        <f t="shared" si="29"/>
        <v>0</v>
      </c>
      <c r="P109" s="26">
        <f t="shared" si="29"/>
        <v>0</v>
      </c>
      <c r="Q109" s="26">
        <f t="shared" si="29"/>
        <v>0</v>
      </c>
      <c r="R109" s="26">
        <f t="shared" si="29"/>
        <v>0</v>
      </c>
      <c r="S109" s="26">
        <f t="shared" si="29"/>
        <v>0</v>
      </c>
      <c r="T109" s="26">
        <f t="shared" si="29"/>
        <v>0</v>
      </c>
      <c r="U109" s="26">
        <f t="shared" si="29"/>
        <v>0</v>
      </c>
      <c r="V109" s="26">
        <f t="shared" si="29"/>
        <v>0</v>
      </c>
      <c r="W109" s="26">
        <f t="shared" si="29"/>
        <v>0</v>
      </c>
      <c r="X109" s="26">
        <f t="shared" si="29"/>
        <v>0</v>
      </c>
      <c r="Y109" s="26">
        <f t="shared" si="29"/>
        <v>0</v>
      </c>
      <c r="Z109" s="26">
        <f t="shared" si="29"/>
        <v>0</v>
      </c>
      <c r="AA109" s="26">
        <f t="shared" si="29"/>
        <v>0</v>
      </c>
      <c r="AB109" s="26">
        <f t="shared" si="29"/>
        <v>0</v>
      </c>
      <c r="AC109" s="26">
        <f t="shared" si="29"/>
        <v>0</v>
      </c>
      <c r="AD109" s="26">
        <f t="shared" si="29"/>
        <v>0</v>
      </c>
      <c r="AE109" s="26">
        <f t="shared" si="29"/>
        <v>0</v>
      </c>
      <c r="AF109" s="26">
        <f t="shared" ref="G109:AL112" si="31">AF29*$C$82</f>
        <v>0</v>
      </c>
      <c r="AG109" s="26">
        <f t="shared" si="31"/>
        <v>0</v>
      </c>
      <c r="AH109" s="26">
        <f t="shared" si="31"/>
        <v>0</v>
      </c>
      <c r="AI109" s="26">
        <f t="shared" si="31"/>
        <v>0</v>
      </c>
      <c r="AJ109" s="26">
        <f t="shared" si="31"/>
        <v>0</v>
      </c>
      <c r="AK109" s="26">
        <f t="shared" si="31"/>
        <v>0</v>
      </c>
      <c r="AL109" s="26">
        <f t="shared" si="31"/>
        <v>0</v>
      </c>
    </row>
    <row r="110" spans="1:38" ht="21" hidden="1" customHeight="1" outlineLevel="1" thickBot="1" x14ac:dyDescent="0.4">
      <c r="A110" s="10">
        <f t="shared" si="28"/>
        <v>0</v>
      </c>
      <c r="B110" s="10">
        <f t="shared" si="28"/>
        <v>0</v>
      </c>
      <c r="C110" s="10">
        <f t="shared" si="28"/>
        <v>0</v>
      </c>
      <c r="D110" s="10">
        <f t="shared" si="28"/>
        <v>0</v>
      </c>
      <c r="E110" s="11">
        <f t="shared" si="19"/>
        <v>0</v>
      </c>
      <c r="F110" s="26">
        <f t="shared" si="30"/>
        <v>0</v>
      </c>
      <c r="G110" s="26">
        <f t="shared" si="31"/>
        <v>0</v>
      </c>
      <c r="H110" s="26">
        <f t="shared" si="31"/>
        <v>0</v>
      </c>
      <c r="I110" s="26">
        <f t="shared" si="31"/>
        <v>0</v>
      </c>
      <c r="J110" s="26">
        <f t="shared" si="31"/>
        <v>0</v>
      </c>
      <c r="K110" s="26">
        <f t="shared" si="31"/>
        <v>0</v>
      </c>
      <c r="L110" s="26">
        <f t="shared" si="31"/>
        <v>0</v>
      </c>
      <c r="M110" s="26">
        <f t="shared" si="31"/>
        <v>0</v>
      </c>
      <c r="N110" s="26">
        <f t="shared" si="31"/>
        <v>0</v>
      </c>
      <c r="O110" s="26">
        <f t="shared" si="31"/>
        <v>0</v>
      </c>
      <c r="P110" s="26">
        <f t="shared" si="31"/>
        <v>0</v>
      </c>
      <c r="Q110" s="26">
        <f t="shared" si="31"/>
        <v>0</v>
      </c>
      <c r="R110" s="26">
        <f t="shared" si="31"/>
        <v>0</v>
      </c>
      <c r="S110" s="26">
        <f t="shared" si="31"/>
        <v>0</v>
      </c>
      <c r="T110" s="26">
        <f t="shared" si="31"/>
        <v>0</v>
      </c>
      <c r="U110" s="26">
        <f t="shared" si="31"/>
        <v>0</v>
      </c>
      <c r="V110" s="26">
        <f t="shared" si="31"/>
        <v>0</v>
      </c>
      <c r="W110" s="26">
        <f t="shared" si="31"/>
        <v>0</v>
      </c>
      <c r="X110" s="26">
        <f t="shared" si="31"/>
        <v>0</v>
      </c>
      <c r="Y110" s="26">
        <f t="shared" si="31"/>
        <v>0</v>
      </c>
      <c r="Z110" s="26">
        <f t="shared" si="31"/>
        <v>0</v>
      </c>
      <c r="AA110" s="26">
        <f t="shared" si="31"/>
        <v>0</v>
      </c>
      <c r="AB110" s="26">
        <f t="shared" si="31"/>
        <v>0</v>
      </c>
      <c r="AC110" s="26">
        <f t="shared" si="31"/>
        <v>0</v>
      </c>
      <c r="AD110" s="26">
        <f t="shared" si="31"/>
        <v>0</v>
      </c>
      <c r="AE110" s="26">
        <f t="shared" si="31"/>
        <v>0</v>
      </c>
      <c r="AF110" s="26">
        <f t="shared" si="31"/>
        <v>0</v>
      </c>
      <c r="AG110" s="26">
        <f t="shared" si="31"/>
        <v>0</v>
      </c>
      <c r="AH110" s="26">
        <f t="shared" si="31"/>
        <v>0</v>
      </c>
      <c r="AI110" s="26">
        <f t="shared" si="31"/>
        <v>0</v>
      </c>
      <c r="AJ110" s="26">
        <f t="shared" si="31"/>
        <v>0</v>
      </c>
      <c r="AK110" s="26">
        <f t="shared" si="31"/>
        <v>0</v>
      </c>
      <c r="AL110" s="26">
        <f t="shared" si="31"/>
        <v>0</v>
      </c>
    </row>
    <row r="111" spans="1:38" ht="21" hidden="1" customHeight="1" outlineLevel="1" thickBot="1" x14ac:dyDescent="0.4">
      <c r="A111" s="10">
        <f t="shared" si="28"/>
        <v>0</v>
      </c>
      <c r="B111" s="10">
        <f t="shared" si="28"/>
        <v>0</v>
      </c>
      <c r="C111" s="10">
        <f t="shared" si="28"/>
        <v>0</v>
      </c>
      <c r="D111" s="10">
        <f t="shared" si="28"/>
        <v>0</v>
      </c>
      <c r="E111" s="11">
        <f t="shared" si="19"/>
        <v>0</v>
      </c>
      <c r="F111" s="26">
        <f t="shared" si="30"/>
        <v>0</v>
      </c>
      <c r="G111" s="26">
        <f t="shared" si="31"/>
        <v>0</v>
      </c>
      <c r="H111" s="26">
        <f t="shared" si="31"/>
        <v>0</v>
      </c>
      <c r="I111" s="26">
        <f t="shared" si="31"/>
        <v>0</v>
      </c>
      <c r="J111" s="26">
        <f t="shared" si="31"/>
        <v>0</v>
      </c>
      <c r="K111" s="26">
        <f t="shared" si="31"/>
        <v>0</v>
      </c>
      <c r="L111" s="26">
        <f t="shared" si="31"/>
        <v>0</v>
      </c>
      <c r="M111" s="26">
        <f t="shared" si="31"/>
        <v>0</v>
      </c>
      <c r="N111" s="26">
        <f t="shared" si="31"/>
        <v>0</v>
      </c>
      <c r="O111" s="26">
        <f t="shared" si="31"/>
        <v>0</v>
      </c>
      <c r="P111" s="26">
        <f t="shared" si="31"/>
        <v>0</v>
      </c>
      <c r="Q111" s="26">
        <f t="shared" si="31"/>
        <v>0</v>
      </c>
      <c r="R111" s="26">
        <f t="shared" si="31"/>
        <v>0</v>
      </c>
      <c r="S111" s="26">
        <f t="shared" si="31"/>
        <v>0</v>
      </c>
      <c r="T111" s="26">
        <f t="shared" si="31"/>
        <v>0</v>
      </c>
      <c r="U111" s="26">
        <f t="shared" si="31"/>
        <v>0</v>
      </c>
      <c r="V111" s="26">
        <f t="shared" si="31"/>
        <v>0</v>
      </c>
      <c r="W111" s="26">
        <f t="shared" si="31"/>
        <v>0</v>
      </c>
      <c r="X111" s="26">
        <f t="shared" si="31"/>
        <v>0</v>
      </c>
      <c r="Y111" s="26">
        <f t="shared" si="31"/>
        <v>0</v>
      </c>
      <c r="Z111" s="26">
        <f t="shared" si="31"/>
        <v>0</v>
      </c>
      <c r="AA111" s="26">
        <f t="shared" si="31"/>
        <v>0</v>
      </c>
      <c r="AB111" s="26">
        <f t="shared" si="31"/>
        <v>0</v>
      </c>
      <c r="AC111" s="26">
        <f t="shared" si="31"/>
        <v>0</v>
      </c>
      <c r="AD111" s="26">
        <f t="shared" si="31"/>
        <v>0</v>
      </c>
      <c r="AE111" s="26">
        <f t="shared" si="31"/>
        <v>0</v>
      </c>
      <c r="AF111" s="26">
        <f t="shared" si="31"/>
        <v>0</v>
      </c>
      <c r="AG111" s="26">
        <f t="shared" si="31"/>
        <v>0</v>
      </c>
      <c r="AH111" s="26">
        <f t="shared" si="31"/>
        <v>0</v>
      </c>
      <c r="AI111" s="26">
        <f t="shared" si="31"/>
        <v>0</v>
      </c>
      <c r="AJ111" s="26">
        <f t="shared" si="31"/>
        <v>0</v>
      </c>
      <c r="AK111" s="26">
        <f t="shared" si="31"/>
        <v>0</v>
      </c>
      <c r="AL111" s="26">
        <f t="shared" si="31"/>
        <v>0</v>
      </c>
    </row>
    <row r="112" spans="1:38" ht="21" hidden="1" customHeight="1" outlineLevel="1" thickBot="1" x14ac:dyDescent="0.4">
      <c r="A112" s="10">
        <f t="shared" si="28"/>
        <v>0</v>
      </c>
      <c r="B112" s="10">
        <f t="shared" si="28"/>
        <v>0</v>
      </c>
      <c r="C112" s="10">
        <f t="shared" si="28"/>
        <v>0</v>
      </c>
      <c r="D112" s="10">
        <f t="shared" si="28"/>
        <v>0</v>
      </c>
      <c r="E112" s="11">
        <f t="shared" si="19"/>
        <v>0</v>
      </c>
      <c r="F112" s="26">
        <f t="shared" si="30"/>
        <v>0</v>
      </c>
      <c r="G112" s="26">
        <f t="shared" si="31"/>
        <v>0</v>
      </c>
      <c r="H112" s="26">
        <f t="shared" si="31"/>
        <v>0</v>
      </c>
      <c r="I112" s="26">
        <f t="shared" si="31"/>
        <v>0</v>
      </c>
      <c r="J112" s="26">
        <f t="shared" si="31"/>
        <v>0</v>
      </c>
      <c r="K112" s="26">
        <f t="shared" si="31"/>
        <v>0</v>
      </c>
      <c r="L112" s="26">
        <f t="shared" si="31"/>
        <v>0</v>
      </c>
      <c r="M112" s="26">
        <f t="shared" si="31"/>
        <v>0</v>
      </c>
      <c r="N112" s="26">
        <f t="shared" si="31"/>
        <v>0</v>
      </c>
      <c r="O112" s="26">
        <f t="shared" si="31"/>
        <v>0</v>
      </c>
      <c r="P112" s="26">
        <f t="shared" si="31"/>
        <v>0</v>
      </c>
      <c r="Q112" s="26">
        <f t="shared" si="31"/>
        <v>0</v>
      </c>
      <c r="R112" s="26">
        <f t="shared" si="31"/>
        <v>0</v>
      </c>
      <c r="S112" s="26">
        <f t="shared" si="31"/>
        <v>0</v>
      </c>
      <c r="T112" s="26">
        <f t="shared" si="31"/>
        <v>0</v>
      </c>
      <c r="U112" s="26">
        <f t="shared" si="31"/>
        <v>0</v>
      </c>
      <c r="V112" s="26">
        <f t="shared" si="31"/>
        <v>0</v>
      </c>
      <c r="W112" s="26">
        <f t="shared" si="31"/>
        <v>0</v>
      </c>
      <c r="X112" s="26">
        <f t="shared" si="31"/>
        <v>0</v>
      </c>
      <c r="Y112" s="26">
        <f t="shared" si="31"/>
        <v>0</v>
      </c>
      <c r="Z112" s="26">
        <f t="shared" si="31"/>
        <v>0</v>
      </c>
      <c r="AA112" s="26">
        <f t="shared" si="31"/>
        <v>0</v>
      </c>
      <c r="AB112" s="26">
        <f t="shared" si="31"/>
        <v>0</v>
      </c>
      <c r="AC112" s="26">
        <f t="shared" si="31"/>
        <v>0</v>
      </c>
      <c r="AD112" s="26">
        <f t="shared" si="31"/>
        <v>0</v>
      </c>
      <c r="AE112" s="26">
        <f t="shared" si="31"/>
        <v>0</v>
      </c>
      <c r="AF112" s="26">
        <f t="shared" si="31"/>
        <v>0</v>
      </c>
      <c r="AG112" s="26">
        <f t="shared" si="31"/>
        <v>0</v>
      </c>
      <c r="AH112" s="26">
        <f t="shared" si="31"/>
        <v>0</v>
      </c>
      <c r="AI112" s="26">
        <f t="shared" si="31"/>
        <v>0</v>
      </c>
      <c r="AJ112" s="26">
        <f t="shared" si="31"/>
        <v>0</v>
      </c>
      <c r="AK112" s="26">
        <f t="shared" si="31"/>
        <v>0</v>
      </c>
      <c r="AL112" s="26">
        <f t="shared" si="31"/>
        <v>0</v>
      </c>
    </row>
    <row r="113" spans="1:38" ht="21" hidden="1" customHeight="1" outlineLevel="1" thickBot="1" x14ac:dyDescent="0.4">
      <c r="A113" s="10">
        <f t="shared" si="28"/>
        <v>0</v>
      </c>
      <c r="B113" s="10">
        <f t="shared" si="28"/>
        <v>0</v>
      </c>
      <c r="C113" s="10">
        <f t="shared" si="28"/>
        <v>0</v>
      </c>
      <c r="D113" s="10">
        <f t="shared" si="28"/>
        <v>0</v>
      </c>
      <c r="E113" s="11">
        <f t="shared" si="19"/>
        <v>1</v>
      </c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</row>
    <row r="114" spans="1:38" ht="21" hidden="1" customHeight="1" outlineLevel="1" x14ac:dyDescent="0.35"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</row>
    <row r="115" spans="1:38" ht="21" customHeight="1" collapsed="1" x14ac:dyDescent="0.35">
      <c r="G115" s="81"/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  <c r="AA115" s="81"/>
      <c r="AB115" s="81"/>
      <c r="AC115" s="81"/>
      <c r="AD115" s="81"/>
      <c r="AE115" s="81"/>
      <c r="AF115" s="81"/>
      <c r="AG115" s="81"/>
      <c r="AH115" s="81"/>
      <c r="AI115" s="81"/>
      <c r="AJ115" s="81"/>
      <c r="AK115" s="81"/>
      <c r="AL115" s="81"/>
    </row>
    <row r="116" spans="1:38" ht="21" customHeight="1" thickBot="1" x14ac:dyDescent="0.45">
      <c r="A116" s="3"/>
      <c r="B116" s="3"/>
      <c r="C116" s="3"/>
      <c r="D116" s="3"/>
      <c r="E116" s="4" t="s">
        <v>30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</row>
    <row r="117" spans="1:38" ht="21" customHeight="1" outlineLevel="1" thickTop="1" thickBot="1" x14ac:dyDescent="0.4">
      <c r="A117" s="109" t="s">
        <v>11</v>
      </c>
      <c r="B117" s="110"/>
      <c r="C117" s="44" t="s">
        <v>12</v>
      </c>
      <c r="D117" s="27" t="s">
        <v>13</v>
      </c>
      <c r="E117" s="27"/>
      <c r="F117" s="9">
        <f t="shared" ref="F117" si="32">F3</f>
        <v>273.10000000000002</v>
      </c>
      <c r="G117" s="9">
        <f t="shared" ref="G117:AL117" si="33">G3</f>
        <v>293.3</v>
      </c>
      <c r="H117" s="9">
        <f t="shared" si="33"/>
        <v>313.5</v>
      </c>
      <c r="I117" s="9">
        <f t="shared" si="33"/>
        <v>333.7</v>
      </c>
      <c r="J117" s="9">
        <f t="shared" si="33"/>
        <v>353.9</v>
      </c>
      <c r="K117" s="9">
        <f t="shared" si="33"/>
        <v>434.7</v>
      </c>
      <c r="L117" s="9">
        <f t="shared" si="33"/>
        <v>454.9</v>
      </c>
      <c r="M117" s="9">
        <f t="shared" si="33"/>
        <v>475.1</v>
      </c>
      <c r="N117" s="9">
        <f t="shared" si="33"/>
        <v>495.2</v>
      </c>
      <c r="O117" s="9">
        <f t="shared" si="33"/>
        <v>515.4</v>
      </c>
      <c r="P117" s="9">
        <f t="shared" si="33"/>
        <v>535.6</v>
      </c>
      <c r="Q117" s="9">
        <f t="shared" si="33"/>
        <v>555.79999999999995</v>
      </c>
      <c r="R117" s="9">
        <f t="shared" si="33"/>
        <v>576</v>
      </c>
      <c r="S117" s="9">
        <f t="shared" si="33"/>
        <v>596.20000000000005</v>
      </c>
      <c r="T117" s="9">
        <f t="shared" si="33"/>
        <v>677</v>
      </c>
      <c r="U117" s="9">
        <f t="shared" si="33"/>
        <v>757.7</v>
      </c>
      <c r="V117" s="9">
        <f t="shared" si="33"/>
        <v>838.5</v>
      </c>
      <c r="W117" s="9">
        <f t="shared" si="33"/>
        <v>919.2</v>
      </c>
      <c r="X117" s="9">
        <f t="shared" si="33"/>
        <v>1000</v>
      </c>
      <c r="Y117" s="9">
        <f t="shared" si="33"/>
        <v>0</v>
      </c>
      <c r="Z117" s="9">
        <f t="shared" si="33"/>
        <v>0</v>
      </c>
      <c r="AA117" s="9">
        <f t="shared" si="33"/>
        <v>0</v>
      </c>
      <c r="AB117" s="9">
        <f t="shared" si="33"/>
        <v>0</v>
      </c>
      <c r="AC117" s="9">
        <f t="shared" si="33"/>
        <v>0</v>
      </c>
      <c r="AD117" s="9">
        <f t="shared" si="33"/>
        <v>0</v>
      </c>
      <c r="AE117" s="9">
        <f t="shared" si="33"/>
        <v>0</v>
      </c>
      <c r="AF117" s="9">
        <f t="shared" si="33"/>
        <v>0</v>
      </c>
      <c r="AG117" s="9">
        <f t="shared" si="33"/>
        <v>0</v>
      </c>
      <c r="AH117" s="9">
        <f t="shared" si="33"/>
        <v>0</v>
      </c>
      <c r="AI117" s="9">
        <f t="shared" si="33"/>
        <v>0</v>
      </c>
      <c r="AJ117" s="9">
        <f t="shared" si="33"/>
        <v>0</v>
      </c>
      <c r="AK117" s="9">
        <f t="shared" si="33"/>
        <v>0</v>
      </c>
      <c r="AL117" s="9">
        <f t="shared" si="33"/>
        <v>0</v>
      </c>
    </row>
    <row r="118" spans="1:38" ht="21" customHeight="1" outlineLevel="1" thickTop="1" thickBot="1" x14ac:dyDescent="0.4">
      <c r="A118" s="42" t="e">
        <f>$A$2</f>
        <v>#REF!</v>
      </c>
      <c r="B118" s="76">
        <f ca="1">MIN(MIN(F118:AL120),MIN(F41:AL41))</f>
        <v>-824.47413449999999</v>
      </c>
      <c r="C118" s="45">
        <f>COUNTA(E118:E125)+1</f>
        <v>4</v>
      </c>
      <c r="E118" s="29" t="s">
        <v>39</v>
      </c>
      <c r="F118" s="78">
        <f ca="1">F$117*$B$2*SUMPRODUCT(F$93,F$59)/1000</f>
        <v>0</v>
      </c>
      <c r="G118" s="78">
        <f t="shared" ref="G118:AL118" ca="1" si="34">G$117*$B$2*SUMPRODUCT(G$93,G$59)/1000</f>
        <v>0</v>
      </c>
      <c r="H118" s="78">
        <f t="shared" ca="1" si="34"/>
        <v>0</v>
      </c>
      <c r="I118" s="78">
        <f t="shared" ca="1" si="34"/>
        <v>0</v>
      </c>
      <c r="J118" s="78">
        <f t="shared" ca="1" si="34"/>
        <v>0</v>
      </c>
      <c r="K118" s="78">
        <f t="shared" ca="1" si="34"/>
        <v>0</v>
      </c>
      <c r="L118" s="78">
        <f t="shared" ca="1" si="34"/>
        <v>-1.35033781709211E-33</v>
      </c>
      <c r="M118" s="78">
        <f t="shared" ca="1" si="34"/>
        <v>0</v>
      </c>
      <c r="N118" s="78">
        <f t="shared" ca="1" si="34"/>
        <v>0</v>
      </c>
      <c r="O118" s="78">
        <f t="shared" ca="1" si="34"/>
        <v>0</v>
      </c>
      <c r="P118" s="78">
        <f t="shared" ca="1" si="34"/>
        <v>0</v>
      </c>
      <c r="Q118" s="78">
        <f t="shared" ca="1" si="34"/>
        <v>-2.2671695208582001E-25</v>
      </c>
      <c r="R118" s="78">
        <f t="shared" ca="1" si="34"/>
        <v>-8.6584432182897605E-20</v>
      </c>
      <c r="S118" s="78">
        <f t="shared" ca="1" si="34"/>
        <v>-7.2664863302197989E-15</v>
      </c>
      <c r="T118" s="78">
        <f t="shared" ca="1" si="34"/>
        <v>-2.7994963366417577E-10</v>
      </c>
      <c r="U118" s="78">
        <f t="shared" ca="1" si="34"/>
        <v>-2.8011908343774544E-9</v>
      </c>
      <c r="V118" s="78">
        <f t="shared" ca="1" si="34"/>
        <v>-2.9774418128491722E-8</v>
      </c>
      <c r="W118" s="78">
        <f t="shared" ca="1" si="34"/>
        <v>-6.1350863363341199E-8</v>
      </c>
      <c r="X118" s="78">
        <f t="shared" ca="1" si="34"/>
        <v>-9.7404206614424975E-7</v>
      </c>
      <c r="Y118" s="78">
        <f t="shared" ca="1" si="34"/>
        <v>0</v>
      </c>
      <c r="Z118" s="78">
        <f t="shared" ca="1" si="34"/>
        <v>0</v>
      </c>
      <c r="AA118" s="78">
        <f t="shared" ca="1" si="34"/>
        <v>0</v>
      </c>
      <c r="AB118" s="78">
        <f t="shared" ca="1" si="34"/>
        <v>0</v>
      </c>
      <c r="AC118" s="78">
        <f t="shared" ca="1" si="34"/>
        <v>0</v>
      </c>
      <c r="AD118" s="78">
        <f t="shared" ca="1" si="34"/>
        <v>0</v>
      </c>
      <c r="AE118" s="78">
        <f t="shared" ca="1" si="34"/>
        <v>0</v>
      </c>
      <c r="AF118" s="78">
        <f t="shared" ca="1" si="34"/>
        <v>0</v>
      </c>
      <c r="AG118" s="78">
        <f t="shared" ca="1" si="34"/>
        <v>0</v>
      </c>
      <c r="AH118" s="78">
        <f t="shared" ca="1" si="34"/>
        <v>0</v>
      </c>
      <c r="AI118" s="78">
        <f t="shared" ca="1" si="34"/>
        <v>0</v>
      </c>
      <c r="AJ118" s="78">
        <f t="shared" ca="1" si="34"/>
        <v>0</v>
      </c>
      <c r="AK118" s="78">
        <f t="shared" ca="1" si="34"/>
        <v>0</v>
      </c>
      <c r="AL118" s="78">
        <f t="shared" ca="1" si="34"/>
        <v>0</v>
      </c>
    </row>
    <row r="119" spans="1:38" ht="21" customHeight="1" outlineLevel="1" thickBot="1" x14ac:dyDescent="0.4">
      <c r="A119" s="43" t="e">
        <f>$A$118</f>
        <v>#REF!</v>
      </c>
      <c r="B119" s="77">
        <f ca="1">MAX(MAX(F118:AL120),MAX(F41:AL41))</f>
        <v>0</v>
      </c>
      <c r="C119" s="46">
        <f xml:space="preserve"> COUNTIF(F117:AL117,"&lt;&gt;"&amp;0)</f>
        <v>19</v>
      </c>
      <c r="E119" s="29" t="s">
        <v>15</v>
      </c>
      <c r="F119" s="26">
        <f ca="1">F$117*$B$2*SUMPRODUCT(F$91,F$57)/1000</f>
        <v>-138.39401107259999</v>
      </c>
      <c r="G119" s="26">
        <f t="shared" ref="G119:AL119" ca="1" si="35">G$117*$B$2*SUMPRODUCT(G$91,G$57)/1000</f>
        <v>-139.52938930560003</v>
      </c>
      <c r="H119" s="26">
        <f t="shared" ca="1" si="35"/>
        <v>-140.70925177650003</v>
      </c>
      <c r="I119" s="26">
        <f t="shared" ca="1" si="35"/>
        <v>-141.92648709345002</v>
      </c>
      <c r="J119" s="26">
        <f t="shared" ca="1" si="35"/>
        <v>-143.21566994066998</v>
      </c>
      <c r="K119" s="26">
        <f t="shared" ca="1" si="35"/>
        <v>-148.65669985950001</v>
      </c>
      <c r="L119" s="26">
        <f t="shared" ca="1" si="35"/>
        <v>-150.14083312080001</v>
      </c>
      <c r="M119" s="26">
        <f t="shared" ca="1" si="35"/>
        <v>-151.62915439574999</v>
      </c>
      <c r="N119" s="26">
        <f t="shared" ca="1" si="35"/>
        <v>-153.11565479519999</v>
      </c>
      <c r="O119" s="26">
        <f t="shared" ca="1" si="35"/>
        <v>-154.6690910769</v>
      </c>
      <c r="P119" s="26">
        <f t="shared" ca="1" si="35"/>
        <v>-18.787450768820843</v>
      </c>
      <c r="Q119" s="26">
        <f t="shared" ca="1" si="35"/>
        <v>-7.1129906909680074E-2</v>
      </c>
      <c r="R119" s="26">
        <f t="shared" ca="1" si="35"/>
        <v>-3.5914479184742399E-4</v>
      </c>
      <c r="S119" s="26">
        <f t="shared" ca="1" si="35"/>
        <v>-2.2868461140896848E-6</v>
      </c>
      <c r="T119" s="26">
        <f t="shared" ca="1" si="35"/>
        <v>-2.7088807104004638E-14</v>
      </c>
      <c r="U119" s="26">
        <f t="shared" ca="1" si="35"/>
        <v>-4.190003797407707E-21</v>
      </c>
      <c r="V119" s="26">
        <f t="shared" ca="1" si="35"/>
        <v>-4.9907932814680196E-27</v>
      </c>
      <c r="W119" s="26">
        <f t="shared" ca="1" si="35"/>
        <v>-3.2843226900365567E-32</v>
      </c>
      <c r="X119" s="26">
        <f t="shared" ca="1" si="35"/>
        <v>0</v>
      </c>
      <c r="Y119" s="26">
        <f t="shared" ca="1" si="35"/>
        <v>0</v>
      </c>
      <c r="Z119" s="26">
        <f t="shared" ca="1" si="35"/>
        <v>0</v>
      </c>
      <c r="AA119" s="26">
        <f t="shared" ca="1" si="35"/>
        <v>0</v>
      </c>
      <c r="AB119" s="26">
        <f t="shared" ca="1" si="35"/>
        <v>0</v>
      </c>
      <c r="AC119" s="26">
        <f t="shared" ca="1" si="35"/>
        <v>0</v>
      </c>
      <c r="AD119" s="26">
        <f t="shared" ca="1" si="35"/>
        <v>0</v>
      </c>
      <c r="AE119" s="26">
        <f t="shared" ca="1" si="35"/>
        <v>0</v>
      </c>
      <c r="AF119" s="26">
        <f t="shared" ca="1" si="35"/>
        <v>0</v>
      </c>
      <c r="AG119" s="26">
        <f t="shared" ca="1" si="35"/>
        <v>0</v>
      </c>
      <c r="AH119" s="26">
        <f t="shared" ca="1" si="35"/>
        <v>0</v>
      </c>
      <c r="AI119" s="26">
        <f t="shared" ca="1" si="35"/>
        <v>0</v>
      </c>
      <c r="AJ119" s="26">
        <f t="shared" ca="1" si="35"/>
        <v>0</v>
      </c>
      <c r="AK119" s="26">
        <f t="shared" ca="1" si="35"/>
        <v>0</v>
      </c>
      <c r="AL119" s="26">
        <f t="shared" ca="1" si="35"/>
        <v>0</v>
      </c>
    </row>
    <row r="120" spans="1:38" ht="21" customHeight="1" outlineLevel="1" thickBot="1" x14ac:dyDescent="0.4">
      <c r="E120" s="29" t="s">
        <v>40</v>
      </c>
      <c r="F120" s="26">
        <f ca="1">F119+F118</f>
        <v>-138.39401107259999</v>
      </c>
      <c r="G120" s="26">
        <f t="shared" ref="G120:AL120" ca="1" si="36">G119+G118</f>
        <v>-139.52938930560003</v>
      </c>
      <c r="H120" s="26">
        <f t="shared" ca="1" si="36"/>
        <v>-140.70925177650003</v>
      </c>
      <c r="I120" s="26">
        <f t="shared" ca="1" si="36"/>
        <v>-141.92648709345002</v>
      </c>
      <c r="J120" s="26">
        <f t="shared" ca="1" si="36"/>
        <v>-143.21566994066998</v>
      </c>
      <c r="K120" s="26">
        <f t="shared" ca="1" si="36"/>
        <v>-148.65669985950001</v>
      </c>
      <c r="L120" s="26">
        <f t="shared" ca="1" si="36"/>
        <v>-150.14083312080001</v>
      </c>
      <c r="M120" s="26">
        <f t="shared" ca="1" si="36"/>
        <v>-151.62915439574999</v>
      </c>
      <c r="N120" s="26">
        <f t="shared" ca="1" si="36"/>
        <v>-153.11565479519999</v>
      </c>
      <c r="O120" s="26">
        <f t="shared" ca="1" si="36"/>
        <v>-154.6690910769</v>
      </c>
      <c r="P120" s="26">
        <f t="shared" ca="1" si="36"/>
        <v>-18.787450768820843</v>
      </c>
      <c r="Q120" s="26">
        <f t="shared" ca="1" si="36"/>
        <v>-7.1129906909680074E-2</v>
      </c>
      <c r="R120" s="26">
        <f t="shared" ca="1" si="36"/>
        <v>-3.591447918474241E-4</v>
      </c>
      <c r="S120" s="26">
        <f t="shared" ca="1" si="36"/>
        <v>-2.2868461213561712E-6</v>
      </c>
      <c r="T120" s="26">
        <f t="shared" ca="1" si="36"/>
        <v>-2.7997672247127975E-10</v>
      </c>
      <c r="U120" s="26">
        <f t="shared" ca="1" si="36"/>
        <v>-2.8011908343816445E-9</v>
      </c>
      <c r="V120" s="26">
        <f t="shared" ca="1" si="36"/>
        <v>-2.9774418128491722E-8</v>
      </c>
      <c r="W120" s="26">
        <f t="shared" ca="1" si="36"/>
        <v>-6.1350863363341199E-8</v>
      </c>
      <c r="X120" s="26">
        <f t="shared" ca="1" si="36"/>
        <v>-9.7404206614424975E-7</v>
      </c>
      <c r="Y120" s="26">
        <f t="shared" ca="1" si="36"/>
        <v>0</v>
      </c>
      <c r="Z120" s="26">
        <f t="shared" ca="1" si="36"/>
        <v>0</v>
      </c>
      <c r="AA120" s="26">
        <f t="shared" ca="1" si="36"/>
        <v>0</v>
      </c>
      <c r="AB120" s="26">
        <f t="shared" ca="1" si="36"/>
        <v>0</v>
      </c>
      <c r="AC120" s="26">
        <f t="shared" ca="1" si="36"/>
        <v>0</v>
      </c>
      <c r="AD120" s="26">
        <f t="shared" ca="1" si="36"/>
        <v>0</v>
      </c>
      <c r="AE120" s="26">
        <f t="shared" ca="1" si="36"/>
        <v>0</v>
      </c>
      <c r="AF120" s="26">
        <f t="shared" ca="1" si="36"/>
        <v>0</v>
      </c>
      <c r="AG120" s="26">
        <f t="shared" ca="1" si="36"/>
        <v>0</v>
      </c>
      <c r="AH120" s="26">
        <f t="shared" ca="1" si="36"/>
        <v>0</v>
      </c>
      <c r="AI120" s="26">
        <f t="shared" ca="1" si="36"/>
        <v>0</v>
      </c>
      <c r="AJ120" s="26">
        <f t="shared" ca="1" si="36"/>
        <v>0</v>
      </c>
      <c r="AK120" s="26">
        <f t="shared" ca="1" si="36"/>
        <v>0</v>
      </c>
      <c r="AL120" s="26">
        <f t="shared" ca="1" si="36"/>
        <v>0</v>
      </c>
    </row>
    <row r="121" spans="1:38" ht="21" customHeight="1" outlineLevel="1" thickBot="1" x14ac:dyDescent="0.4">
      <c r="E121" s="30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81"/>
      <c r="AD121" s="81"/>
      <c r="AE121" s="81"/>
      <c r="AF121" s="81"/>
      <c r="AG121" s="81"/>
      <c r="AH121" s="81"/>
      <c r="AI121" s="81"/>
      <c r="AJ121" s="81"/>
      <c r="AK121" s="81"/>
      <c r="AL121" s="81"/>
    </row>
    <row r="122" spans="1:38" ht="21" customHeight="1" outlineLevel="1" thickBot="1" x14ac:dyDescent="0.4">
      <c r="E122" s="30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81"/>
      <c r="AC122" s="81"/>
      <c r="AD122" s="81"/>
      <c r="AE122" s="81"/>
      <c r="AF122" s="81"/>
      <c r="AG122" s="81"/>
      <c r="AH122" s="81"/>
      <c r="AI122" s="81"/>
      <c r="AJ122" s="81"/>
      <c r="AK122" s="81"/>
      <c r="AL122" s="81"/>
    </row>
    <row r="123" spans="1:38" ht="21" customHeight="1" outlineLevel="1" thickBot="1" x14ac:dyDescent="0.4">
      <c r="E123" s="29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  <c r="AD123" s="81"/>
      <c r="AE123" s="81"/>
      <c r="AF123" s="81"/>
      <c r="AG123" s="81"/>
      <c r="AH123" s="81"/>
      <c r="AI123" s="81"/>
      <c r="AJ123" s="81"/>
      <c r="AK123" s="81"/>
      <c r="AL123" s="81"/>
    </row>
    <row r="124" spans="1:38" ht="21" customHeight="1" outlineLevel="1" thickBot="1" x14ac:dyDescent="0.4">
      <c r="E124" s="30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  <c r="AA124" s="81"/>
      <c r="AB124" s="81"/>
      <c r="AC124" s="81"/>
      <c r="AD124" s="81"/>
      <c r="AE124" s="81"/>
      <c r="AF124" s="81"/>
      <c r="AG124" s="81"/>
      <c r="AH124" s="81"/>
      <c r="AI124" s="81"/>
      <c r="AJ124" s="81"/>
      <c r="AK124" s="81"/>
      <c r="AL124" s="81"/>
    </row>
    <row r="125" spans="1:38" ht="21" customHeight="1" outlineLevel="1" thickBot="1" x14ac:dyDescent="0.4">
      <c r="E125" s="30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  <c r="AA125" s="81"/>
      <c r="AB125" s="81"/>
      <c r="AC125" s="81"/>
      <c r="AD125" s="81"/>
      <c r="AE125" s="81"/>
      <c r="AF125" s="81"/>
      <c r="AG125" s="81"/>
      <c r="AH125" s="81"/>
      <c r="AI125" s="81"/>
      <c r="AJ125" s="81"/>
      <c r="AK125" s="81"/>
      <c r="AL125" s="81"/>
    </row>
    <row r="126" spans="1:38" ht="21" customHeight="1" outlineLevel="1" thickTop="1" thickBot="1" x14ac:dyDescent="0.4">
      <c r="E126" s="9">
        <f t="array" aca="1" ref="E126:AL139" ca="1">OFFSET(E117,0,0,C118,C119+1)</f>
        <v>0</v>
      </c>
      <c r="F126" s="9">
        <f ca="1"/>
        <v>273.10000000000002</v>
      </c>
      <c r="G126" s="9">
        <f ca="1"/>
        <v>293.3</v>
      </c>
      <c r="H126" s="9">
        <f ca="1"/>
        <v>313.5</v>
      </c>
      <c r="I126" s="9">
        <f ca="1"/>
        <v>333.7</v>
      </c>
      <c r="J126" s="9">
        <f ca="1"/>
        <v>353.9</v>
      </c>
      <c r="K126" s="9">
        <f ca="1"/>
        <v>434.7</v>
      </c>
      <c r="L126" s="9">
        <f ca="1"/>
        <v>454.9</v>
      </c>
      <c r="M126" s="9">
        <f ca="1"/>
        <v>475.1</v>
      </c>
      <c r="N126" s="9">
        <f ca="1"/>
        <v>495.2</v>
      </c>
      <c r="O126" s="9">
        <f ca="1"/>
        <v>515.4</v>
      </c>
      <c r="P126" s="9">
        <f ca="1"/>
        <v>535.6</v>
      </c>
      <c r="Q126" s="9">
        <f ca="1"/>
        <v>555.79999999999995</v>
      </c>
      <c r="R126" s="9">
        <f ca="1"/>
        <v>576</v>
      </c>
      <c r="S126" s="9">
        <f ca="1"/>
        <v>596.20000000000005</v>
      </c>
      <c r="T126" s="9">
        <f ca="1"/>
        <v>677</v>
      </c>
      <c r="U126" s="9">
        <f ca="1"/>
        <v>757.7</v>
      </c>
      <c r="V126" s="9">
        <f ca="1"/>
        <v>838.5</v>
      </c>
      <c r="W126" s="9">
        <f ca="1"/>
        <v>919.2</v>
      </c>
      <c r="X126" s="9">
        <f ca="1"/>
        <v>1000</v>
      </c>
      <c r="Y126" s="9" t="e">
        <f ca="1"/>
        <v>#N/A</v>
      </c>
      <c r="Z126" s="9" t="e">
        <f ca="1"/>
        <v>#N/A</v>
      </c>
      <c r="AA126" s="9" t="e">
        <f ca="1"/>
        <v>#N/A</v>
      </c>
      <c r="AB126" s="9" t="e">
        <f ca="1"/>
        <v>#N/A</v>
      </c>
      <c r="AC126" s="9" t="e">
        <f ca="1"/>
        <v>#N/A</v>
      </c>
      <c r="AD126" s="9" t="e">
        <f ca="1"/>
        <v>#N/A</v>
      </c>
      <c r="AE126" s="9" t="e">
        <f ca="1"/>
        <v>#N/A</v>
      </c>
      <c r="AF126" s="9" t="e">
        <f ca="1"/>
        <v>#N/A</v>
      </c>
      <c r="AG126" s="9" t="e">
        <f ca="1"/>
        <v>#N/A</v>
      </c>
      <c r="AH126" s="9" t="e">
        <f ca="1"/>
        <v>#N/A</v>
      </c>
      <c r="AI126" s="9" t="e">
        <f ca="1"/>
        <v>#N/A</v>
      </c>
      <c r="AJ126" s="9" t="e">
        <f ca="1"/>
        <v>#N/A</v>
      </c>
      <c r="AK126" s="9" t="e">
        <f ca="1"/>
        <v>#N/A</v>
      </c>
      <c r="AL126" s="9" t="e">
        <f ca="1"/>
        <v>#N/A</v>
      </c>
    </row>
    <row r="127" spans="1:38" ht="21" customHeight="1" outlineLevel="1" thickTop="1" thickBot="1" x14ac:dyDescent="0.4">
      <c r="E127" s="29" t="str">
        <f ca="1"/>
        <v xml:space="preserve">Расвор: </v>
      </c>
      <c r="F127" s="59">
        <f ca="1"/>
        <v>0</v>
      </c>
      <c r="G127" s="59">
        <f ca="1"/>
        <v>0</v>
      </c>
      <c r="H127" s="59">
        <f ca="1"/>
        <v>0</v>
      </c>
      <c r="I127" s="59">
        <f ca="1"/>
        <v>0</v>
      </c>
      <c r="J127" s="59">
        <f ca="1"/>
        <v>0</v>
      </c>
      <c r="K127" s="59">
        <f ca="1"/>
        <v>0</v>
      </c>
      <c r="L127" s="59">
        <f ca="1"/>
        <v>-1.35033781709211E-33</v>
      </c>
      <c r="M127" s="59">
        <f ca="1"/>
        <v>0</v>
      </c>
      <c r="N127" s="59">
        <f ca="1"/>
        <v>0</v>
      </c>
      <c r="O127" s="59">
        <f ca="1"/>
        <v>0</v>
      </c>
      <c r="P127" s="59">
        <f ca="1"/>
        <v>0</v>
      </c>
      <c r="Q127" s="59">
        <f ca="1"/>
        <v>-2.2671695208582001E-25</v>
      </c>
      <c r="R127" s="59">
        <f ca="1"/>
        <v>-8.6584432182897605E-20</v>
      </c>
      <c r="S127" s="59">
        <f ca="1"/>
        <v>-7.2664863302197989E-15</v>
      </c>
      <c r="T127" s="59">
        <f ca="1"/>
        <v>-2.7994963366417577E-10</v>
      </c>
      <c r="U127" s="59">
        <f ca="1"/>
        <v>-2.8011908343774544E-9</v>
      </c>
      <c r="V127" s="59">
        <f ca="1"/>
        <v>-2.9774418128491722E-8</v>
      </c>
      <c r="W127" s="59">
        <f ca="1"/>
        <v>-6.1350863363341199E-8</v>
      </c>
      <c r="X127" s="59">
        <f ca="1"/>
        <v>-9.7404206614424975E-7</v>
      </c>
      <c r="Y127" s="59" t="e">
        <f ca="1"/>
        <v>#N/A</v>
      </c>
      <c r="Z127" s="59" t="e">
        <f ca="1"/>
        <v>#N/A</v>
      </c>
      <c r="AA127" s="59" t="e">
        <f ca="1"/>
        <v>#N/A</v>
      </c>
      <c r="AB127" s="59" t="e">
        <f ca="1"/>
        <v>#N/A</v>
      </c>
      <c r="AC127" s="59" t="e">
        <f ca="1"/>
        <v>#N/A</v>
      </c>
      <c r="AD127" s="59" t="e">
        <f ca="1"/>
        <v>#N/A</v>
      </c>
      <c r="AE127" s="59" t="e">
        <f ca="1"/>
        <v>#N/A</v>
      </c>
      <c r="AF127" s="59" t="e">
        <f ca="1"/>
        <v>#N/A</v>
      </c>
      <c r="AG127" s="59" t="e">
        <f ca="1"/>
        <v>#N/A</v>
      </c>
      <c r="AH127" s="59" t="e">
        <f ca="1"/>
        <v>#N/A</v>
      </c>
      <c r="AI127" s="59" t="e">
        <f ca="1"/>
        <v>#N/A</v>
      </c>
      <c r="AJ127" s="59" t="e">
        <f ca="1"/>
        <v>#N/A</v>
      </c>
      <c r="AK127" s="59" t="e">
        <f ca="1"/>
        <v>#N/A</v>
      </c>
      <c r="AL127" s="59" t="e">
        <f ca="1"/>
        <v>#N/A</v>
      </c>
    </row>
    <row r="128" spans="1:38" ht="21" customHeight="1" outlineLevel="1" thickBot="1" x14ac:dyDescent="0.4">
      <c r="E128" s="29" t="str">
        <f ca="1"/>
        <v xml:space="preserve">Газовая без Ar: </v>
      </c>
      <c r="F128" s="59">
        <f ca="1"/>
        <v>-138.39401107259999</v>
      </c>
      <c r="G128" s="59">
        <f ca="1"/>
        <v>-139.52938930560003</v>
      </c>
      <c r="H128" s="59">
        <f ca="1"/>
        <v>-140.70925177650003</v>
      </c>
      <c r="I128" s="59">
        <f ca="1"/>
        <v>-141.92648709345002</v>
      </c>
      <c r="J128" s="59">
        <f ca="1"/>
        <v>-143.21566994066998</v>
      </c>
      <c r="K128" s="59">
        <f ca="1"/>
        <v>-148.65669985950001</v>
      </c>
      <c r="L128" s="59">
        <f ca="1"/>
        <v>-150.14083312080001</v>
      </c>
      <c r="M128" s="59">
        <f ca="1"/>
        <v>-151.62915439574999</v>
      </c>
      <c r="N128" s="59">
        <f ca="1"/>
        <v>-153.11565479519999</v>
      </c>
      <c r="O128" s="59">
        <f ca="1"/>
        <v>-154.6690910769</v>
      </c>
      <c r="P128" s="59">
        <f ca="1"/>
        <v>-18.787450768820843</v>
      </c>
      <c r="Q128" s="59">
        <f ca="1"/>
        <v>-7.1129906909680074E-2</v>
      </c>
      <c r="R128" s="59">
        <f ca="1"/>
        <v>-3.5914479184742399E-4</v>
      </c>
      <c r="S128" s="59">
        <f ca="1"/>
        <v>-2.2868461140896848E-6</v>
      </c>
      <c r="T128" s="59">
        <f ca="1"/>
        <v>-2.7088807104004638E-14</v>
      </c>
      <c r="U128" s="59">
        <f ca="1"/>
        <v>-4.190003797407707E-21</v>
      </c>
      <c r="V128" s="59">
        <f ca="1"/>
        <v>-4.9907932814680196E-27</v>
      </c>
      <c r="W128" s="59">
        <f ca="1"/>
        <v>-3.2843226900365567E-32</v>
      </c>
      <c r="X128" s="59">
        <f ca="1"/>
        <v>0</v>
      </c>
      <c r="Y128" s="59" t="e">
        <f ca="1"/>
        <v>#N/A</v>
      </c>
      <c r="Z128" s="59" t="e">
        <f ca="1"/>
        <v>#N/A</v>
      </c>
      <c r="AA128" s="59" t="e">
        <f ca="1"/>
        <v>#N/A</v>
      </c>
      <c r="AB128" s="59" t="e">
        <f ca="1"/>
        <v>#N/A</v>
      </c>
      <c r="AC128" s="59" t="e">
        <f ca="1"/>
        <v>#N/A</v>
      </c>
      <c r="AD128" s="59" t="e">
        <f ca="1"/>
        <v>#N/A</v>
      </c>
      <c r="AE128" s="59" t="e">
        <f ca="1"/>
        <v>#N/A</v>
      </c>
      <c r="AF128" s="59" t="e">
        <f ca="1"/>
        <v>#N/A</v>
      </c>
      <c r="AG128" s="59" t="e">
        <f ca="1"/>
        <v>#N/A</v>
      </c>
      <c r="AH128" s="59" t="e">
        <f ca="1"/>
        <v>#N/A</v>
      </c>
      <c r="AI128" s="59" t="e">
        <f ca="1"/>
        <v>#N/A</v>
      </c>
      <c r="AJ128" s="59" t="e">
        <f ca="1"/>
        <v>#N/A</v>
      </c>
      <c r="AK128" s="59" t="e">
        <f ca="1"/>
        <v>#N/A</v>
      </c>
      <c r="AL128" s="59" t="e">
        <f ca="1"/>
        <v>#N/A</v>
      </c>
    </row>
    <row r="129" spans="1:38" ht="21" customHeight="1" outlineLevel="1" thickBot="1" x14ac:dyDescent="0.4">
      <c r="E129" s="29" t="str">
        <f ca="1"/>
        <v>Раствор + газовая без Ar</v>
      </c>
      <c r="F129" s="59">
        <f ca="1"/>
        <v>-138.39401107259999</v>
      </c>
      <c r="G129" s="59">
        <f ca="1"/>
        <v>-139.52938930560003</v>
      </c>
      <c r="H129" s="59">
        <f ca="1"/>
        <v>-140.70925177650003</v>
      </c>
      <c r="I129" s="59">
        <f ca="1"/>
        <v>-141.92648709345002</v>
      </c>
      <c r="J129" s="59">
        <f ca="1"/>
        <v>-143.21566994066998</v>
      </c>
      <c r="K129" s="59">
        <f ca="1"/>
        <v>-148.65669985950001</v>
      </c>
      <c r="L129" s="59">
        <f ca="1"/>
        <v>-150.14083312080001</v>
      </c>
      <c r="M129" s="59">
        <f ca="1"/>
        <v>-151.62915439574999</v>
      </c>
      <c r="N129" s="59">
        <f ca="1"/>
        <v>-153.11565479519999</v>
      </c>
      <c r="O129" s="59">
        <f ca="1"/>
        <v>-154.6690910769</v>
      </c>
      <c r="P129" s="59">
        <f ca="1"/>
        <v>-18.787450768820843</v>
      </c>
      <c r="Q129" s="59">
        <f ca="1"/>
        <v>-7.1129906909680074E-2</v>
      </c>
      <c r="R129" s="59">
        <f ca="1"/>
        <v>-3.591447918474241E-4</v>
      </c>
      <c r="S129" s="59">
        <f ca="1"/>
        <v>-2.2868461213561712E-6</v>
      </c>
      <c r="T129" s="59">
        <f ca="1"/>
        <v>-2.7997672247127975E-10</v>
      </c>
      <c r="U129" s="59">
        <f ca="1"/>
        <v>-2.8011908343816445E-9</v>
      </c>
      <c r="V129" s="59">
        <f ca="1"/>
        <v>-2.9774418128491722E-8</v>
      </c>
      <c r="W129" s="59">
        <f ca="1"/>
        <v>-6.1350863363341199E-8</v>
      </c>
      <c r="X129" s="59">
        <f ca="1"/>
        <v>-9.7404206614424975E-7</v>
      </c>
      <c r="Y129" s="59" t="e">
        <f ca="1"/>
        <v>#N/A</v>
      </c>
      <c r="Z129" s="59" t="e">
        <f ca="1"/>
        <v>#N/A</v>
      </c>
      <c r="AA129" s="59" t="e">
        <f ca="1"/>
        <v>#N/A</v>
      </c>
      <c r="AB129" s="59" t="e">
        <f ca="1"/>
        <v>#N/A</v>
      </c>
      <c r="AC129" s="59" t="e">
        <f ca="1"/>
        <v>#N/A</v>
      </c>
      <c r="AD129" s="59" t="e">
        <f ca="1"/>
        <v>#N/A</v>
      </c>
      <c r="AE129" s="59" t="e">
        <f ca="1"/>
        <v>#N/A</v>
      </c>
      <c r="AF129" s="59" t="e">
        <f ca="1"/>
        <v>#N/A</v>
      </c>
      <c r="AG129" s="59" t="e">
        <f ca="1"/>
        <v>#N/A</v>
      </c>
      <c r="AH129" s="59" t="e">
        <f ca="1"/>
        <v>#N/A</v>
      </c>
      <c r="AI129" s="59" t="e">
        <f ca="1"/>
        <v>#N/A</v>
      </c>
      <c r="AJ129" s="59" t="e">
        <f ca="1"/>
        <v>#N/A</v>
      </c>
      <c r="AK129" s="59" t="e">
        <f ca="1"/>
        <v>#N/A</v>
      </c>
      <c r="AL129" s="59" t="e">
        <f ca="1"/>
        <v>#N/A</v>
      </c>
    </row>
    <row r="130" spans="1:38" ht="21" customHeight="1" outlineLevel="1" thickBot="1" x14ac:dyDescent="0.4">
      <c r="E130" s="29" t="e">
        <f ca="1"/>
        <v>#N/A</v>
      </c>
      <c r="F130" s="59" t="e">
        <f ca="1"/>
        <v>#N/A</v>
      </c>
      <c r="G130" s="59" t="e">
        <f ca="1"/>
        <v>#N/A</v>
      </c>
      <c r="H130" s="59" t="e">
        <f ca="1"/>
        <v>#N/A</v>
      </c>
      <c r="I130" s="59" t="e">
        <f ca="1"/>
        <v>#N/A</v>
      </c>
      <c r="J130" s="59" t="e">
        <f ca="1"/>
        <v>#N/A</v>
      </c>
      <c r="K130" s="59" t="e">
        <f ca="1"/>
        <v>#N/A</v>
      </c>
      <c r="L130" s="59" t="e">
        <f ca="1"/>
        <v>#N/A</v>
      </c>
      <c r="M130" s="59" t="e">
        <f ca="1"/>
        <v>#N/A</v>
      </c>
      <c r="N130" s="59" t="e">
        <f ca="1"/>
        <v>#N/A</v>
      </c>
      <c r="O130" s="59" t="e">
        <f ca="1"/>
        <v>#N/A</v>
      </c>
      <c r="P130" s="59" t="e">
        <f ca="1"/>
        <v>#N/A</v>
      </c>
      <c r="Q130" s="59" t="e">
        <f ca="1"/>
        <v>#N/A</v>
      </c>
      <c r="R130" s="59" t="e">
        <f ca="1"/>
        <v>#N/A</v>
      </c>
      <c r="S130" s="59" t="e">
        <f ca="1"/>
        <v>#N/A</v>
      </c>
      <c r="T130" s="59" t="e">
        <f ca="1"/>
        <v>#N/A</v>
      </c>
      <c r="U130" s="59" t="e">
        <f ca="1"/>
        <v>#N/A</v>
      </c>
      <c r="V130" s="59" t="e">
        <f ca="1"/>
        <v>#N/A</v>
      </c>
      <c r="W130" s="59" t="e">
        <f ca="1"/>
        <v>#N/A</v>
      </c>
      <c r="X130" s="59" t="e">
        <f ca="1"/>
        <v>#N/A</v>
      </c>
      <c r="Y130" s="59" t="e">
        <f ca="1"/>
        <v>#N/A</v>
      </c>
      <c r="Z130" s="59" t="e">
        <f ca="1"/>
        <v>#N/A</v>
      </c>
      <c r="AA130" s="59" t="e">
        <f ca="1"/>
        <v>#N/A</v>
      </c>
      <c r="AB130" s="59" t="e">
        <f ca="1"/>
        <v>#N/A</v>
      </c>
      <c r="AC130" s="59" t="e">
        <f ca="1"/>
        <v>#N/A</v>
      </c>
      <c r="AD130" s="59" t="e">
        <f ca="1"/>
        <v>#N/A</v>
      </c>
      <c r="AE130" s="59" t="e">
        <f ca="1"/>
        <v>#N/A</v>
      </c>
      <c r="AF130" s="59" t="e">
        <f ca="1"/>
        <v>#N/A</v>
      </c>
      <c r="AG130" s="59" t="e">
        <f ca="1"/>
        <v>#N/A</v>
      </c>
      <c r="AH130" s="59" t="e">
        <f ca="1"/>
        <v>#N/A</v>
      </c>
      <c r="AI130" s="59" t="e">
        <f ca="1"/>
        <v>#N/A</v>
      </c>
      <c r="AJ130" s="59" t="e">
        <f ca="1"/>
        <v>#N/A</v>
      </c>
      <c r="AK130" s="59" t="e">
        <f ca="1"/>
        <v>#N/A</v>
      </c>
      <c r="AL130" s="59" t="e">
        <f ca="1"/>
        <v>#N/A</v>
      </c>
    </row>
    <row r="131" spans="1:38" ht="21" customHeight="1" outlineLevel="1" thickBot="1" x14ac:dyDescent="0.4">
      <c r="E131" s="29" t="e">
        <f ca="1"/>
        <v>#N/A</v>
      </c>
      <c r="F131" s="59" t="e">
        <f ca="1"/>
        <v>#N/A</v>
      </c>
      <c r="G131" s="59" t="e">
        <f ca="1"/>
        <v>#N/A</v>
      </c>
      <c r="H131" s="59" t="e">
        <f ca="1"/>
        <v>#N/A</v>
      </c>
      <c r="I131" s="59" t="e">
        <f ca="1"/>
        <v>#N/A</v>
      </c>
      <c r="J131" s="59" t="e">
        <f ca="1"/>
        <v>#N/A</v>
      </c>
      <c r="K131" s="59" t="e">
        <f ca="1"/>
        <v>#N/A</v>
      </c>
      <c r="L131" s="59" t="e">
        <f ca="1"/>
        <v>#N/A</v>
      </c>
      <c r="M131" s="59" t="e">
        <f ca="1"/>
        <v>#N/A</v>
      </c>
      <c r="N131" s="59" t="e">
        <f ca="1"/>
        <v>#N/A</v>
      </c>
      <c r="O131" s="59" t="e">
        <f ca="1"/>
        <v>#N/A</v>
      </c>
      <c r="P131" s="59" t="e">
        <f ca="1"/>
        <v>#N/A</v>
      </c>
      <c r="Q131" s="59" t="e">
        <f ca="1"/>
        <v>#N/A</v>
      </c>
      <c r="R131" s="59" t="e">
        <f ca="1"/>
        <v>#N/A</v>
      </c>
      <c r="S131" s="59" t="e">
        <f ca="1"/>
        <v>#N/A</v>
      </c>
      <c r="T131" s="59" t="e">
        <f ca="1"/>
        <v>#N/A</v>
      </c>
      <c r="U131" s="59" t="e">
        <f ca="1"/>
        <v>#N/A</v>
      </c>
      <c r="V131" s="59" t="e">
        <f ca="1"/>
        <v>#N/A</v>
      </c>
      <c r="W131" s="59" t="e">
        <f ca="1"/>
        <v>#N/A</v>
      </c>
      <c r="X131" s="59" t="e">
        <f ca="1"/>
        <v>#N/A</v>
      </c>
      <c r="Y131" s="59" t="e">
        <f ca="1"/>
        <v>#N/A</v>
      </c>
      <c r="Z131" s="59" t="e">
        <f ca="1"/>
        <v>#N/A</v>
      </c>
      <c r="AA131" s="59" t="e">
        <f ca="1"/>
        <v>#N/A</v>
      </c>
      <c r="AB131" s="59" t="e">
        <f ca="1"/>
        <v>#N/A</v>
      </c>
      <c r="AC131" s="59" t="e">
        <f ca="1"/>
        <v>#N/A</v>
      </c>
      <c r="AD131" s="59" t="e">
        <f ca="1"/>
        <v>#N/A</v>
      </c>
      <c r="AE131" s="59" t="e">
        <f ca="1"/>
        <v>#N/A</v>
      </c>
      <c r="AF131" s="59" t="e">
        <f ca="1"/>
        <v>#N/A</v>
      </c>
      <c r="AG131" s="59" t="e">
        <f ca="1"/>
        <v>#N/A</v>
      </c>
      <c r="AH131" s="59" t="e">
        <f ca="1"/>
        <v>#N/A</v>
      </c>
      <c r="AI131" s="59" t="e">
        <f ca="1"/>
        <v>#N/A</v>
      </c>
      <c r="AJ131" s="59" t="e">
        <f ca="1"/>
        <v>#N/A</v>
      </c>
      <c r="AK131" s="59" t="e">
        <f ca="1"/>
        <v>#N/A</v>
      </c>
      <c r="AL131" s="59" t="e">
        <f ca="1"/>
        <v>#N/A</v>
      </c>
    </row>
    <row r="132" spans="1:38" ht="21" customHeight="1" outlineLevel="1" thickBot="1" x14ac:dyDescent="0.4">
      <c r="E132" s="29" t="e">
        <f ca="1"/>
        <v>#N/A</v>
      </c>
      <c r="F132" s="59" t="e">
        <f ca="1"/>
        <v>#N/A</v>
      </c>
      <c r="G132" s="59" t="e">
        <f ca="1"/>
        <v>#N/A</v>
      </c>
      <c r="H132" s="59" t="e">
        <f ca="1"/>
        <v>#N/A</v>
      </c>
      <c r="I132" s="59" t="e">
        <f ca="1"/>
        <v>#N/A</v>
      </c>
      <c r="J132" s="59" t="e">
        <f ca="1"/>
        <v>#N/A</v>
      </c>
      <c r="K132" s="59" t="e">
        <f ca="1"/>
        <v>#N/A</v>
      </c>
      <c r="L132" s="59" t="e">
        <f ca="1"/>
        <v>#N/A</v>
      </c>
      <c r="M132" s="59" t="e">
        <f ca="1"/>
        <v>#N/A</v>
      </c>
      <c r="N132" s="59" t="e">
        <f ca="1"/>
        <v>#N/A</v>
      </c>
      <c r="O132" s="59" t="e">
        <f ca="1"/>
        <v>#N/A</v>
      </c>
      <c r="P132" s="59" t="e">
        <f ca="1"/>
        <v>#N/A</v>
      </c>
      <c r="Q132" s="59" t="e">
        <f ca="1"/>
        <v>#N/A</v>
      </c>
      <c r="R132" s="59" t="e">
        <f ca="1"/>
        <v>#N/A</v>
      </c>
      <c r="S132" s="59" t="e">
        <f ca="1"/>
        <v>#N/A</v>
      </c>
      <c r="T132" s="59" t="e">
        <f ca="1"/>
        <v>#N/A</v>
      </c>
      <c r="U132" s="59" t="e">
        <f ca="1"/>
        <v>#N/A</v>
      </c>
      <c r="V132" s="59" t="e">
        <f ca="1"/>
        <v>#N/A</v>
      </c>
      <c r="W132" s="59" t="e">
        <f ca="1"/>
        <v>#N/A</v>
      </c>
      <c r="X132" s="59" t="e">
        <f ca="1"/>
        <v>#N/A</v>
      </c>
      <c r="Y132" s="59" t="e">
        <f ca="1"/>
        <v>#N/A</v>
      </c>
      <c r="Z132" s="59" t="e">
        <f ca="1"/>
        <v>#N/A</v>
      </c>
      <c r="AA132" s="59" t="e">
        <f ca="1"/>
        <v>#N/A</v>
      </c>
      <c r="AB132" s="59" t="e">
        <f ca="1"/>
        <v>#N/A</v>
      </c>
      <c r="AC132" s="59" t="e">
        <f ca="1"/>
        <v>#N/A</v>
      </c>
      <c r="AD132" s="59" t="e">
        <f ca="1"/>
        <v>#N/A</v>
      </c>
      <c r="AE132" s="59" t="e">
        <f ca="1"/>
        <v>#N/A</v>
      </c>
      <c r="AF132" s="59" t="e">
        <f ca="1"/>
        <v>#N/A</v>
      </c>
      <c r="AG132" s="59" t="e">
        <f ca="1"/>
        <v>#N/A</v>
      </c>
      <c r="AH132" s="59" t="e">
        <f ca="1"/>
        <v>#N/A</v>
      </c>
      <c r="AI132" s="59" t="e">
        <f ca="1"/>
        <v>#N/A</v>
      </c>
      <c r="AJ132" s="59" t="e">
        <f ca="1"/>
        <v>#N/A</v>
      </c>
      <c r="AK132" s="59" t="e">
        <f ca="1"/>
        <v>#N/A</v>
      </c>
      <c r="AL132" s="59" t="e">
        <f ca="1"/>
        <v>#N/A</v>
      </c>
    </row>
    <row r="133" spans="1:38" ht="21" customHeight="1" outlineLevel="1" thickBot="1" x14ac:dyDescent="0.4">
      <c r="E133" s="29" t="e">
        <f ca="1"/>
        <v>#N/A</v>
      </c>
      <c r="F133" s="59" t="e">
        <f ca="1"/>
        <v>#N/A</v>
      </c>
      <c r="G133" s="59" t="e">
        <f ca="1"/>
        <v>#N/A</v>
      </c>
      <c r="H133" s="59" t="e">
        <f ca="1"/>
        <v>#N/A</v>
      </c>
      <c r="I133" s="59" t="e">
        <f ca="1"/>
        <v>#N/A</v>
      </c>
      <c r="J133" s="59" t="e">
        <f ca="1"/>
        <v>#N/A</v>
      </c>
      <c r="K133" s="59" t="e">
        <f ca="1"/>
        <v>#N/A</v>
      </c>
      <c r="L133" s="59" t="e">
        <f ca="1"/>
        <v>#N/A</v>
      </c>
      <c r="M133" s="59" t="e">
        <f ca="1"/>
        <v>#N/A</v>
      </c>
      <c r="N133" s="59" t="e">
        <f ca="1"/>
        <v>#N/A</v>
      </c>
      <c r="O133" s="59" t="e">
        <f ca="1"/>
        <v>#N/A</v>
      </c>
      <c r="P133" s="59" t="e">
        <f ca="1"/>
        <v>#N/A</v>
      </c>
      <c r="Q133" s="59" t="e">
        <f ca="1"/>
        <v>#N/A</v>
      </c>
      <c r="R133" s="59" t="e">
        <f ca="1"/>
        <v>#N/A</v>
      </c>
      <c r="S133" s="59" t="e">
        <f ca="1"/>
        <v>#N/A</v>
      </c>
      <c r="T133" s="59" t="e">
        <f ca="1"/>
        <v>#N/A</v>
      </c>
      <c r="U133" s="59" t="e">
        <f ca="1"/>
        <v>#N/A</v>
      </c>
      <c r="V133" s="59" t="e">
        <f ca="1"/>
        <v>#N/A</v>
      </c>
      <c r="W133" s="59" t="e">
        <f ca="1"/>
        <v>#N/A</v>
      </c>
      <c r="X133" s="59" t="e">
        <f ca="1"/>
        <v>#N/A</v>
      </c>
      <c r="Y133" s="59" t="e">
        <f ca="1"/>
        <v>#N/A</v>
      </c>
      <c r="Z133" s="59" t="e">
        <f ca="1"/>
        <v>#N/A</v>
      </c>
      <c r="AA133" s="59" t="e">
        <f ca="1"/>
        <v>#N/A</v>
      </c>
      <c r="AB133" s="59" t="e">
        <f ca="1"/>
        <v>#N/A</v>
      </c>
      <c r="AC133" s="59" t="e">
        <f ca="1"/>
        <v>#N/A</v>
      </c>
      <c r="AD133" s="59" t="e">
        <f ca="1"/>
        <v>#N/A</v>
      </c>
      <c r="AE133" s="59" t="e">
        <f ca="1"/>
        <v>#N/A</v>
      </c>
      <c r="AF133" s="59" t="e">
        <f ca="1"/>
        <v>#N/A</v>
      </c>
      <c r="AG133" s="59" t="e">
        <f ca="1"/>
        <v>#N/A</v>
      </c>
      <c r="AH133" s="59" t="e">
        <f ca="1"/>
        <v>#N/A</v>
      </c>
      <c r="AI133" s="59" t="e">
        <f ca="1"/>
        <v>#N/A</v>
      </c>
      <c r="AJ133" s="59" t="e">
        <f ca="1"/>
        <v>#N/A</v>
      </c>
      <c r="AK133" s="59" t="e">
        <f ca="1"/>
        <v>#N/A</v>
      </c>
      <c r="AL133" s="59" t="e">
        <f ca="1"/>
        <v>#N/A</v>
      </c>
    </row>
    <row r="134" spans="1:38" ht="21" customHeight="1" outlineLevel="1" thickBot="1" x14ac:dyDescent="0.4">
      <c r="E134" s="29" t="e">
        <f ca="1"/>
        <v>#N/A</v>
      </c>
      <c r="F134" s="59" t="e">
        <f ca="1"/>
        <v>#N/A</v>
      </c>
      <c r="G134" s="59" t="e">
        <f ca="1"/>
        <v>#N/A</v>
      </c>
      <c r="H134" s="59" t="e">
        <f ca="1"/>
        <v>#N/A</v>
      </c>
      <c r="I134" s="59" t="e">
        <f ca="1"/>
        <v>#N/A</v>
      </c>
      <c r="J134" s="59" t="e">
        <f ca="1"/>
        <v>#N/A</v>
      </c>
      <c r="K134" s="59" t="e">
        <f ca="1"/>
        <v>#N/A</v>
      </c>
      <c r="L134" s="59" t="e">
        <f ca="1"/>
        <v>#N/A</v>
      </c>
      <c r="M134" s="59" t="e">
        <f ca="1"/>
        <v>#N/A</v>
      </c>
      <c r="N134" s="59" t="e">
        <f ca="1"/>
        <v>#N/A</v>
      </c>
      <c r="O134" s="59" t="e">
        <f ca="1"/>
        <v>#N/A</v>
      </c>
      <c r="P134" s="59" t="e">
        <f ca="1"/>
        <v>#N/A</v>
      </c>
      <c r="Q134" s="59" t="e">
        <f ca="1"/>
        <v>#N/A</v>
      </c>
      <c r="R134" s="59" t="e">
        <f ca="1"/>
        <v>#N/A</v>
      </c>
      <c r="S134" s="59" t="e">
        <f ca="1"/>
        <v>#N/A</v>
      </c>
      <c r="T134" s="59" t="e">
        <f ca="1"/>
        <v>#N/A</v>
      </c>
      <c r="U134" s="59" t="e">
        <f ca="1"/>
        <v>#N/A</v>
      </c>
      <c r="V134" s="59" t="e">
        <f ca="1"/>
        <v>#N/A</v>
      </c>
      <c r="W134" s="59" t="e">
        <f ca="1"/>
        <v>#N/A</v>
      </c>
      <c r="X134" s="59" t="e">
        <f ca="1"/>
        <v>#N/A</v>
      </c>
      <c r="Y134" s="59" t="e">
        <f ca="1"/>
        <v>#N/A</v>
      </c>
      <c r="Z134" s="59" t="e">
        <f ca="1"/>
        <v>#N/A</v>
      </c>
      <c r="AA134" s="59" t="e">
        <f ca="1"/>
        <v>#N/A</v>
      </c>
      <c r="AB134" s="59" t="e">
        <f ca="1"/>
        <v>#N/A</v>
      </c>
      <c r="AC134" s="59" t="e">
        <f ca="1"/>
        <v>#N/A</v>
      </c>
      <c r="AD134" s="59" t="e">
        <f ca="1"/>
        <v>#N/A</v>
      </c>
      <c r="AE134" s="59" t="e">
        <f ca="1"/>
        <v>#N/A</v>
      </c>
      <c r="AF134" s="59" t="e">
        <f ca="1"/>
        <v>#N/A</v>
      </c>
      <c r="AG134" s="59" t="e">
        <f ca="1"/>
        <v>#N/A</v>
      </c>
      <c r="AH134" s="59" t="e">
        <f ca="1"/>
        <v>#N/A</v>
      </c>
      <c r="AI134" s="59" t="e">
        <f ca="1"/>
        <v>#N/A</v>
      </c>
      <c r="AJ134" s="59" t="e">
        <f ca="1"/>
        <v>#N/A</v>
      </c>
      <c r="AK134" s="59" t="e">
        <f ca="1"/>
        <v>#N/A</v>
      </c>
      <c r="AL134" s="59" t="e">
        <f ca="1"/>
        <v>#N/A</v>
      </c>
    </row>
    <row r="135" spans="1:38" ht="21" customHeight="1" outlineLevel="1" thickBot="1" x14ac:dyDescent="0.4">
      <c r="E135" s="29" t="e">
        <f ca="1"/>
        <v>#N/A</v>
      </c>
      <c r="F135" s="59" t="e">
        <f ca="1"/>
        <v>#N/A</v>
      </c>
      <c r="G135" s="59" t="e">
        <f ca="1"/>
        <v>#N/A</v>
      </c>
      <c r="H135" s="59" t="e">
        <f ca="1"/>
        <v>#N/A</v>
      </c>
      <c r="I135" s="59" t="e">
        <f ca="1"/>
        <v>#N/A</v>
      </c>
      <c r="J135" s="59" t="e">
        <f ca="1"/>
        <v>#N/A</v>
      </c>
      <c r="K135" s="59" t="e">
        <f ca="1"/>
        <v>#N/A</v>
      </c>
      <c r="L135" s="59" t="e">
        <f ca="1"/>
        <v>#N/A</v>
      </c>
      <c r="M135" s="59" t="e">
        <f ca="1"/>
        <v>#N/A</v>
      </c>
      <c r="N135" s="59" t="e">
        <f ca="1"/>
        <v>#N/A</v>
      </c>
      <c r="O135" s="59" t="e">
        <f ca="1"/>
        <v>#N/A</v>
      </c>
      <c r="P135" s="59" t="e">
        <f ca="1"/>
        <v>#N/A</v>
      </c>
      <c r="Q135" s="59" t="e">
        <f ca="1"/>
        <v>#N/A</v>
      </c>
      <c r="R135" s="59" t="e">
        <f ca="1"/>
        <v>#N/A</v>
      </c>
      <c r="S135" s="59" t="e">
        <f ca="1"/>
        <v>#N/A</v>
      </c>
      <c r="T135" s="59" t="e">
        <f ca="1"/>
        <v>#N/A</v>
      </c>
      <c r="U135" s="59" t="e">
        <f ca="1"/>
        <v>#N/A</v>
      </c>
      <c r="V135" s="59" t="e">
        <f ca="1"/>
        <v>#N/A</v>
      </c>
      <c r="W135" s="59" t="e">
        <f ca="1"/>
        <v>#N/A</v>
      </c>
      <c r="X135" s="59" t="e">
        <f ca="1"/>
        <v>#N/A</v>
      </c>
      <c r="Y135" s="59" t="e">
        <f ca="1"/>
        <v>#N/A</v>
      </c>
      <c r="Z135" s="59" t="e">
        <f ca="1"/>
        <v>#N/A</v>
      </c>
      <c r="AA135" s="59" t="e">
        <f ca="1"/>
        <v>#N/A</v>
      </c>
      <c r="AB135" s="59" t="e">
        <f ca="1"/>
        <v>#N/A</v>
      </c>
      <c r="AC135" s="59" t="e">
        <f ca="1"/>
        <v>#N/A</v>
      </c>
      <c r="AD135" s="59" t="e">
        <f ca="1"/>
        <v>#N/A</v>
      </c>
      <c r="AE135" s="59" t="e">
        <f ca="1"/>
        <v>#N/A</v>
      </c>
      <c r="AF135" s="59" t="e">
        <f ca="1"/>
        <v>#N/A</v>
      </c>
      <c r="AG135" s="59" t="e">
        <f ca="1"/>
        <v>#N/A</v>
      </c>
      <c r="AH135" s="59" t="e">
        <f ca="1"/>
        <v>#N/A</v>
      </c>
      <c r="AI135" s="59" t="e">
        <f ca="1"/>
        <v>#N/A</v>
      </c>
      <c r="AJ135" s="59" t="e">
        <f ca="1"/>
        <v>#N/A</v>
      </c>
      <c r="AK135" s="59" t="e">
        <f ca="1"/>
        <v>#N/A</v>
      </c>
      <c r="AL135" s="59" t="e">
        <f ca="1"/>
        <v>#N/A</v>
      </c>
    </row>
    <row r="136" spans="1:38" ht="21" customHeight="1" outlineLevel="1" thickBot="1" x14ac:dyDescent="0.4">
      <c r="E136" s="29" t="e">
        <f ca="1"/>
        <v>#N/A</v>
      </c>
      <c r="F136" s="59" t="e">
        <f ca="1"/>
        <v>#N/A</v>
      </c>
      <c r="G136" s="59" t="e">
        <f ca="1"/>
        <v>#N/A</v>
      </c>
      <c r="H136" s="59" t="e">
        <f ca="1"/>
        <v>#N/A</v>
      </c>
      <c r="I136" s="59" t="e">
        <f ca="1"/>
        <v>#N/A</v>
      </c>
      <c r="J136" s="59" t="e">
        <f ca="1"/>
        <v>#N/A</v>
      </c>
      <c r="K136" s="59" t="e">
        <f ca="1"/>
        <v>#N/A</v>
      </c>
      <c r="L136" s="59" t="e">
        <f ca="1"/>
        <v>#N/A</v>
      </c>
      <c r="M136" s="59" t="e">
        <f ca="1"/>
        <v>#N/A</v>
      </c>
      <c r="N136" s="59" t="e">
        <f ca="1"/>
        <v>#N/A</v>
      </c>
      <c r="O136" s="59" t="e">
        <f ca="1"/>
        <v>#N/A</v>
      </c>
      <c r="P136" s="59" t="e">
        <f ca="1"/>
        <v>#N/A</v>
      </c>
      <c r="Q136" s="59" t="e">
        <f ca="1"/>
        <v>#N/A</v>
      </c>
      <c r="R136" s="59" t="e">
        <f ca="1"/>
        <v>#N/A</v>
      </c>
      <c r="S136" s="59" t="e">
        <f ca="1"/>
        <v>#N/A</v>
      </c>
      <c r="T136" s="59" t="e">
        <f ca="1"/>
        <v>#N/A</v>
      </c>
      <c r="U136" s="59" t="e">
        <f ca="1"/>
        <v>#N/A</v>
      </c>
      <c r="V136" s="59" t="e">
        <f ca="1"/>
        <v>#N/A</v>
      </c>
      <c r="W136" s="59" t="e">
        <f ca="1"/>
        <v>#N/A</v>
      </c>
      <c r="X136" s="59" t="e">
        <f ca="1"/>
        <v>#N/A</v>
      </c>
      <c r="Y136" s="59" t="e">
        <f ca="1"/>
        <v>#N/A</v>
      </c>
      <c r="Z136" s="59" t="e">
        <f ca="1"/>
        <v>#N/A</v>
      </c>
      <c r="AA136" s="59" t="e">
        <f ca="1"/>
        <v>#N/A</v>
      </c>
      <c r="AB136" s="59" t="e">
        <f ca="1"/>
        <v>#N/A</v>
      </c>
      <c r="AC136" s="59" t="e">
        <f ca="1"/>
        <v>#N/A</v>
      </c>
      <c r="AD136" s="59" t="e">
        <f ca="1"/>
        <v>#N/A</v>
      </c>
      <c r="AE136" s="59" t="e">
        <f ca="1"/>
        <v>#N/A</v>
      </c>
      <c r="AF136" s="59" t="e">
        <f ca="1"/>
        <v>#N/A</v>
      </c>
      <c r="AG136" s="59" t="e">
        <f ca="1"/>
        <v>#N/A</v>
      </c>
      <c r="AH136" s="59" t="e">
        <f ca="1"/>
        <v>#N/A</v>
      </c>
      <c r="AI136" s="59" t="e">
        <f ca="1"/>
        <v>#N/A</v>
      </c>
      <c r="AJ136" s="59" t="e">
        <f ca="1"/>
        <v>#N/A</v>
      </c>
      <c r="AK136" s="59" t="e">
        <f ca="1"/>
        <v>#N/A</v>
      </c>
      <c r="AL136" s="59" t="e">
        <f ca="1"/>
        <v>#N/A</v>
      </c>
    </row>
    <row r="137" spans="1:38" ht="21" customHeight="1" outlineLevel="1" thickBot="1" x14ac:dyDescent="0.4">
      <c r="E137" s="29" t="e">
        <f ca="1"/>
        <v>#N/A</v>
      </c>
      <c r="F137" s="59" t="e">
        <f ca="1"/>
        <v>#N/A</v>
      </c>
      <c r="G137" s="59" t="e">
        <f ca="1"/>
        <v>#N/A</v>
      </c>
      <c r="H137" s="59" t="e">
        <f ca="1"/>
        <v>#N/A</v>
      </c>
      <c r="I137" s="59" t="e">
        <f ca="1"/>
        <v>#N/A</v>
      </c>
      <c r="J137" s="59" t="e">
        <f ca="1"/>
        <v>#N/A</v>
      </c>
      <c r="K137" s="59" t="e">
        <f ca="1"/>
        <v>#N/A</v>
      </c>
      <c r="L137" s="59" t="e">
        <f ca="1"/>
        <v>#N/A</v>
      </c>
      <c r="M137" s="59" t="e">
        <f ca="1"/>
        <v>#N/A</v>
      </c>
      <c r="N137" s="59" t="e">
        <f ca="1"/>
        <v>#N/A</v>
      </c>
      <c r="O137" s="59" t="e">
        <f ca="1"/>
        <v>#N/A</v>
      </c>
      <c r="P137" s="59" t="e">
        <f ca="1"/>
        <v>#N/A</v>
      </c>
      <c r="Q137" s="59" t="e">
        <f ca="1"/>
        <v>#N/A</v>
      </c>
      <c r="R137" s="59" t="e">
        <f ca="1"/>
        <v>#N/A</v>
      </c>
      <c r="S137" s="59" t="e">
        <f ca="1"/>
        <v>#N/A</v>
      </c>
      <c r="T137" s="59" t="e">
        <f ca="1"/>
        <v>#N/A</v>
      </c>
      <c r="U137" s="59" t="e">
        <f ca="1"/>
        <v>#N/A</v>
      </c>
      <c r="V137" s="59" t="e">
        <f ca="1"/>
        <v>#N/A</v>
      </c>
      <c r="W137" s="59" t="e">
        <f ca="1"/>
        <v>#N/A</v>
      </c>
      <c r="X137" s="59" t="e">
        <f ca="1"/>
        <v>#N/A</v>
      </c>
      <c r="Y137" s="59" t="e">
        <f ca="1"/>
        <v>#N/A</v>
      </c>
      <c r="Z137" s="59" t="e">
        <f ca="1"/>
        <v>#N/A</v>
      </c>
      <c r="AA137" s="59" t="e">
        <f ca="1"/>
        <v>#N/A</v>
      </c>
      <c r="AB137" s="59" t="e">
        <f ca="1"/>
        <v>#N/A</v>
      </c>
      <c r="AC137" s="59" t="e">
        <f ca="1"/>
        <v>#N/A</v>
      </c>
      <c r="AD137" s="59" t="e">
        <f ca="1"/>
        <v>#N/A</v>
      </c>
      <c r="AE137" s="59" t="e">
        <f ca="1"/>
        <v>#N/A</v>
      </c>
      <c r="AF137" s="59" t="e">
        <f ca="1"/>
        <v>#N/A</v>
      </c>
      <c r="AG137" s="59" t="e">
        <f ca="1"/>
        <v>#N/A</v>
      </c>
      <c r="AH137" s="59" t="e">
        <f ca="1"/>
        <v>#N/A</v>
      </c>
      <c r="AI137" s="59" t="e">
        <f ca="1"/>
        <v>#N/A</v>
      </c>
      <c r="AJ137" s="59" t="e">
        <f ca="1"/>
        <v>#N/A</v>
      </c>
      <c r="AK137" s="59" t="e">
        <f ca="1"/>
        <v>#N/A</v>
      </c>
      <c r="AL137" s="59" t="e">
        <f ca="1"/>
        <v>#N/A</v>
      </c>
    </row>
    <row r="138" spans="1:38" ht="21" customHeight="1" outlineLevel="1" thickBot="1" x14ac:dyDescent="0.4">
      <c r="E138" s="29" t="e">
        <f ca="1"/>
        <v>#N/A</v>
      </c>
      <c r="F138" s="59" t="e">
        <f ca="1"/>
        <v>#N/A</v>
      </c>
      <c r="G138" s="59" t="e">
        <f ca="1"/>
        <v>#N/A</v>
      </c>
      <c r="H138" s="59" t="e">
        <f ca="1"/>
        <v>#N/A</v>
      </c>
      <c r="I138" s="59" t="e">
        <f ca="1"/>
        <v>#N/A</v>
      </c>
      <c r="J138" s="59" t="e">
        <f ca="1"/>
        <v>#N/A</v>
      </c>
      <c r="K138" s="59" t="e">
        <f ca="1"/>
        <v>#N/A</v>
      </c>
      <c r="L138" s="59" t="e">
        <f ca="1"/>
        <v>#N/A</v>
      </c>
      <c r="M138" s="59" t="e">
        <f ca="1"/>
        <v>#N/A</v>
      </c>
      <c r="N138" s="59" t="e">
        <f ca="1"/>
        <v>#N/A</v>
      </c>
      <c r="O138" s="59" t="e">
        <f ca="1"/>
        <v>#N/A</v>
      </c>
      <c r="P138" s="59" t="e">
        <f ca="1"/>
        <v>#N/A</v>
      </c>
      <c r="Q138" s="59" t="e">
        <f ca="1"/>
        <v>#N/A</v>
      </c>
      <c r="R138" s="59" t="e">
        <f ca="1"/>
        <v>#N/A</v>
      </c>
      <c r="S138" s="59" t="e">
        <f ca="1"/>
        <v>#N/A</v>
      </c>
      <c r="T138" s="59" t="e">
        <f ca="1"/>
        <v>#N/A</v>
      </c>
      <c r="U138" s="59" t="e">
        <f ca="1"/>
        <v>#N/A</v>
      </c>
      <c r="V138" s="59" t="e">
        <f ca="1"/>
        <v>#N/A</v>
      </c>
      <c r="W138" s="59" t="e">
        <f ca="1"/>
        <v>#N/A</v>
      </c>
      <c r="X138" s="59" t="e">
        <f ca="1"/>
        <v>#N/A</v>
      </c>
      <c r="Y138" s="59" t="e">
        <f ca="1"/>
        <v>#N/A</v>
      </c>
      <c r="Z138" s="59" t="e">
        <f ca="1"/>
        <v>#N/A</v>
      </c>
      <c r="AA138" s="59" t="e">
        <f ca="1"/>
        <v>#N/A</v>
      </c>
      <c r="AB138" s="59" t="e">
        <f ca="1"/>
        <v>#N/A</v>
      </c>
      <c r="AC138" s="59" t="e">
        <f ca="1"/>
        <v>#N/A</v>
      </c>
      <c r="AD138" s="59" t="e">
        <f ca="1"/>
        <v>#N/A</v>
      </c>
      <c r="AE138" s="59" t="e">
        <f ca="1"/>
        <v>#N/A</v>
      </c>
      <c r="AF138" s="59" t="e">
        <f ca="1"/>
        <v>#N/A</v>
      </c>
      <c r="AG138" s="59" t="e">
        <f ca="1"/>
        <v>#N/A</v>
      </c>
      <c r="AH138" s="59" t="e">
        <f ca="1"/>
        <v>#N/A</v>
      </c>
      <c r="AI138" s="59" t="e">
        <f ca="1"/>
        <v>#N/A</v>
      </c>
      <c r="AJ138" s="59" t="e">
        <f ca="1"/>
        <v>#N/A</v>
      </c>
      <c r="AK138" s="59" t="e">
        <f ca="1"/>
        <v>#N/A</v>
      </c>
      <c r="AL138" s="59" t="e">
        <f ca="1"/>
        <v>#N/A</v>
      </c>
    </row>
    <row r="139" spans="1:38" ht="21" customHeight="1" outlineLevel="1" thickBot="1" x14ac:dyDescent="0.4">
      <c r="E139" s="29" t="e">
        <f ca="1"/>
        <v>#N/A</v>
      </c>
      <c r="F139" s="59" t="e">
        <f ca="1"/>
        <v>#N/A</v>
      </c>
      <c r="G139" s="59" t="e">
        <f ca="1"/>
        <v>#N/A</v>
      </c>
      <c r="H139" s="59" t="e">
        <f ca="1"/>
        <v>#N/A</v>
      </c>
      <c r="I139" s="59" t="e">
        <f ca="1"/>
        <v>#N/A</v>
      </c>
      <c r="J139" s="59" t="e">
        <f ca="1"/>
        <v>#N/A</v>
      </c>
      <c r="K139" s="59" t="e">
        <f ca="1"/>
        <v>#N/A</v>
      </c>
      <c r="L139" s="59" t="e">
        <f ca="1"/>
        <v>#N/A</v>
      </c>
      <c r="M139" s="59" t="e">
        <f ca="1"/>
        <v>#N/A</v>
      </c>
      <c r="N139" s="59" t="e">
        <f ca="1"/>
        <v>#N/A</v>
      </c>
      <c r="O139" s="59" t="e">
        <f ca="1"/>
        <v>#N/A</v>
      </c>
      <c r="P139" s="59" t="e">
        <f ca="1"/>
        <v>#N/A</v>
      </c>
      <c r="Q139" s="59" t="e">
        <f ca="1"/>
        <v>#N/A</v>
      </c>
      <c r="R139" s="59" t="e">
        <f ca="1"/>
        <v>#N/A</v>
      </c>
      <c r="S139" s="59" t="e">
        <f ca="1"/>
        <v>#N/A</v>
      </c>
      <c r="T139" s="59" t="e">
        <f ca="1"/>
        <v>#N/A</v>
      </c>
      <c r="U139" s="59" t="e">
        <f ca="1"/>
        <v>#N/A</v>
      </c>
      <c r="V139" s="59" t="e">
        <f ca="1"/>
        <v>#N/A</v>
      </c>
      <c r="W139" s="59" t="e">
        <f ca="1"/>
        <v>#N/A</v>
      </c>
      <c r="X139" s="59" t="e">
        <f ca="1"/>
        <v>#N/A</v>
      </c>
      <c r="Y139" s="59" t="e">
        <f ca="1"/>
        <v>#N/A</v>
      </c>
      <c r="Z139" s="59" t="e">
        <f ca="1"/>
        <v>#N/A</v>
      </c>
      <c r="AA139" s="59" t="e">
        <f ca="1"/>
        <v>#N/A</v>
      </c>
      <c r="AB139" s="59" t="e">
        <f ca="1"/>
        <v>#N/A</v>
      </c>
      <c r="AC139" s="59" t="e">
        <f ca="1"/>
        <v>#N/A</v>
      </c>
      <c r="AD139" s="59" t="e">
        <f ca="1"/>
        <v>#N/A</v>
      </c>
      <c r="AE139" s="59" t="e">
        <f ca="1"/>
        <v>#N/A</v>
      </c>
      <c r="AF139" s="59" t="e">
        <f ca="1"/>
        <v>#N/A</v>
      </c>
      <c r="AG139" s="59" t="e">
        <f ca="1"/>
        <v>#N/A</v>
      </c>
      <c r="AH139" s="59" t="e">
        <f ca="1"/>
        <v>#N/A</v>
      </c>
      <c r="AI139" s="59" t="e">
        <f ca="1"/>
        <v>#N/A</v>
      </c>
      <c r="AJ139" s="59" t="e">
        <f ca="1"/>
        <v>#N/A</v>
      </c>
      <c r="AK139" s="59" t="e">
        <f ca="1"/>
        <v>#N/A</v>
      </c>
      <c r="AL139" s="59" t="e">
        <f ca="1"/>
        <v>#N/A</v>
      </c>
    </row>
    <row r="140" spans="1:38" ht="21" customHeight="1" outlineLevel="1" thickBot="1" x14ac:dyDescent="0.4">
      <c r="E140" s="30"/>
    </row>
    <row r="141" spans="1:38" ht="21" customHeight="1" thickBot="1" x14ac:dyDescent="0.4"/>
    <row r="142" spans="1:38" ht="21" customHeight="1" thickBot="1" x14ac:dyDescent="0.45">
      <c r="A142" s="3"/>
      <c r="B142" s="3"/>
      <c r="C142" s="3"/>
      <c r="D142" s="3"/>
      <c r="E142" s="4" t="s">
        <v>17</v>
      </c>
      <c r="F142" s="5"/>
      <c r="G142" s="4"/>
      <c r="H142" s="4"/>
      <c r="I142" s="4"/>
      <c r="J142" s="4"/>
      <c r="K142" s="31"/>
      <c r="L142" s="31"/>
      <c r="M142" s="31"/>
      <c r="N142" s="31"/>
      <c r="O142" s="31"/>
      <c r="P142" s="31"/>
      <c r="Q142" s="31"/>
      <c r="R142" s="31"/>
      <c r="S142" s="32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ht="21" customHeight="1" outlineLevel="1" x14ac:dyDescent="0.35">
      <c r="A143" s="81"/>
      <c r="B143" s="81"/>
      <c r="C143" s="81"/>
      <c r="D143" s="81"/>
      <c r="E143" s="81"/>
      <c r="F143" s="81"/>
      <c r="G143" s="59">
        <v>0</v>
      </c>
      <c r="H143" s="59">
        <v>0</v>
      </c>
      <c r="I143" s="59">
        <v>0</v>
      </c>
      <c r="J143" s="59">
        <v>0</v>
      </c>
      <c r="K143" s="59">
        <v>7.1047999999999997E-37</v>
      </c>
      <c r="L143" s="59">
        <v>2.6937000000000002E-31</v>
      </c>
      <c r="M143" s="59">
        <v>4.1582E-39</v>
      </c>
      <c r="N143" s="59">
        <v>0</v>
      </c>
      <c r="O143" s="59">
        <v>0</v>
      </c>
      <c r="P143" s="59">
        <v>7.8265000000000004E-41</v>
      </c>
      <c r="Q143" s="59">
        <v>1.4296E-24</v>
      </c>
      <c r="R143" s="59">
        <v>2.5993E-17</v>
      </c>
      <c r="S143" s="59">
        <v>1.953E-14</v>
      </c>
      <c r="T143" s="59">
        <v>1.4264000000000001E-10</v>
      </c>
      <c r="U143" s="59">
        <v>1.2626000000000001E-10</v>
      </c>
      <c r="V143" s="59">
        <v>1.0119E-9</v>
      </c>
      <c r="W143" s="59">
        <v>0</v>
      </c>
      <c r="X143" s="59">
        <v>9.7267000000000003E-9</v>
      </c>
      <c r="Y143" s="59">
        <v>7.2993999999999998E-8</v>
      </c>
      <c r="Z143" s="59">
        <v>0.18548000000000001</v>
      </c>
      <c r="AA143" s="59">
        <v>0.19289000000000001</v>
      </c>
      <c r="AB143" s="59">
        <v>0.19889000000000001</v>
      </c>
      <c r="AC143" s="59">
        <v>0.23233000000000001</v>
      </c>
      <c r="AD143" s="59">
        <v>0.24440999999999999</v>
      </c>
      <c r="AE143" s="59">
        <v>0.25866</v>
      </c>
      <c r="AF143" s="59">
        <v>0.27559</v>
      </c>
      <c r="AG143" s="59">
        <v>0.25866</v>
      </c>
      <c r="AH143" s="59">
        <v>0.27559</v>
      </c>
      <c r="AI143" s="59">
        <v>0.29603000000000002</v>
      </c>
    </row>
    <row r="144" spans="1:38" ht="21" customHeight="1" outlineLevel="1" x14ac:dyDescent="0.35">
      <c r="A144" s="81"/>
      <c r="B144" s="81"/>
      <c r="C144" s="81"/>
      <c r="D144" s="81"/>
      <c r="E144" s="81"/>
      <c r="F144" s="81"/>
    </row>
    <row r="145" spans="1:19" ht="21" customHeight="1" outlineLevel="1" x14ac:dyDescent="0.35">
      <c r="A145" s="81"/>
      <c r="B145" s="81"/>
      <c r="C145" s="81"/>
      <c r="D145" s="81"/>
      <c r="E145" s="81"/>
      <c r="F145" s="81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</row>
    <row r="146" spans="1:19" ht="21" customHeight="1" outlineLevel="1" x14ac:dyDescent="0.35">
      <c r="A146" s="81"/>
      <c r="B146" s="81"/>
      <c r="C146" s="81"/>
      <c r="D146" s="81"/>
      <c r="E146" s="81"/>
      <c r="F146" s="81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</row>
    <row r="147" spans="1:19" ht="21" customHeight="1" outlineLevel="1" x14ac:dyDescent="0.35"/>
  </sheetData>
  <mergeCells count="2">
    <mergeCell ref="A1:BB1"/>
    <mergeCell ref="A117:B117"/>
  </mergeCells>
  <conditionalFormatting sqref="A4:D33">
    <cfRule type="cellIs" dxfId="3" priority="11" operator="equal">
      <formula>0</formula>
    </cfRule>
  </conditionalFormatting>
  <conditionalFormatting sqref="A50:D80">
    <cfRule type="cellIs" dxfId="2" priority="10" operator="equal">
      <formula>0</formula>
    </cfRule>
  </conditionalFormatting>
  <conditionalFormatting sqref="A84:D113">
    <cfRule type="cellIs" dxfId="1" priority="9" operator="equal">
      <formula>0</formula>
    </cfRule>
  </conditionalFormatting>
  <conditionalFormatting sqref="F14:AL14">
    <cfRule type="colorScale" priority="4">
      <colorScale>
        <cfvo type="min"/>
        <cfvo type="max"/>
        <color rgb="FF63BE7B"/>
        <color rgb="FFFFEF9C"/>
      </colorScale>
    </cfRule>
  </conditionalFormatting>
  <conditionalFormatting sqref="F15:AL15">
    <cfRule type="colorScale" priority="3">
      <colorScale>
        <cfvo type="min"/>
        <cfvo type="max"/>
        <color rgb="FF63BE7B"/>
        <color rgb="FFFFEF9C"/>
      </colorScale>
    </cfRule>
  </conditionalFormatting>
  <conditionalFormatting sqref="F16:AL16">
    <cfRule type="colorScale" priority="2">
      <colorScale>
        <cfvo type="min"/>
        <cfvo type="max"/>
        <color rgb="FF63BE7B"/>
        <color rgb="FFFFEF9C"/>
      </colorScale>
    </cfRule>
  </conditionalFormatting>
  <conditionalFormatting sqref="F17:AL17">
    <cfRule type="colorScale" priority="1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  <pageSetup paperSize="9" orientation="portrait" horizontalDpi="0" verticalDpi="0" r:id="rId1"/>
  <ignoredErrors>
    <ignoredError sqref="D37:AL37" evalError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theme="2" tint="-0.499984740745262"/>
  </sheetPr>
  <dimension ref="A1:CP156"/>
  <sheetViews>
    <sheetView zoomScale="85" zoomScaleNormal="85" workbookViewId="0">
      <pane ySplit="1" topLeftCell="A2" activePane="bottomLeft" state="frozen"/>
      <selection pane="bottomLeft" activeCell="CT66" sqref="CT66"/>
    </sheetView>
  </sheetViews>
  <sheetFormatPr defaultRowHeight="21" outlineLevelRow="1" x14ac:dyDescent="0.35"/>
  <cols>
    <col min="1" max="1" width="13.81640625" bestFit="1" customWidth="1"/>
    <col min="2" max="5" width="4.26953125" style="60" customWidth="1"/>
    <col min="6" max="94" width="4.26953125" hidden="1" customWidth="1"/>
    <col min="95" max="16384" width="8.7265625" style="59"/>
  </cols>
  <sheetData>
    <row r="1" spans="1:35" ht="37.5" customHeight="1" thickBot="1" x14ac:dyDescent="0.4">
      <c r="A1" s="56" t="s">
        <v>24</v>
      </c>
      <c r="B1" s="61">
        <v>290</v>
      </c>
      <c r="C1" s="103">
        <v>1000</v>
      </c>
      <c r="D1" s="104" t="s">
        <v>25</v>
      </c>
      <c r="E1" s="105">
        <v>80</v>
      </c>
      <c r="F1" s="59"/>
      <c r="G1" s="59"/>
      <c r="H1" s="59"/>
      <c r="I1" s="59"/>
      <c r="J1" s="59"/>
    </row>
    <row r="2" spans="1:35" ht="23.25" customHeight="1" thickTop="1" thickBot="1" x14ac:dyDescent="0.4">
      <c r="A2" s="9" t="s">
        <v>35</v>
      </c>
      <c r="B2" s="106">
        <f>FLUID!F49</f>
        <v>273.10000000000002</v>
      </c>
      <c r="C2" s="106">
        <f>FLUID!G49</f>
        <v>353.9</v>
      </c>
      <c r="D2" s="106">
        <f>FLUID!H49</f>
        <v>434.7</v>
      </c>
      <c r="E2" s="106">
        <f>FLUID!I49</f>
        <v>515.4</v>
      </c>
      <c r="F2" s="9">
        <f>FLUID!J49</f>
        <v>596.20000000000005</v>
      </c>
      <c r="G2" s="9">
        <f>FLUID!K49</f>
        <v>677</v>
      </c>
      <c r="H2" s="9">
        <f>FLUID!L49</f>
        <v>757.7</v>
      </c>
      <c r="I2" s="9">
        <f>FLUID!M49</f>
        <v>838.5</v>
      </c>
      <c r="J2" s="9">
        <f>FLUID!N49</f>
        <v>919.2</v>
      </c>
      <c r="K2" s="9">
        <f>FLUID!O49</f>
        <v>1000</v>
      </c>
      <c r="L2" s="9">
        <f>FLUID!P49</f>
        <v>0</v>
      </c>
      <c r="M2" s="9">
        <f>FLUID!Q49</f>
        <v>0</v>
      </c>
      <c r="N2" s="9">
        <f>FLUID!R49</f>
        <v>0</v>
      </c>
      <c r="O2" s="9">
        <f>FLUID!S49</f>
        <v>0</v>
      </c>
      <c r="P2" s="9">
        <f>FLUID!T49</f>
        <v>0</v>
      </c>
      <c r="Q2" s="9">
        <f>FLUID!U49</f>
        <v>0</v>
      </c>
      <c r="R2" s="9">
        <f>FLUID!V49</f>
        <v>0</v>
      </c>
      <c r="S2" s="9">
        <f>FLUID!W49</f>
        <v>0</v>
      </c>
      <c r="T2" s="9">
        <f>FLUID!X49</f>
        <v>0</v>
      </c>
      <c r="U2" s="9">
        <f>FLUID!Y49</f>
        <v>0</v>
      </c>
      <c r="V2" s="9">
        <f>FLUID!Z49</f>
        <v>0</v>
      </c>
      <c r="W2" s="9">
        <f>FLUID!AA49</f>
        <v>0</v>
      </c>
      <c r="X2" s="9">
        <f>FLUID!AB49</f>
        <v>0</v>
      </c>
      <c r="Y2" s="9">
        <f>FLUID!AC49</f>
        <v>0</v>
      </c>
      <c r="Z2" s="9">
        <f>FLUID!AD49</f>
        <v>0</v>
      </c>
      <c r="AA2" s="9">
        <f>FLUID!AE49</f>
        <v>0</v>
      </c>
      <c r="AB2" s="9">
        <f>FLUID!AF49</f>
        <v>0</v>
      </c>
      <c r="AC2" s="9">
        <f>FLUID!AG49</f>
        <v>0</v>
      </c>
      <c r="AD2" s="9">
        <f>FLUID!AH49</f>
        <v>0</v>
      </c>
      <c r="AE2" s="9">
        <f>FLUID!AI49</f>
        <v>0</v>
      </c>
      <c r="AF2" s="9">
        <f>FLUID!AJ49</f>
        <v>0</v>
      </c>
      <c r="AG2" s="9">
        <f>FLUID!AK49</f>
        <v>0</v>
      </c>
      <c r="AH2" s="9">
        <f>FLUID!AL49</f>
        <v>0</v>
      </c>
      <c r="AI2" s="9">
        <f>FLUID!AM49</f>
        <v>0</v>
      </c>
    </row>
    <row r="3" spans="1:35" ht="22.5" hidden="1" outlineLevel="1" thickTop="1" thickBot="1" x14ac:dyDescent="0.4">
      <c r="A3" s="72" t="str">
        <f>FLUID!E50</f>
        <v>*Se[l]</v>
      </c>
      <c r="B3" s="28">
        <f ca="1">FLUID!F50</f>
        <v>-4.7</v>
      </c>
      <c r="C3" s="28">
        <f ca="1">FLUID!G50</f>
        <v>-5.1369999999999996</v>
      </c>
      <c r="D3" s="28">
        <f ca="1">FLUID!H50</f>
        <v>-5.6130000000000004</v>
      </c>
      <c r="E3" s="28">
        <f ca="1">FLUID!I50</f>
        <v>-6.069</v>
      </c>
      <c r="F3" s="26">
        <f ca="1">FLUID!J50</f>
        <v>-6.4870000000000001</v>
      </c>
      <c r="G3" s="26">
        <f ca="1">FLUID!K50</f>
        <v>-6.8550000000000004</v>
      </c>
      <c r="H3" s="26">
        <f ca="1">FLUID!L50</f>
        <v>-7.1870000000000003</v>
      </c>
      <c r="I3" s="26">
        <f ca="1">FLUID!M50</f>
        <v>-7.5110000000000001</v>
      </c>
      <c r="J3" s="26">
        <f ca="1">FLUID!N50</f>
        <v>-7.8559999999999999</v>
      </c>
      <c r="K3" s="26">
        <f ca="1">FLUID!O50</f>
        <v>-8.2789999999999999</v>
      </c>
      <c r="L3" s="26">
        <f ca="1">FLUID!P50</f>
        <v>0</v>
      </c>
      <c r="M3" s="26">
        <f ca="1">FLUID!Q50</f>
        <v>0</v>
      </c>
      <c r="N3" s="26">
        <f ca="1">FLUID!R50</f>
        <v>0</v>
      </c>
      <c r="O3" s="26">
        <f ca="1">FLUID!S50</f>
        <v>0</v>
      </c>
      <c r="P3" s="26">
        <f ca="1">FLUID!T50</f>
        <v>0</v>
      </c>
      <c r="Q3" s="26">
        <f ca="1">FLUID!U50</f>
        <v>0</v>
      </c>
      <c r="R3" s="26">
        <f ca="1">FLUID!V50</f>
        <v>0</v>
      </c>
      <c r="S3" s="26">
        <f ca="1">FLUID!W50</f>
        <v>0</v>
      </c>
      <c r="T3" s="26">
        <f ca="1">FLUID!X50</f>
        <v>0</v>
      </c>
      <c r="U3" s="26">
        <f ca="1">FLUID!Y50</f>
        <v>0</v>
      </c>
      <c r="V3" s="26">
        <f ca="1">FLUID!Z50</f>
        <v>0</v>
      </c>
      <c r="W3" s="26">
        <f ca="1">FLUID!AA50</f>
        <v>0</v>
      </c>
      <c r="X3" s="26">
        <f ca="1">FLUID!AB50</f>
        <v>0</v>
      </c>
      <c r="Y3" s="26">
        <f ca="1">FLUID!AC50</f>
        <v>0</v>
      </c>
      <c r="Z3" s="26">
        <f ca="1">FLUID!AD50</f>
        <v>0</v>
      </c>
      <c r="AA3" s="26">
        <f ca="1">FLUID!AE50</f>
        <v>0</v>
      </c>
      <c r="AB3" s="26">
        <f ca="1">FLUID!AF50</f>
        <v>0</v>
      </c>
      <c r="AC3" s="26">
        <f ca="1">FLUID!AG50</f>
        <v>0</v>
      </c>
      <c r="AD3" s="26">
        <f ca="1">FLUID!AH50</f>
        <v>0</v>
      </c>
      <c r="AE3" s="26">
        <f ca="1">FLUID!AI50</f>
        <v>0</v>
      </c>
      <c r="AF3" s="26">
        <f ca="1">FLUID!AJ50</f>
        <v>0</v>
      </c>
      <c r="AG3" s="26">
        <f ca="1">FLUID!AK50</f>
        <v>0</v>
      </c>
      <c r="AH3" s="26">
        <f ca="1">FLUID!AL50</f>
        <v>0</v>
      </c>
      <c r="AI3" s="26">
        <f>FLUID!AM50</f>
        <v>0</v>
      </c>
    </row>
    <row r="4" spans="1:35" ht="21.75" hidden="1" outlineLevel="1" thickBot="1" x14ac:dyDescent="0.4">
      <c r="A4" s="58" t="str">
        <f>FLUID!E51</f>
        <v>Se3</v>
      </c>
      <c r="B4" s="28">
        <f ca="1">FLUID!F51</f>
        <v>-14.100000000000001</v>
      </c>
      <c r="C4" s="28">
        <f ca="1">FLUID!G51</f>
        <v>-15.410999999999998</v>
      </c>
      <c r="D4" s="28">
        <f ca="1">FLUID!H51</f>
        <v>-16.839000000000002</v>
      </c>
      <c r="E4" s="28">
        <f ca="1">FLUID!I51</f>
        <v>-18.207000000000001</v>
      </c>
      <c r="F4" s="26">
        <f ca="1">FLUID!J51</f>
        <v>-19.460999999999999</v>
      </c>
      <c r="G4" s="26">
        <f ca="1">FLUID!K51</f>
        <v>-20.565000000000001</v>
      </c>
      <c r="H4" s="26">
        <f ca="1">FLUID!L51</f>
        <v>-21.561</v>
      </c>
      <c r="I4" s="26">
        <f ca="1">FLUID!M51</f>
        <v>-22.533000000000001</v>
      </c>
      <c r="J4" s="26">
        <f ca="1">FLUID!N51</f>
        <v>-23.567999999999998</v>
      </c>
      <c r="K4" s="26">
        <f ca="1">FLUID!O51</f>
        <v>-24.837</v>
      </c>
      <c r="L4" s="26">
        <f ca="1">FLUID!P51</f>
        <v>0</v>
      </c>
      <c r="M4" s="26">
        <f ca="1">FLUID!Q51</f>
        <v>0</v>
      </c>
      <c r="N4" s="26">
        <f ca="1">FLUID!R51</f>
        <v>0</v>
      </c>
      <c r="O4" s="26">
        <f ca="1">FLUID!S51</f>
        <v>0</v>
      </c>
      <c r="P4" s="26">
        <f ca="1">FLUID!T51</f>
        <v>0</v>
      </c>
      <c r="Q4" s="26">
        <f ca="1">FLUID!U51</f>
        <v>0</v>
      </c>
      <c r="R4" s="26">
        <f ca="1">FLUID!V51</f>
        <v>0</v>
      </c>
      <c r="S4" s="26">
        <f ca="1">FLUID!W51</f>
        <v>0</v>
      </c>
      <c r="T4" s="26">
        <f ca="1">FLUID!X51</f>
        <v>0</v>
      </c>
      <c r="U4" s="26">
        <f ca="1">FLUID!Y51</f>
        <v>0</v>
      </c>
      <c r="V4" s="26">
        <f ca="1">FLUID!Z51</f>
        <v>0</v>
      </c>
      <c r="W4" s="26">
        <f ca="1">FLUID!AA51</f>
        <v>0</v>
      </c>
      <c r="X4" s="26">
        <f ca="1">FLUID!AB51</f>
        <v>0</v>
      </c>
      <c r="Y4" s="26">
        <f ca="1">FLUID!AC51</f>
        <v>0</v>
      </c>
      <c r="Z4" s="26">
        <f ca="1">FLUID!AD51</f>
        <v>0</v>
      </c>
      <c r="AA4" s="26">
        <f ca="1">FLUID!AE51</f>
        <v>0</v>
      </c>
      <c r="AB4" s="26">
        <f ca="1">FLUID!AF51</f>
        <v>0</v>
      </c>
      <c r="AC4" s="26">
        <f ca="1">FLUID!AG51</f>
        <v>0</v>
      </c>
      <c r="AD4" s="26">
        <f ca="1">FLUID!AH51</f>
        <v>0</v>
      </c>
      <c r="AE4" s="26">
        <f ca="1">FLUID!AI51</f>
        <v>0</v>
      </c>
      <c r="AF4" s="26">
        <f ca="1">FLUID!AJ51</f>
        <v>0</v>
      </c>
      <c r="AG4" s="26">
        <f ca="1">FLUID!AK51</f>
        <v>0</v>
      </c>
      <c r="AH4" s="26">
        <f ca="1">FLUID!AL51</f>
        <v>0</v>
      </c>
      <c r="AI4" s="26">
        <f>FLUID!AM51</f>
        <v>0</v>
      </c>
    </row>
    <row r="5" spans="1:35" ht="21.75" hidden="1" outlineLevel="1" thickBot="1" x14ac:dyDescent="0.4">
      <c r="A5" s="58" t="str">
        <f>FLUID!E52</f>
        <v>Se4</v>
      </c>
      <c r="B5" s="28">
        <f ca="1">FLUID!F52</f>
        <v>-18.8</v>
      </c>
      <c r="C5" s="28">
        <f ca="1">FLUID!G52</f>
        <v>-20.547999999999998</v>
      </c>
      <c r="D5" s="28">
        <f ca="1">FLUID!H52</f>
        <v>-22.452000000000002</v>
      </c>
      <c r="E5" s="28">
        <f ca="1">FLUID!I52</f>
        <v>-24.276</v>
      </c>
      <c r="F5" s="26">
        <f ca="1">FLUID!J52</f>
        <v>-25.948</v>
      </c>
      <c r="G5" s="26">
        <f ca="1">FLUID!K52</f>
        <v>-27.42</v>
      </c>
      <c r="H5" s="26">
        <f ca="1">FLUID!L52</f>
        <v>-28.748000000000001</v>
      </c>
      <c r="I5" s="26">
        <f ca="1">FLUID!M52</f>
        <v>-30.044</v>
      </c>
      <c r="J5" s="26">
        <f ca="1">FLUID!N52</f>
        <v>-31.423999999999999</v>
      </c>
      <c r="K5" s="26">
        <f ca="1">FLUID!O52</f>
        <v>-33.116</v>
      </c>
      <c r="L5" s="26">
        <f ca="1">FLUID!P52</f>
        <v>0</v>
      </c>
      <c r="M5" s="26">
        <f ca="1">FLUID!Q52</f>
        <v>0</v>
      </c>
      <c r="N5" s="26">
        <f ca="1">FLUID!R52</f>
        <v>0</v>
      </c>
      <c r="O5" s="26">
        <f ca="1">FLUID!S52</f>
        <v>0</v>
      </c>
      <c r="P5" s="26">
        <f ca="1">FLUID!T52</f>
        <v>0</v>
      </c>
      <c r="Q5" s="26">
        <f ca="1">FLUID!U52</f>
        <v>0</v>
      </c>
      <c r="R5" s="26">
        <f ca="1">FLUID!V52</f>
        <v>0</v>
      </c>
      <c r="S5" s="26">
        <f ca="1">FLUID!W52</f>
        <v>0</v>
      </c>
      <c r="T5" s="26">
        <f ca="1">FLUID!X52</f>
        <v>0</v>
      </c>
      <c r="U5" s="26">
        <f ca="1">FLUID!Y52</f>
        <v>0</v>
      </c>
      <c r="V5" s="26">
        <f ca="1">FLUID!Z52</f>
        <v>0</v>
      </c>
      <c r="W5" s="26">
        <f ca="1">FLUID!AA52</f>
        <v>0</v>
      </c>
      <c r="X5" s="26">
        <f ca="1">FLUID!AB52</f>
        <v>0</v>
      </c>
      <c r="Y5" s="26">
        <f ca="1">FLUID!AC52</f>
        <v>0</v>
      </c>
      <c r="Z5" s="26">
        <f ca="1">FLUID!AD52</f>
        <v>0</v>
      </c>
      <c r="AA5" s="26">
        <f ca="1">FLUID!AE52</f>
        <v>0</v>
      </c>
      <c r="AB5" s="26">
        <f ca="1">FLUID!AF52</f>
        <v>0</v>
      </c>
      <c r="AC5" s="26">
        <f ca="1">FLUID!AG52</f>
        <v>0</v>
      </c>
      <c r="AD5" s="26">
        <f ca="1">FLUID!AH52</f>
        <v>0</v>
      </c>
      <c r="AE5" s="26">
        <f ca="1">FLUID!AI52</f>
        <v>0</v>
      </c>
      <c r="AF5" s="26">
        <f ca="1">FLUID!AJ52</f>
        <v>0</v>
      </c>
      <c r="AG5" s="26">
        <f ca="1">FLUID!AK52</f>
        <v>0</v>
      </c>
      <c r="AH5" s="26">
        <f ca="1">FLUID!AL52</f>
        <v>0</v>
      </c>
      <c r="AI5" s="26">
        <f>FLUID!AM52</f>
        <v>0</v>
      </c>
    </row>
    <row r="6" spans="1:35" ht="21.75" hidden="1" outlineLevel="1" thickBot="1" x14ac:dyDescent="0.4">
      <c r="A6" s="58" t="str">
        <f>FLUID!E53</f>
        <v>Se5</v>
      </c>
      <c r="B6" s="28">
        <f ca="1">FLUID!F53</f>
        <v>-23.5</v>
      </c>
      <c r="C6" s="28">
        <f ca="1">FLUID!G53</f>
        <v>-25.684999999999999</v>
      </c>
      <c r="D6" s="28">
        <f ca="1">FLUID!H53</f>
        <v>-28.065000000000001</v>
      </c>
      <c r="E6" s="28">
        <f ca="1">FLUID!I53</f>
        <v>-30.344999999999999</v>
      </c>
      <c r="F6" s="26">
        <f ca="1">FLUID!J53</f>
        <v>-32.435000000000002</v>
      </c>
      <c r="G6" s="26">
        <f ca="1">FLUID!K53</f>
        <v>-34.275000000000006</v>
      </c>
      <c r="H6" s="26">
        <f ca="1">FLUID!L53</f>
        <v>-35.935000000000002</v>
      </c>
      <c r="I6" s="26">
        <f ca="1">FLUID!M53</f>
        <v>-37.555</v>
      </c>
      <c r="J6" s="26">
        <f ca="1">FLUID!N53</f>
        <v>-39.28</v>
      </c>
      <c r="K6" s="26">
        <f ca="1">FLUID!O53</f>
        <v>-41.394999999999996</v>
      </c>
      <c r="L6" s="26">
        <f ca="1">FLUID!P53</f>
        <v>0</v>
      </c>
      <c r="M6" s="26">
        <f ca="1">FLUID!Q53</f>
        <v>0</v>
      </c>
      <c r="N6" s="26">
        <f ca="1">FLUID!R53</f>
        <v>0</v>
      </c>
      <c r="O6" s="26">
        <f ca="1">FLUID!S53</f>
        <v>0</v>
      </c>
      <c r="P6" s="26">
        <f ca="1">FLUID!T53</f>
        <v>0</v>
      </c>
      <c r="Q6" s="26">
        <f ca="1">FLUID!U53</f>
        <v>0</v>
      </c>
      <c r="R6" s="26">
        <f ca="1">FLUID!V53</f>
        <v>0</v>
      </c>
      <c r="S6" s="26">
        <f ca="1">FLUID!W53</f>
        <v>0</v>
      </c>
      <c r="T6" s="26">
        <f ca="1">FLUID!X53</f>
        <v>0</v>
      </c>
      <c r="U6" s="26">
        <f ca="1">FLUID!Y53</f>
        <v>0</v>
      </c>
      <c r="V6" s="26">
        <f ca="1">FLUID!Z53</f>
        <v>0</v>
      </c>
      <c r="W6" s="26">
        <f ca="1">FLUID!AA53</f>
        <v>0</v>
      </c>
      <c r="X6" s="26">
        <f ca="1">FLUID!AB53</f>
        <v>0</v>
      </c>
      <c r="Y6" s="26">
        <f ca="1">FLUID!AC53</f>
        <v>0</v>
      </c>
      <c r="Z6" s="26">
        <f ca="1">FLUID!AD53</f>
        <v>0</v>
      </c>
      <c r="AA6" s="26">
        <f ca="1">FLUID!AE53</f>
        <v>0</v>
      </c>
      <c r="AB6" s="26">
        <f ca="1">FLUID!AF53</f>
        <v>0</v>
      </c>
      <c r="AC6" s="26">
        <f ca="1">FLUID!AG53</f>
        <v>0</v>
      </c>
      <c r="AD6" s="26">
        <f ca="1">FLUID!AH53</f>
        <v>0</v>
      </c>
      <c r="AE6" s="26">
        <f ca="1">FLUID!AI53</f>
        <v>0</v>
      </c>
      <c r="AF6" s="26">
        <f ca="1">FLUID!AJ53</f>
        <v>0</v>
      </c>
      <c r="AG6" s="26">
        <f ca="1">FLUID!AK53</f>
        <v>0</v>
      </c>
      <c r="AH6" s="26">
        <f ca="1">FLUID!AL53</f>
        <v>0</v>
      </c>
      <c r="AI6" s="26">
        <f>FLUID!AM53</f>
        <v>0</v>
      </c>
    </row>
    <row r="7" spans="1:35" ht="21.75" hidden="1" outlineLevel="1" thickBot="1" x14ac:dyDescent="0.4">
      <c r="A7" s="58" t="str">
        <f>FLUID!E54</f>
        <v>Se6</v>
      </c>
      <c r="B7" s="28">
        <f ca="1">FLUID!F54</f>
        <v>-28.200000000000003</v>
      </c>
      <c r="C7" s="28">
        <f ca="1">FLUID!G54</f>
        <v>-30.821999999999996</v>
      </c>
      <c r="D7" s="28">
        <f ca="1">FLUID!H54</f>
        <v>-33.678000000000004</v>
      </c>
      <c r="E7" s="28">
        <f ca="1">FLUID!I54</f>
        <v>-36.414000000000001</v>
      </c>
      <c r="F7" s="26">
        <f ca="1">FLUID!J54</f>
        <v>-38.921999999999997</v>
      </c>
      <c r="G7" s="26">
        <f ca="1">FLUID!K54</f>
        <v>-41.13</v>
      </c>
      <c r="H7" s="26">
        <f ca="1">FLUID!L54</f>
        <v>-43.122</v>
      </c>
      <c r="I7" s="26">
        <f ca="1">FLUID!M54</f>
        <v>-45.066000000000003</v>
      </c>
      <c r="J7" s="26">
        <f ca="1">FLUID!N54</f>
        <v>-47.135999999999996</v>
      </c>
      <c r="K7" s="26">
        <f ca="1">FLUID!O54</f>
        <v>-49.673999999999999</v>
      </c>
      <c r="L7" s="26">
        <f ca="1">FLUID!P54</f>
        <v>0</v>
      </c>
      <c r="M7" s="26">
        <f ca="1">FLUID!Q54</f>
        <v>0</v>
      </c>
      <c r="N7" s="26">
        <f ca="1">FLUID!R54</f>
        <v>0</v>
      </c>
      <c r="O7" s="26">
        <f ca="1">FLUID!S54</f>
        <v>0</v>
      </c>
      <c r="P7" s="26">
        <f ca="1">FLUID!T54</f>
        <v>0</v>
      </c>
      <c r="Q7" s="26">
        <f ca="1">FLUID!U54</f>
        <v>0</v>
      </c>
      <c r="R7" s="26">
        <f ca="1">FLUID!V54</f>
        <v>0</v>
      </c>
      <c r="S7" s="26">
        <f ca="1">FLUID!W54</f>
        <v>0</v>
      </c>
      <c r="T7" s="26">
        <f ca="1">FLUID!X54</f>
        <v>0</v>
      </c>
      <c r="U7" s="26">
        <f ca="1">FLUID!Y54</f>
        <v>0</v>
      </c>
      <c r="V7" s="26">
        <f ca="1">FLUID!Z54</f>
        <v>0</v>
      </c>
      <c r="W7" s="26">
        <f ca="1">FLUID!AA54</f>
        <v>0</v>
      </c>
      <c r="X7" s="26">
        <f ca="1">FLUID!AB54</f>
        <v>0</v>
      </c>
      <c r="Y7" s="26">
        <f ca="1">FLUID!AC54</f>
        <v>0</v>
      </c>
      <c r="Z7" s="26">
        <f ca="1">FLUID!AD54</f>
        <v>0</v>
      </c>
      <c r="AA7" s="26">
        <f ca="1">FLUID!AE54</f>
        <v>0</v>
      </c>
      <c r="AB7" s="26">
        <f ca="1">FLUID!AF54</f>
        <v>0</v>
      </c>
      <c r="AC7" s="26">
        <f ca="1">FLUID!AG54</f>
        <v>0</v>
      </c>
      <c r="AD7" s="26">
        <f ca="1">FLUID!AH54</f>
        <v>0</v>
      </c>
      <c r="AE7" s="26">
        <f ca="1">FLUID!AI54</f>
        <v>0</v>
      </c>
      <c r="AF7" s="26">
        <f ca="1">FLUID!AJ54</f>
        <v>0</v>
      </c>
      <c r="AG7" s="26">
        <f ca="1">FLUID!AK54</f>
        <v>0</v>
      </c>
      <c r="AH7" s="26">
        <f ca="1">FLUID!AL54</f>
        <v>0</v>
      </c>
      <c r="AI7" s="26">
        <f>FLUID!AM54</f>
        <v>0</v>
      </c>
    </row>
    <row r="8" spans="1:35" ht="21.75" hidden="1" outlineLevel="1" thickBot="1" x14ac:dyDescent="0.4">
      <c r="A8" s="58" t="str">
        <f>FLUID!E55</f>
        <v>Se7</v>
      </c>
      <c r="B8" s="28">
        <f ca="1">FLUID!F55</f>
        <v>-32.9</v>
      </c>
      <c r="C8" s="28">
        <f ca="1">FLUID!G55</f>
        <v>-35.958999999999996</v>
      </c>
      <c r="D8" s="28">
        <f ca="1">FLUID!H55</f>
        <v>-39.291000000000004</v>
      </c>
      <c r="E8" s="28">
        <f ca="1">FLUID!I55</f>
        <v>-42.482999999999997</v>
      </c>
      <c r="F8" s="26">
        <f ca="1">FLUID!J55</f>
        <v>-45.408999999999999</v>
      </c>
      <c r="G8" s="26">
        <f ca="1">FLUID!K55</f>
        <v>-47.984999999999999</v>
      </c>
      <c r="H8" s="26">
        <f ca="1">FLUID!L55</f>
        <v>-50.309000000000005</v>
      </c>
      <c r="I8" s="26">
        <f ca="1">FLUID!M55</f>
        <v>-52.576999999999998</v>
      </c>
      <c r="J8" s="26">
        <f ca="1">FLUID!N55</f>
        <v>-54.991999999999997</v>
      </c>
      <c r="K8" s="26">
        <f ca="1">FLUID!O55</f>
        <v>-57.953000000000003</v>
      </c>
      <c r="L8" s="26">
        <f ca="1">FLUID!P55</f>
        <v>0</v>
      </c>
      <c r="M8" s="26">
        <f ca="1">FLUID!Q55</f>
        <v>0</v>
      </c>
      <c r="N8" s="26">
        <f ca="1">FLUID!R55</f>
        <v>0</v>
      </c>
      <c r="O8" s="26">
        <f ca="1">FLUID!S55</f>
        <v>0</v>
      </c>
      <c r="P8" s="26">
        <f ca="1">FLUID!T55</f>
        <v>0</v>
      </c>
      <c r="Q8" s="26">
        <f ca="1">FLUID!U55</f>
        <v>0</v>
      </c>
      <c r="R8" s="26">
        <f ca="1">FLUID!V55</f>
        <v>0</v>
      </c>
      <c r="S8" s="26">
        <f ca="1">FLUID!W55</f>
        <v>0</v>
      </c>
      <c r="T8" s="26">
        <f ca="1">FLUID!X55</f>
        <v>0</v>
      </c>
      <c r="U8" s="26">
        <f ca="1">FLUID!Y55</f>
        <v>0</v>
      </c>
      <c r="V8" s="26">
        <f ca="1">FLUID!Z55</f>
        <v>0</v>
      </c>
      <c r="W8" s="26">
        <f ca="1">FLUID!AA55</f>
        <v>0</v>
      </c>
      <c r="X8" s="26">
        <f ca="1">FLUID!AB55</f>
        <v>0</v>
      </c>
      <c r="Y8" s="26">
        <f ca="1">FLUID!AC55</f>
        <v>0</v>
      </c>
      <c r="Z8" s="26">
        <f ca="1">FLUID!AD55</f>
        <v>0</v>
      </c>
      <c r="AA8" s="26">
        <f ca="1">FLUID!AE55</f>
        <v>0</v>
      </c>
      <c r="AB8" s="26">
        <f ca="1">FLUID!AF55</f>
        <v>0</v>
      </c>
      <c r="AC8" s="26">
        <f ca="1">FLUID!AG55</f>
        <v>0</v>
      </c>
      <c r="AD8" s="26">
        <f ca="1">FLUID!AH55</f>
        <v>0</v>
      </c>
      <c r="AE8" s="26">
        <f ca="1">FLUID!AI55</f>
        <v>0</v>
      </c>
      <c r="AF8" s="26">
        <f ca="1">FLUID!AJ55</f>
        <v>0</v>
      </c>
      <c r="AG8" s="26">
        <f ca="1">FLUID!AK55</f>
        <v>0</v>
      </c>
      <c r="AH8" s="26">
        <f ca="1">FLUID!AL55</f>
        <v>0</v>
      </c>
      <c r="AI8" s="26">
        <f>FLUID!AM55</f>
        <v>0</v>
      </c>
    </row>
    <row r="9" spans="1:35" ht="21.75" hidden="1" outlineLevel="1" thickBot="1" x14ac:dyDescent="0.4">
      <c r="A9" s="58" t="str">
        <f>FLUID!E56</f>
        <v>Se8</v>
      </c>
      <c r="B9" s="28">
        <f ca="1">FLUID!F56</f>
        <v>-37.6</v>
      </c>
      <c r="C9" s="28">
        <f ca="1">FLUID!G56</f>
        <v>-41.095999999999997</v>
      </c>
      <c r="D9" s="28">
        <f ca="1">FLUID!H56</f>
        <v>-44.904000000000003</v>
      </c>
      <c r="E9" s="28">
        <f ca="1">FLUID!I56</f>
        <v>-48.552</v>
      </c>
      <c r="F9" s="26">
        <f ca="1">FLUID!J56</f>
        <v>-51.896000000000001</v>
      </c>
      <c r="G9" s="26">
        <f ca="1">FLUID!K56</f>
        <v>-54.84</v>
      </c>
      <c r="H9" s="26">
        <f ca="1">FLUID!L56</f>
        <v>-57.496000000000002</v>
      </c>
      <c r="I9" s="26">
        <f ca="1">FLUID!M56</f>
        <v>-60.088000000000001</v>
      </c>
      <c r="J9" s="26">
        <f ca="1">FLUID!N56</f>
        <v>-62.847999999999999</v>
      </c>
      <c r="K9" s="26">
        <f ca="1">FLUID!O56</f>
        <v>-66.231999999999999</v>
      </c>
      <c r="L9" s="26">
        <f ca="1">FLUID!P56</f>
        <v>0</v>
      </c>
      <c r="M9" s="26">
        <f ca="1">FLUID!Q56</f>
        <v>0</v>
      </c>
      <c r="N9" s="26">
        <f ca="1">FLUID!R56</f>
        <v>0</v>
      </c>
      <c r="O9" s="26">
        <f ca="1">FLUID!S56</f>
        <v>0</v>
      </c>
      <c r="P9" s="26">
        <f ca="1">FLUID!T56</f>
        <v>0</v>
      </c>
      <c r="Q9" s="26">
        <f ca="1">FLUID!U56</f>
        <v>0</v>
      </c>
      <c r="R9" s="26">
        <f ca="1">FLUID!V56</f>
        <v>0</v>
      </c>
      <c r="S9" s="26">
        <f ca="1">FLUID!W56</f>
        <v>0</v>
      </c>
      <c r="T9" s="26">
        <f ca="1">FLUID!X56</f>
        <v>0</v>
      </c>
      <c r="U9" s="26">
        <f ca="1">FLUID!Y56</f>
        <v>0</v>
      </c>
      <c r="V9" s="26">
        <f ca="1">FLUID!Z56</f>
        <v>0</v>
      </c>
      <c r="W9" s="26">
        <f ca="1">FLUID!AA56</f>
        <v>0</v>
      </c>
      <c r="X9" s="26">
        <f ca="1">FLUID!AB56</f>
        <v>0</v>
      </c>
      <c r="Y9" s="26">
        <f ca="1">FLUID!AC56</f>
        <v>0</v>
      </c>
      <c r="Z9" s="26">
        <f ca="1">FLUID!AD56</f>
        <v>0</v>
      </c>
      <c r="AA9" s="26">
        <f ca="1">FLUID!AE56</f>
        <v>0</v>
      </c>
      <c r="AB9" s="26">
        <f ca="1">FLUID!AF56</f>
        <v>0</v>
      </c>
      <c r="AC9" s="26">
        <f ca="1">FLUID!AG56</f>
        <v>0</v>
      </c>
      <c r="AD9" s="26">
        <f ca="1">FLUID!AH56</f>
        <v>0</v>
      </c>
      <c r="AE9" s="26">
        <f ca="1">FLUID!AI56</f>
        <v>0</v>
      </c>
      <c r="AF9" s="26">
        <f ca="1">FLUID!AJ56</f>
        <v>0</v>
      </c>
      <c r="AG9" s="26">
        <f ca="1">FLUID!AK56</f>
        <v>0</v>
      </c>
      <c r="AH9" s="26">
        <f ca="1">FLUID!AL56</f>
        <v>0</v>
      </c>
      <c r="AI9" s="26">
        <f>FLUID!AM56</f>
        <v>0</v>
      </c>
    </row>
    <row r="10" spans="1:35" ht="21.75" hidden="1" outlineLevel="1" thickBot="1" x14ac:dyDescent="0.4">
      <c r="A10" s="58" t="str">
        <f>FLUID!E57</f>
        <v>Se2</v>
      </c>
      <c r="B10" s="28">
        <f ca="1">FLUID!F57</f>
        <v>-9.4</v>
      </c>
      <c r="C10" s="28">
        <f ca="1">FLUID!G57</f>
        <v>-10.273999999999999</v>
      </c>
      <c r="D10" s="28">
        <f ca="1">FLUID!H57</f>
        <v>-11.226000000000001</v>
      </c>
      <c r="E10" s="28">
        <f ca="1">FLUID!I57</f>
        <v>-12.138</v>
      </c>
      <c r="F10" s="26">
        <f ca="1">FLUID!J57</f>
        <v>-12.974</v>
      </c>
      <c r="G10" s="26">
        <f ca="1">FLUID!K57</f>
        <v>-13.71</v>
      </c>
      <c r="H10" s="26">
        <f ca="1">FLUID!L57</f>
        <v>-14.374000000000001</v>
      </c>
      <c r="I10" s="26">
        <f ca="1">FLUID!M57</f>
        <v>-15.022</v>
      </c>
      <c r="J10" s="26">
        <f ca="1">FLUID!N57</f>
        <v>-15.712</v>
      </c>
      <c r="K10" s="26">
        <f ca="1">FLUID!O57</f>
        <v>-16.558</v>
      </c>
      <c r="L10" s="26">
        <f ca="1">FLUID!P57</f>
        <v>0</v>
      </c>
      <c r="M10" s="26">
        <f ca="1">FLUID!Q57</f>
        <v>0</v>
      </c>
      <c r="N10" s="26">
        <f ca="1">FLUID!R57</f>
        <v>0</v>
      </c>
      <c r="O10" s="26">
        <f ca="1">FLUID!S57</f>
        <v>0</v>
      </c>
      <c r="P10" s="26">
        <f ca="1">FLUID!T57</f>
        <v>0</v>
      </c>
      <c r="Q10" s="26">
        <f ca="1">FLUID!U57</f>
        <v>0</v>
      </c>
      <c r="R10" s="26">
        <f ca="1">FLUID!V57</f>
        <v>0</v>
      </c>
      <c r="S10" s="26">
        <f ca="1">FLUID!W57</f>
        <v>0</v>
      </c>
      <c r="T10" s="26">
        <f ca="1">FLUID!X57</f>
        <v>0</v>
      </c>
      <c r="U10" s="26">
        <f ca="1">FLUID!Y57</f>
        <v>0</v>
      </c>
      <c r="V10" s="26">
        <f ca="1">FLUID!Z57</f>
        <v>0</v>
      </c>
      <c r="W10" s="26">
        <f ca="1">FLUID!AA57</f>
        <v>0</v>
      </c>
      <c r="X10" s="26">
        <f ca="1">FLUID!AB57</f>
        <v>0</v>
      </c>
      <c r="Y10" s="26">
        <f ca="1">FLUID!AC57</f>
        <v>0</v>
      </c>
      <c r="Z10" s="26">
        <f ca="1">FLUID!AD57</f>
        <v>0</v>
      </c>
      <c r="AA10" s="26">
        <f ca="1">FLUID!AE57</f>
        <v>0</v>
      </c>
      <c r="AB10" s="26">
        <f ca="1">FLUID!AF57</f>
        <v>0</v>
      </c>
      <c r="AC10" s="26">
        <f ca="1">FLUID!AG57</f>
        <v>0</v>
      </c>
      <c r="AD10" s="26">
        <f ca="1">FLUID!AH57</f>
        <v>0</v>
      </c>
      <c r="AE10" s="26">
        <f ca="1">FLUID!AI57</f>
        <v>0</v>
      </c>
      <c r="AF10" s="26">
        <f ca="1">FLUID!AJ57</f>
        <v>0</v>
      </c>
      <c r="AG10" s="26">
        <f ca="1">FLUID!AK57</f>
        <v>0</v>
      </c>
      <c r="AH10" s="26">
        <f ca="1">FLUID!AL57</f>
        <v>0</v>
      </c>
      <c r="AI10" s="26">
        <f>FLUID!AM57</f>
        <v>0</v>
      </c>
    </row>
    <row r="11" spans="1:35" ht="21.75" hidden="1" outlineLevel="1" thickBot="1" x14ac:dyDescent="0.4">
      <c r="A11" s="58" t="str">
        <f>FLUID!E58</f>
        <v>Se</v>
      </c>
      <c r="B11" s="28">
        <f ca="1">FLUID!F58</f>
        <v>-4.7</v>
      </c>
      <c r="C11" s="28">
        <f ca="1">FLUID!G58</f>
        <v>-5.1369999999999996</v>
      </c>
      <c r="D11" s="28">
        <f ca="1">FLUID!H58</f>
        <v>-5.6130000000000004</v>
      </c>
      <c r="E11" s="28">
        <f ca="1">FLUID!I58</f>
        <v>-6.069</v>
      </c>
      <c r="F11" s="26">
        <f ca="1">FLUID!J58</f>
        <v>-6.4870000000000001</v>
      </c>
      <c r="G11" s="26">
        <f ca="1">FLUID!K58</f>
        <v>-6.8550000000000004</v>
      </c>
      <c r="H11" s="26">
        <f ca="1">FLUID!L58</f>
        <v>-7.1870000000000003</v>
      </c>
      <c r="I11" s="26">
        <f ca="1">FLUID!M58</f>
        <v>-7.5110000000000001</v>
      </c>
      <c r="J11" s="26">
        <f ca="1">FLUID!N58</f>
        <v>-7.8559999999999999</v>
      </c>
      <c r="K11" s="26">
        <f ca="1">FLUID!O58</f>
        <v>-8.2789999999999999</v>
      </c>
      <c r="L11" s="26">
        <f ca="1">FLUID!P58</f>
        <v>0</v>
      </c>
      <c r="M11" s="26">
        <f ca="1">FLUID!Q58</f>
        <v>0</v>
      </c>
      <c r="N11" s="26">
        <f ca="1">FLUID!R58</f>
        <v>0</v>
      </c>
      <c r="O11" s="26">
        <f ca="1">FLUID!S58</f>
        <v>0</v>
      </c>
      <c r="P11" s="26">
        <f ca="1">FLUID!T58</f>
        <v>0</v>
      </c>
      <c r="Q11" s="26">
        <f ca="1">FLUID!U58</f>
        <v>0</v>
      </c>
      <c r="R11" s="26">
        <f ca="1">FLUID!V58</f>
        <v>0</v>
      </c>
      <c r="S11" s="26">
        <f ca="1">FLUID!W58</f>
        <v>0</v>
      </c>
      <c r="T11" s="26">
        <f ca="1">FLUID!X58</f>
        <v>0</v>
      </c>
      <c r="U11" s="26">
        <f ca="1">FLUID!Y58</f>
        <v>0</v>
      </c>
      <c r="V11" s="26">
        <f ca="1">FLUID!Z58</f>
        <v>0</v>
      </c>
      <c r="W11" s="26">
        <f ca="1">FLUID!AA58</f>
        <v>0</v>
      </c>
      <c r="X11" s="26">
        <f ca="1">FLUID!AB58</f>
        <v>0</v>
      </c>
      <c r="Y11" s="26">
        <f ca="1">FLUID!AC58</f>
        <v>0</v>
      </c>
      <c r="Z11" s="26">
        <f ca="1">FLUID!AD58</f>
        <v>0</v>
      </c>
      <c r="AA11" s="26">
        <f ca="1">FLUID!AE58</f>
        <v>0</v>
      </c>
      <c r="AB11" s="26">
        <f ca="1">FLUID!AF58</f>
        <v>0</v>
      </c>
      <c r="AC11" s="26">
        <f ca="1">FLUID!AG58</f>
        <v>0</v>
      </c>
      <c r="AD11" s="26">
        <f ca="1">FLUID!AH58</f>
        <v>0</v>
      </c>
      <c r="AE11" s="26">
        <f ca="1">FLUID!AI58</f>
        <v>0</v>
      </c>
      <c r="AF11" s="26">
        <f ca="1">FLUID!AJ58</f>
        <v>0</v>
      </c>
      <c r="AG11" s="26">
        <f ca="1">FLUID!AK58</f>
        <v>0</v>
      </c>
      <c r="AH11" s="26">
        <f ca="1">FLUID!AL58</f>
        <v>0</v>
      </c>
      <c r="AI11" s="26">
        <f>FLUID!AM58</f>
        <v>0</v>
      </c>
    </row>
    <row r="12" spans="1:35" ht="21.75" hidden="1" outlineLevel="1" thickBot="1" x14ac:dyDescent="0.4">
      <c r="A12" s="58" t="str">
        <f>FLUID!E59</f>
        <v>Ga2Se</v>
      </c>
      <c r="B12" s="28">
        <f ca="1">FLUID!F59</f>
        <v>-17.827999999999999</v>
      </c>
      <c r="C12" s="28">
        <f ca="1">FLUID!G59</f>
        <v>-19.454999999999998</v>
      </c>
      <c r="D12" s="28">
        <f ca="1">FLUID!H59</f>
        <v>-20.965</v>
      </c>
      <c r="E12" s="28">
        <f ca="1">FLUID!I59</f>
        <v>-22.337</v>
      </c>
      <c r="F12" s="26">
        <f ca="1">FLUID!J59</f>
        <v>-23.658999999999999</v>
      </c>
      <c r="G12" s="26">
        <f ca="1">FLUID!K59</f>
        <v>-25.152999999999999</v>
      </c>
      <c r="H12" s="26">
        <f ca="1">FLUID!L59</f>
        <v>-26.863</v>
      </c>
      <c r="I12" s="26">
        <f ca="1">FLUID!M59</f>
        <v>-28.550999999999998</v>
      </c>
      <c r="J12" s="26">
        <f ca="1">FLUID!N59</f>
        <v>-30.136000000000003</v>
      </c>
      <c r="K12" s="26">
        <f ca="1">FLUID!O59</f>
        <v>-31.638999999999999</v>
      </c>
      <c r="L12" s="26">
        <f ca="1">FLUID!P59</f>
        <v>0</v>
      </c>
      <c r="M12" s="26">
        <f ca="1">FLUID!Q59</f>
        <v>0</v>
      </c>
      <c r="N12" s="26">
        <f ca="1">FLUID!R59</f>
        <v>0</v>
      </c>
      <c r="O12" s="26">
        <f ca="1">FLUID!S59</f>
        <v>0</v>
      </c>
      <c r="P12" s="26">
        <f ca="1">FLUID!T59</f>
        <v>0</v>
      </c>
      <c r="Q12" s="26">
        <f ca="1">FLUID!U59</f>
        <v>0</v>
      </c>
      <c r="R12" s="26">
        <f ca="1">FLUID!V59</f>
        <v>0</v>
      </c>
      <c r="S12" s="26">
        <f ca="1">FLUID!W59</f>
        <v>0</v>
      </c>
      <c r="T12" s="26">
        <f ca="1">FLUID!X59</f>
        <v>0</v>
      </c>
      <c r="U12" s="26">
        <f ca="1">FLUID!Y59</f>
        <v>0</v>
      </c>
      <c r="V12" s="26">
        <f ca="1">FLUID!Z59</f>
        <v>0</v>
      </c>
      <c r="W12" s="26">
        <f ca="1">FLUID!AA59</f>
        <v>0</v>
      </c>
      <c r="X12" s="26">
        <f ca="1">FLUID!AB59</f>
        <v>0</v>
      </c>
      <c r="Y12" s="26">
        <f ca="1">FLUID!AC59</f>
        <v>0</v>
      </c>
      <c r="Z12" s="26">
        <f ca="1">FLUID!AD59</f>
        <v>0</v>
      </c>
      <c r="AA12" s="26">
        <f ca="1">FLUID!AE59</f>
        <v>0</v>
      </c>
      <c r="AB12" s="26">
        <f ca="1">FLUID!AF59</f>
        <v>0</v>
      </c>
      <c r="AC12" s="26">
        <f ca="1">FLUID!AG59</f>
        <v>0</v>
      </c>
      <c r="AD12" s="26">
        <f ca="1">FLUID!AH59</f>
        <v>0</v>
      </c>
      <c r="AE12" s="26">
        <f ca="1">FLUID!AI59</f>
        <v>0</v>
      </c>
      <c r="AF12" s="26">
        <f ca="1">FLUID!AJ59</f>
        <v>0</v>
      </c>
      <c r="AG12" s="26">
        <f ca="1">FLUID!AK59</f>
        <v>0</v>
      </c>
      <c r="AH12" s="26">
        <f ca="1">FLUID!AL59</f>
        <v>0</v>
      </c>
      <c r="AI12" s="26">
        <f>FLUID!AM59</f>
        <v>0</v>
      </c>
    </row>
    <row r="13" spans="1:35" ht="21.75" hidden="1" outlineLevel="1" thickBot="1" x14ac:dyDescent="0.4">
      <c r="A13" s="58" t="str">
        <f>FLUID!E60</f>
        <v>Ar</v>
      </c>
      <c r="B13" s="28">
        <f ca="1">FLUID!F60</f>
        <v>-18.62</v>
      </c>
      <c r="C13" s="28">
        <f ca="1">FLUID!G60</f>
        <v>-18.649999999999999</v>
      </c>
      <c r="D13" s="28">
        <f ca="1">FLUID!H60</f>
        <v>-18.77</v>
      </c>
      <c r="E13" s="28">
        <f ca="1">FLUID!I60</f>
        <v>-18.93</v>
      </c>
      <c r="F13" s="26">
        <f ca="1">FLUID!J60</f>
        <v>-19.12</v>
      </c>
      <c r="G13" s="26">
        <f ca="1">FLUID!K60</f>
        <v>-19.34</v>
      </c>
      <c r="H13" s="26">
        <f ca="1">FLUID!L60</f>
        <v>-19.579999999999998</v>
      </c>
      <c r="I13" s="26">
        <f ca="1">FLUID!M60</f>
        <v>-19.809999999999999</v>
      </c>
      <c r="J13" s="26">
        <f ca="1">FLUID!N60</f>
        <v>-20.059999999999999</v>
      </c>
      <c r="K13" s="26">
        <f ca="1">FLUID!O60</f>
        <v>-20.38</v>
      </c>
      <c r="L13" s="26">
        <f ca="1">FLUID!P60</f>
        <v>0</v>
      </c>
      <c r="M13" s="26">
        <f ca="1">FLUID!Q60</f>
        <v>0</v>
      </c>
      <c r="N13" s="26">
        <f ca="1">FLUID!R60</f>
        <v>0</v>
      </c>
      <c r="O13" s="26">
        <f ca="1">FLUID!S60</f>
        <v>0</v>
      </c>
      <c r="P13" s="26">
        <f ca="1">FLUID!T60</f>
        <v>0</v>
      </c>
      <c r="Q13" s="26">
        <f ca="1">FLUID!U60</f>
        <v>0</v>
      </c>
      <c r="R13" s="26">
        <f ca="1">FLUID!V60</f>
        <v>0</v>
      </c>
      <c r="S13" s="26">
        <f ca="1">FLUID!W60</f>
        <v>0</v>
      </c>
      <c r="T13" s="26">
        <f ca="1">FLUID!X60</f>
        <v>0</v>
      </c>
      <c r="U13" s="26">
        <f ca="1">FLUID!Y60</f>
        <v>0</v>
      </c>
      <c r="V13" s="26">
        <f ca="1">FLUID!Z60</f>
        <v>0</v>
      </c>
      <c r="W13" s="26">
        <f ca="1">FLUID!AA60</f>
        <v>0</v>
      </c>
      <c r="X13" s="26">
        <f ca="1">FLUID!AB60</f>
        <v>0</v>
      </c>
      <c r="Y13" s="26">
        <f ca="1">FLUID!AC60</f>
        <v>0</v>
      </c>
      <c r="Z13" s="26">
        <f ca="1">FLUID!AD60</f>
        <v>0</v>
      </c>
      <c r="AA13" s="26">
        <f ca="1">FLUID!AE60</f>
        <v>0</v>
      </c>
      <c r="AB13" s="26">
        <f ca="1">FLUID!AF60</f>
        <v>0</v>
      </c>
      <c r="AC13" s="26">
        <f ca="1">FLUID!AG60</f>
        <v>0</v>
      </c>
      <c r="AD13" s="26">
        <f ca="1">FLUID!AH60</f>
        <v>0</v>
      </c>
      <c r="AE13" s="26">
        <f ca="1">FLUID!AI60</f>
        <v>0</v>
      </c>
      <c r="AF13" s="26">
        <f ca="1">FLUID!AJ60</f>
        <v>0</v>
      </c>
      <c r="AG13" s="26">
        <f ca="1">FLUID!AK60</f>
        <v>0</v>
      </c>
      <c r="AH13" s="26">
        <f ca="1">FLUID!AL60</f>
        <v>0</v>
      </c>
      <c r="AI13" s="26">
        <f>FLUID!AM60</f>
        <v>0</v>
      </c>
    </row>
    <row r="14" spans="1:35" ht="21.75" hidden="1" outlineLevel="1" thickBot="1" x14ac:dyDescent="0.4">
      <c r="A14" s="58" t="str">
        <f>FLUID!E61</f>
        <v>(l)Ga[l]</v>
      </c>
      <c r="B14" s="28">
        <f ca="1">FLUID!F61</f>
        <v>-6.5640000000000001</v>
      </c>
      <c r="C14" s="28">
        <f ca="1">FLUID!G61</f>
        <v>-7.1589999999999998</v>
      </c>
      <c r="D14" s="28">
        <f ca="1">FLUID!H61</f>
        <v>-7.6760000000000002</v>
      </c>
      <c r="E14" s="28">
        <f ca="1">FLUID!I61</f>
        <v>-8.1340000000000003</v>
      </c>
      <c r="F14" s="26">
        <f ca="1">FLUID!J61</f>
        <v>-8.5860000000000003</v>
      </c>
      <c r="G14" s="26">
        <f ca="1">FLUID!K61</f>
        <v>-9.1489999999999991</v>
      </c>
      <c r="H14" s="26">
        <f ca="1">FLUID!L61</f>
        <v>-9.8379999999999992</v>
      </c>
      <c r="I14" s="26">
        <f ca="1">FLUID!M61</f>
        <v>-10.52</v>
      </c>
      <c r="J14" s="26">
        <f ca="1">FLUID!N61</f>
        <v>-11.14</v>
      </c>
      <c r="K14" s="26">
        <f ca="1">FLUID!O61</f>
        <v>-11.68</v>
      </c>
      <c r="L14" s="26">
        <f ca="1">FLUID!P61</f>
        <v>0</v>
      </c>
      <c r="M14" s="26">
        <f ca="1">FLUID!Q61</f>
        <v>0</v>
      </c>
      <c r="N14" s="26">
        <f ca="1">FLUID!R61</f>
        <v>0</v>
      </c>
      <c r="O14" s="26">
        <f ca="1">FLUID!S61</f>
        <v>0</v>
      </c>
      <c r="P14" s="26">
        <f ca="1">FLUID!T61</f>
        <v>0</v>
      </c>
      <c r="Q14" s="26">
        <f ca="1">FLUID!U61</f>
        <v>0</v>
      </c>
      <c r="R14" s="26">
        <f ca="1">FLUID!V61</f>
        <v>0</v>
      </c>
      <c r="S14" s="26">
        <f ca="1">FLUID!W61</f>
        <v>0</v>
      </c>
      <c r="T14" s="26">
        <f ca="1">FLUID!X61</f>
        <v>0</v>
      </c>
      <c r="U14" s="26">
        <f ca="1">FLUID!Y61</f>
        <v>0</v>
      </c>
      <c r="V14" s="26">
        <f ca="1">FLUID!Z61</f>
        <v>0</v>
      </c>
      <c r="W14" s="26">
        <f ca="1">FLUID!AA61</f>
        <v>0</v>
      </c>
      <c r="X14" s="26">
        <f ca="1">FLUID!AB61</f>
        <v>0</v>
      </c>
      <c r="Y14" s="26">
        <f ca="1">FLUID!AC61</f>
        <v>0</v>
      </c>
      <c r="Z14" s="26">
        <f ca="1">FLUID!AD61</f>
        <v>0</v>
      </c>
      <c r="AA14" s="26">
        <f ca="1">FLUID!AE61</f>
        <v>0</v>
      </c>
      <c r="AB14" s="26">
        <f ca="1">FLUID!AF61</f>
        <v>0</v>
      </c>
      <c r="AC14" s="26">
        <f ca="1">FLUID!AG61</f>
        <v>0</v>
      </c>
      <c r="AD14" s="26">
        <f ca="1">FLUID!AH61</f>
        <v>0</v>
      </c>
      <c r="AE14" s="26">
        <f ca="1">FLUID!AI61</f>
        <v>0</v>
      </c>
      <c r="AF14" s="26">
        <f ca="1">FLUID!AJ61</f>
        <v>0</v>
      </c>
      <c r="AG14" s="26">
        <f ca="1">FLUID!AK61</f>
        <v>0</v>
      </c>
      <c r="AH14" s="26">
        <f ca="1">FLUID!AL61</f>
        <v>0</v>
      </c>
      <c r="AI14" s="26">
        <f>FLUID!AM61</f>
        <v>0</v>
      </c>
    </row>
    <row r="15" spans="1:35" ht="21.75" hidden="1" outlineLevel="1" thickBot="1" x14ac:dyDescent="0.4">
      <c r="A15" s="58" t="str">
        <f>FLUID!E62</f>
        <v>(l)Ge[l]</v>
      </c>
      <c r="B15" s="28">
        <f ca="1">FLUID!F62</f>
        <v>7.1749999999999998</v>
      </c>
      <c r="C15" s="28">
        <f ca="1">FLUID!G62</f>
        <v>3.5760000000000001</v>
      </c>
      <c r="D15" s="28">
        <f ca="1">FLUID!H62</f>
        <v>1.1719999999999999</v>
      </c>
      <c r="E15" s="28">
        <f ca="1">FLUID!I62</f>
        <v>-0.5736</v>
      </c>
      <c r="F15" s="26">
        <f ca="1">FLUID!J62</f>
        <v>-1.9039999999999999</v>
      </c>
      <c r="G15" s="26">
        <f ca="1">FLUID!K62</f>
        <v>-2.931</v>
      </c>
      <c r="H15" s="26">
        <f ca="1">FLUID!L62</f>
        <v>-3.754</v>
      </c>
      <c r="I15" s="26">
        <f ca="1">FLUID!M62</f>
        <v>-4.4349999999999996</v>
      </c>
      <c r="J15" s="26">
        <f ca="1">FLUID!N62</f>
        <v>-4.9619999999999997</v>
      </c>
      <c r="K15" s="26">
        <f ca="1">FLUID!O62</f>
        <v>-5.3040000000000003</v>
      </c>
      <c r="L15" s="26">
        <f ca="1">FLUID!P62</f>
        <v>0</v>
      </c>
      <c r="M15" s="26">
        <f ca="1">FLUID!Q62</f>
        <v>0</v>
      </c>
      <c r="N15" s="26">
        <f ca="1">FLUID!R62</f>
        <v>0</v>
      </c>
      <c r="O15" s="26">
        <f ca="1">FLUID!S62</f>
        <v>0</v>
      </c>
      <c r="P15" s="26">
        <f ca="1">FLUID!T62</f>
        <v>0</v>
      </c>
      <c r="Q15" s="26">
        <f ca="1">FLUID!U62</f>
        <v>0</v>
      </c>
      <c r="R15" s="26">
        <f ca="1">FLUID!V62</f>
        <v>0</v>
      </c>
      <c r="S15" s="26">
        <f ca="1">FLUID!W62</f>
        <v>0</v>
      </c>
      <c r="T15" s="26">
        <f ca="1">FLUID!X62</f>
        <v>0</v>
      </c>
      <c r="U15" s="26">
        <f ca="1">FLUID!Y62</f>
        <v>0</v>
      </c>
      <c r="V15" s="26">
        <f ca="1">FLUID!Z62</f>
        <v>0</v>
      </c>
      <c r="W15" s="26">
        <f ca="1">FLUID!AA62</f>
        <v>0</v>
      </c>
      <c r="X15" s="26">
        <f ca="1">FLUID!AB62</f>
        <v>0</v>
      </c>
      <c r="Y15" s="26">
        <f ca="1">FLUID!AC62</f>
        <v>0</v>
      </c>
      <c r="Z15" s="26">
        <f ca="1">FLUID!AD62</f>
        <v>0</v>
      </c>
      <c r="AA15" s="26">
        <f ca="1">FLUID!AE62</f>
        <v>0</v>
      </c>
      <c r="AB15" s="26">
        <f ca="1">FLUID!AF62</f>
        <v>0</v>
      </c>
      <c r="AC15" s="26">
        <f ca="1">FLUID!AG62</f>
        <v>0</v>
      </c>
      <c r="AD15" s="26">
        <f ca="1">FLUID!AH62</f>
        <v>0</v>
      </c>
      <c r="AE15" s="26">
        <f ca="1">FLUID!AI62</f>
        <v>0</v>
      </c>
      <c r="AF15" s="26">
        <f ca="1">FLUID!AJ62</f>
        <v>0</v>
      </c>
      <c r="AG15" s="26">
        <f ca="1">FLUID!AK62</f>
        <v>0</v>
      </c>
      <c r="AH15" s="26">
        <f ca="1">FLUID!AL62</f>
        <v>0</v>
      </c>
      <c r="AI15" s="26">
        <f>FLUID!AM62</f>
        <v>0</v>
      </c>
    </row>
    <row r="16" spans="1:35" ht="21.75" hidden="1" outlineLevel="1" thickBot="1" x14ac:dyDescent="0.4">
      <c r="A16" s="58" t="str">
        <f>FLUID!E63</f>
        <v>(l)SeCl]</v>
      </c>
      <c r="B16" s="28">
        <f ca="1">FLUID!F63</f>
        <v>-4.7</v>
      </c>
      <c r="C16" s="28">
        <f ca="1">FLUID!G63</f>
        <v>-5.1369999999999996</v>
      </c>
      <c r="D16" s="28">
        <f ca="1">FLUID!H63</f>
        <v>-5.6130000000000004</v>
      </c>
      <c r="E16" s="28">
        <f ca="1">FLUID!I63</f>
        <v>-6.069</v>
      </c>
      <c r="F16" s="26">
        <f ca="1">FLUID!J63</f>
        <v>-6.4870000000000001</v>
      </c>
      <c r="G16" s="26">
        <f ca="1">FLUID!K63</f>
        <v>-6.8550000000000004</v>
      </c>
      <c r="H16" s="26">
        <f ca="1">FLUID!L63</f>
        <v>-7.1870000000000003</v>
      </c>
      <c r="I16" s="26">
        <f ca="1">FLUID!M63</f>
        <v>-7.5110000000000001</v>
      </c>
      <c r="J16" s="26">
        <f ca="1">FLUID!N63</f>
        <v>-7.8559999999999999</v>
      </c>
      <c r="K16" s="26">
        <f ca="1">FLUID!O63</f>
        <v>-8.2789999999999999</v>
      </c>
      <c r="L16" s="26">
        <f ca="1">FLUID!P63</f>
        <v>0</v>
      </c>
      <c r="M16" s="26">
        <f ca="1">FLUID!Q63</f>
        <v>0</v>
      </c>
      <c r="N16" s="26">
        <f ca="1">FLUID!R63</f>
        <v>0</v>
      </c>
      <c r="O16" s="26">
        <f ca="1">FLUID!S63</f>
        <v>0</v>
      </c>
      <c r="P16" s="26">
        <f ca="1">FLUID!T63</f>
        <v>0</v>
      </c>
      <c r="Q16" s="26">
        <f ca="1">FLUID!U63</f>
        <v>0</v>
      </c>
      <c r="R16" s="26">
        <f ca="1">FLUID!V63</f>
        <v>0</v>
      </c>
      <c r="S16" s="26">
        <f ca="1">FLUID!W63</f>
        <v>0</v>
      </c>
      <c r="T16" s="26">
        <f ca="1">FLUID!X63</f>
        <v>0</v>
      </c>
      <c r="U16" s="26">
        <f ca="1">FLUID!Y63</f>
        <v>0</v>
      </c>
      <c r="V16" s="26">
        <f ca="1">FLUID!Z63</f>
        <v>0</v>
      </c>
      <c r="W16" s="26">
        <f ca="1">FLUID!AA63</f>
        <v>0</v>
      </c>
      <c r="X16" s="26">
        <f ca="1">FLUID!AB63</f>
        <v>0</v>
      </c>
      <c r="Y16" s="26">
        <f ca="1">FLUID!AC63</f>
        <v>0</v>
      </c>
      <c r="Z16" s="26">
        <f ca="1">FLUID!AD63</f>
        <v>0</v>
      </c>
      <c r="AA16" s="26">
        <f ca="1">FLUID!AE63</f>
        <v>0</v>
      </c>
      <c r="AB16" s="26">
        <f ca="1">FLUID!AF63</f>
        <v>0</v>
      </c>
      <c r="AC16" s="26">
        <f ca="1">FLUID!AG63</f>
        <v>0</v>
      </c>
      <c r="AD16" s="26">
        <f ca="1">FLUID!AH63</f>
        <v>0</v>
      </c>
      <c r="AE16" s="26">
        <f ca="1">FLUID!AI63</f>
        <v>0</v>
      </c>
      <c r="AF16" s="26">
        <f ca="1">FLUID!AJ63</f>
        <v>0</v>
      </c>
      <c r="AG16" s="26">
        <f ca="1">FLUID!AK63</f>
        <v>0</v>
      </c>
      <c r="AH16" s="26">
        <f ca="1">FLUID!AL63</f>
        <v>0</v>
      </c>
      <c r="AI16" s="26">
        <f>FLUID!AM63</f>
        <v>0</v>
      </c>
    </row>
    <row r="17" spans="1:35" ht="21.75" hidden="1" outlineLevel="1" thickBot="1" x14ac:dyDescent="0.4">
      <c r="A17" s="58" t="str">
        <f>FLUID!E64</f>
        <v>H (Ar)</v>
      </c>
      <c r="B17" s="28">
        <f ca="1">FLUID!F64</f>
        <v>-18.62</v>
      </c>
      <c r="C17" s="28">
        <f ca="1">FLUID!G64</f>
        <v>-18.649999999999999</v>
      </c>
      <c r="D17" s="28">
        <f ca="1">FLUID!H64</f>
        <v>-18.77</v>
      </c>
      <c r="E17" s="28">
        <f ca="1">FLUID!I64</f>
        <v>-18.93</v>
      </c>
      <c r="F17" s="26">
        <f ca="1">FLUID!J64</f>
        <v>-19.12</v>
      </c>
      <c r="G17" s="26">
        <f ca="1">FLUID!K64</f>
        <v>-19.34</v>
      </c>
      <c r="H17" s="26">
        <f ca="1">FLUID!L64</f>
        <v>-19.579999999999998</v>
      </c>
      <c r="I17" s="26">
        <f ca="1">FLUID!M64</f>
        <v>-19.809999999999999</v>
      </c>
      <c r="J17" s="26">
        <f ca="1">FLUID!N64</f>
        <v>-20.059999999999999</v>
      </c>
      <c r="K17" s="26">
        <f ca="1">FLUID!O64</f>
        <v>-20.38</v>
      </c>
      <c r="L17" s="26">
        <f ca="1">FLUID!P64</f>
        <v>0</v>
      </c>
      <c r="M17" s="26">
        <f ca="1">FLUID!Q64</f>
        <v>0</v>
      </c>
      <c r="N17" s="26">
        <f ca="1">FLUID!R64</f>
        <v>0</v>
      </c>
      <c r="O17" s="26">
        <f ca="1">FLUID!S64</f>
        <v>0</v>
      </c>
      <c r="P17" s="26">
        <f ca="1">FLUID!T64</f>
        <v>0</v>
      </c>
      <c r="Q17" s="26">
        <f ca="1">FLUID!U64</f>
        <v>0</v>
      </c>
      <c r="R17" s="26">
        <f ca="1">FLUID!V64</f>
        <v>0</v>
      </c>
      <c r="S17" s="26">
        <f ca="1">FLUID!W64</f>
        <v>0</v>
      </c>
      <c r="T17" s="26">
        <f ca="1">FLUID!X64</f>
        <v>0</v>
      </c>
      <c r="U17" s="26">
        <f ca="1">FLUID!Y64</f>
        <v>0</v>
      </c>
      <c r="V17" s="26">
        <f ca="1">FLUID!Z64</f>
        <v>0</v>
      </c>
      <c r="W17" s="26">
        <f ca="1">FLUID!AA64</f>
        <v>0</v>
      </c>
      <c r="X17" s="26">
        <f ca="1">FLUID!AB64</f>
        <v>0</v>
      </c>
      <c r="Y17" s="26">
        <f ca="1">FLUID!AC64</f>
        <v>0</v>
      </c>
      <c r="Z17" s="26">
        <f ca="1">FLUID!AD64</f>
        <v>0</v>
      </c>
      <c r="AA17" s="26">
        <f ca="1">FLUID!AE64</f>
        <v>0</v>
      </c>
      <c r="AB17" s="26">
        <f ca="1">FLUID!AF64</f>
        <v>0</v>
      </c>
      <c r="AC17" s="26">
        <f ca="1">FLUID!AG64</f>
        <v>0</v>
      </c>
      <c r="AD17" s="26">
        <f ca="1">FLUID!AH64</f>
        <v>0</v>
      </c>
      <c r="AE17" s="26">
        <f ca="1">FLUID!AI64</f>
        <v>0</v>
      </c>
      <c r="AF17" s="26">
        <f ca="1">FLUID!AJ64</f>
        <v>0</v>
      </c>
      <c r="AG17" s="26">
        <f ca="1">FLUID!AK64</f>
        <v>0</v>
      </c>
      <c r="AH17" s="26">
        <f ca="1">FLUID!AL64</f>
        <v>0</v>
      </c>
      <c r="AI17" s="26">
        <f>FLUID!AM64</f>
        <v>0</v>
      </c>
    </row>
    <row r="18" spans="1:35" ht="21.75" hidden="1" outlineLevel="1" thickBot="1" x14ac:dyDescent="0.4">
      <c r="A18" s="58" t="str">
        <f>FLUID!E65</f>
        <v>H (Ga)</v>
      </c>
      <c r="B18" s="28">
        <f ca="1">FLUID!F65</f>
        <v>-6.5640000000000001</v>
      </c>
      <c r="C18" s="28">
        <f ca="1">FLUID!G65</f>
        <v>-7.1589999999999998</v>
      </c>
      <c r="D18" s="28">
        <f ca="1">FLUID!H65</f>
        <v>-7.6760000000000002</v>
      </c>
      <c r="E18" s="28">
        <f ca="1">FLUID!I65</f>
        <v>-8.1340000000000003</v>
      </c>
      <c r="F18" s="26">
        <f ca="1">FLUID!J65</f>
        <v>-8.5860000000000003</v>
      </c>
      <c r="G18" s="26">
        <f ca="1">FLUID!K65</f>
        <v>-9.1489999999999991</v>
      </c>
      <c r="H18" s="26">
        <f ca="1">FLUID!L65</f>
        <v>-9.8379999999999992</v>
      </c>
      <c r="I18" s="26">
        <f ca="1">FLUID!M65</f>
        <v>-10.52</v>
      </c>
      <c r="J18" s="26">
        <f ca="1">FLUID!N65</f>
        <v>-11.14</v>
      </c>
      <c r="K18" s="26">
        <f ca="1">FLUID!O65</f>
        <v>-11.68</v>
      </c>
      <c r="L18" s="26">
        <f ca="1">FLUID!P65</f>
        <v>0</v>
      </c>
      <c r="M18" s="26">
        <f ca="1">FLUID!Q65</f>
        <v>0</v>
      </c>
      <c r="N18" s="26">
        <f ca="1">FLUID!R65</f>
        <v>0</v>
      </c>
      <c r="O18" s="26">
        <f ca="1">FLUID!S65</f>
        <v>0</v>
      </c>
      <c r="P18" s="26">
        <f ca="1">FLUID!T65</f>
        <v>0</v>
      </c>
      <c r="Q18" s="26">
        <f ca="1">FLUID!U65</f>
        <v>0</v>
      </c>
      <c r="R18" s="26">
        <f ca="1">FLUID!V65</f>
        <v>0</v>
      </c>
      <c r="S18" s="26">
        <f ca="1">FLUID!W65</f>
        <v>0</v>
      </c>
      <c r="T18" s="26">
        <f ca="1">FLUID!X65</f>
        <v>0</v>
      </c>
      <c r="U18" s="26">
        <f ca="1">FLUID!Y65</f>
        <v>0</v>
      </c>
      <c r="V18" s="26">
        <f ca="1">FLUID!Z65</f>
        <v>0</v>
      </c>
      <c r="W18" s="26">
        <f ca="1">FLUID!AA65</f>
        <v>0</v>
      </c>
      <c r="X18" s="26">
        <f ca="1">FLUID!AB65</f>
        <v>0</v>
      </c>
      <c r="Y18" s="26">
        <f ca="1">FLUID!AC65</f>
        <v>0</v>
      </c>
      <c r="Z18" s="26">
        <f ca="1">FLUID!AD65</f>
        <v>0</v>
      </c>
      <c r="AA18" s="26">
        <f ca="1">FLUID!AE65</f>
        <v>0</v>
      </c>
      <c r="AB18" s="26">
        <f ca="1">FLUID!AF65</f>
        <v>0</v>
      </c>
      <c r="AC18" s="26">
        <f ca="1">FLUID!AG65</f>
        <v>0</v>
      </c>
      <c r="AD18" s="26">
        <f ca="1">FLUID!AH65</f>
        <v>0</v>
      </c>
      <c r="AE18" s="26">
        <f ca="1">FLUID!AI65</f>
        <v>0</v>
      </c>
      <c r="AF18" s="26">
        <f ca="1">FLUID!AJ65</f>
        <v>0</v>
      </c>
      <c r="AG18" s="26">
        <f ca="1">FLUID!AK65</f>
        <v>0</v>
      </c>
      <c r="AH18" s="26">
        <f ca="1">FLUID!AL65</f>
        <v>0</v>
      </c>
      <c r="AI18" s="26">
        <f>FLUID!AM65</f>
        <v>0</v>
      </c>
    </row>
    <row r="19" spans="1:35" ht="22.5" hidden="1" customHeight="1" outlineLevel="1" thickBot="1" x14ac:dyDescent="0.4">
      <c r="A19" s="58" t="str">
        <f>FLUID!E66</f>
        <v>H (Ge)</v>
      </c>
      <c r="B19" s="28">
        <f ca="1">FLUID!F66</f>
        <v>7.1749999999999998</v>
      </c>
      <c r="C19" s="28">
        <f ca="1">FLUID!G66</f>
        <v>3.5760000000000001</v>
      </c>
      <c r="D19" s="28">
        <f ca="1">FLUID!H66</f>
        <v>1.1719999999999999</v>
      </c>
      <c r="E19" s="28">
        <f ca="1">FLUID!I66</f>
        <v>-0.5736</v>
      </c>
      <c r="F19" s="26">
        <f ca="1">FLUID!J66</f>
        <v>-1.9039999999999999</v>
      </c>
      <c r="G19" s="26">
        <f ca="1">FLUID!K66</f>
        <v>-2.931</v>
      </c>
      <c r="H19" s="26">
        <f ca="1">FLUID!L66</f>
        <v>-3.754</v>
      </c>
      <c r="I19" s="26">
        <f ca="1">FLUID!M66</f>
        <v>-4.4349999999999996</v>
      </c>
      <c r="J19" s="26">
        <f ca="1">FLUID!N66</f>
        <v>-4.9619999999999997</v>
      </c>
      <c r="K19" s="26">
        <f ca="1">FLUID!O66</f>
        <v>-5.3040000000000003</v>
      </c>
      <c r="L19" s="26">
        <f ca="1">FLUID!P66</f>
        <v>0</v>
      </c>
      <c r="M19" s="26">
        <f ca="1">FLUID!Q66</f>
        <v>0</v>
      </c>
      <c r="N19" s="26">
        <f ca="1">FLUID!R66</f>
        <v>0</v>
      </c>
      <c r="O19" s="26">
        <f ca="1">FLUID!S66</f>
        <v>0</v>
      </c>
      <c r="P19" s="26">
        <f ca="1">FLUID!T66</f>
        <v>0</v>
      </c>
      <c r="Q19" s="26">
        <f ca="1">FLUID!U66</f>
        <v>0</v>
      </c>
      <c r="R19" s="26">
        <f ca="1">FLUID!V66</f>
        <v>0</v>
      </c>
      <c r="S19" s="26">
        <f ca="1">FLUID!W66</f>
        <v>0</v>
      </c>
      <c r="T19" s="26">
        <f ca="1">FLUID!X66</f>
        <v>0</v>
      </c>
      <c r="U19" s="26">
        <f ca="1">FLUID!Y66</f>
        <v>0</v>
      </c>
      <c r="V19" s="26">
        <f ca="1">FLUID!Z66</f>
        <v>0</v>
      </c>
      <c r="W19" s="26">
        <f ca="1">FLUID!AA66</f>
        <v>0</v>
      </c>
      <c r="X19" s="26">
        <f ca="1">FLUID!AB66</f>
        <v>0</v>
      </c>
      <c r="Y19" s="26">
        <f ca="1">FLUID!AC66</f>
        <v>0</v>
      </c>
      <c r="Z19" s="26">
        <f ca="1">FLUID!AD66</f>
        <v>0</v>
      </c>
      <c r="AA19" s="26">
        <f ca="1">FLUID!AE66</f>
        <v>0</v>
      </c>
      <c r="AB19" s="26">
        <f ca="1">FLUID!AF66</f>
        <v>0</v>
      </c>
      <c r="AC19" s="26">
        <f ca="1">FLUID!AG66</f>
        <v>0</v>
      </c>
      <c r="AD19" s="26">
        <f ca="1">FLUID!AH66</f>
        <v>0</v>
      </c>
      <c r="AE19" s="26">
        <f ca="1">FLUID!AI66</f>
        <v>0</v>
      </c>
      <c r="AF19" s="26">
        <f ca="1">FLUID!AJ66</f>
        <v>0</v>
      </c>
      <c r="AG19" s="26">
        <f ca="1">FLUID!AK66</f>
        <v>0</v>
      </c>
      <c r="AH19" s="26">
        <f ca="1">FLUID!AL66</f>
        <v>0</v>
      </c>
      <c r="AI19" s="26">
        <f>FLUID!AM66</f>
        <v>0</v>
      </c>
    </row>
    <row r="20" spans="1:35" ht="22.5" hidden="1" customHeight="1" outlineLevel="1" thickBot="1" x14ac:dyDescent="0.4">
      <c r="A20" s="58" t="str">
        <f>FLUID!E67</f>
        <v>H (Se)</v>
      </c>
      <c r="B20" s="28">
        <f ca="1">FLUID!F67</f>
        <v>-4.7</v>
      </c>
      <c r="C20" s="28">
        <f ca="1">FLUID!G67</f>
        <v>-5.1369999999999996</v>
      </c>
      <c r="D20" s="28">
        <f ca="1">FLUID!H67</f>
        <v>-5.6130000000000004</v>
      </c>
      <c r="E20" s="28">
        <f ca="1">FLUID!I67</f>
        <v>-6.069</v>
      </c>
      <c r="F20" s="26">
        <f ca="1">FLUID!J67</f>
        <v>-6.4870000000000001</v>
      </c>
      <c r="G20" s="26">
        <f ca="1">FLUID!K67</f>
        <v>-6.8550000000000004</v>
      </c>
      <c r="H20" s="26">
        <f ca="1">FLUID!L67</f>
        <v>-7.1870000000000003</v>
      </c>
      <c r="I20" s="26">
        <f ca="1">FLUID!M67</f>
        <v>-7.5110000000000001</v>
      </c>
      <c r="J20" s="26">
        <f ca="1">FLUID!N67</f>
        <v>-7.8559999999999999</v>
      </c>
      <c r="K20" s="26">
        <f ca="1">FLUID!O67</f>
        <v>-8.2789999999999999</v>
      </c>
      <c r="L20" s="26">
        <f ca="1">FLUID!P67</f>
        <v>0</v>
      </c>
      <c r="M20" s="26">
        <f ca="1">FLUID!Q67</f>
        <v>0</v>
      </c>
      <c r="N20" s="26">
        <f ca="1">FLUID!R67</f>
        <v>0</v>
      </c>
      <c r="O20" s="26">
        <f ca="1">FLUID!S67</f>
        <v>0</v>
      </c>
      <c r="P20" s="26">
        <f ca="1">FLUID!T67</f>
        <v>0</v>
      </c>
      <c r="Q20" s="26">
        <f ca="1">FLUID!U67</f>
        <v>0</v>
      </c>
      <c r="R20" s="26">
        <f ca="1">FLUID!V67</f>
        <v>0</v>
      </c>
      <c r="S20" s="26">
        <f ca="1">FLUID!W67</f>
        <v>0</v>
      </c>
      <c r="T20" s="26">
        <f ca="1">FLUID!X67</f>
        <v>0</v>
      </c>
      <c r="U20" s="26">
        <f ca="1">FLUID!Y67</f>
        <v>0</v>
      </c>
      <c r="V20" s="26">
        <f ca="1">FLUID!Z67</f>
        <v>0</v>
      </c>
      <c r="W20" s="26">
        <f ca="1">FLUID!AA67</f>
        <v>0</v>
      </c>
      <c r="X20" s="26">
        <f ca="1">FLUID!AB67</f>
        <v>0</v>
      </c>
      <c r="Y20" s="26">
        <f ca="1">FLUID!AC67</f>
        <v>0</v>
      </c>
      <c r="Z20" s="26">
        <f ca="1">FLUID!AD67</f>
        <v>0</v>
      </c>
      <c r="AA20" s="26">
        <f ca="1">FLUID!AE67</f>
        <v>0</v>
      </c>
      <c r="AB20" s="26">
        <f ca="1">FLUID!AF67</f>
        <v>0</v>
      </c>
      <c r="AC20" s="26">
        <f ca="1">FLUID!AG67</f>
        <v>0</v>
      </c>
      <c r="AD20" s="26">
        <f ca="1">FLUID!AH67</f>
        <v>0</v>
      </c>
      <c r="AE20" s="26">
        <f ca="1">FLUID!AI67</f>
        <v>0</v>
      </c>
      <c r="AF20" s="26">
        <f ca="1">FLUID!AJ67</f>
        <v>0</v>
      </c>
      <c r="AG20" s="26">
        <f ca="1">FLUID!AK67</f>
        <v>0</v>
      </c>
      <c r="AH20" s="26">
        <f ca="1">FLUID!AL67</f>
        <v>0</v>
      </c>
      <c r="AI20" s="26">
        <f>FLUID!AM67</f>
        <v>0</v>
      </c>
    </row>
    <row r="21" spans="1:35" ht="22.5" hidden="1" customHeight="1" outlineLevel="1" thickBot="1" x14ac:dyDescent="0.4">
      <c r="A21" s="58">
        <f>FLUID!E68</f>
        <v>0</v>
      </c>
      <c r="B21" s="28">
        <f ca="1">FLUID!F68</f>
        <v>0</v>
      </c>
      <c r="C21" s="28">
        <f ca="1">FLUID!G68</f>
        <v>0</v>
      </c>
      <c r="D21" s="28">
        <f ca="1">FLUID!H68</f>
        <v>0</v>
      </c>
      <c r="E21" s="28">
        <f ca="1">FLUID!I68</f>
        <v>0</v>
      </c>
      <c r="F21" s="26">
        <f ca="1">FLUID!J68</f>
        <v>0</v>
      </c>
      <c r="G21" s="26">
        <f ca="1">FLUID!K68</f>
        <v>0</v>
      </c>
      <c r="H21" s="26">
        <f ca="1">FLUID!L68</f>
        <v>0</v>
      </c>
      <c r="I21" s="26">
        <f ca="1">FLUID!M68</f>
        <v>0</v>
      </c>
      <c r="J21" s="26">
        <f ca="1">FLUID!N68</f>
        <v>0</v>
      </c>
      <c r="K21" s="26">
        <f ca="1">FLUID!O68</f>
        <v>0</v>
      </c>
      <c r="L21" s="26">
        <f ca="1">FLUID!P68</f>
        <v>0</v>
      </c>
      <c r="M21" s="26">
        <f ca="1">FLUID!Q68</f>
        <v>0</v>
      </c>
      <c r="N21" s="26">
        <f ca="1">FLUID!R68</f>
        <v>0</v>
      </c>
      <c r="O21" s="26">
        <f ca="1">FLUID!S68</f>
        <v>0</v>
      </c>
      <c r="P21" s="26">
        <f ca="1">FLUID!T68</f>
        <v>0</v>
      </c>
      <c r="Q21" s="26">
        <f ca="1">FLUID!U68</f>
        <v>0</v>
      </c>
      <c r="R21" s="26">
        <f ca="1">FLUID!V68</f>
        <v>0</v>
      </c>
      <c r="S21" s="26">
        <f ca="1">FLUID!W68</f>
        <v>0</v>
      </c>
      <c r="T21" s="26">
        <f ca="1">FLUID!X68</f>
        <v>0</v>
      </c>
      <c r="U21" s="26">
        <f ca="1">FLUID!Y68</f>
        <v>0</v>
      </c>
      <c r="V21" s="26">
        <f ca="1">FLUID!Z68</f>
        <v>0</v>
      </c>
      <c r="W21" s="26">
        <f ca="1">FLUID!AA68</f>
        <v>0</v>
      </c>
      <c r="X21" s="26">
        <f ca="1">FLUID!AB68</f>
        <v>0</v>
      </c>
      <c r="Y21" s="26">
        <f ca="1">FLUID!AC68</f>
        <v>0</v>
      </c>
      <c r="Z21" s="26">
        <f ca="1">FLUID!AD68</f>
        <v>0</v>
      </c>
      <c r="AA21" s="26">
        <f ca="1">FLUID!AE68</f>
        <v>0</v>
      </c>
      <c r="AB21" s="26">
        <f ca="1">FLUID!AF68</f>
        <v>0</v>
      </c>
      <c r="AC21" s="26">
        <f ca="1">FLUID!AG68</f>
        <v>0</v>
      </c>
      <c r="AD21" s="26">
        <f ca="1">FLUID!AH68</f>
        <v>0</v>
      </c>
      <c r="AE21" s="26">
        <f ca="1">FLUID!AI68</f>
        <v>0</v>
      </c>
      <c r="AF21" s="26">
        <f ca="1">FLUID!AJ68</f>
        <v>0</v>
      </c>
      <c r="AG21" s="26">
        <f ca="1">FLUID!AK68</f>
        <v>0</v>
      </c>
      <c r="AH21" s="26">
        <f ca="1">FLUID!AL68</f>
        <v>0</v>
      </c>
      <c r="AI21" s="26">
        <f>FLUID!AM68</f>
        <v>0</v>
      </c>
    </row>
    <row r="22" spans="1:35" ht="22.5" hidden="1" customHeight="1" outlineLevel="1" thickBot="1" x14ac:dyDescent="0.4">
      <c r="A22" s="58">
        <f>FLUID!E69</f>
        <v>0</v>
      </c>
      <c r="B22" s="28">
        <f ca="1">FLUID!F69</f>
        <v>0</v>
      </c>
      <c r="C22" s="28">
        <f ca="1">FLUID!G69</f>
        <v>0</v>
      </c>
      <c r="D22" s="28">
        <f ca="1">FLUID!H69</f>
        <v>0</v>
      </c>
      <c r="E22" s="28">
        <f ca="1">FLUID!I69</f>
        <v>0</v>
      </c>
      <c r="F22" s="26">
        <f ca="1">FLUID!J69</f>
        <v>0</v>
      </c>
      <c r="G22" s="26">
        <f ca="1">FLUID!K69</f>
        <v>0</v>
      </c>
      <c r="H22" s="26">
        <f ca="1">FLUID!L69</f>
        <v>0</v>
      </c>
      <c r="I22" s="26">
        <f ca="1">FLUID!M69</f>
        <v>0</v>
      </c>
      <c r="J22" s="26">
        <f ca="1">FLUID!N69</f>
        <v>0</v>
      </c>
      <c r="K22" s="26">
        <f ca="1">FLUID!O69</f>
        <v>0</v>
      </c>
      <c r="L22" s="26">
        <f ca="1">FLUID!P69</f>
        <v>0</v>
      </c>
      <c r="M22" s="26">
        <f ca="1">FLUID!Q69</f>
        <v>0</v>
      </c>
      <c r="N22" s="26">
        <f ca="1">FLUID!R69</f>
        <v>0</v>
      </c>
      <c r="O22" s="26">
        <f ca="1">FLUID!S69</f>
        <v>0</v>
      </c>
      <c r="P22" s="26">
        <f ca="1">FLUID!T69</f>
        <v>0</v>
      </c>
      <c r="Q22" s="26">
        <f ca="1">FLUID!U69</f>
        <v>0</v>
      </c>
      <c r="R22" s="26">
        <f ca="1">FLUID!V69</f>
        <v>0</v>
      </c>
      <c r="S22" s="26">
        <f ca="1">FLUID!W69</f>
        <v>0</v>
      </c>
      <c r="T22" s="26">
        <f ca="1">FLUID!X69</f>
        <v>0</v>
      </c>
      <c r="U22" s="26">
        <f ca="1">FLUID!Y69</f>
        <v>0</v>
      </c>
      <c r="V22" s="26">
        <f ca="1">FLUID!Z69</f>
        <v>0</v>
      </c>
      <c r="W22" s="26">
        <f ca="1">FLUID!AA69</f>
        <v>0</v>
      </c>
      <c r="X22" s="26">
        <f ca="1">FLUID!AB69</f>
        <v>0</v>
      </c>
      <c r="Y22" s="26">
        <f ca="1">FLUID!AC69</f>
        <v>0</v>
      </c>
      <c r="Z22" s="26">
        <f ca="1">FLUID!AD69</f>
        <v>0</v>
      </c>
      <c r="AA22" s="26">
        <f ca="1">FLUID!AE69</f>
        <v>0</v>
      </c>
      <c r="AB22" s="26">
        <f ca="1">FLUID!AF69</f>
        <v>0</v>
      </c>
      <c r="AC22" s="26">
        <f ca="1">FLUID!AG69</f>
        <v>0</v>
      </c>
      <c r="AD22" s="26">
        <f ca="1">FLUID!AH69</f>
        <v>0</v>
      </c>
      <c r="AE22" s="26">
        <f ca="1">FLUID!AI69</f>
        <v>0</v>
      </c>
      <c r="AF22" s="26">
        <f ca="1">FLUID!AJ69</f>
        <v>0</v>
      </c>
      <c r="AG22" s="26">
        <f ca="1">FLUID!AK69</f>
        <v>0</v>
      </c>
      <c r="AH22" s="26">
        <f ca="1">FLUID!AL69</f>
        <v>0</v>
      </c>
      <c r="AI22" s="26">
        <f>FLUID!AM69</f>
        <v>0</v>
      </c>
    </row>
    <row r="23" spans="1:35" ht="22.5" hidden="1" customHeight="1" outlineLevel="1" thickBot="1" x14ac:dyDescent="0.4">
      <c r="A23" s="58">
        <f>FLUID!E70</f>
        <v>0</v>
      </c>
      <c r="B23" s="28">
        <f ca="1">FLUID!F70</f>
        <v>0</v>
      </c>
      <c r="C23" s="28">
        <f ca="1">FLUID!G70</f>
        <v>0</v>
      </c>
      <c r="D23" s="28">
        <f ca="1">FLUID!H70</f>
        <v>0</v>
      </c>
      <c r="E23" s="28">
        <f ca="1">FLUID!I70</f>
        <v>0</v>
      </c>
      <c r="F23" s="26">
        <f ca="1">FLUID!J70</f>
        <v>0</v>
      </c>
      <c r="G23" s="26">
        <f ca="1">FLUID!K70</f>
        <v>0</v>
      </c>
      <c r="H23" s="26">
        <f ca="1">FLUID!L70</f>
        <v>0</v>
      </c>
      <c r="I23" s="26">
        <f ca="1">FLUID!M70</f>
        <v>0</v>
      </c>
      <c r="J23" s="26">
        <f ca="1">FLUID!N70</f>
        <v>0</v>
      </c>
      <c r="K23" s="26">
        <f ca="1">FLUID!O70</f>
        <v>0</v>
      </c>
      <c r="L23" s="26">
        <f ca="1">FLUID!P70</f>
        <v>0</v>
      </c>
      <c r="M23" s="26">
        <f ca="1">FLUID!Q70</f>
        <v>0</v>
      </c>
      <c r="N23" s="26">
        <f ca="1">FLUID!R70</f>
        <v>0</v>
      </c>
      <c r="O23" s="26">
        <f ca="1">FLUID!S70</f>
        <v>0</v>
      </c>
      <c r="P23" s="26">
        <f ca="1">FLUID!T70</f>
        <v>0</v>
      </c>
      <c r="Q23" s="26">
        <f ca="1">FLUID!U70</f>
        <v>0</v>
      </c>
      <c r="R23" s="26">
        <f ca="1">FLUID!V70</f>
        <v>0</v>
      </c>
      <c r="S23" s="26">
        <f ca="1">FLUID!W70</f>
        <v>0</v>
      </c>
      <c r="T23" s="26">
        <f ca="1">FLUID!X70</f>
        <v>0</v>
      </c>
      <c r="U23" s="26">
        <f ca="1">FLUID!Y70</f>
        <v>0</v>
      </c>
      <c r="V23" s="26">
        <f ca="1">FLUID!Z70</f>
        <v>0</v>
      </c>
      <c r="W23" s="26">
        <f ca="1">FLUID!AA70</f>
        <v>0</v>
      </c>
      <c r="X23" s="26">
        <f ca="1">FLUID!AB70</f>
        <v>0</v>
      </c>
      <c r="Y23" s="26">
        <f ca="1">FLUID!AC70</f>
        <v>0</v>
      </c>
      <c r="Z23" s="26">
        <f ca="1">FLUID!AD70</f>
        <v>0</v>
      </c>
      <c r="AA23" s="26">
        <f ca="1">FLUID!AE70</f>
        <v>0</v>
      </c>
      <c r="AB23" s="26">
        <f ca="1">FLUID!AF70</f>
        <v>0</v>
      </c>
      <c r="AC23" s="26">
        <f ca="1">FLUID!AG70</f>
        <v>0</v>
      </c>
      <c r="AD23" s="26">
        <f ca="1">FLUID!AH70</f>
        <v>0</v>
      </c>
      <c r="AE23" s="26">
        <f ca="1">FLUID!AI70</f>
        <v>0</v>
      </c>
      <c r="AF23" s="26">
        <f ca="1">FLUID!AJ70</f>
        <v>0</v>
      </c>
      <c r="AG23" s="26">
        <f ca="1">FLUID!AK70</f>
        <v>0</v>
      </c>
      <c r="AH23" s="26">
        <f ca="1">FLUID!AL70</f>
        <v>0</v>
      </c>
      <c r="AI23" s="26">
        <f>FLUID!AM70</f>
        <v>0</v>
      </c>
    </row>
    <row r="24" spans="1:35" ht="22.5" hidden="1" customHeight="1" outlineLevel="1" thickBot="1" x14ac:dyDescent="0.4">
      <c r="A24" s="58">
        <f>FLUID!E71</f>
        <v>0</v>
      </c>
      <c r="B24" s="28">
        <f ca="1">FLUID!F71</f>
        <v>0</v>
      </c>
      <c r="C24" s="28">
        <f ca="1">FLUID!G71</f>
        <v>0</v>
      </c>
      <c r="D24" s="28">
        <f ca="1">FLUID!H71</f>
        <v>0</v>
      </c>
      <c r="E24" s="28">
        <f ca="1">FLUID!I71</f>
        <v>0</v>
      </c>
      <c r="F24" s="26">
        <f ca="1">FLUID!J71</f>
        <v>0</v>
      </c>
      <c r="G24" s="26">
        <f ca="1">FLUID!K71</f>
        <v>0</v>
      </c>
      <c r="H24" s="26">
        <f ca="1">FLUID!L71</f>
        <v>0</v>
      </c>
      <c r="I24" s="26">
        <f ca="1">FLUID!M71</f>
        <v>0</v>
      </c>
      <c r="J24" s="26">
        <f ca="1">FLUID!N71</f>
        <v>0</v>
      </c>
      <c r="K24" s="26">
        <f ca="1">FLUID!O71</f>
        <v>0</v>
      </c>
      <c r="L24" s="26">
        <f ca="1">FLUID!P71</f>
        <v>0</v>
      </c>
      <c r="M24" s="26">
        <f ca="1">FLUID!Q71</f>
        <v>0</v>
      </c>
      <c r="N24" s="26">
        <f ca="1">FLUID!R71</f>
        <v>0</v>
      </c>
      <c r="O24" s="26">
        <f ca="1">FLUID!S71</f>
        <v>0</v>
      </c>
      <c r="P24" s="26">
        <f ca="1">FLUID!T71</f>
        <v>0</v>
      </c>
      <c r="Q24" s="26">
        <f ca="1">FLUID!U71</f>
        <v>0</v>
      </c>
      <c r="R24" s="26">
        <f ca="1">FLUID!V71</f>
        <v>0</v>
      </c>
      <c r="S24" s="26">
        <f ca="1">FLUID!W71</f>
        <v>0</v>
      </c>
      <c r="T24" s="26">
        <f ca="1">FLUID!X71</f>
        <v>0</v>
      </c>
      <c r="U24" s="26">
        <f ca="1">FLUID!Y71</f>
        <v>0</v>
      </c>
      <c r="V24" s="26">
        <f ca="1">FLUID!Z71</f>
        <v>0</v>
      </c>
      <c r="W24" s="26">
        <f ca="1">FLUID!AA71</f>
        <v>0</v>
      </c>
      <c r="X24" s="26">
        <f ca="1">FLUID!AB71</f>
        <v>0</v>
      </c>
      <c r="Y24" s="26">
        <f ca="1">FLUID!AC71</f>
        <v>0</v>
      </c>
      <c r="Z24" s="26">
        <f ca="1">FLUID!AD71</f>
        <v>0</v>
      </c>
      <c r="AA24" s="26">
        <f ca="1">FLUID!AE71</f>
        <v>0</v>
      </c>
      <c r="AB24" s="26">
        <f ca="1">FLUID!AF71</f>
        <v>0</v>
      </c>
      <c r="AC24" s="26">
        <f ca="1">FLUID!AG71</f>
        <v>0</v>
      </c>
      <c r="AD24" s="26">
        <f ca="1">FLUID!AH71</f>
        <v>0</v>
      </c>
      <c r="AE24" s="26">
        <f ca="1">FLUID!AI71</f>
        <v>0</v>
      </c>
      <c r="AF24" s="26">
        <f ca="1">FLUID!AJ71</f>
        <v>0</v>
      </c>
      <c r="AG24" s="26">
        <f ca="1">FLUID!AK71</f>
        <v>0</v>
      </c>
      <c r="AH24" s="26">
        <f ca="1">FLUID!AL71</f>
        <v>0</v>
      </c>
      <c r="AI24" s="26">
        <f>FLUID!AM71</f>
        <v>0</v>
      </c>
    </row>
    <row r="25" spans="1:35" ht="22.5" hidden="1" customHeight="1" outlineLevel="1" thickBot="1" x14ac:dyDescent="0.4">
      <c r="A25" s="58">
        <f>FLUID!E72</f>
        <v>0</v>
      </c>
      <c r="B25" s="28">
        <f ca="1">FLUID!F72</f>
        <v>0</v>
      </c>
      <c r="C25" s="28">
        <f ca="1">FLUID!G72</f>
        <v>0</v>
      </c>
      <c r="D25" s="28">
        <f ca="1">FLUID!H72</f>
        <v>0</v>
      </c>
      <c r="E25" s="28">
        <f ca="1">FLUID!I72</f>
        <v>0</v>
      </c>
      <c r="F25" s="26">
        <f ca="1">FLUID!J72</f>
        <v>0</v>
      </c>
      <c r="G25" s="26">
        <f ca="1">FLUID!K72</f>
        <v>0</v>
      </c>
      <c r="H25" s="26">
        <f ca="1">FLUID!L72</f>
        <v>0</v>
      </c>
      <c r="I25" s="26">
        <f ca="1">FLUID!M72</f>
        <v>0</v>
      </c>
      <c r="J25" s="26">
        <f ca="1">FLUID!N72</f>
        <v>0</v>
      </c>
      <c r="K25" s="26">
        <f ca="1">FLUID!O72</f>
        <v>0</v>
      </c>
      <c r="L25" s="26">
        <f ca="1">FLUID!P72</f>
        <v>0</v>
      </c>
      <c r="M25" s="26">
        <f ca="1">FLUID!Q72</f>
        <v>0</v>
      </c>
      <c r="N25" s="26">
        <f ca="1">FLUID!R72</f>
        <v>0</v>
      </c>
      <c r="O25" s="26">
        <f ca="1">FLUID!S72</f>
        <v>0</v>
      </c>
      <c r="P25" s="26">
        <f ca="1">FLUID!T72</f>
        <v>0</v>
      </c>
      <c r="Q25" s="26">
        <f ca="1">FLUID!U72</f>
        <v>0</v>
      </c>
      <c r="R25" s="26">
        <f ca="1">FLUID!V72</f>
        <v>0</v>
      </c>
      <c r="S25" s="26">
        <f ca="1">FLUID!W72</f>
        <v>0</v>
      </c>
      <c r="T25" s="26">
        <f ca="1">FLUID!X72</f>
        <v>0</v>
      </c>
      <c r="U25" s="26">
        <f ca="1">FLUID!Y72</f>
        <v>0</v>
      </c>
      <c r="V25" s="26">
        <f ca="1">FLUID!Z72</f>
        <v>0</v>
      </c>
      <c r="W25" s="26">
        <f ca="1">FLUID!AA72</f>
        <v>0</v>
      </c>
      <c r="X25" s="26">
        <f ca="1">FLUID!AB72</f>
        <v>0</v>
      </c>
      <c r="Y25" s="26">
        <f ca="1">FLUID!AC72</f>
        <v>0</v>
      </c>
      <c r="Z25" s="26">
        <f ca="1">FLUID!AD72</f>
        <v>0</v>
      </c>
      <c r="AA25" s="26">
        <f ca="1">FLUID!AE72</f>
        <v>0</v>
      </c>
      <c r="AB25" s="26">
        <f ca="1">FLUID!AF72</f>
        <v>0</v>
      </c>
      <c r="AC25" s="26">
        <f ca="1">FLUID!AG72</f>
        <v>0</v>
      </c>
      <c r="AD25" s="26">
        <f ca="1">FLUID!AH72</f>
        <v>0</v>
      </c>
      <c r="AE25" s="26">
        <f ca="1">FLUID!AI72</f>
        <v>0</v>
      </c>
      <c r="AF25" s="26">
        <f ca="1">FLUID!AJ72</f>
        <v>0</v>
      </c>
      <c r="AG25" s="26">
        <f ca="1">FLUID!AK72</f>
        <v>0</v>
      </c>
      <c r="AH25" s="26">
        <f ca="1">FLUID!AL72</f>
        <v>0</v>
      </c>
      <c r="AI25" s="26">
        <f>FLUID!AM72</f>
        <v>0</v>
      </c>
    </row>
    <row r="26" spans="1:35" ht="22.5" hidden="1" customHeight="1" outlineLevel="1" thickBot="1" x14ac:dyDescent="0.4">
      <c r="A26" s="58">
        <f>FLUID!E73</f>
        <v>0</v>
      </c>
      <c r="B26" s="28">
        <f ca="1">FLUID!F73</f>
        <v>0</v>
      </c>
      <c r="C26" s="28">
        <f ca="1">FLUID!G73</f>
        <v>0</v>
      </c>
      <c r="D26" s="28">
        <f ca="1">FLUID!H73</f>
        <v>0</v>
      </c>
      <c r="E26" s="28">
        <f ca="1">FLUID!I73</f>
        <v>0</v>
      </c>
      <c r="F26" s="26">
        <f ca="1">FLUID!J73</f>
        <v>0</v>
      </c>
      <c r="G26" s="26">
        <f ca="1">FLUID!K73</f>
        <v>0</v>
      </c>
      <c r="H26" s="26">
        <f ca="1">FLUID!L73</f>
        <v>0</v>
      </c>
      <c r="I26" s="26">
        <f ca="1">FLUID!M73</f>
        <v>0</v>
      </c>
      <c r="J26" s="26">
        <f ca="1">FLUID!N73</f>
        <v>0</v>
      </c>
      <c r="K26" s="26">
        <f ca="1">FLUID!O73</f>
        <v>0</v>
      </c>
      <c r="L26" s="26">
        <f ca="1">FLUID!P73</f>
        <v>0</v>
      </c>
      <c r="M26" s="26">
        <f ca="1">FLUID!Q73</f>
        <v>0</v>
      </c>
      <c r="N26" s="26">
        <f ca="1">FLUID!R73</f>
        <v>0</v>
      </c>
      <c r="O26" s="26">
        <f ca="1">FLUID!S73</f>
        <v>0</v>
      </c>
      <c r="P26" s="26">
        <f ca="1">FLUID!T73</f>
        <v>0</v>
      </c>
      <c r="Q26" s="26">
        <f ca="1">FLUID!U73</f>
        <v>0</v>
      </c>
      <c r="R26" s="26">
        <f ca="1">FLUID!V73</f>
        <v>0</v>
      </c>
      <c r="S26" s="26">
        <f ca="1">FLUID!W73</f>
        <v>0</v>
      </c>
      <c r="T26" s="26">
        <f ca="1">FLUID!X73</f>
        <v>0</v>
      </c>
      <c r="U26" s="26">
        <f ca="1">FLUID!Y73</f>
        <v>0</v>
      </c>
      <c r="V26" s="26">
        <f ca="1">FLUID!Z73</f>
        <v>0</v>
      </c>
      <c r="W26" s="26">
        <f ca="1">FLUID!AA73</f>
        <v>0</v>
      </c>
      <c r="X26" s="26">
        <f ca="1">FLUID!AB73</f>
        <v>0</v>
      </c>
      <c r="Y26" s="26">
        <f ca="1">FLUID!AC73</f>
        <v>0</v>
      </c>
      <c r="Z26" s="26">
        <f ca="1">FLUID!AD73</f>
        <v>0</v>
      </c>
      <c r="AA26" s="26">
        <f ca="1">FLUID!AE73</f>
        <v>0</v>
      </c>
      <c r="AB26" s="26">
        <f ca="1">FLUID!AF73</f>
        <v>0</v>
      </c>
      <c r="AC26" s="26">
        <f ca="1">FLUID!AG73</f>
        <v>0</v>
      </c>
      <c r="AD26" s="26">
        <f ca="1">FLUID!AH73</f>
        <v>0</v>
      </c>
      <c r="AE26" s="26">
        <f ca="1">FLUID!AI73</f>
        <v>0</v>
      </c>
      <c r="AF26" s="26">
        <f ca="1">FLUID!AJ73</f>
        <v>0</v>
      </c>
      <c r="AG26" s="26">
        <f ca="1">FLUID!AK73</f>
        <v>0</v>
      </c>
      <c r="AH26" s="26">
        <f ca="1">FLUID!AL73</f>
        <v>0</v>
      </c>
      <c r="AI26" s="26">
        <f>FLUID!AM73</f>
        <v>0</v>
      </c>
    </row>
    <row r="27" spans="1:35" ht="22.5" hidden="1" customHeight="1" outlineLevel="1" thickBot="1" x14ac:dyDescent="0.4">
      <c r="A27" s="58">
        <f>FLUID!E74</f>
        <v>0</v>
      </c>
      <c r="B27" s="28">
        <f ca="1">FLUID!F74</f>
        <v>0</v>
      </c>
      <c r="C27" s="28">
        <f ca="1">FLUID!G74</f>
        <v>0</v>
      </c>
      <c r="D27" s="28">
        <f ca="1">FLUID!H74</f>
        <v>0</v>
      </c>
      <c r="E27" s="28">
        <f ca="1">FLUID!I74</f>
        <v>0</v>
      </c>
      <c r="F27" s="26">
        <f ca="1">FLUID!J74</f>
        <v>0</v>
      </c>
      <c r="G27" s="26">
        <f ca="1">FLUID!K74</f>
        <v>0</v>
      </c>
      <c r="H27" s="26">
        <f ca="1">FLUID!L74</f>
        <v>0</v>
      </c>
      <c r="I27" s="26">
        <f ca="1">FLUID!M74</f>
        <v>0</v>
      </c>
      <c r="J27" s="26">
        <f ca="1">FLUID!N74</f>
        <v>0</v>
      </c>
      <c r="K27" s="26">
        <f ca="1">FLUID!O74</f>
        <v>0</v>
      </c>
      <c r="L27" s="26">
        <f ca="1">FLUID!P74</f>
        <v>0</v>
      </c>
      <c r="M27" s="26">
        <f ca="1">FLUID!Q74</f>
        <v>0</v>
      </c>
      <c r="N27" s="26">
        <f ca="1">FLUID!R74</f>
        <v>0</v>
      </c>
      <c r="O27" s="26">
        <f ca="1">FLUID!S74</f>
        <v>0</v>
      </c>
      <c r="P27" s="26">
        <f ca="1">FLUID!T74</f>
        <v>0</v>
      </c>
      <c r="Q27" s="26">
        <f ca="1">FLUID!U74</f>
        <v>0</v>
      </c>
      <c r="R27" s="26">
        <f ca="1">FLUID!V74</f>
        <v>0</v>
      </c>
      <c r="S27" s="26">
        <f ca="1">FLUID!W74</f>
        <v>0</v>
      </c>
      <c r="T27" s="26">
        <f ca="1">FLUID!X74</f>
        <v>0</v>
      </c>
      <c r="U27" s="26">
        <f ca="1">FLUID!Y74</f>
        <v>0</v>
      </c>
      <c r="V27" s="26">
        <f ca="1">FLUID!Z74</f>
        <v>0</v>
      </c>
      <c r="W27" s="26">
        <f ca="1">FLUID!AA74</f>
        <v>0</v>
      </c>
      <c r="X27" s="26">
        <f ca="1">FLUID!AB74</f>
        <v>0</v>
      </c>
      <c r="Y27" s="26">
        <f ca="1">FLUID!AC74</f>
        <v>0</v>
      </c>
      <c r="Z27" s="26">
        <f ca="1">FLUID!AD74</f>
        <v>0</v>
      </c>
      <c r="AA27" s="26">
        <f ca="1">FLUID!AE74</f>
        <v>0</v>
      </c>
      <c r="AB27" s="26">
        <f ca="1">FLUID!AF74</f>
        <v>0</v>
      </c>
      <c r="AC27" s="26">
        <f ca="1">FLUID!AG74</f>
        <v>0</v>
      </c>
      <c r="AD27" s="26">
        <f ca="1">FLUID!AH74</f>
        <v>0</v>
      </c>
      <c r="AE27" s="26">
        <f ca="1">FLUID!AI74</f>
        <v>0</v>
      </c>
      <c r="AF27" s="26">
        <f ca="1">FLUID!AJ74</f>
        <v>0</v>
      </c>
      <c r="AG27" s="26">
        <f ca="1">FLUID!AK74</f>
        <v>0</v>
      </c>
      <c r="AH27" s="26">
        <f ca="1">FLUID!AL74</f>
        <v>0</v>
      </c>
      <c r="AI27" s="26">
        <f>FLUID!AM74</f>
        <v>0</v>
      </c>
    </row>
    <row r="28" spans="1:35" ht="22.5" hidden="1" customHeight="1" outlineLevel="1" thickBot="1" x14ac:dyDescent="0.4">
      <c r="A28" s="58">
        <f>FLUID!E75</f>
        <v>0</v>
      </c>
      <c r="B28" s="28">
        <f ca="1">FLUID!F75</f>
        <v>0</v>
      </c>
      <c r="C28" s="28">
        <f ca="1">FLUID!G75</f>
        <v>0</v>
      </c>
      <c r="D28" s="28">
        <f ca="1">FLUID!H75</f>
        <v>0</v>
      </c>
      <c r="E28" s="28">
        <f ca="1">FLUID!I75</f>
        <v>0</v>
      </c>
      <c r="F28" s="26">
        <f ca="1">FLUID!J75</f>
        <v>0</v>
      </c>
      <c r="G28" s="26">
        <f ca="1">FLUID!K75</f>
        <v>0</v>
      </c>
      <c r="H28" s="26">
        <f ca="1">FLUID!L75</f>
        <v>0</v>
      </c>
      <c r="I28" s="26">
        <f ca="1">FLUID!M75</f>
        <v>0</v>
      </c>
      <c r="J28" s="26">
        <f ca="1">FLUID!N75</f>
        <v>0</v>
      </c>
      <c r="K28" s="26">
        <f ca="1">FLUID!O75</f>
        <v>0</v>
      </c>
      <c r="L28" s="26">
        <f ca="1">FLUID!P75</f>
        <v>0</v>
      </c>
      <c r="M28" s="26">
        <f ca="1">FLUID!Q75</f>
        <v>0</v>
      </c>
      <c r="N28" s="26">
        <f ca="1">FLUID!R75</f>
        <v>0</v>
      </c>
      <c r="O28" s="26">
        <f ca="1">FLUID!S75</f>
        <v>0</v>
      </c>
      <c r="P28" s="26">
        <f ca="1">FLUID!T75</f>
        <v>0</v>
      </c>
      <c r="Q28" s="26">
        <f ca="1">FLUID!U75</f>
        <v>0</v>
      </c>
      <c r="R28" s="26">
        <f ca="1">FLUID!V75</f>
        <v>0</v>
      </c>
      <c r="S28" s="26">
        <f ca="1">FLUID!W75</f>
        <v>0</v>
      </c>
      <c r="T28" s="26">
        <f ca="1">FLUID!X75</f>
        <v>0</v>
      </c>
      <c r="U28" s="26">
        <f ca="1">FLUID!Y75</f>
        <v>0</v>
      </c>
      <c r="V28" s="26">
        <f ca="1">FLUID!Z75</f>
        <v>0</v>
      </c>
      <c r="W28" s="26">
        <f ca="1">FLUID!AA75</f>
        <v>0</v>
      </c>
      <c r="X28" s="26">
        <f ca="1">FLUID!AB75</f>
        <v>0</v>
      </c>
      <c r="Y28" s="26">
        <f ca="1">FLUID!AC75</f>
        <v>0</v>
      </c>
      <c r="Z28" s="26">
        <f ca="1">FLUID!AD75</f>
        <v>0</v>
      </c>
      <c r="AA28" s="26">
        <f ca="1">FLUID!AE75</f>
        <v>0</v>
      </c>
      <c r="AB28" s="26">
        <f ca="1">FLUID!AF75</f>
        <v>0</v>
      </c>
      <c r="AC28" s="26">
        <f ca="1">FLUID!AG75</f>
        <v>0</v>
      </c>
      <c r="AD28" s="26">
        <f ca="1">FLUID!AH75</f>
        <v>0</v>
      </c>
      <c r="AE28" s="26">
        <f ca="1">FLUID!AI75</f>
        <v>0</v>
      </c>
      <c r="AF28" s="26">
        <f ca="1">FLUID!AJ75</f>
        <v>0</v>
      </c>
      <c r="AG28" s="26">
        <f ca="1">FLUID!AK75</f>
        <v>0</v>
      </c>
      <c r="AH28" s="26">
        <f ca="1">FLUID!AL75</f>
        <v>0</v>
      </c>
      <c r="AI28" s="26">
        <f>FLUID!AM75</f>
        <v>0</v>
      </c>
    </row>
    <row r="29" spans="1:35" ht="22.5" hidden="1" customHeight="1" outlineLevel="1" thickBot="1" x14ac:dyDescent="0.4">
      <c r="A29" s="58">
        <f>FLUID!E76</f>
        <v>0</v>
      </c>
      <c r="B29" s="28">
        <f ca="1">FLUID!F76</f>
        <v>0</v>
      </c>
      <c r="C29" s="28">
        <f ca="1">FLUID!G76</f>
        <v>0</v>
      </c>
      <c r="D29" s="28">
        <f ca="1">FLUID!H76</f>
        <v>0</v>
      </c>
      <c r="E29" s="28">
        <f ca="1">FLUID!I76</f>
        <v>0</v>
      </c>
      <c r="F29" s="26">
        <f ca="1">FLUID!J76</f>
        <v>0</v>
      </c>
      <c r="G29" s="26">
        <f ca="1">FLUID!K76</f>
        <v>0</v>
      </c>
      <c r="H29" s="26">
        <f ca="1">FLUID!L76</f>
        <v>0</v>
      </c>
      <c r="I29" s="26">
        <f ca="1">FLUID!M76</f>
        <v>0</v>
      </c>
      <c r="J29" s="26">
        <f ca="1">FLUID!N76</f>
        <v>0</v>
      </c>
      <c r="K29" s="26">
        <f ca="1">FLUID!O76</f>
        <v>0</v>
      </c>
      <c r="L29" s="26">
        <f ca="1">FLUID!P76</f>
        <v>0</v>
      </c>
      <c r="M29" s="26">
        <f ca="1">FLUID!Q76</f>
        <v>0</v>
      </c>
      <c r="N29" s="26">
        <f ca="1">FLUID!R76</f>
        <v>0</v>
      </c>
      <c r="O29" s="26">
        <f ca="1">FLUID!S76</f>
        <v>0</v>
      </c>
      <c r="P29" s="26">
        <f ca="1">FLUID!T76</f>
        <v>0</v>
      </c>
      <c r="Q29" s="26">
        <f ca="1">FLUID!U76</f>
        <v>0</v>
      </c>
      <c r="R29" s="26">
        <f ca="1">FLUID!V76</f>
        <v>0</v>
      </c>
      <c r="S29" s="26">
        <f ca="1">FLUID!W76</f>
        <v>0</v>
      </c>
      <c r="T29" s="26">
        <f ca="1">FLUID!X76</f>
        <v>0</v>
      </c>
      <c r="U29" s="26">
        <f ca="1">FLUID!Y76</f>
        <v>0</v>
      </c>
      <c r="V29" s="26">
        <f ca="1">FLUID!Z76</f>
        <v>0</v>
      </c>
      <c r="W29" s="26">
        <f ca="1">FLUID!AA76</f>
        <v>0</v>
      </c>
      <c r="X29" s="26">
        <f ca="1">FLUID!AB76</f>
        <v>0</v>
      </c>
      <c r="Y29" s="26">
        <f ca="1">FLUID!AC76</f>
        <v>0</v>
      </c>
      <c r="Z29" s="26">
        <f ca="1">FLUID!AD76</f>
        <v>0</v>
      </c>
      <c r="AA29" s="26">
        <f ca="1">FLUID!AE76</f>
        <v>0</v>
      </c>
      <c r="AB29" s="26">
        <f ca="1">FLUID!AF76</f>
        <v>0</v>
      </c>
      <c r="AC29" s="26">
        <f ca="1">FLUID!AG76</f>
        <v>0</v>
      </c>
      <c r="AD29" s="26">
        <f ca="1">FLUID!AH76</f>
        <v>0</v>
      </c>
      <c r="AE29" s="26">
        <f ca="1">FLUID!AI76</f>
        <v>0</v>
      </c>
      <c r="AF29" s="26">
        <f ca="1">FLUID!AJ76</f>
        <v>0</v>
      </c>
      <c r="AG29" s="26">
        <f ca="1">FLUID!AK76</f>
        <v>0</v>
      </c>
      <c r="AH29" s="26">
        <f ca="1">FLUID!AL76</f>
        <v>0</v>
      </c>
      <c r="AI29" s="26">
        <f>FLUID!AM76</f>
        <v>0</v>
      </c>
    </row>
    <row r="30" spans="1:35" ht="22.5" hidden="1" customHeight="1" outlineLevel="1" thickBot="1" x14ac:dyDescent="0.4">
      <c r="A30" s="58">
        <f>FLUID!E77</f>
        <v>0</v>
      </c>
      <c r="B30" s="28">
        <f ca="1">FLUID!F77</f>
        <v>0</v>
      </c>
      <c r="C30" s="28">
        <f ca="1">FLUID!G77</f>
        <v>0</v>
      </c>
      <c r="D30" s="28">
        <f ca="1">FLUID!H77</f>
        <v>0</v>
      </c>
      <c r="E30" s="28">
        <f ca="1">FLUID!I77</f>
        <v>0</v>
      </c>
      <c r="F30" s="26">
        <f ca="1">FLUID!J77</f>
        <v>0</v>
      </c>
      <c r="G30" s="26">
        <f ca="1">FLUID!K77</f>
        <v>0</v>
      </c>
      <c r="H30" s="26">
        <f ca="1">FLUID!L77</f>
        <v>0</v>
      </c>
      <c r="I30" s="26">
        <f ca="1">FLUID!M77</f>
        <v>0</v>
      </c>
      <c r="J30" s="26">
        <f ca="1">FLUID!N77</f>
        <v>0</v>
      </c>
      <c r="K30" s="26">
        <f ca="1">FLUID!O77</f>
        <v>0</v>
      </c>
      <c r="L30" s="26">
        <f ca="1">FLUID!P77</f>
        <v>0</v>
      </c>
      <c r="M30" s="26">
        <f ca="1">FLUID!Q77</f>
        <v>0</v>
      </c>
      <c r="N30" s="26">
        <f ca="1">FLUID!R77</f>
        <v>0</v>
      </c>
      <c r="O30" s="26">
        <f ca="1">FLUID!S77</f>
        <v>0</v>
      </c>
      <c r="P30" s="26">
        <f ca="1">FLUID!T77</f>
        <v>0</v>
      </c>
      <c r="Q30" s="26">
        <f ca="1">FLUID!U77</f>
        <v>0</v>
      </c>
      <c r="R30" s="26">
        <f ca="1">FLUID!V77</f>
        <v>0</v>
      </c>
      <c r="S30" s="26">
        <f ca="1">FLUID!W77</f>
        <v>0</v>
      </c>
      <c r="T30" s="26">
        <f ca="1">FLUID!X77</f>
        <v>0</v>
      </c>
      <c r="U30" s="26">
        <f ca="1">FLUID!Y77</f>
        <v>0</v>
      </c>
      <c r="V30" s="26">
        <f ca="1">FLUID!Z77</f>
        <v>0</v>
      </c>
      <c r="W30" s="26">
        <f ca="1">FLUID!AA77</f>
        <v>0</v>
      </c>
      <c r="X30" s="26">
        <f ca="1">FLUID!AB77</f>
        <v>0</v>
      </c>
      <c r="Y30" s="26">
        <f ca="1">FLUID!AC77</f>
        <v>0</v>
      </c>
      <c r="Z30" s="26">
        <f ca="1">FLUID!AD77</f>
        <v>0</v>
      </c>
      <c r="AA30" s="26">
        <f ca="1">FLUID!AE77</f>
        <v>0</v>
      </c>
      <c r="AB30" s="26">
        <f ca="1">FLUID!AF77</f>
        <v>0</v>
      </c>
      <c r="AC30" s="26">
        <f ca="1">FLUID!AG77</f>
        <v>0</v>
      </c>
      <c r="AD30" s="26">
        <f ca="1">FLUID!AH77</f>
        <v>0</v>
      </c>
      <c r="AE30" s="26">
        <f ca="1">FLUID!AI77</f>
        <v>0</v>
      </c>
      <c r="AF30" s="26">
        <f ca="1">FLUID!AJ77</f>
        <v>0</v>
      </c>
      <c r="AG30" s="26">
        <f ca="1">FLUID!AK77</f>
        <v>0</v>
      </c>
      <c r="AH30" s="26">
        <f ca="1">FLUID!AL77</f>
        <v>0</v>
      </c>
      <c r="AI30" s="26">
        <f>FLUID!AM77</f>
        <v>0</v>
      </c>
    </row>
    <row r="31" spans="1:35" ht="22.5" hidden="1" customHeight="1" outlineLevel="1" thickBot="1" x14ac:dyDescent="0.4">
      <c r="A31" s="58">
        <f>FLUID!E78</f>
        <v>0</v>
      </c>
      <c r="B31" s="28">
        <f ca="1">FLUID!F78</f>
        <v>0</v>
      </c>
      <c r="C31" s="28">
        <f ca="1">FLUID!G78</f>
        <v>0</v>
      </c>
      <c r="D31" s="28">
        <f ca="1">FLUID!H78</f>
        <v>0</v>
      </c>
      <c r="E31" s="28">
        <f ca="1">FLUID!I78</f>
        <v>0</v>
      </c>
      <c r="F31" s="26">
        <f ca="1">FLUID!J78</f>
        <v>0</v>
      </c>
      <c r="G31" s="26">
        <f ca="1">FLUID!K78</f>
        <v>0</v>
      </c>
      <c r="H31" s="26">
        <f ca="1">FLUID!L78</f>
        <v>0</v>
      </c>
      <c r="I31" s="26">
        <f ca="1">FLUID!M78</f>
        <v>0</v>
      </c>
      <c r="J31" s="26">
        <f ca="1">FLUID!N78</f>
        <v>0</v>
      </c>
      <c r="K31" s="26">
        <f ca="1">FLUID!O78</f>
        <v>0</v>
      </c>
      <c r="L31" s="26">
        <f ca="1">FLUID!P78</f>
        <v>0</v>
      </c>
      <c r="M31" s="26">
        <f ca="1">FLUID!Q78</f>
        <v>0</v>
      </c>
      <c r="N31" s="26">
        <f ca="1">FLUID!R78</f>
        <v>0</v>
      </c>
      <c r="O31" s="26">
        <f ca="1">FLUID!S78</f>
        <v>0</v>
      </c>
      <c r="P31" s="26">
        <f ca="1">FLUID!T78</f>
        <v>0</v>
      </c>
      <c r="Q31" s="26">
        <f ca="1">FLUID!U78</f>
        <v>0</v>
      </c>
      <c r="R31" s="26">
        <f ca="1">FLUID!V78</f>
        <v>0</v>
      </c>
      <c r="S31" s="26">
        <f ca="1">FLUID!W78</f>
        <v>0</v>
      </c>
      <c r="T31" s="26">
        <f ca="1">FLUID!X78</f>
        <v>0</v>
      </c>
      <c r="U31" s="26">
        <f ca="1">FLUID!Y78</f>
        <v>0</v>
      </c>
      <c r="V31" s="26">
        <f ca="1">FLUID!Z78</f>
        <v>0</v>
      </c>
      <c r="W31" s="26">
        <f ca="1">FLUID!AA78</f>
        <v>0</v>
      </c>
      <c r="X31" s="26">
        <f ca="1">FLUID!AB78</f>
        <v>0</v>
      </c>
      <c r="Y31" s="26">
        <f ca="1">FLUID!AC78</f>
        <v>0</v>
      </c>
      <c r="Z31" s="26">
        <f ca="1">FLUID!AD78</f>
        <v>0</v>
      </c>
      <c r="AA31" s="26">
        <f ca="1">FLUID!AE78</f>
        <v>0</v>
      </c>
      <c r="AB31" s="26">
        <f ca="1">FLUID!AF78</f>
        <v>0</v>
      </c>
      <c r="AC31" s="26">
        <f ca="1">FLUID!AG78</f>
        <v>0</v>
      </c>
      <c r="AD31" s="26">
        <f ca="1">FLUID!AH78</f>
        <v>0</v>
      </c>
      <c r="AE31" s="26">
        <f ca="1">FLUID!AI78</f>
        <v>0</v>
      </c>
      <c r="AF31" s="26">
        <f ca="1">FLUID!AJ78</f>
        <v>0</v>
      </c>
      <c r="AG31" s="26">
        <f ca="1">FLUID!AK78</f>
        <v>0</v>
      </c>
      <c r="AH31" s="26">
        <f ca="1">FLUID!AL78</f>
        <v>0</v>
      </c>
      <c r="AI31" s="26">
        <f>FLUID!AM78</f>
        <v>0</v>
      </c>
    </row>
    <row r="32" spans="1:35" ht="22.5" hidden="1" customHeight="1" outlineLevel="1" thickBot="1" x14ac:dyDescent="0.4">
      <c r="A32" s="58">
        <f>FLUID!E79</f>
        <v>1</v>
      </c>
      <c r="B32" s="28">
        <f>FLUID!F79</f>
        <v>0</v>
      </c>
      <c r="C32" s="28">
        <f>FLUID!G79</f>
        <v>0</v>
      </c>
      <c r="D32" s="28">
        <f>FLUID!H79</f>
        <v>0</v>
      </c>
      <c r="E32" s="28">
        <f>FLUID!I79</f>
        <v>0</v>
      </c>
      <c r="F32" s="26">
        <f>FLUID!J79</f>
        <v>0</v>
      </c>
      <c r="G32" s="26">
        <f>FLUID!K79</f>
        <v>0</v>
      </c>
      <c r="H32" s="26">
        <f>FLUID!L79</f>
        <v>0</v>
      </c>
      <c r="I32" s="26">
        <f>FLUID!M79</f>
        <v>0</v>
      </c>
      <c r="J32" s="26">
        <f>FLUID!N79</f>
        <v>0</v>
      </c>
      <c r="K32" s="26">
        <f>FLUID!O79</f>
        <v>0</v>
      </c>
      <c r="L32" s="26">
        <f>FLUID!P79</f>
        <v>0</v>
      </c>
      <c r="M32" s="26">
        <f>FLUID!Q79</f>
        <v>0</v>
      </c>
      <c r="N32" s="26">
        <f>FLUID!R79</f>
        <v>0</v>
      </c>
      <c r="O32" s="26">
        <f>FLUID!S79</f>
        <v>0</v>
      </c>
      <c r="P32" s="26">
        <f>FLUID!T79</f>
        <v>0</v>
      </c>
      <c r="Q32" s="26">
        <f>FLUID!U79</f>
        <v>0</v>
      </c>
      <c r="R32" s="26">
        <f>FLUID!V79</f>
        <v>0</v>
      </c>
      <c r="S32" s="26">
        <f>FLUID!W79</f>
        <v>0</v>
      </c>
      <c r="T32" s="26">
        <f>FLUID!X79</f>
        <v>0</v>
      </c>
      <c r="U32" s="26">
        <f>FLUID!Y79</f>
        <v>0</v>
      </c>
      <c r="V32" s="26">
        <f>FLUID!Z79</f>
        <v>0</v>
      </c>
      <c r="W32" s="26">
        <f>FLUID!AA79</f>
        <v>0</v>
      </c>
      <c r="X32" s="26">
        <f>FLUID!AB79</f>
        <v>0</v>
      </c>
      <c r="Y32" s="26">
        <f>FLUID!AC79</f>
        <v>0</v>
      </c>
      <c r="Z32" s="26">
        <f>FLUID!AD79</f>
        <v>0</v>
      </c>
      <c r="AA32" s="26">
        <f>FLUID!AE79</f>
        <v>0</v>
      </c>
      <c r="AB32" s="26">
        <f>FLUID!AF79</f>
        <v>0</v>
      </c>
      <c r="AC32" s="26">
        <f>FLUID!AG79</f>
        <v>0</v>
      </c>
      <c r="AD32" s="26">
        <f>FLUID!AH79</f>
        <v>0</v>
      </c>
      <c r="AE32" s="26">
        <f>FLUID!AI79</f>
        <v>0</v>
      </c>
      <c r="AF32" s="26">
        <f>FLUID!AJ79</f>
        <v>0</v>
      </c>
      <c r="AG32" s="26">
        <f>FLUID!AK79</f>
        <v>0</v>
      </c>
      <c r="AH32" s="26">
        <f>FLUID!AL79</f>
        <v>0</v>
      </c>
      <c r="AI32" s="26">
        <f>FLUID!AM79</f>
        <v>0</v>
      </c>
    </row>
    <row r="33" spans="1:45" ht="22.5" collapsed="1" thickTop="1" thickBot="1" x14ac:dyDescent="0.4">
      <c r="A33" s="60"/>
    </row>
    <row r="34" spans="1:45" ht="22.5" thickTop="1" thickBot="1" x14ac:dyDescent="0.4">
      <c r="A34" s="9" t="s">
        <v>36</v>
      </c>
      <c r="B34" s="106">
        <f>SOLID!F49</f>
        <v>273.10000000000002</v>
      </c>
      <c r="C34" s="106">
        <f>SOLID!G49</f>
        <v>293.3</v>
      </c>
      <c r="D34" s="106">
        <f>SOLID!H49</f>
        <v>313.5</v>
      </c>
      <c r="E34" s="106">
        <f>SOLID!I49</f>
        <v>333.7</v>
      </c>
      <c r="F34" s="9">
        <f>SOLID!J49</f>
        <v>353.9</v>
      </c>
      <c r="G34" s="9">
        <f>SOLID!K49</f>
        <v>434.7</v>
      </c>
      <c r="H34" s="9">
        <f>SOLID!L49</f>
        <v>454.9</v>
      </c>
      <c r="I34" s="9">
        <f>SOLID!M49</f>
        <v>475.1</v>
      </c>
      <c r="J34" s="9">
        <f>SOLID!N49</f>
        <v>495.2</v>
      </c>
      <c r="K34" s="9">
        <f>SOLID!O49</f>
        <v>515.4</v>
      </c>
      <c r="L34" s="9">
        <f>SOLID!P49</f>
        <v>535.6</v>
      </c>
      <c r="M34" s="9">
        <f>SOLID!Q49</f>
        <v>555.79999999999995</v>
      </c>
      <c r="N34" s="9">
        <f>SOLID!R49</f>
        <v>576</v>
      </c>
      <c r="O34" s="9">
        <f>SOLID!S49</f>
        <v>596.20000000000005</v>
      </c>
      <c r="P34" s="9">
        <f>SOLID!T49</f>
        <v>677</v>
      </c>
      <c r="Q34" s="9">
        <f>SOLID!U49</f>
        <v>757.7</v>
      </c>
      <c r="R34" s="9">
        <f>SOLID!V49</f>
        <v>838.5</v>
      </c>
      <c r="S34" s="9">
        <f>SOLID!W49</f>
        <v>919.2</v>
      </c>
      <c r="T34" s="9">
        <f>SOLID!X49</f>
        <v>1000</v>
      </c>
      <c r="U34" s="9">
        <f>SOLID!Y49</f>
        <v>0</v>
      </c>
      <c r="V34" s="9">
        <f>SOLID!Z49</f>
        <v>0</v>
      </c>
      <c r="W34" s="9">
        <f>SOLID!AA49</f>
        <v>0</v>
      </c>
      <c r="X34" s="9">
        <f>SOLID!AB49</f>
        <v>0</v>
      </c>
      <c r="Y34" s="9">
        <f>SOLID!AC49</f>
        <v>0</v>
      </c>
      <c r="Z34" s="9">
        <f>SOLID!AD49</f>
        <v>0</v>
      </c>
      <c r="AA34" s="9">
        <f>SOLID!AE49</f>
        <v>0</v>
      </c>
      <c r="AB34" s="9">
        <f>SOLID!AF49</f>
        <v>0</v>
      </c>
      <c r="AC34" s="9">
        <f>SOLID!AG49</f>
        <v>0</v>
      </c>
      <c r="AD34" s="9">
        <f>SOLID!AH49</f>
        <v>0</v>
      </c>
      <c r="AE34" s="9">
        <f>SOLID!AI49</f>
        <v>0</v>
      </c>
      <c r="AF34" s="9">
        <f>SOLID!AJ49</f>
        <v>0</v>
      </c>
      <c r="AG34" s="9">
        <f>SOLID!AK49</f>
        <v>0</v>
      </c>
      <c r="AH34" s="9">
        <f>SOLID!AL49</f>
        <v>0</v>
      </c>
      <c r="AI34" s="9">
        <f>SOLID!AM49</f>
        <v>0</v>
      </c>
      <c r="AJ34" s="59"/>
      <c r="AK34" s="59"/>
      <c r="AL34" s="59"/>
      <c r="AM34" s="59"/>
      <c r="AN34" s="59"/>
      <c r="AO34" s="59"/>
      <c r="AP34" s="59"/>
      <c r="AQ34" s="59"/>
      <c r="AR34" s="59"/>
      <c r="AS34" s="59"/>
    </row>
    <row r="35" spans="1:45" ht="22.5" hidden="1" outlineLevel="1" thickTop="1" thickBot="1" x14ac:dyDescent="0.4">
      <c r="A35" s="57" t="str">
        <f>SOLID!E50</f>
        <v>*Ge[l]</v>
      </c>
      <c r="B35" s="28">
        <f ca="1">SOLID!F50</f>
        <v>-16.29</v>
      </c>
      <c r="C35" s="28">
        <f ca="1">SOLID!G50</f>
        <v>-15.52</v>
      </c>
      <c r="D35" s="28">
        <f ca="1">SOLID!H50</f>
        <v>-14.86</v>
      </c>
      <c r="E35" s="28">
        <f ca="1">SOLID!I50</f>
        <v>-14.3</v>
      </c>
      <c r="F35" s="26">
        <f ca="1">SOLID!J50</f>
        <v>-13.135999999999999</v>
      </c>
      <c r="G35" s="26">
        <f ca="1">SOLID!K50</f>
        <v>-7.8570000000000002</v>
      </c>
      <c r="H35" s="26">
        <f ca="1">SOLID!L50</f>
        <v>-6.79</v>
      </c>
      <c r="I35" s="26">
        <f ca="1">SOLID!M50</f>
        <v>-5.8</v>
      </c>
      <c r="J35" s="26">
        <f ca="1">SOLID!N50</f>
        <v>-4.8769999999999998</v>
      </c>
      <c r="K35" s="26">
        <f ca="1">SOLID!O50</f>
        <v>-4.1020000000000003</v>
      </c>
      <c r="L35" s="26">
        <f ca="1">SOLID!P50</f>
        <v>-4.1500000000000004</v>
      </c>
      <c r="M35" s="26">
        <f ca="1">SOLID!Q50</f>
        <v>-4.2</v>
      </c>
      <c r="N35" s="26">
        <f ca="1">SOLID!R50</f>
        <v>-4.2489999999999997</v>
      </c>
      <c r="O35" s="26">
        <f ca="1">SOLID!S50</f>
        <v>-4.2990000000000004</v>
      </c>
      <c r="P35" s="26">
        <f ca="1">SOLID!T50</f>
        <v>-4.4989999999999997</v>
      </c>
      <c r="Q35" s="26">
        <f ca="1">SOLID!U50</f>
        <v>-4.6959999999999997</v>
      </c>
      <c r="R35" s="26">
        <f ca="1">SOLID!V50</f>
        <v>-4.8869999999999996</v>
      </c>
      <c r="S35" s="26">
        <f ca="1">SOLID!W50</f>
        <v>-5.0709999999999997</v>
      </c>
      <c r="T35" s="26">
        <f ca="1">SOLID!X50</f>
        <v>-5.2489999999999997</v>
      </c>
      <c r="U35" s="26">
        <f ca="1">SOLID!Y50</f>
        <v>0</v>
      </c>
      <c r="V35" s="26">
        <f ca="1">SOLID!Z50</f>
        <v>0</v>
      </c>
      <c r="W35" s="26">
        <f ca="1">SOLID!AA50</f>
        <v>0</v>
      </c>
      <c r="X35" s="26">
        <f ca="1">SOLID!AB50</f>
        <v>0</v>
      </c>
      <c r="Y35" s="26">
        <f ca="1">SOLID!AC50</f>
        <v>0</v>
      </c>
      <c r="Z35" s="26">
        <f ca="1">SOLID!AD50</f>
        <v>0</v>
      </c>
      <c r="AA35" s="26">
        <f ca="1">SOLID!AE50</f>
        <v>0</v>
      </c>
      <c r="AB35" s="26">
        <f ca="1">SOLID!AF50</f>
        <v>0</v>
      </c>
      <c r="AC35" s="26">
        <f ca="1">SOLID!AG50</f>
        <v>0</v>
      </c>
      <c r="AD35" s="26">
        <f ca="1">SOLID!AH50</f>
        <v>0</v>
      </c>
      <c r="AE35" s="26">
        <f ca="1">SOLID!AI50</f>
        <v>0</v>
      </c>
      <c r="AF35" s="26">
        <f ca="1">SOLID!AJ50</f>
        <v>0</v>
      </c>
      <c r="AG35" s="26">
        <f ca="1">SOLID!AK50</f>
        <v>0</v>
      </c>
      <c r="AH35" s="26">
        <f ca="1">SOLID!AL50</f>
        <v>0</v>
      </c>
      <c r="AI35" s="26">
        <f>SOLID!AM50</f>
        <v>0</v>
      </c>
    </row>
    <row r="36" spans="1:45" ht="21.75" hidden="1" outlineLevel="1" thickBot="1" x14ac:dyDescent="0.4">
      <c r="A36" s="57" t="str">
        <f>SOLID!E51</f>
        <v>*Ge</v>
      </c>
      <c r="B36" s="28">
        <f ca="1">SOLID!F51</f>
        <v>-16.29</v>
      </c>
      <c r="C36" s="28">
        <f ca="1">SOLID!G51</f>
        <v>-15.52</v>
      </c>
      <c r="D36" s="28">
        <f ca="1">SOLID!H51</f>
        <v>-14.86</v>
      </c>
      <c r="E36" s="28">
        <f ca="1">SOLID!I51</f>
        <v>-14.3</v>
      </c>
      <c r="F36" s="26">
        <f ca="1">SOLID!J51</f>
        <v>-13.135999999999999</v>
      </c>
      <c r="G36" s="26">
        <f ca="1">SOLID!K51</f>
        <v>-7.8570000000000002</v>
      </c>
      <c r="H36" s="26">
        <f ca="1">SOLID!L51</f>
        <v>-6.79</v>
      </c>
      <c r="I36" s="26">
        <f ca="1">SOLID!M51</f>
        <v>-5.8</v>
      </c>
      <c r="J36" s="26">
        <f ca="1">SOLID!N51</f>
        <v>-4.8769999999999998</v>
      </c>
      <c r="K36" s="26">
        <f ca="1">SOLID!O51</f>
        <v>-4.1020000000000003</v>
      </c>
      <c r="L36" s="26">
        <f ca="1">SOLID!P51</f>
        <v>-4.1500000000000004</v>
      </c>
      <c r="M36" s="26">
        <f ca="1">SOLID!Q51</f>
        <v>-4.2</v>
      </c>
      <c r="N36" s="26">
        <f ca="1">SOLID!R51</f>
        <v>-4.2489999999999997</v>
      </c>
      <c r="O36" s="26">
        <f ca="1">SOLID!S51</f>
        <v>-4.2990000000000004</v>
      </c>
      <c r="P36" s="26">
        <f ca="1">SOLID!T51</f>
        <v>-4.4989999999999997</v>
      </c>
      <c r="Q36" s="26">
        <f ca="1">SOLID!U51</f>
        <v>-4.6959999999999997</v>
      </c>
      <c r="R36" s="26">
        <f ca="1">SOLID!V51</f>
        <v>-4.8869999999999996</v>
      </c>
      <c r="S36" s="26">
        <f ca="1">SOLID!W51</f>
        <v>-5.0709999999999997</v>
      </c>
      <c r="T36" s="26">
        <f ca="1">SOLID!X51</f>
        <v>-5.2489999999999997</v>
      </c>
      <c r="U36" s="26">
        <f ca="1">SOLID!Y51</f>
        <v>0</v>
      </c>
      <c r="V36" s="26">
        <f ca="1">SOLID!Z51</f>
        <v>0</v>
      </c>
      <c r="W36" s="26">
        <f ca="1">SOLID!AA51</f>
        <v>0</v>
      </c>
      <c r="X36" s="26">
        <f ca="1">SOLID!AB51</f>
        <v>0</v>
      </c>
      <c r="Y36" s="26">
        <f ca="1">SOLID!AC51</f>
        <v>0</v>
      </c>
      <c r="Z36" s="26">
        <f ca="1">SOLID!AD51</f>
        <v>0</v>
      </c>
      <c r="AA36" s="26">
        <f ca="1">SOLID!AE51</f>
        <v>0</v>
      </c>
      <c r="AB36" s="26">
        <f ca="1">SOLID!AF51</f>
        <v>0</v>
      </c>
      <c r="AC36" s="26">
        <f ca="1">SOLID!AG51</f>
        <v>0</v>
      </c>
      <c r="AD36" s="26">
        <f ca="1">SOLID!AH51</f>
        <v>0</v>
      </c>
      <c r="AE36" s="26">
        <f ca="1">SOLID!AI51</f>
        <v>0</v>
      </c>
      <c r="AF36" s="26">
        <f ca="1">SOLID!AJ51</f>
        <v>0</v>
      </c>
      <c r="AG36" s="26">
        <f ca="1">SOLID!AK51</f>
        <v>0</v>
      </c>
      <c r="AH36" s="26">
        <f ca="1">SOLID!AL51</f>
        <v>0</v>
      </c>
      <c r="AI36" s="26">
        <f>SOLID!AM51</f>
        <v>0</v>
      </c>
    </row>
    <row r="37" spans="1:45" ht="21.75" hidden="1" outlineLevel="1" thickBot="1" x14ac:dyDescent="0.4">
      <c r="A37" s="57" t="str">
        <f>SOLID!E52</f>
        <v>*GeSe</v>
      </c>
      <c r="B37" s="28">
        <f ca="1">SOLID!F52</f>
        <v>-39.81</v>
      </c>
      <c r="C37" s="28">
        <f ca="1">SOLID!G52</f>
        <v>-37.700000000000003</v>
      </c>
      <c r="D37" s="28">
        <f ca="1">SOLID!H52</f>
        <v>-35.879999999999995</v>
      </c>
      <c r="E37" s="28">
        <f ca="1">SOLID!I52</f>
        <v>-34.31</v>
      </c>
      <c r="F37" s="26">
        <f ca="1">SOLID!J52</f>
        <v>-32.942</v>
      </c>
      <c r="G37" s="26">
        <f ca="1">SOLID!K52</f>
        <v>-28.876999999999999</v>
      </c>
      <c r="H37" s="26">
        <f ca="1">SOLID!L52</f>
        <v>-28.13</v>
      </c>
      <c r="I37" s="26">
        <f ca="1">SOLID!M52</f>
        <v>-27.45</v>
      </c>
      <c r="J37" s="26">
        <f ca="1">SOLID!N52</f>
        <v>-26.837</v>
      </c>
      <c r="K37" s="26">
        <f ca="1">SOLID!O52</f>
        <v>-26.372</v>
      </c>
      <c r="L37" s="26">
        <f ca="1">SOLID!P52</f>
        <v>-26.72</v>
      </c>
      <c r="M37" s="26">
        <f ca="1">SOLID!Q52</f>
        <v>-27.08</v>
      </c>
      <c r="N37" s="26">
        <f ca="1">SOLID!R52</f>
        <v>-27.428999999999998</v>
      </c>
      <c r="O37" s="26">
        <f ca="1">SOLID!S52</f>
        <v>-27.779</v>
      </c>
      <c r="P37" s="26">
        <f ca="1">SOLID!T52</f>
        <v>-29.148999999999997</v>
      </c>
      <c r="Q37" s="26">
        <f ca="1">SOLID!U52</f>
        <v>-30.466000000000001</v>
      </c>
      <c r="R37" s="26">
        <f ca="1">SOLID!V52</f>
        <v>-31.747</v>
      </c>
      <c r="S37" s="26">
        <f ca="1">SOLID!W52</f>
        <v>-32.970999999999997</v>
      </c>
      <c r="T37" s="26">
        <f ca="1">SOLID!X52</f>
        <v>-34.158999999999999</v>
      </c>
      <c r="U37" s="26">
        <f ca="1">SOLID!Y52</f>
        <v>0</v>
      </c>
      <c r="V37" s="26">
        <f ca="1">SOLID!Z52</f>
        <v>0</v>
      </c>
      <c r="W37" s="26">
        <f ca="1">SOLID!AA52</f>
        <v>0</v>
      </c>
      <c r="X37" s="26">
        <f ca="1">SOLID!AB52</f>
        <v>0</v>
      </c>
      <c r="Y37" s="26">
        <f ca="1">SOLID!AC52</f>
        <v>0</v>
      </c>
      <c r="Z37" s="26">
        <f ca="1">SOLID!AD52</f>
        <v>0</v>
      </c>
      <c r="AA37" s="26">
        <f ca="1">SOLID!AE52</f>
        <v>0</v>
      </c>
      <c r="AB37" s="26">
        <f ca="1">SOLID!AF52</f>
        <v>0</v>
      </c>
      <c r="AC37" s="26">
        <f ca="1">SOLID!AG52</f>
        <v>0</v>
      </c>
      <c r="AD37" s="26">
        <f ca="1">SOLID!AH52</f>
        <v>0</v>
      </c>
      <c r="AE37" s="26">
        <f ca="1">SOLID!AI52</f>
        <v>0</v>
      </c>
      <c r="AF37" s="26">
        <f ca="1">SOLID!AJ52</f>
        <v>0</v>
      </c>
      <c r="AG37" s="26">
        <f ca="1">SOLID!AK52</f>
        <v>0</v>
      </c>
      <c r="AH37" s="26">
        <f ca="1">SOLID!AL52</f>
        <v>0</v>
      </c>
      <c r="AI37" s="26">
        <f>SOLID!AM52</f>
        <v>0</v>
      </c>
    </row>
    <row r="38" spans="1:45" ht="21.75" hidden="1" outlineLevel="1" thickBot="1" x14ac:dyDescent="0.4">
      <c r="A38" s="57" t="str">
        <f>SOLID!E53</f>
        <v>*Ga</v>
      </c>
      <c r="B38" s="28">
        <f ca="1">SOLID!F53</f>
        <v>-66.3</v>
      </c>
      <c r="C38" s="28">
        <f ca="1">SOLID!G53</f>
        <v>-62.09</v>
      </c>
      <c r="D38" s="28">
        <f ca="1">SOLID!H53</f>
        <v>-58.44</v>
      </c>
      <c r="E38" s="28">
        <f ca="1">SOLID!I53</f>
        <v>-55.24</v>
      </c>
      <c r="F38" s="26">
        <f ca="1">SOLID!J53</f>
        <v>-51.41</v>
      </c>
      <c r="G38" s="26">
        <f ca="1">SOLID!K53</f>
        <v>-37.020000000000003</v>
      </c>
      <c r="H38" s="26">
        <f ca="1">SOLID!L53</f>
        <v>-34.15</v>
      </c>
      <c r="I38" s="26">
        <f ca="1">SOLID!M53</f>
        <v>-31.5</v>
      </c>
      <c r="J38" s="26">
        <f ca="1">SOLID!N53</f>
        <v>-29.04</v>
      </c>
      <c r="K38" s="26">
        <f ca="1">SOLID!O53</f>
        <v>-26.75</v>
      </c>
      <c r="L38" s="26">
        <f ca="1">SOLID!P53</f>
        <v>-25.56</v>
      </c>
      <c r="M38" s="26">
        <f ca="1">SOLID!Q53</f>
        <v>-26.36</v>
      </c>
      <c r="N38" s="26">
        <f ca="1">SOLID!R53</f>
        <v>-27.15</v>
      </c>
      <c r="O38" s="26">
        <f ca="1">SOLID!S53</f>
        <v>-27.94</v>
      </c>
      <c r="P38" s="26">
        <f ca="1">SOLID!T53</f>
        <v>-30.98</v>
      </c>
      <c r="Q38" s="26">
        <f ca="1">SOLID!U53</f>
        <v>-33.840000000000003</v>
      </c>
      <c r="R38" s="26">
        <f ca="1">SOLID!V53</f>
        <v>-36.47</v>
      </c>
      <c r="S38" s="26">
        <f ca="1">SOLID!W53</f>
        <v>-38.83</v>
      </c>
      <c r="T38" s="26">
        <f ca="1">SOLID!X53</f>
        <v>-40.880000000000003</v>
      </c>
      <c r="U38" s="26">
        <f ca="1">SOLID!Y53</f>
        <v>0</v>
      </c>
      <c r="V38" s="26">
        <f ca="1">SOLID!Z53</f>
        <v>0</v>
      </c>
      <c r="W38" s="26">
        <f ca="1">SOLID!AA53</f>
        <v>0</v>
      </c>
      <c r="X38" s="26">
        <f ca="1">SOLID!AB53</f>
        <v>0</v>
      </c>
      <c r="Y38" s="26">
        <f ca="1">SOLID!AC53</f>
        <v>0</v>
      </c>
      <c r="Z38" s="26">
        <f ca="1">SOLID!AD53</f>
        <v>0</v>
      </c>
      <c r="AA38" s="26">
        <f ca="1">SOLID!AE53</f>
        <v>0</v>
      </c>
      <c r="AB38" s="26">
        <f ca="1">SOLID!AF53</f>
        <v>0</v>
      </c>
      <c r="AC38" s="26">
        <f ca="1">SOLID!AG53</f>
        <v>0</v>
      </c>
      <c r="AD38" s="26">
        <f ca="1">SOLID!AH53</f>
        <v>0</v>
      </c>
      <c r="AE38" s="26">
        <f ca="1">SOLID!AI53</f>
        <v>0</v>
      </c>
      <c r="AF38" s="26">
        <f ca="1">SOLID!AJ53</f>
        <v>0</v>
      </c>
      <c r="AG38" s="26">
        <f ca="1">SOLID!AK53</f>
        <v>0</v>
      </c>
      <c r="AH38" s="26">
        <f ca="1">SOLID!AL53</f>
        <v>0</v>
      </c>
      <c r="AI38" s="26">
        <f>SOLID!AM53</f>
        <v>0</v>
      </c>
    </row>
    <row r="39" spans="1:45" ht="21.75" hidden="1" outlineLevel="1" thickBot="1" x14ac:dyDescent="0.4">
      <c r="A39" s="57" t="str">
        <f>SOLID!E54</f>
        <v>*Ge[c]</v>
      </c>
      <c r="B39" s="28">
        <f ca="1">SOLID!F54</f>
        <v>-16.29</v>
      </c>
      <c r="C39" s="28">
        <f ca="1">SOLID!G54</f>
        <v>-15.52</v>
      </c>
      <c r="D39" s="28">
        <f ca="1">SOLID!H54</f>
        <v>-14.86</v>
      </c>
      <c r="E39" s="28">
        <f ca="1">SOLID!I54</f>
        <v>-14.3</v>
      </c>
      <c r="F39" s="26">
        <f ca="1">SOLID!J54</f>
        <v>-13.135999999999999</v>
      </c>
      <c r="G39" s="26">
        <f ca="1">SOLID!K54</f>
        <v>-7.8570000000000002</v>
      </c>
      <c r="H39" s="26">
        <f ca="1">SOLID!L54</f>
        <v>-6.79</v>
      </c>
      <c r="I39" s="26">
        <f ca="1">SOLID!M54</f>
        <v>-5.8</v>
      </c>
      <c r="J39" s="26">
        <f ca="1">SOLID!N54</f>
        <v>-4.8769999999999998</v>
      </c>
      <c r="K39" s="26">
        <f ca="1">SOLID!O54</f>
        <v>-4.1020000000000003</v>
      </c>
      <c r="L39" s="26">
        <f ca="1">SOLID!P54</f>
        <v>-4.1500000000000004</v>
      </c>
      <c r="M39" s="26">
        <f ca="1">SOLID!Q54</f>
        <v>-4.2</v>
      </c>
      <c r="N39" s="26">
        <f ca="1">SOLID!R54</f>
        <v>-4.2489999999999997</v>
      </c>
      <c r="O39" s="26">
        <f ca="1">SOLID!S54</f>
        <v>-4.2990000000000004</v>
      </c>
      <c r="P39" s="26">
        <f ca="1">SOLID!T54</f>
        <v>-4.4989999999999997</v>
      </c>
      <c r="Q39" s="26">
        <f ca="1">SOLID!U54</f>
        <v>-4.6959999999999997</v>
      </c>
      <c r="R39" s="26">
        <f ca="1">SOLID!V54</f>
        <v>-4.8869999999999996</v>
      </c>
      <c r="S39" s="26">
        <f ca="1">SOLID!W54</f>
        <v>-5.0709999999999997</v>
      </c>
      <c r="T39" s="26">
        <f ca="1">SOLID!X54</f>
        <v>-5.2489999999999997</v>
      </c>
      <c r="U39" s="26">
        <f ca="1">SOLID!Y54</f>
        <v>0</v>
      </c>
      <c r="V39" s="26">
        <f ca="1">SOLID!Z54</f>
        <v>0</v>
      </c>
      <c r="W39" s="26">
        <f ca="1">SOLID!AA54</f>
        <v>0</v>
      </c>
      <c r="X39" s="26">
        <f ca="1">SOLID!AB54</f>
        <v>0</v>
      </c>
      <c r="Y39" s="26">
        <f ca="1">SOLID!AC54</f>
        <v>0</v>
      </c>
      <c r="Z39" s="26">
        <f ca="1">SOLID!AD54</f>
        <v>0</v>
      </c>
      <c r="AA39" s="26">
        <f ca="1">SOLID!AE54</f>
        <v>0</v>
      </c>
      <c r="AB39" s="26">
        <f ca="1">SOLID!AF54</f>
        <v>0</v>
      </c>
      <c r="AC39" s="26">
        <f ca="1">SOLID!AG54</f>
        <v>0</v>
      </c>
      <c r="AD39" s="26">
        <f ca="1">SOLID!AH54</f>
        <v>0</v>
      </c>
      <c r="AE39" s="26">
        <f ca="1">SOLID!AI54</f>
        <v>0</v>
      </c>
      <c r="AF39" s="26">
        <f ca="1">SOLID!AJ54</f>
        <v>0</v>
      </c>
      <c r="AG39" s="26">
        <f ca="1">SOLID!AK54</f>
        <v>0</v>
      </c>
      <c r="AH39" s="26">
        <f ca="1">SOLID!AL54</f>
        <v>0</v>
      </c>
      <c r="AI39" s="26">
        <f>SOLID!AM54</f>
        <v>0</v>
      </c>
    </row>
    <row r="40" spans="1:45" ht="21.75" hidden="1" outlineLevel="1" thickBot="1" x14ac:dyDescent="0.4">
      <c r="A40" s="57" t="str">
        <f>SOLID!E55</f>
        <v>*Se[m]</v>
      </c>
      <c r="B40" s="28">
        <f ca="1">SOLID!F55</f>
        <v>-23.52</v>
      </c>
      <c r="C40" s="28">
        <f ca="1">SOLID!G55</f>
        <v>-22.18</v>
      </c>
      <c r="D40" s="28">
        <f ca="1">SOLID!H55</f>
        <v>-21.02</v>
      </c>
      <c r="E40" s="28">
        <f ca="1">SOLID!I55</f>
        <v>-20.010000000000002</v>
      </c>
      <c r="F40" s="26">
        <f ca="1">SOLID!J55</f>
        <v>-19.806000000000001</v>
      </c>
      <c r="G40" s="26">
        <f ca="1">SOLID!K55</f>
        <v>-21.02</v>
      </c>
      <c r="H40" s="26">
        <f ca="1">SOLID!L55</f>
        <v>-21.34</v>
      </c>
      <c r="I40" s="26">
        <f ca="1">SOLID!M55</f>
        <v>-21.65</v>
      </c>
      <c r="J40" s="26">
        <f ca="1">SOLID!N55</f>
        <v>-21.96</v>
      </c>
      <c r="K40" s="26">
        <f ca="1">SOLID!O55</f>
        <v>-22.27</v>
      </c>
      <c r="L40" s="26">
        <f ca="1">SOLID!P55</f>
        <v>-22.57</v>
      </c>
      <c r="M40" s="26">
        <f ca="1">SOLID!Q55</f>
        <v>-22.88</v>
      </c>
      <c r="N40" s="26">
        <f ca="1">SOLID!R55</f>
        <v>-23.18</v>
      </c>
      <c r="O40" s="26">
        <f ca="1">SOLID!S55</f>
        <v>-23.48</v>
      </c>
      <c r="P40" s="26">
        <f ca="1">SOLID!T55</f>
        <v>-24.65</v>
      </c>
      <c r="Q40" s="26">
        <f ca="1">SOLID!U55</f>
        <v>-25.77</v>
      </c>
      <c r="R40" s="26">
        <f ca="1">SOLID!V55</f>
        <v>-26.86</v>
      </c>
      <c r="S40" s="26">
        <f ca="1">SOLID!W55</f>
        <v>-27.9</v>
      </c>
      <c r="T40" s="26">
        <f ca="1">SOLID!X55</f>
        <v>-28.91</v>
      </c>
      <c r="U40" s="26">
        <f ca="1">SOLID!Y55</f>
        <v>0</v>
      </c>
      <c r="V40" s="26">
        <f ca="1">SOLID!Z55</f>
        <v>0</v>
      </c>
      <c r="W40" s="26">
        <f ca="1">SOLID!AA55</f>
        <v>0</v>
      </c>
      <c r="X40" s="26">
        <f ca="1">SOLID!AB55</f>
        <v>0</v>
      </c>
      <c r="Y40" s="26">
        <f ca="1">SOLID!AC55</f>
        <v>0</v>
      </c>
      <c r="Z40" s="26">
        <f ca="1">SOLID!AD55</f>
        <v>0</v>
      </c>
      <c r="AA40" s="26">
        <f ca="1">SOLID!AE55</f>
        <v>0</v>
      </c>
      <c r="AB40" s="26">
        <f ca="1">SOLID!AF55</f>
        <v>0</v>
      </c>
      <c r="AC40" s="26">
        <f ca="1">SOLID!AG55</f>
        <v>0</v>
      </c>
      <c r="AD40" s="26">
        <f ca="1">SOLID!AH55</f>
        <v>0</v>
      </c>
      <c r="AE40" s="26">
        <f ca="1">SOLID!AI55</f>
        <v>0</v>
      </c>
      <c r="AF40" s="26">
        <f ca="1">SOLID!AJ55</f>
        <v>0</v>
      </c>
      <c r="AG40" s="26">
        <f ca="1">SOLID!AK55</f>
        <v>0</v>
      </c>
      <c r="AH40" s="26">
        <f ca="1">SOLID!AL55</f>
        <v>0</v>
      </c>
      <c r="AI40" s="26">
        <f>SOLID!AM55</f>
        <v>0</v>
      </c>
    </row>
    <row r="41" spans="1:45" ht="21.75" hidden="1" outlineLevel="1" thickBot="1" x14ac:dyDescent="0.4">
      <c r="A41" s="57" t="str">
        <f>SOLID!E56</f>
        <v>*GeSe2</v>
      </c>
      <c r="B41" s="28">
        <f ca="1">SOLID!F56</f>
        <v>-63.33</v>
      </c>
      <c r="C41" s="28">
        <f ca="1">SOLID!G56</f>
        <v>-59.879999999999995</v>
      </c>
      <c r="D41" s="28">
        <f ca="1">SOLID!H56</f>
        <v>-56.9</v>
      </c>
      <c r="E41" s="28">
        <f ca="1">SOLID!I56</f>
        <v>-54.320000000000007</v>
      </c>
      <c r="F41" s="26">
        <f ca="1">SOLID!J56</f>
        <v>-52.748000000000005</v>
      </c>
      <c r="G41" s="26">
        <f ca="1">SOLID!K56</f>
        <v>-49.896999999999998</v>
      </c>
      <c r="H41" s="26">
        <f ca="1">SOLID!L56</f>
        <v>-49.47</v>
      </c>
      <c r="I41" s="26">
        <f ca="1">SOLID!M56</f>
        <v>-49.099999999999994</v>
      </c>
      <c r="J41" s="26">
        <f ca="1">SOLID!N56</f>
        <v>-48.797000000000004</v>
      </c>
      <c r="K41" s="26">
        <f ca="1">SOLID!O56</f>
        <v>-48.641999999999996</v>
      </c>
      <c r="L41" s="26">
        <f ca="1">SOLID!P56</f>
        <v>-49.29</v>
      </c>
      <c r="M41" s="26">
        <f ca="1">SOLID!Q56</f>
        <v>-49.96</v>
      </c>
      <c r="N41" s="26">
        <f ca="1">SOLID!R56</f>
        <v>-50.609000000000002</v>
      </c>
      <c r="O41" s="26">
        <f ca="1">SOLID!S56</f>
        <v>-51.259</v>
      </c>
      <c r="P41" s="26">
        <f ca="1">SOLID!T56</f>
        <v>-53.798999999999999</v>
      </c>
      <c r="Q41" s="26">
        <f ca="1">SOLID!U56</f>
        <v>-56.235999999999997</v>
      </c>
      <c r="R41" s="26">
        <f ca="1">SOLID!V56</f>
        <v>-58.606999999999999</v>
      </c>
      <c r="S41" s="26">
        <f ca="1">SOLID!W56</f>
        <v>-60.870999999999995</v>
      </c>
      <c r="T41" s="26">
        <f ca="1">SOLID!X56</f>
        <v>-63.069000000000003</v>
      </c>
      <c r="U41" s="26">
        <f ca="1">SOLID!Y56</f>
        <v>0</v>
      </c>
      <c r="V41" s="26">
        <f ca="1">SOLID!Z56</f>
        <v>0</v>
      </c>
      <c r="W41" s="26">
        <f ca="1">SOLID!AA56</f>
        <v>0</v>
      </c>
      <c r="X41" s="26">
        <f ca="1">SOLID!AB56</f>
        <v>0</v>
      </c>
      <c r="Y41" s="26">
        <f ca="1">SOLID!AC56</f>
        <v>0</v>
      </c>
      <c r="Z41" s="26">
        <f ca="1">SOLID!AD56</f>
        <v>0</v>
      </c>
      <c r="AA41" s="26">
        <f ca="1">SOLID!AE56</f>
        <v>0</v>
      </c>
      <c r="AB41" s="26">
        <f ca="1">SOLID!AF56</f>
        <v>0</v>
      </c>
      <c r="AC41" s="26">
        <f ca="1">SOLID!AG56</f>
        <v>0</v>
      </c>
      <c r="AD41" s="26">
        <f ca="1">SOLID!AH56</f>
        <v>0</v>
      </c>
      <c r="AE41" s="26">
        <f ca="1">SOLID!AI56</f>
        <v>0</v>
      </c>
      <c r="AF41" s="26">
        <f ca="1">SOLID!AJ56</f>
        <v>0</v>
      </c>
      <c r="AG41" s="26">
        <f ca="1">SOLID!AK56</f>
        <v>0</v>
      </c>
      <c r="AH41" s="26">
        <f ca="1">SOLID!AL56</f>
        <v>0</v>
      </c>
      <c r="AI41" s="26">
        <f>SOLID!AM56</f>
        <v>0</v>
      </c>
    </row>
    <row r="42" spans="1:45" ht="21.75" hidden="1" outlineLevel="1" thickBot="1" x14ac:dyDescent="0.4">
      <c r="A42" s="57" t="str">
        <f>SOLID!E57</f>
        <v>Ga2Se3</v>
      </c>
      <c r="B42" s="28">
        <f ca="1">SOLID!F57</f>
        <v>-203.16</v>
      </c>
      <c r="C42" s="28">
        <f ca="1">SOLID!G57</f>
        <v>-190.72</v>
      </c>
      <c r="D42" s="28">
        <f ca="1">SOLID!H57</f>
        <v>-179.94</v>
      </c>
      <c r="E42" s="28">
        <f ca="1">SOLID!I57</f>
        <v>-170.51</v>
      </c>
      <c r="F42" s="26">
        <f ca="1">SOLID!J57</f>
        <v>-162.238</v>
      </c>
      <c r="G42" s="26">
        <f ca="1">SOLID!K57</f>
        <v>-137.10000000000002</v>
      </c>
      <c r="H42" s="26">
        <f ca="1">SOLID!L57</f>
        <v>-132.32</v>
      </c>
      <c r="I42" s="26">
        <f ca="1">SOLID!M57</f>
        <v>-127.94999999999999</v>
      </c>
      <c r="J42" s="26">
        <f ca="1">SOLID!N57</f>
        <v>-123.96</v>
      </c>
      <c r="K42" s="26">
        <f ca="1">SOLID!O57</f>
        <v>-120.31</v>
      </c>
      <c r="L42" s="26">
        <f ca="1">SOLID!P57</f>
        <v>-118.83000000000001</v>
      </c>
      <c r="M42" s="26">
        <f ca="1">SOLID!Q57</f>
        <v>-121.36</v>
      </c>
      <c r="N42" s="26">
        <f ca="1">SOLID!R57</f>
        <v>-123.83999999999999</v>
      </c>
      <c r="O42" s="26">
        <f ca="1">SOLID!S57</f>
        <v>-126.32</v>
      </c>
      <c r="P42" s="26">
        <f ca="1">SOLID!T57</f>
        <v>-135.91</v>
      </c>
      <c r="Q42" s="26">
        <f ca="1">SOLID!U57</f>
        <v>-144.99</v>
      </c>
      <c r="R42" s="26">
        <f ca="1">SOLID!V57</f>
        <v>-153.51999999999998</v>
      </c>
      <c r="S42" s="26">
        <f ca="1">SOLID!W57</f>
        <v>-161.35999999999999</v>
      </c>
      <c r="T42" s="26">
        <f ca="1">SOLID!X57</f>
        <v>-168.49</v>
      </c>
      <c r="U42" s="26">
        <f ca="1">SOLID!Y57</f>
        <v>0</v>
      </c>
      <c r="V42" s="26">
        <f ca="1">SOLID!Z57</f>
        <v>0</v>
      </c>
      <c r="W42" s="26">
        <f ca="1">SOLID!AA57</f>
        <v>0</v>
      </c>
      <c r="X42" s="26">
        <f ca="1">SOLID!AB57</f>
        <v>0</v>
      </c>
      <c r="Y42" s="26">
        <f ca="1">SOLID!AC57</f>
        <v>0</v>
      </c>
      <c r="Z42" s="26">
        <f ca="1">SOLID!AD57</f>
        <v>0</v>
      </c>
      <c r="AA42" s="26">
        <f ca="1">SOLID!AE57</f>
        <v>0</v>
      </c>
      <c r="AB42" s="26">
        <f ca="1">SOLID!AF57</f>
        <v>0</v>
      </c>
      <c r="AC42" s="26">
        <f ca="1">SOLID!AG57</f>
        <v>0</v>
      </c>
      <c r="AD42" s="26">
        <f ca="1">SOLID!AH57</f>
        <v>0</v>
      </c>
      <c r="AE42" s="26">
        <f ca="1">SOLID!AI57</f>
        <v>0</v>
      </c>
      <c r="AF42" s="26">
        <f ca="1">SOLID!AJ57</f>
        <v>0</v>
      </c>
      <c r="AG42" s="26">
        <f ca="1">SOLID!AK57</f>
        <v>0</v>
      </c>
      <c r="AH42" s="26">
        <f ca="1">SOLID!AL57</f>
        <v>0</v>
      </c>
      <c r="AI42" s="26">
        <f>SOLID!AM57</f>
        <v>0</v>
      </c>
    </row>
    <row r="43" spans="1:45" ht="21.75" hidden="1" outlineLevel="1" thickBot="1" x14ac:dyDescent="0.4">
      <c r="A43" s="57" t="str">
        <f>SOLID!E58</f>
        <v>Ar</v>
      </c>
      <c r="B43" s="28">
        <f ca="1">SOLID!F58</f>
        <v>-18.88</v>
      </c>
      <c r="C43" s="28">
        <f ca="1">SOLID!G58</f>
        <v>-18.87</v>
      </c>
      <c r="D43" s="28">
        <f ca="1">SOLID!H58</f>
        <v>-18.88</v>
      </c>
      <c r="E43" s="28">
        <f ca="1">SOLID!I58</f>
        <v>-18.89</v>
      </c>
      <c r="F43" s="26">
        <f ca="1">SOLID!J58</f>
        <v>-18.916</v>
      </c>
      <c r="G43" s="26">
        <f ca="1">SOLID!K58</f>
        <v>-19.03</v>
      </c>
      <c r="H43" s="26">
        <f ca="1">SOLID!L58</f>
        <v>-19.07</v>
      </c>
      <c r="I43" s="26">
        <f ca="1">SOLID!M58</f>
        <v>-19.11</v>
      </c>
      <c r="J43" s="26">
        <f ca="1">SOLID!N58</f>
        <v>-19.149999999999999</v>
      </c>
      <c r="K43" s="26">
        <f ca="1">SOLID!O58</f>
        <v>-19.190000000000001</v>
      </c>
      <c r="L43" s="26">
        <f ca="1">SOLID!P58</f>
        <v>-19</v>
      </c>
      <c r="M43" s="26">
        <f ca="1">SOLID!Q58</f>
        <v>-19.010000000000002</v>
      </c>
      <c r="N43" s="26">
        <f ca="1">SOLID!R58</f>
        <v>-19.05</v>
      </c>
      <c r="O43" s="26">
        <f ca="1">SOLID!S58</f>
        <v>-19.09</v>
      </c>
      <c r="P43" s="26">
        <f ca="1">SOLID!T58</f>
        <v>-19.260000000000002</v>
      </c>
      <c r="Q43" s="26">
        <f ca="1">SOLID!U58</f>
        <v>-19.43</v>
      </c>
      <c r="R43" s="26">
        <f ca="1">SOLID!V58</f>
        <v>-19.59</v>
      </c>
      <c r="S43" s="26">
        <f ca="1">SOLID!W58</f>
        <v>-19.739999999999998</v>
      </c>
      <c r="T43" s="26">
        <f ca="1">SOLID!X58</f>
        <v>-19.88</v>
      </c>
      <c r="U43" s="26">
        <f ca="1">SOLID!Y58</f>
        <v>0</v>
      </c>
      <c r="V43" s="26">
        <f ca="1">SOLID!Z58</f>
        <v>0</v>
      </c>
      <c r="W43" s="26">
        <f ca="1">SOLID!AA58</f>
        <v>0</v>
      </c>
      <c r="X43" s="26">
        <f ca="1">SOLID!AB58</f>
        <v>0</v>
      </c>
      <c r="Y43" s="26">
        <f ca="1">SOLID!AC58</f>
        <v>0</v>
      </c>
      <c r="Z43" s="26">
        <f ca="1">SOLID!AD58</f>
        <v>0</v>
      </c>
      <c r="AA43" s="26">
        <f ca="1">SOLID!AE58</f>
        <v>0</v>
      </c>
      <c r="AB43" s="26">
        <f ca="1">SOLID!AF58</f>
        <v>0</v>
      </c>
      <c r="AC43" s="26">
        <f ca="1">SOLID!AG58</f>
        <v>0</v>
      </c>
      <c r="AD43" s="26">
        <f ca="1">SOLID!AH58</f>
        <v>0</v>
      </c>
      <c r="AE43" s="26">
        <f ca="1">SOLID!AI58</f>
        <v>0</v>
      </c>
      <c r="AF43" s="26">
        <f ca="1">SOLID!AJ58</f>
        <v>0</v>
      </c>
      <c r="AG43" s="26">
        <f ca="1">SOLID!AK58</f>
        <v>0</v>
      </c>
      <c r="AH43" s="26">
        <f ca="1">SOLID!AL58</f>
        <v>0</v>
      </c>
      <c r="AI43" s="26">
        <f>SOLID!AM58</f>
        <v>0</v>
      </c>
    </row>
    <row r="44" spans="1:45" ht="21.75" hidden="1" outlineLevel="1" thickBot="1" x14ac:dyDescent="0.4">
      <c r="A44" s="57" t="str">
        <f>SOLID!E59</f>
        <v>(l)Ge[l]</v>
      </c>
      <c r="B44" s="28">
        <f ca="1">SOLID!F59</f>
        <v>-16.29</v>
      </c>
      <c r="C44" s="28">
        <f ca="1">SOLID!G59</f>
        <v>-15.52</v>
      </c>
      <c r="D44" s="28">
        <f ca="1">SOLID!H59</f>
        <v>-14.86</v>
      </c>
      <c r="E44" s="28">
        <f ca="1">SOLID!I59</f>
        <v>-14.3</v>
      </c>
      <c r="F44" s="26">
        <f ca="1">SOLID!J59</f>
        <v>-13.135999999999999</v>
      </c>
      <c r="G44" s="26">
        <f ca="1">SOLID!K59</f>
        <v>-7.8570000000000002</v>
      </c>
      <c r="H44" s="26">
        <f ca="1">SOLID!L59</f>
        <v>-6.79</v>
      </c>
      <c r="I44" s="26">
        <f ca="1">SOLID!M59</f>
        <v>-5.8</v>
      </c>
      <c r="J44" s="26">
        <f ca="1">SOLID!N59</f>
        <v>-4.8769999999999998</v>
      </c>
      <c r="K44" s="26">
        <f ca="1">SOLID!O59</f>
        <v>-4.1020000000000003</v>
      </c>
      <c r="L44" s="26">
        <f ca="1">SOLID!P59</f>
        <v>-4.1500000000000004</v>
      </c>
      <c r="M44" s="26">
        <f ca="1">SOLID!Q59</f>
        <v>-4.2</v>
      </c>
      <c r="N44" s="26">
        <f ca="1">SOLID!R59</f>
        <v>-4.2489999999999997</v>
      </c>
      <c r="O44" s="26">
        <f ca="1">SOLID!S59</f>
        <v>-4.2990000000000004</v>
      </c>
      <c r="P44" s="26">
        <f ca="1">SOLID!T59</f>
        <v>-4.4989999999999997</v>
      </c>
      <c r="Q44" s="26">
        <f ca="1">SOLID!U59</f>
        <v>-4.6959999999999997</v>
      </c>
      <c r="R44" s="26">
        <f ca="1">SOLID!V59</f>
        <v>-4.8869999999999996</v>
      </c>
      <c r="S44" s="26">
        <f ca="1">SOLID!W59</f>
        <v>-5.0709999999999997</v>
      </c>
      <c r="T44" s="26">
        <f ca="1">SOLID!X59</f>
        <v>-5.2489999999999997</v>
      </c>
      <c r="U44" s="26">
        <f ca="1">SOLID!Y59</f>
        <v>0</v>
      </c>
      <c r="V44" s="26">
        <f ca="1">SOLID!Z59</f>
        <v>0</v>
      </c>
      <c r="W44" s="26">
        <f ca="1">SOLID!AA59</f>
        <v>0</v>
      </c>
      <c r="X44" s="26">
        <f ca="1">SOLID!AB59</f>
        <v>0</v>
      </c>
      <c r="Y44" s="26">
        <f ca="1">SOLID!AC59</f>
        <v>0</v>
      </c>
      <c r="Z44" s="26">
        <f ca="1">SOLID!AD59</f>
        <v>0</v>
      </c>
      <c r="AA44" s="26">
        <f ca="1">SOLID!AE59</f>
        <v>0</v>
      </c>
      <c r="AB44" s="26">
        <f ca="1">SOLID!AF59</f>
        <v>0</v>
      </c>
      <c r="AC44" s="26">
        <f ca="1">SOLID!AG59</f>
        <v>0</v>
      </c>
      <c r="AD44" s="26">
        <f ca="1">SOLID!AH59</f>
        <v>0</v>
      </c>
      <c r="AE44" s="26">
        <f ca="1">SOLID!AI59</f>
        <v>0</v>
      </c>
      <c r="AF44" s="26">
        <f ca="1">SOLID!AJ59</f>
        <v>0</v>
      </c>
      <c r="AG44" s="26">
        <f ca="1">SOLID!AK59</f>
        <v>0</v>
      </c>
      <c r="AH44" s="26">
        <f ca="1">SOLID!AL59</f>
        <v>0</v>
      </c>
      <c r="AI44" s="26">
        <f>SOLID!AM59</f>
        <v>0</v>
      </c>
    </row>
    <row r="45" spans="1:45" ht="21.75" hidden="1" outlineLevel="1" thickBot="1" x14ac:dyDescent="0.4">
      <c r="A45" s="57" t="str">
        <f>SOLID!E60</f>
        <v>H (Ar)</v>
      </c>
      <c r="B45" s="28">
        <f ca="1">SOLID!F60</f>
        <v>-18.88</v>
      </c>
      <c r="C45" s="28">
        <f ca="1">SOLID!G60</f>
        <v>-18.87</v>
      </c>
      <c r="D45" s="28">
        <f ca="1">SOLID!H60</f>
        <v>-18.88</v>
      </c>
      <c r="E45" s="28">
        <f ca="1">SOLID!I60</f>
        <v>-18.89</v>
      </c>
      <c r="F45" s="26">
        <f ca="1">SOLID!J60</f>
        <v>-18.916</v>
      </c>
      <c r="G45" s="26">
        <f ca="1">SOLID!K60</f>
        <v>-19.03</v>
      </c>
      <c r="H45" s="26">
        <f ca="1">SOLID!L60</f>
        <v>-19.07</v>
      </c>
      <c r="I45" s="26">
        <f ca="1">SOLID!M60</f>
        <v>-19.11</v>
      </c>
      <c r="J45" s="26">
        <f ca="1">SOLID!N60</f>
        <v>-19.149999999999999</v>
      </c>
      <c r="K45" s="26">
        <f ca="1">SOLID!O60</f>
        <v>-19.190000000000001</v>
      </c>
      <c r="L45" s="26">
        <f ca="1">SOLID!P60</f>
        <v>-19</v>
      </c>
      <c r="M45" s="26">
        <f ca="1">SOLID!Q60</f>
        <v>-19.010000000000002</v>
      </c>
      <c r="N45" s="26">
        <f ca="1">SOLID!R60</f>
        <v>-19.05</v>
      </c>
      <c r="O45" s="26">
        <f ca="1">SOLID!S60</f>
        <v>-19.09</v>
      </c>
      <c r="P45" s="26">
        <f ca="1">SOLID!T60</f>
        <v>-19.260000000000002</v>
      </c>
      <c r="Q45" s="26">
        <f ca="1">SOLID!U60</f>
        <v>-19.43</v>
      </c>
      <c r="R45" s="26">
        <f ca="1">SOLID!V60</f>
        <v>-19.59</v>
      </c>
      <c r="S45" s="26">
        <f ca="1">SOLID!W60</f>
        <v>-19.739999999999998</v>
      </c>
      <c r="T45" s="26">
        <f ca="1">SOLID!X60</f>
        <v>-19.88</v>
      </c>
      <c r="U45" s="26">
        <f ca="1">SOLID!Y60</f>
        <v>0</v>
      </c>
      <c r="V45" s="26">
        <f ca="1">SOLID!Z60</f>
        <v>0</v>
      </c>
      <c r="W45" s="26">
        <f ca="1">SOLID!AA60</f>
        <v>0</v>
      </c>
      <c r="X45" s="26">
        <f ca="1">SOLID!AB60</f>
        <v>0</v>
      </c>
      <c r="Y45" s="26">
        <f ca="1">SOLID!AC60</f>
        <v>0</v>
      </c>
      <c r="Z45" s="26">
        <f ca="1">SOLID!AD60</f>
        <v>0</v>
      </c>
      <c r="AA45" s="26">
        <f ca="1">SOLID!AE60</f>
        <v>0</v>
      </c>
      <c r="AB45" s="26">
        <f ca="1">SOLID!AF60</f>
        <v>0</v>
      </c>
      <c r="AC45" s="26">
        <f ca="1">SOLID!AG60</f>
        <v>0</v>
      </c>
      <c r="AD45" s="26">
        <f ca="1">SOLID!AH60</f>
        <v>0</v>
      </c>
      <c r="AE45" s="26">
        <f ca="1">SOLID!AI60</f>
        <v>0</v>
      </c>
      <c r="AF45" s="26">
        <f ca="1">SOLID!AJ60</f>
        <v>0</v>
      </c>
      <c r="AG45" s="26">
        <f ca="1">SOLID!AK60</f>
        <v>0</v>
      </c>
      <c r="AH45" s="26">
        <f ca="1">SOLID!AL60</f>
        <v>0</v>
      </c>
      <c r="AI45" s="26">
        <f>SOLID!AM60</f>
        <v>0</v>
      </c>
    </row>
    <row r="46" spans="1:45" ht="21.75" hidden="1" outlineLevel="1" thickBot="1" x14ac:dyDescent="0.4">
      <c r="A46" s="57" t="str">
        <f>SOLID!E61</f>
        <v>H (Ga)</v>
      </c>
      <c r="B46" s="28">
        <f ca="1">SOLID!F61</f>
        <v>-66.3</v>
      </c>
      <c r="C46" s="28">
        <f ca="1">SOLID!G61</f>
        <v>-62.09</v>
      </c>
      <c r="D46" s="28">
        <f ca="1">SOLID!H61</f>
        <v>-58.44</v>
      </c>
      <c r="E46" s="28">
        <f ca="1">SOLID!I61</f>
        <v>-55.24</v>
      </c>
      <c r="F46" s="26">
        <f ca="1">SOLID!J61</f>
        <v>-51.41</v>
      </c>
      <c r="G46" s="26">
        <f ca="1">SOLID!K61</f>
        <v>-37.020000000000003</v>
      </c>
      <c r="H46" s="26">
        <f ca="1">SOLID!L61</f>
        <v>-34.15</v>
      </c>
      <c r="I46" s="26">
        <f ca="1">SOLID!M61</f>
        <v>-31.5</v>
      </c>
      <c r="J46" s="26">
        <f ca="1">SOLID!N61</f>
        <v>-29.04</v>
      </c>
      <c r="K46" s="26">
        <f ca="1">SOLID!O61</f>
        <v>-26.75</v>
      </c>
      <c r="L46" s="26">
        <f ca="1">SOLID!P61</f>
        <v>-25.56</v>
      </c>
      <c r="M46" s="26">
        <f ca="1">SOLID!Q61</f>
        <v>-26.36</v>
      </c>
      <c r="N46" s="26">
        <f ca="1">SOLID!R61</f>
        <v>-27.15</v>
      </c>
      <c r="O46" s="26">
        <f ca="1">SOLID!S61</f>
        <v>-27.94</v>
      </c>
      <c r="P46" s="26">
        <f ca="1">SOLID!T61</f>
        <v>-30.98</v>
      </c>
      <c r="Q46" s="26">
        <f ca="1">SOLID!U61</f>
        <v>-33.840000000000003</v>
      </c>
      <c r="R46" s="26">
        <f ca="1">SOLID!V61</f>
        <v>-36.47</v>
      </c>
      <c r="S46" s="26">
        <f ca="1">SOLID!W61</f>
        <v>-38.83</v>
      </c>
      <c r="T46" s="26">
        <f ca="1">SOLID!X61</f>
        <v>-40.880000000000003</v>
      </c>
      <c r="U46" s="26">
        <f ca="1">SOLID!Y61</f>
        <v>0</v>
      </c>
      <c r="V46" s="26">
        <f ca="1">SOLID!Z61</f>
        <v>0</v>
      </c>
      <c r="W46" s="26">
        <f ca="1">SOLID!AA61</f>
        <v>0</v>
      </c>
      <c r="X46" s="26">
        <f ca="1">SOLID!AB61</f>
        <v>0</v>
      </c>
      <c r="Y46" s="26">
        <f ca="1">SOLID!AC61</f>
        <v>0</v>
      </c>
      <c r="Z46" s="26">
        <f ca="1">SOLID!AD61</f>
        <v>0</v>
      </c>
      <c r="AA46" s="26">
        <f ca="1">SOLID!AE61</f>
        <v>0</v>
      </c>
      <c r="AB46" s="26">
        <f ca="1">SOLID!AF61</f>
        <v>0</v>
      </c>
      <c r="AC46" s="26">
        <f ca="1">SOLID!AG61</f>
        <v>0</v>
      </c>
      <c r="AD46" s="26">
        <f ca="1">SOLID!AH61</f>
        <v>0</v>
      </c>
      <c r="AE46" s="26">
        <f ca="1">SOLID!AI61</f>
        <v>0</v>
      </c>
      <c r="AF46" s="26">
        <f ca="1">SOLID!AJ61</f>
        <v>0</v>
      </c>
      <c r="AG46" s="26">
        <f ca="1">SOLID!AK61</f>
        <v>0</v>
      </c>
      <c r="AH46" s="26">
        <f ca="1">SOLID!AL61</f>
        <v>0</v>
      </c>
      <c r="AI46" s="26">
        <f>SOLID!AM61</f>
        <v>0</v>
      </c>
    </row>
    <row r="47" spans="1:45" ht="21.75" hidden="1" outlineLevel="1" thickBot="1" x14ac:dyDescent="0.4">
      <c r="A47" s="57" t="str">
        <f>SOLID!E62</f>
        <v>H (Ge)</v>
      </c>
      <c r="B47" s="28">
        <f ca="1">SOLID!F62</f>
        <v>-16.29</v>
      </c>
      <c r="C47" s="28">
        <f ca="1">SOLID!G62</f>
        <v>-15.52</v>
      </c>
      <c r="D47" s="28">
        <f ca="1">SOLID!H62</f>
        <v>-14.86</v>
      </c>
      <c r="E47" s="28">
        <f ca="1">SOLID!I62</f>
        <v>-14.3</v>
      </c>
      <c r="F47" s="26">
        <f ca="1">SOLID!J62</f>
        <v>-13.135999999999999</v>
      </c>
      <c r="G47" s="26">
        <f ca="1">SOLID!K62</f>
        <v>-7.8570000000000002</v>
      </c>
      <c r="H47" s="26">
        <f ca="1">SOLID!L62</f>
        <v>-6.79</v>
      </c>
      <c r="I47" s="26">
        <f ca="1">SOLID!M62</f>
        <v>-5.8</v>
      </c>
      <c r="J47" s="26">
        <f ca="1">SOLID!N62</f>
        <v>-4.8769999999999998</v>
      </c>
      <c r="K47" s="26">
        <f ca="1">SOLID!O62</f>
        <v>-4.1020000000000003</v>
      </c>
      <c r="L47" s="26">
        <f ca="1">SOLID!P62</f>
        <v>-4.1500000000000004</v>
      </c>
      <c r="M47" s="26">
        <f ca="1">SOLID!Q62</f>
        <v>-4.2</v>
      </c>
      <c r="N47" s="26">
        <f ca="1">SOLID!R62</f>
        <v>-4.2489999999999997</v>
      </c>
      <c r="O47" s="26">
        <f ca="1">SOLID!S62</f>
        <v>-4.2990000000000004</v>
      </c>
      <c r="P47" s="26">
        <f ca="1">SOLID!T62</f>
        <v>-4.4989999999999997</v>
      </c>
      <c r="Q47" s="26">
        <f ca="1">SOLID!U62</f>
        <v>-4.6959999999999997</v>
      </c>
      <c r="R47" s="26">
        <f ca="1">SOLID!V62</f>
        <v>-4.8869999999999996</v>
      </c>
      <c r="S47" s="26">
        <f ca="1">SOLID!W62</f>
        <v>-5.0709999999999997</v>
      </c>
      <c r="T47" s="26">
        <f ca="1">SOLID!X62</f>
        <v>-5.2489999999999997</v>
      </c>
      <c r="U47" s="26">
        <f ca="1">SOLID!Y62</f>
        <v>0</v>
      </c>
      <c r="V47" s="26">
        <f ca="1">SOLID!Z62</f>
        <v>0</v>
      </c>
      <c r="W47" s="26">
        <f ca="1">SOLID!AA62</f>
        <v>0</v>
      </c>
      <c r="X47" s="26">
        <f ca="1">SOLID!AB62</f>
        <v>0</v>
      </c>
      <c r="Y47" s="26">
        <f ca="1">SOLID!AC62</f>
        <v>0</v>
      </c>
      <c r="Z47" s="26">
        <f ca="1">SOLID!AD62</f>
        <v>0</v>
      </c>
      <c r="AA47" s="26">
        <f ca="1">SOLID!AE62</f>
        <v>0</v>
      </c>
      <c r="AB47" s="26">
        <f ca="1">SOLID!AF62</f>
        <v>0</v>
      </c>
      <c r="AC47" s="26">
        <f ca="1">SOLID!AG62</f>
        <v>0</v>
      </c>
      <c r="AD47" s="26">
        <f ca="1">SOLID!AH62</f>
        <v>0</v>
      </c>
      <c r="AE47" s="26">
        <f ca="1">SOLID!AI62</f>
        <v>0</v>
      </c>
      <c r="AF47" s="26">
        <f ca="1">SOLID!AJ62</f>
        <v>0</v>
      </c>
      <c r="AG47" s="26">
        <f ca="1">SOLID!AK62</f>
        <v>0</v>
      </c>
      <c r="AH47" s="26">
        <f ca="1">SOLID!AL62</f>
        <v>0</v>
      </c>
      <c r="AI47" s="26">
        <f>SOLID!AM62</f>
        <v>0</v>
      </c>
    </row>
    <row r="48" spans="1:45" ht="21.75" hidden="1" outlineLevel="1" thickBot="1" x14ac:dyDescent="0.4">
      <c r="A48" s="57" t="str">
        <f>SOLID!E63</f>
        <v>H (Se)</v>
      </c>
      <c r="B48" s="28">
        <f ca="1">SOLID!F63</f>
        <v>-23.52</v>
      </c>
      <c r="C48" s="28">
        <f ca="1">SOLID!G63</f>
        <v>-22.18</v>
      </c>
      <c r="D48" s="28">
        <f ca="1">SOLID!H63</f>
        <v>-21.02</v>
      </c>
      <c r="E48" s="28">
        <f ca="1">SOLID!I63</f>
        <v>-20.010000000000002</v>
      </c>
      <c r="F48" s="26">
        <f ca="1">SOLID!J63</f>
        <v>-19.806000000000001</v>
      </c>
      <c r="G48" s="26">
        <f ca="1">SOLID!K63</f>
        <v>-21.02</v>
      </c>
      <c r="H48" s="26">
        <f ca="1">SOLID!L63</f>
        <v>-21.34</v>
      </c>
      <c r="I48" s="26">
        <f ca="1">SOLID!M63</f>
        <v>-21.65</v>
      </c>
      <c r="J48" s="26">
        <f ca="1">SOLID!N63</f>
        <v>-21.96</v>
      </c>
      <c r="K48" s="26">
        <f ca="1">SOLID!O63</f>
        <v>-22.27</v>
      </c>
      <c r="L48" s="26">
        <f ca="1">SOLID!P63</f>
        <v>-22.57</v>
      </c>
      <c r="M48" s="26">
        <f ca="1">SOLID!Q63</f>
        <v>-22.88</v>
      </c>
      <c r="N48" s="26">
        <f ca="1">SOLID!R63</f>
        <v>-23.18</v>
      </c>
      <c r="O48" s="26">
        <f ca="1">SOLID!S63</f>
        <v>-23.48</v>
      </c>
      <c r="P48" s="26">
        <f ca="1">SOLID!T63</f>
        <v>-24.65</v>
      </c>
      <c r="Q48" s="26">
        <f ca="1">SOLID!U63</f>
        <v>-25.77</v>
      </c>
      <c r="R48" s="26">
        <f ca="1">SOLID!V63</f>
        <v>-26.86</v>
      </c>
      <c r="S48" s="26">
        <f ca="1">SOLID!W63</f>
        <v>-27.9</v>
      </c>
      <c r="T48" s="26">
        <f ca="1">SOLID!X63</f>
        <v>-28.91</v>
      </c>
      <c r="U48" s="26">
        <f ca="1">SOLID!Y63</f>
        <v>0</v>
      </c>
      <c r="V48" s="26">
        <f ca="1">SOLID!Z63</f>
        <v>0</v>
      </c>
      <c r="W48" s="26">
        <f ca="1">SOLID!AA63</f>
        <v>0</v>
      </c>
      <c r="X48" s="26">
        <f ca="1">SOLID!AB63</f>
        <v>0</v>
      </c>
      <c r="Y48" s="26">
        <f ca="1">SOLID!AC63</f>
        <v>0</v>
      </c>
      <c r="Z48" s="26">
        <f ca="1">SOLID!AD63</f>
        <v>0</v>
      </c>
      <c r="AA48" s="26">
        <f ca="1">SOLID!AE63</f>
        <v>0</v>
      </c>
      <c r="AB48" s="26">
        <f ca="1">SOLID!AF63</f>
        <v>0</v>
      </c>
      <c r="AC48" s="26">
        <f ca="1">SOLID!AG63</f>
        <v>0</v>
      </c>
      <c r="AD48" s="26">
        <f ca="1">SOLID!AH63</f>
        <v>0</v>
      </c>
      <c r="AE48" s="26">
        <f ca="1">SOLID!AI63</f>
        <v>0</v>
      </c>
      <c r="AF48" s="26">
        <f ca="1">SOLID!AJ63</f>
        <v>0</v>
      </c>
      <c r="AG48" s="26">
        <f ca="1">SOLID!AK63</f>
        <v>0</v>
      </c>
      <c r="AH48" s="26">
        <f ca="1">SOLID!AL63</f>
        <v>0</v>
      </c>
      <c r="AI48" s="26">
        <f>SOLID!AM63</f>
        <v>0</v>
      </c>
    </row>
    <row r="49" spans="1:35" ht="21.75" hidden="1" outlineLevel="1" thickBot="1" x14ac:dyDescent="0.4">
      <c r="A49" s="57">
        <f>SOLID!E64</f>
        <v>0</v>
      </c>
      <c r="B49" s="28">
        <f ca="1">SOLID!F64</f>
        <v>0</v>
      </c>
      <c r="C49" s="28">
        <f ca="1">SOLID!G64</f>
        <v>0</v>
      </c>
      <c r="D49" s="28">
        <f ca="1">SOLID!H64</f>
        <v>0</v>
      </c>
      <c r="E49" s="28">
        <f ca="1">SOLID!I64</f>
        <v>0</v>
      </c>
      <c r="F49" s="26">
        <f ca="1">SOLID!J64</f>
        <v>0</v>
      </c>
      <c r="G49" s="26">
        <f ca="1">SOLID!K64</f>
        <v>0</v>
      </c>
      <c r="H49" s="26">
        <f ca="1">SOLID!L64</f>
        <v>0</v>
      </c>
      <c r="I49" s="26">
        <f ca="1">SOLID!M64</f>
        <v>0</v>
      </c>
      <c r="J49" s="26">
        <f ca="1">SOLID!N64</f>
        <v>0</v>
      </c>
      <c r="K49" s="26">
        <f ca="1">SOLID!O64</f>
        <v>0</v>
      </c>
      <c r="L49" s="26">
        <f ca="1">SOLID!P64</f>
        <v>0</v>
      </c>
      <c r="M49" s="26">
        <f ca="1">SOLID!Q64</f>
        <v>0</v>
      </c>
      <c r="N49" s="26">
        <f ca="1">SOLID!R64</f>
        <v>0</v>
      </c>
      <c r="O49" s="26">
        <f ca="1">SOLID!S64</f>
        <v>0</v>
      </c>
      <c r="P49" s="26">
        <f ca="1">SOLID!T64</f>
        <v>0</v>
      </c>
      <c r="Q49" s="26">
        <f ca="1">SOLID!U64</f>
        <v>0</v>
      </c>
      <c r="R49" s="26">
        <f ca="1">SOLID!V64</f>
        <v>0</v>
      </c>
      <c r="S49" s="26">
        <f ca="1">SOLID!W64</f>
        <v>0</v>
      </c>
      <c r="T49" s="26">
        <f ca="1">SOLID!X64</f>
        <v>0</v>
      </c>
      <c r="U49" s="26">
        <f ca="1">SOLID!Y64</f>
        <v>0</v>
      </c>
      <c r="V49" s="26">
        <f ca="1">SOLID!Z64</f>
        <v>0</v>
      </c>
      <c r="W49" s="26">
        <f ca="1">SOLID!AA64</f>
        <v>0</v>
      </c>
      <c r="X49" s="26">
        <f ca="1">SOLID!AB64</f>
        <v>0</v>
      </c>
      <c r="Y49" s="26">
        <f ca="1">SOLID!AC64</f>
        <v>0</v>
      </c>
      <c r="Z49" s="26">
        <f ca="1">SOLID!AD64</f>
        <v>0</v>
      </c>
      <c r="AA49" s="26">
        <f ca="1">SOLID!AE64</f>
        <v>0</v>
      </c>
      <c r="AB49" s="26">
        <f ca="1">SOLID!AF64</f>
        <v>0</v>
      </c>
      <c r="AC49" s="26">
        <f ca="1">SOLID!AG64</f>
        <v>0</v>
      </c>
      <c r="AD49" s="26">
        <f ca="1">SOLID!AH64</f>
        <v>0</v>
      </c>
      <c r="AE49" s="26">
        <f ca="1">SOLID!AI64</f>
        <v>0</v>
      </c>
      <c r="AF49" s="26">
        <f ca="1">SOLID!AJ64</f>
        <v>0</v>
      </c>
      <c r="AG49" s="26">
        <f ca="1">SOLID!AK64</f>
        <v>0</v>
      </c>
      <c r="AH49" s="26">
        <f ca="1">SOLID!AL64</f>
        <v>0</v>
      </c>
      <c r="AI49" s="26">
        <f>SOLID!AM64</f>
        <v>0</v>
      </c>
    </row>
    <row r="50" spans="1:35" ht="21.75" hidden="1" outlineLevel="1" thickBot="1" x14ac:dyDescent="0.4">
      <c r="A50" s="57">
        <f>SOLID!E65</f>
        <v>0</v>
      </c>
      <c r="B50" s="28">
        <f ca="1">SOLID!F65</f>
        <v>0</v>
      </c>
      <c r="C50" s="28">
        <f ca="1">SOLID!G65</f>
        <v>0</v>
      </c>
      <c r="D50" s="28">
        <f ca="1">SOLID!H65</f>
        <v>0</v>
      </c>
      <c r="E50" s="28">
        <f ca="1">SOLID!I65</f>
        <v>0</v>
      </c>
      <c r="F50" s="26">
        <f ca="1">SOLID!J65</f>
        <v>0</v>
      </c>
      <c r="G50" s="26">
        <f ca="1">SOLID!K65</f>
        <v>0</v>
      </c>
      <c r="H50" s="26">
        <f ca="1">SOLID!L65</f>
        <v>0</v>
      </c>
      <c r="I50" s="26">
        <f ca="1">SOLID!M65</f>
        <v>0</v>
      </c>
      <c r="J50" s="26">
        <f ca="1">SOLID!N65</f>
        <v>0</v>
      </c>
      <c r="K50" s="26">
        <f ca="1">SOLID!O65</f>
        <v>0</v>
      </c>
      <c r="L50" s="26">
        <f ca="1">SOLID!P65</f>
        <v>0</v>
      </c>
      <c r="M50" s="26">
        <f ca="1">SOLID!Q65</f>
        <v>0</v>
      </c>
      <c r="N50" s="26">
        <f ca="1">SOLID!R65</f>
        <v>0</v>
      </c>
      <c r="O50" s="26">
        <f ca="1">SOLID!S65</f>
        <v>0</v>
      </c>
      <c r="P50" s="26">
        <f ca="1">SOLID!T65</f>
        <v>0</v>
      </c>
      <c r="Q50" s="26">
        <f ca="1">SOLID!U65</f>
        <v>0</v>
      </c>
      <c r="R50" s="26">
        <f ca="1">SOLID!V65</f>
        <v>0</v>
      </c>
      <c r="S50" s="26">
        <f ca="1">SOLID!W65</f>
        <v>0</v>
      </c>
      <c r="T50" s="26">
        <f ca="1">SOLID!X65</f>
        <v>0</v>
      </c>
      <c r="U50" s="26">
        <f ca="1">SOLID!Y65</f>
        <v>0</v>
      </c>
      <c r="V50" s="26">
        <f ca="1">SOLID!Z65</f>
        <v>0</v>
      </c>
      <c r="W50" s="26">
        <f ca="1">SOLID!AA65</f>
        <v>0</v>
      </c>
      <c r="X50" s="26">
        <f ca="1">SOLID!AB65</f>
        <v>0</v>
      </c>
      <c r="Y50" s="26">
        <f ca="1">SOLID!AC65</f>
        <v>0</v>
      </c>
      <c r="Z50" s="26">
        <f ca="1">SOLID!AD65</f>
        <v>0</v>
      </c>
      <c r="AA50" s="26">
        <f ca="1">SOLID!AE65</f>
        <v>0</v>
      </c>
      <c r="AB50" s="26">
        <f ca="1">SOLID!AF65</f>
        <v>0</v>
      </c>
      <c r="AC50" s="26">
        <f ca="1">SOLID!AG65</f>
        <v>0</v>
      </c>
      <c r="AD50" s="26">
        <f ca="1">SOLID!AH65</f>
        <v>0</v>
      </c>
      <c r="AE50" s="26">
        <f ca="1">SOLID!AI65</f>
        <v>0</v>
      </c>
      <c r="AF50" s="26">
        <f ca="1">SOLID!AJ65</f>
        <v>0</v>
      </c>
      <c r="AG50" s="26">
        <f ca="1">SOLID!AK65</f>
        <v>0</v>
      </c>
      <c r="AH50" s="26">
        <f ca="1">SOLID!AL65</f>
        <v>0</v>
      </c>
      <c r="AI50" s="26">
        <f>SOLID!AM65</f>
        <v>0</v>
      </c>
    </row>
    <row r="51" spans="1:35" ht="21.75" hidden="1" outlineLevel="1" thickBot="1" x14ac:dyDescent="0.4">
      <c r="A51" s="57">
        <f>SOLID!E66</f>
        <v>0</v>
      </c>
      <c r="B51" s="28">
        <f ca="1">SOLID!F66</f>
        <v>0</v>
      </c>
      <c r="C51" s="28">
        <f ca="1">SOLID!G66</f>
        <v>0</v>
      </c>
      <c r="D51" s="28">
        <f ca="1">SOLID!H66</f>
        <v>0</v>
      </c>
      <c r="E51" s="28">
        <f ca="1">SOLID!I66</f>
        <v>0</v>
      </c>
      <c r="F51" s="26">
        <f ca="1">SOLID!J66</f>
        <v>0</v>
      </c>
      <c r="G51" s="26">
        <f ca="1">SOLID!K66</f>
        <v>0</v>
      </c>
      <c r="H51" s="26">
        <f ca="1">SOLID!L66</f>
        <v>0</v>
      </c>
      <c r="I51" s="26">
        <f ca="1">SOLID!M66</f>
        <v>0</v>
      </c>
      <c r="J51" s="26">
        <f ca="1">SOLID!N66</f>
        <v>0</v>
      </c>
      <c r="K51" s="26">
        <f ca="1">SOLID!O66</f>
        <v>0</v>
      </c>
      <c r="L51" s="26">
        <f ca="1">SOLID!P66</f>
        <v>0</v>
      </c>
      <c r="M51" s="26">
        <f ca="1">SOLID!Q66</f>
        <v>0</v>
      </c>
      <c r="N51" s="26">
        <f ca="1">SOLID!R66</f>
        <v>0</v>
      </c>
      <c r="O51" s="26">
        <f ca="1">SOLID!S66</f>
        <v>0</v>
      </c>
      <c r="P51" s="26">
        <f ca="1">SOLID!T66</f>
        <v>0</v>
      </c>
      <c r="Q51" s="26">
        <f ca="1">SOLID!U66</f>
        <v>0</v>
      </c>
      <c r="R51" s="26">
        <f ca="1">SOLID!V66</f>
        <v>0</v>
      </c>
      <c r="S51" s="26">
        <f ca="1">SOLID!W66</f>
        <v>0</v>
      </c>
      <c r="T51" s="26">
        <f ca="1">SOLID!X66</f>
        <v>0</v>
      </c>
      <c r="U51" s="26">
        <f ca="1">SOLID!Y66</f>
        <v>0</v>
      </c>
      <c r="V51" s="26">
        <f ca="1">SOLID!Z66</f>
        <v>0</v>
      </c>
      <c r="W51" s="26">
        <f ca="1">SOLID!AA66</f>
        <v>0</v>
      </c>
      <c r="X51" s="26">
        <f ca="1">SOLID!AB66</f>
        <v>0</v>
      </c>
      <c r="Y51" s="26">
        <f ca="1">SOLID!AC66</f>
        <v>0</v>
      </c>
      <c r="Z51" s="26">
        <f ca="1">SOLID!AD66</f>
        <v>0</v>
      </c>
      <c r="AA51" s="26">
        <f ca="1">SOLID!AE66</f>
        <v>0</v>
      </c>
      <c r="AB51" s="26">
        <f ca="1">SOLID!AF66</f>
        <v>0</v>
      </c>
      <c r="AC51" s="26">
        <f ca="1">SOLID!AG66</f>
        <v>0</v>
      </c>
      <c r="AD51" s="26">
        <f ca="1">SOLID!AH66</f>
        <v>0</v>
      </c>
      <c r="AE51" s="26">
        <f ca="1">SOLID!AI66</f>
        <v>0</v>
      </c>
      <c r="AF51" s="26">
        <f ca="1">SOLID!AJ66</f>
        <v>0</v>
      </c>
      <c r="AG51" s="26">
        <f ca="1">SOLID!AK66</f>
        <v>0</v>
      </c>
      <c r="AH51" s="26">
        <f ca="1">SOLID!AL66</f>
        <v>0</v>
      </c>
      <c r="AI51" s="26">
        <f>SOLID!AM66</f>
        <v>0</v>
      </c>
    </row>
    <row r="52" spans="1:35" ht="21.75" hidden="1" outlineLevel="1" thickBot="1" x14ac:dyDescent="0.4">
      <c r="A52" s="57">
        <f>SOLID!E67</f>
        <v>0</v>
      </c>
      <c r="B52" s="28">
        <f ca="1">SOLID!F67</f>
        <v>0</v>
      </c>
      <c r="C52" s="28">
        <f ca="1">SOLID!G67</f>
        <v>0</v>
      </c>
      <c r="D52" s="28">
        <f ca="1">SOLID!H67</f>
        <v>0</v>
      </c>
      <c r="E52" s="28">
        <f ca="1">SOLID!I67</f>
        <v>0</v>
      </c>
      <c r="F52" s="26">
        <f ca="1">SOLID!J67</f>
        <v>0</v>
      </c>
      <c r="G52" s="26">
        <f ca="1">SOLID!K67</f>
        <v>0</v>
      </c>
      <c r="H52" s="26">
        <f ca="1">SOLID!L67</f>
        <v>0</v>
      </c>
      <c r="I52" s="26">
        <f ca="1">SOLID!M67</f>
        <v>0</v>
      </c>
      <c r="J52" s="26">
        <f ca="1">SOLID!N67</f>
        <v>0</v>
      </c>
      <c r="K52" s="26">
        <f ca="1">SOLID!O67</f>
        <v>0</v>
      </c>
      <c r="L52" s="26">
        <f ca="1">SOLID!P67</f>
        <v>0</v>
      </c>
      <c r="M52" s="26">
        <f ca="1">SOLID!Q67</f>
        <v>0</v>
      </c>
      <c r="N52" s="26">
        <f ca="1">SOLID!R67</f>
        <v>0</v>
      </c>
      <c r="O52" s="26">
        <f ca="1">SOLID!S67</f>
        <v>0</v>
      </c>
      <c r="P52" s="26">
        <f ca="1">SOLID!T67</f>
        <v>0</v>
      </c>
      <c r="Q52" s="26">
        <f ca="1">SOLID!U67</f>
        <v>0</v>
      </c>
      <c r="R52" s="26">
        <f ca="1">SOLID!V67</f>
        <v>0</v>
      </c>
      <c r="S52" s="26">
        <f ca="1">SOLID!W67</f>
        <v>0</v>
      </c>
      <c r="T52" s="26">
        <f ca="1">SOLID!X67</f>
        <v>0</v>
      </c>
      <c r="U52" s="26">
        <f ca="1">SOLID!Y67</f>
        <v>0</v>
      </c>
      <c r="V52" s="26">
        <f ca="1">SOLID!Z67</f>
        <v>0</v>
      </c>
      <c r="W52" s="26">
        <f ca="1">SOLID!AA67</f>
        <v>0</v>
      </c>
      <c r="X52" s="26">
        <f ca="1">SOLID!AB67</f>
        <v>0</v>
      </c>
      <c r="Y52" s="26">
        <f ca="1">SOLID!AC67</f>
        <v>0</v>
      </c>
      <c r="Z52" s="26">
        <f ca="1">SOLID!AD67</f>
        <v>0</v>
      </c>
      <c r="AA52" s="26">
        <f ca="1">SOLID!AE67</f>
        <v>0</v>
      </c>
      <c r="AB52" s="26">
        <f ca="1">SOLID!AF67</f>
        <v>0</v>
      </c>
      <c r="AC52" s="26">
        <f ca="1">SOLID!AG67</f>
        <v>0</v>
      </c>
      <c r="AD52" s="26">
        <f ca="1">SOLID!AH67</f>
        <v>0</v>
      </c>
      <c r="AE52" s="26">
        <f ca="1">SOLID!AI67</f>
        <v>0</v>
      </c>
      <c r="AF52" s="26">
        <f ca="1">SOLID!AJ67</f>
        <v>0</v>
      </c>
      <c r="AG52" s="26">
        <f ca="1">SOLID!AK67</f>
        <v>0</v>
      </c>
      <c r="AH52" s="26">
        <f ca="1">SOLID!AL67</f>
        <v>0</v>
      </c>
      <c r="AI52" s="26">
        <f>SOLID!AM67</f>
        <v>0</v>
      </c>
    </row>
    <row r="53" spans="1:35" ht="21.75" hidden="1" outlineLevel="1" thickBot="1" x14ac:dyDescent="0.4">
      <c r="A53" s="57">
        <f>SOLID!E68</f>
        <v>0</v>
      </c>
      <c r="B53" s="28">
        <f ca="1">SOLID!F68</f>
        <v>0</v>
      </c>
      <c r="C53" s="28">
        <f ca="1">SOLID!G68</f>
        <v>0</v>
      </c>
      <c r="D53" s="28">
        <f ca="1">SOLID!H68</f>
        <v>0</v>
      </c>
      <c r="E53" s="28">
        <f ca="1">SOLID!I68</f>
        <v>0</v>
      </c>
      <c r="F53" s="26">
        <f ca="1">SOLID!J68</f>
        <v>0</v>
      </c>
      <c r="G53" s="26">
        <f ca="1">SOLID!K68</f>
        <v>0</v>
      </c>
      <c r="H53" s="26">
        <f ca="1">SOLID!L68</f>
        <v>0</v>
      </c>
      <c r="I53" s="26">
        <f ca="1">SOLID!M68</f>
        <v>0</v>
      </c>
      <c r="J53" s="26">
        <f ca="1">SOLID!N68</f>
        <v>0</v>
      </c>
      <c r="K53" s="26">
        <f ca="1">SOLID!O68</f>
        <v>0</v>
      </c>
      <c r="L53" s="26">
        <f ca="1">SOLID!P68</f>
        <v>0</v>
      </c>
      <c r="M53" s="26">
        <f ca="1">SOLID!Q68</f>
        <v>0</v>
      </c>
      <c r="N53" s="26">
        <f ca="1">SOLID!R68</f>
        <v>0</v>
      </c>
      <c r="O53" s="26">
        <f ca="1">SOLID!S68</f>
        <v>0</v>
      </c>
      <c r="P53" s="26">
        <f ca="1">SOLID!T68</f>
        <v>0</v>
      </c>
      <c r="Q53" s="26">
        <f ca="1">SOLID!U68</f>
        <v>0</v>
      </c>
      <c r="R53" s="26">
        <f ca="1">SOLID!V68</f>
        <v>0</v>
      </c>
      <c r="S53" s="26">
        <f ca="1">SOLID!W68</f>
        <v>0</v>
      </c>
      <c r="T53" s="26">
        <f ca="1">SOLID!X68</f>
        <v>0</v>
      </c>
      <c r="U53" s="26">
        <f ca="1">SOLID!Y68</f>
        <v>0</v>
      </c>
      <c r="V53" s="26">
        <f ca="1">SOLID!Z68</f>
        <v>0</v>
      </c>
      <c r="W53" s="26">
        <f ca="1">SOLID!AA68</f>
        <v>0</v>
      </c>
      <c r="X53" s="26">
        <f ca="1">SOLID!AB68</f>
        <v>0</v>
      </c>
      <c r="Y53" s="26">
        <f ca="1">SOLID!AC68</f>
        <v>0</v>
      </c>
      <c r="Z53" s="26">
        <f ca="1">SOLID!AD68</f>
        <v>0</v>
      </c>
      <c r="AA53" s="26">
        <f ca="1">SOLID!AE68</f>
        <v>0</v>
      </c>
      <c r="AB53" s="26">
        <f ca="1">SOLID!AF68</f>
        <v>0</v>
      </c>
      <c r="AC53" s="26">
        <f ca="1">SOLID!AG68</f>
        <v>0</v>
      </c>
      <c r="AD53" s="26">
        <f ca="1">SOLID!AH68</f>
        <v>0</v>
      </c>
      <c r="AE53" s="26">
        <f ca="1">SOLID!AI68</f>
        <v>0</v>
      </c>
      <c r="AF53" s="26">
        <f ca="1">SOLID!AJ68</f>
        <v>0</v>
      </c>
      <c r="AG53" s="26">
        <f ca="1">SOLID!AK68</f>
        <v>0</v>
      </c>
      <c r="AH53" s="26">
        <f ca="1">SOLID!AL68</f>
        <v>0</v>
      </c>
      <c r="AI53" s="26">
        <f>SOLID!AM68</f>
        <v>0</v>
      </c>
    </row>
    <row r="54" spans="1:35" ht="21.75" hidden="1" outlineLevel="1" thickBot="1" x14ac:dyDescent="0.4">
      <c r="A54" s="57">
        <f>SOLID!E69</f>
        <v>0</v>
      </c>
      <c r="B54" s="28">
        <f ca="1">SOLID!F69</f>
        <v>0</v>
      </c>
      <c r="C54" s="28">
        <f ca="1">SOLID!G69</f>
        <v>0</v>
      </c>
      <c r="D54" s="28">
        <f ca="1">SOLID!H69</f>
        <v>0</v>
      </c>
      <c r="E54" s="28">
        <f ca="1">SOLID!I69</f>
        <v>0</v>
      </c>
      <c r="F54" s="26">
        <f ca="1">SOLID!J69</f>
        <v>0</v>
      </c>
      <c r="G54" s="26">
        <f ca="1">SOLID!K69</f>
        <v>0</v>
      </c>
      <c r="H54" s="26">
        <f ca="1">SOLID!L69</f>
        <v>0</v>
      </c>
      <c r="I54" s="26">
        <f ca="1">SOLID!M69</f>
        <v>0</v>
      </c>
      <c r="J54" s="26">
        <f ca="1">SOLID!N69</f>
        <v>0</v>
      </c>
      <c r="K54" s="26">
        <f ca="1">SOLID!O69</f>
        <v>0</v>
      </c>
      <c r="L54" s="26">
        <f ca="1">SOLID!P69</f>
        <v>0</v>
      </c>
      <c r="M54" s="26">
        <f ca="1">SOLID!Q69</f>
        <v>0</v>
      </c>
      <c r="N54" s="26">
        <f ca="1">SOLID!R69</f>
        <v>0</v>
      </c>
      <c r="O54" s="26">
        <f ca="1">SOLID!S69</f>
        <v>0</v>
      </c>
      <c r="P54" s="26">
        <f ca="1">SOLID!T69</f>
        <v>0</v>
      </c>
      <c r="Q54" s="26">
        <f ca="1">SOLID!U69</f>
        <v>0</v>
      </c>
      <c r="R54" s="26">
        <f ca="1">SOLID!V69</f>
        <v>0</v>
      </c>
      <c r="S54" s="26">
        <f ca="1">SOLID!W69</f>
        <v>0</v>
      </c>
      <c r="T54" s="26">
        <f ca="1">SOLID!X69</f>
        <v>0</v>
      </c>
      <c r="U54" s="26">
        <f ca="1">SOLID!Y69</f>
        <v>0</v>
      </c>
      <c r="V54" s="26">
        <f ca="1">SOLID!Z69</f>
        <v>0</v>
      </c>
      <c r="W54" s="26">
        <f ca="1">SOLID!AA69</f>
        <v>0</v>
      </c>
      <c r="X54" s="26">
        <f ca="1">SOLID!AB69</f>
        <v>0</v>
      </c>
      <c r="Y54" s="26">
        <f ca="1">SOLID!AC69</f>
        <v>0</v>
      </c>
      <c r="Z54" s="26">
        <f ca="1">SOLID!AD69</f>
        <v>0</v>
      </c>
      <c r="AA54" s="26">
        <f ca="1">SOLID!AE69</f>
        <v>0</v>
      </c>
      <c r="AB54" s="26">
        <f ca="1">SOLID!AF69</f>
        <v>0</v>
      </c>
      <c r="AC54" s="26">
        <f ca="1">SOLID!AG69</f>
        <v>0</v>
      </c>
      <c r="AD54" s="26">
        <f ca="1">SOLID!AH69</f>
        <v>0</v>
      </c>
      <c r="AE54" s="26">
        <f ca="1">SOLID!AI69</f>
        <v>0</v>
      </c>
      <c r="AF54" s="26">
        <f ca="1">SOLID!AJ69</f>
        <v>0</v>
      </c>
      <c r="AG54" s="26">
        <f ca="1">SOLID!AK69</f>
        <v>0</v>
      </c>
      <c r="AH54" s="26">
        <f ca="1">SOLID!AL69</f>
        <v>0</v>
      </c>
      <c r="AI54" s="26">
        <f>SOLID!AM69</f>
        <v>0</v>
      </c>
    </row>
    <row r="55" spans="1:35" ht="21.75" hidden="1" outlineLevel="1" thickBot="1" x14ac:dyDescent="0.4">
      <c r="A55" s="57">
        <f>SOLID!E70</f>
        <v>0</v>
      </c>
      <c r="B55" s="28">
        <f ca="1">SOLID!F70</f>
        <v>0</v>
      </c>
      <c r="C55" s="28">
        <f ca="1">SOLID!G70</f>
        <v>0</v>
      </c>
      <c r="D55" s="28">
        <f ca="1">SOLID!H70</f>
        <v>0</v>
      </c>
      <c r="E55" s="28">
        <f ca="1">SOLID!I70</f>
        <v>0</v>
      </c>
      <c r="F55" s="26">
        <f ca="1">SOLID!J70</f>
        <v>0</v>
      </c>
      <c r="G55" s="26">
        <f ca="1">SOLID!K70</f>
        <v>0</v>
      </c>
      <c r="H55" s="26">
        <f ca="1">SOLID!L70</f>
        <v>0</v>
      </c>
      <c r="I55" s="26">
        <f ca="1">SOLID!M70</f>
        <v>0</v>
      </c>
      <c r="J55" s="26">
        <f ca="1">SOLID!N70</f>
        <v>0</v>
      </c>
      <c r="K55" s="26">
        <f ca="1">SOLID!O70</f>
        <v>0</v>
      </c>
      <c r="L55" s="26">
        <f ca="1">SOLID!P70</f>
        <v>0</v>
      </c>
      <c r="M55" s="26">
        <f ca="1">SOLID!Q70</f>
        <v>0</v>
      </c>
      <c r="N55" s="26">
        <f ca="1">SOLID!R70</f>
        <v>0</v>
      </c>
      <c r="O55" s="26">
        <f ca="1">SOLID!S70</f>
        <v>0</v>
      </c>
      <c r="P55" s="26">
        <f ca="1">SOLID!T70</f>
        <v>0</v>
      </c>
      <c r="Q55" s="26">
        <f ca="1">SOLID!U70</f>
        <v>0</v>
      </c>
      <c r="R55" s="26">
        <f ca="1">SOLID!V70</f>
        <v>0</v>
      </c>
      <c r="S55" s="26">
        <f ca="1">SOLID!W70</f>
        <v>0</v>
      </c>
      <c r="T55" s="26">
        <f ca="1">SOLID!X70</f>
        <v>0</v>
      </c>
      <c r="U55" s="26">
        <f ca="1">SOLID!Y70</f>
        <v>0</v>
      </c>
      <c r="V55" s="26">
        <f ca="1">SOLID!Z70</f>
        <v>0</v>
      </c>
      <c r="W55" s="26">
        <f ca="1">SOLID!AA70</f>
        <v>0</v>
      </c>
      <c r="X55" s="26">
        <f ca="1">SOLID!AB70</f>
        <v>0</v>
      </c>
      <c r="Y55" s="26">
        <f ca="1">SOLID!AC70</f>
        <v>0</v>
      </c>
      <c r="Z55" s="26">
        <f ca="1">SOLID!AD70</f>
        <v>0</v>
      </c>
      <c r="AA55" s="26">
        <f ca="1">SOLID!AE70</f>
        <v>0</v>
      </c>
      <c r="AB55" s="26">
        <f ca="1">SOLID!AF70</f>
        <v>0</v>
      </c>
      <c r="AC55" s="26">
        <f ca="1">SOLID!AG70</f>
        <v>0</v>
      </c>
      <c r="AD55" s="26">
        <f ca="1">SOLID!AH70</f>
        <v>0</v>
      </c>
      <c r="AE55" s="26">
        <f ca="1">SOLID!AI70</f>
        <v>0</v>
      </c>
      <c r="AF55" s="26">
        <f ca="1">SOLID!AJ70</f>
        <v>0</v>
      </c>
      <c r="AG55" s="26">
        <f ca="1">SOLID!AK70</f>
        <v>0</v>
      </c>
      <c r="AH55" s="26">
        <f ca="1">SOLID!AL70</f>
        <v>0</v>
      </c>
      <c r="AI55" s="26">
        <f>SOLID!AM70</f>
        <v>0</v>
      </c>
    </row>
    <row r="56" spans="1:35" ht="21.75" hidden="1" outlineLevel="1" thickBot="1" x14ac:dyDescent="0.4">
      <c r="A56" s="57">
        <f>SOLID!E71</f>
        <v>0</v>
      </c>
      <c r="B56" s="28">
        <f ca="1">SOLID!F71</f>
        <v>0</v>
      </c>
      <c r="C56" s="28">
        <f ca="1">SOLID!G71</f>
        <v>0</v>
      </c>
      <c r="D56" s="28">
        <f ca="1">SOLID!H71</f>
        <v>0</v>
      </c>
      <c r="E56" s="28">
        <f ca="1">SOLID!I71</f>
        <v>0</v>
      </c>
      <c r="F56" s="26">
        <f ca="1">SOLID!J71</f>
        <v>0</v>
      </c>
      <c r="G56" s="26">
        <f ca="1">SOLID!K71</f>
        <v>0</v>
      </c>
      <c r="H56" s="26">
        <f ca="1">SOLID!L71</f>
        <v>0</v>
      </c>
      <c r="I56" s="26">
        <f ca="1">SOLID!M71</f>
        <v>0</v>
      </c>
      <c r="J56" s="26">
        <f ca="1">SOLID!N71</f>
        <v>0</v>
      </c>
      <c r="K56" s="26">
        <f ca="1">SOLID!O71</f>
        <v>0</v>
      </c>
      <c r="L56" s="26">
        <f ca="1">SOLID!P71</f>
        <v>0</v>
      </c>
      <c r="M56" s="26">
        <f ca="1">SOLID!Q71</f>
        <v>0</v>
      </c>
      <c r="N56" s="26">
        <f ca="1">SOLID!R71</f>
        <v>0</v>
      </c>
      <c r="O56" s="26">
        <f ca="1">SOLID!S71</f>
        <v>0</v>
      </c>
      <c r="P56" s="26">
        <f ca="1">SOLID!T71</f>
        <v>0</v>
      </c>
      <c r="Q56" s="26">
        <f ca="1">SOLID!U71</f>
        <v>0</v>
      </c>
      <c r="R56" s="26">
        <f ca="1">SOLID!V71</f>
        <v>0</v>
      </c>
      <c r="S56" s="26">
        <f ca="1">SOLID!W71</f>
        <v>0</v>
      </c>
      <c r="T56" s="26">
        <f ca="1">SOLID!X71</f>
        <v>0</v>
      </c>
      <c r="U56" s="26">
        <f ca="1">SOLID!Y71</f>
        <v>0</v>
      </c>
      <c r="V56" s="26">
        <f ca="1">SOLID!Z71</f>
        <v>0</v>
      </c>
      <c r="W56" s="26">
        <f ca="1">SOLID!AA71</f>
        <v>0</v>
      </c>
      <c r="X56" s="26">
        <f ca="1">SOLID!AB71</f>
        <v>0</v>
      </c>
      <c r="Y56" s="26">
        <f ca="1">SOLID!AC71</f>
        <v>0</v>
      </c>
      <c r="Z56" s="26">
        <f ca="1">SOLID!AD71</f>
        <v>0</v>
      </c>
      <c r="AA56" s="26">
        <f ca="1">SOLID!AE71</f>
        <v>0</v>
      </c>
      <c r="AB56" s="26">
        <f ca="1">SOLID!AF71</f>
        <v>0</v>
      </c>
      <c r="AC56" s="26">
        <f ca="1">SOLID!AG71</f>
        <v>0</v>
      </c>
      <c r="AD56" s="26">
        <f ca="1">SOLID!AH71</f>
        <v>0</v>
      </c>
      <c r="AE56" s="26">
        <f ca="1">SOLID!AI71</f>
        <v>0</v>
      </c>
      <c r="AF56" s="26">
        <f ca="1">SOLID!AJ71</f>
        <v>0</v>
      </c>
      <c r="AG56" s="26">
        <f ca="1">SOLID!AK71</f>
        <v>0</v>
      </c>
      <c r="AH56" s="26">
        <f ca="1">SOLID!AL71</f>
        <v>0</v>
      </c>
      <c r="AI56" s="26">
        <f>SOLID!AM71</f>
        <v>0</v>
      </c>
    </row>
    <row r="57" spans="1:35" ht="21.75" hidden="1" outlineLevel="1" thickBot="1" x14ac:dyDescent="0.4">
      <c r="A57" s="57">
        <f>SOLID!E72</f>
        <v>0</v>
      </c>
      <c r="B57" s="28">
        <f ca="1">SOLID!F72</f>
        <v>0</v>
      </c>
      <c r="C57" s="28">
        <f ca="1">SOLID!G72</f>
        <v>0</v>
      </c>
      <c r="D57" s="28">
        <f ca="1">SOLID!H72</f>
        <v>0</v>
      </c>
      <c r="E57" s="28">
        <f ca="1">SOLID!I72</f>
        <v>0</v>
      </c>
      <c r="F57" s="26">
        <f ca="1">SOLID!J72</f>
        <v>0</v>
      </c>
      <c r="G57" s="26">
        <f ca="1">SOLID!K72</f>
        <v>0</v>
      </c>
      <c r="H57" s="26">
        <f ca="1">SOLID!L72</f>
        <v>0</v>
      </c>
      <c r="I57" s="26">
        <f ca="1">SOLID!M72</f>
        <v>0</v>
      </c>
      <c r="J57" s="26">
        <f ca="1">SOLID!N72</f>
        <v>0</v>
      </c>
      <c r="K57" s="26">
        <f ca="1">SOLID!O72</f>
        <v>0</v>
      </c>
      <c r="L57" s="26">
        <f ca="1">SOLID!P72</f>
        <v>0</v>
      </c>
      <c r="M57" s="26">
        <f ca="1">SOLID!Q72</f>
        <v>0</v>
      </c>
      <c r="N57" s="26">
        <f ca="1">SOLID!R72</f>
        <v>0</v>
      </c>
      <c r="O57" s="26">
        <f ca="1">SOLID!S72</f>
        <v>0</v>
      </c>
      <c r="P57" s="26">
        <f ca="1">SOLID!T72</f>
        <v>0</v>
      </c>
      <c r="Q57" s="26">
        <f ca="1">SOLID!U72</f>
        <v>0</v>
      </c>
      <c r="R57" s="26">
        <f ca="1">SOLID!V72</f>
        <v>0</v>
      </c>
      <c r="S57" s="26">
        <f ca="1">SOLID!W72</f>
        <v>0</v>
      </c>
      <c r="T57" s="26">
        <f ca="1">SOLID!X72</f>
        <v>0</v>
      </c>
      <c r="U57" s="26">
        <f ca="1">SOLID!Y72</f>
        <v>0</v>
      </c>
      <c r="V57" s="26">
        <f ca="1">SOLID!Z72</f>
        <v>0</v>
      </c>
      <c r="W57" s="26">
        <f ca="1">SOLID!AA72</f>
        <v>0</v>
      </c>
      <c r="X57" s="26">
        <f ca="1">SOLID!AB72</f>
        <v>0</v>
      </c>
      <c r="Y57" s="26">
        <f ca="1">SOLID!AC72</f>
        <v>0</v>
      </c>
      <c r="Z57" s="26">
        <f ca="1">SOLID!AD72</f>
        <v>0</v>
      </c>
      <c r="AA57" s="26">
        <f ca="1">SOLID!AE72</f>
        <v>0</v>
      </c>
      <c r="AB57" s="26">
        <f ca="1">SOLID!AF72</f>
        <v>0</v>
      </c>
      <c r="AC57" s="26">
        <f ca="1">SOLID!AG72</f>
        <v>0</v>
      </c>
      <c r="AD57" s="26">
        <f ca="1">SOLID!AH72</f>
        <v>0</v>
      </c>
      <c r="AE57" s="26">
        <f ca="1">SOLID!AI72</f>
        <v>0</v>
      </c>
      <c r="AF57" s="26">
        <f ca="1">SOLID!AJ72</f>
        <v>0</v>
      </c>
      <c r="AG57" s="26">
        <f ca="1">SOLID!AK72</f>
        <v>0</v>
      </c>
      <c r="AH57" s="26">
        <f ca="1">SOLID!AL72</f>
        <v>0</v>
      </c>
      <c r="AI57" s="26">
        <f>SOLID!AM72</f>
        <v>0</v>
      </c>
    </row>
    <row r="58" spans="1:35" ht="21.75" hidden="1" outlineLevel="1" thickBot="1" x14ac:dyDescent="0.4">
      <c r="A58" s="57">
        <f>SOLID!E73</f>
        <v>0</v>
      </c>
      <c r="B58" s="28">
        <f ca="1">SOLID!F73</f>
        <v>0</v>
      </c>
      <c r="C58" s="28">
        <f ca="1">SOLID!G73</f>
        <v>0</v>
      </c>
      <c r="D58" s="28">
        <f ca="1">SOLID!H73</f>
        <v>0</v>
      </c>
      <c r="E58" s="28">
        <f ca="1">SOLID!I73</f>
        <v>0</v>
      </c>
      <c r="F58" s="26">
        <f ca="1">SOLID!J73</f>
        <v>0</v>
      </c>
      <c r="G58" s="26">
        <f ca="1">SOLID!K73</f>
        <v>0</v>
      </c>
      <c r="H58" s="26">
        <f ca="1">SOLID!L73</f>
        <v>0</v>
      </c>
      <c r="I58" s="26">
        <f ca="1">SOLID!M73</f>
        <v>0</v>
      </c>
      <c r="J58" s="26">
        <f ca="1">SOLID!N73</f>
        <v>0</v>
      </c>
      <c r="K58" s="26">
        <f ca="1">SOLID!O73</f>
        <v>0</v>
      </c>
      <c r="L58" s="26">
        <f ca="1">SOLID!P73</f>
        <v>0</v>
      </c>
      <c r="M58" s="26">
        <f ca="1">SOLID!Q73</f>
        <v>0</v>
      </c>
      <c r="N58" s="26">
        <f ca="1">SOLID!R73</f>
        <v>0</v>
      </c>
      <c r="O58" s="26">
        <f ca="1">SOLID!S73</f>
        <v>0</v>
      </c>
      <c r="P58" s="26">
        <f ca="1">SOLID!T73</f>
        <v>0</v>
      </c>
      <c r="Q58" s="26">
        <f ca="1">SOLID!U73</f>
        <v>0</v>
      </c>
      <c r="R58" s="26">
        <f ca="1">SOLID!V73</f>
        <v>0</v>
      </c>
      <c r="S58" s="26">
        <f ca="1">SOLID!W73</f>
        <v>0</v>
      </c>
      <c r="T58" s="26">
        <f ca="1">SOLID!X73</f>
        <v>0</v>
      </c>
      <c r="U58" s="26">
        <f ca="1">SOLID!Y73</f>
        <v>0</v>
      </c>
      <c r="V58" s="26">
        <f ca="1">SOLID!Z73</f>
        <v>0</v>
      </c>
      <c r="W58" s="26">
        <f ca="1">SOLID!AA73</f>
        <v>0</v>
      </c>
      <c r="X58" s="26">
        <f ca="1">SOLID!AB73</f>
        <v>0</v>
      </c>
      <c r="Y58" s="26">
        <f ca="1">SOLID!AC73</f>
        <v>0</v>
      </c>
      <c r="Z58" s="26">
        <f ca="1">SOLID!AD73</f>
        <v>0</v>
      </c>
      <c r="AA58" s="26">
        <f ca="1">SOLID!AE73</f>
        <v>0</v>
      </c>
      <c r="AB58" s="26">
        <f ca="1">SOLID!AF73</f>
        <v>0</v>
      </c>
      <c r="AC58" s="26">
        <f ca="1">SOLID!AG73</f>
        <v>0</v>
      </c>
      <c r="AD58" s="26">
        <f ca="1">SOLID!AH73</f>
        <v>0</v>
      </c>
      <c r="AE58" s="26">
        <f ca="1">SOLID!AI73</f>
        <v>0</v>
      </c>
      <c r="AF58" s="26">
        <f ca="1">SOLID!AJ73</f>
        <v>0</v>
      </c>
      <c r="AG58" s="26">
        <f ca="1">SOLID!AK73</f>
        <v>0</v>
      </c>
      <c r="AH58" s="26">
        <f ca="1">SOLID!AL73</f>
        <v>0</v>
      </c>
      <c r="AI58" s="26">
        <f>SOLID!AM73</f>
        <v>0</v>
      </c>
    </row>
    <row r="59" spans="1:35" ht="21.75" hidden="1" outlineLevel="1" thickBot="1" x14ac:dyDescent="0.4">
      <c r="A59" s="57">
        <f>SOLID!E74</f>
        <v>0</v>
      </c>
      <c r="B59" s="28">
        <f ca="1">SOLID!F74</f>
        <v>0</v>
      </c>
      <c r="C59" s="28">
        <f ca="1">SOLID!G74</f>
        <v>0</v>
      </c>
      <c r="D59" s="28">
        <f ca="1">SOLID!H74</f>
        <v>0</v>
      </c>
      <c r="E59" s="28">
        <f ca="1">SOLID!I74</f>
        <v>0</v>
      </c>
      <c r="F59" s="26">
        <f ca="1">SOLID!J74</f>
        <v>0</v>
      </c>
      <c r="G59" s="26">
        <f ca="1">SOLID!K74</f>
        <v>0</v>
      </c>
      <c r="H59" s="26">
        <f ca="1">SOLID!L74</f>
        <v>0</v>
      </c>
      <c r="I59" s="26">
        <f ca="1">SOLID!M74</f>
        <v>0</v>
      </c>
      <c r="J59" s="26">
        <f ca="1">SOLID!N74</f>
        <v>0</v>
      </c>
      <c r="K59" s="26">
        <f ca="1">SOLID!O74</f>
        <v>0</v>
      </c>
      <c r="L59" s="26">
        <f ca="1">SOLID!P74</f>
        <v>0</v>
      </c>
      <c r="M59" s="26">
        <f ca="1">SOLID!Q74</f>
        <v>0</v>
      </c>
      <c r="N59" s="26">
        <f ca="1">SOLID!R74</f>
        <v>0</v>
      </c>
      <c r="O59" s="26">
        <f ca="1">SOLID!S74</f>
        <v>0</v>
      </c>
      <c r="P59" s="26">
        <f ca="1">SOLID!T74</f>
        <v>0</v>
      </c>
      <c r="Q59" s="26">
        <f ca="1">SOLID!U74</f>
        <v>0</v>
      </c>
      <c r="R59" s="26">
        <f ca="1">SOLID!V74</f>
        <v>0</v>
      </c>
      <c r="S59" s="26">
        <f ca="1">SOLID!W74</f>
        <v>0</v>
      </c>
      <c r="T59" s="26">
        <f ca="1">SOLID!X74</f>
        <v>0</v>
      </c>
      <c r="U59" s="26">
        <f ca="1">SOLID!Y74</f>
        <v>0</v>
      </c>
      <c r="V59" s="26">
        <f ca="1">SOLID!Z74</f>
        <v>0</v>
      </c>
      <c r="W59" s="26">
        <f ca="1">SOLID!AA74</f>
        <v>0</v>
      </c>
      <c r="X59" s="26">
        <f ca="1">SOLID!AB74</f>
        <v>0</v>
      </c>
      <c r="Y59" s="26">
        <f ca="1">SOLID!AC74</f>
        <v>0</v>
      </c>
      <c r="Z59" s="26">
        <f ca="1">SOLID!AD74</f>
        <v>0</v>
      </c>
      <c r="AA59" s="26">
        <f ca="1">SOLID!AE74</f>
        <v>0</v>
      </c>
      <c r="AB59" s="26">
        <f ca="1">SOLID!AF74</f>
        <v>0</v>
      </c>
      <c r="AC59" s="26">
        <f ca="1">SOLID!AG74</f>
        <v>0</v>
      </c>
      <c r="AD59" s="26">
        <f ca="1">SOLID!AH74</f>
        <v>0</v>
      </c>
      <c r="AE59" s="26">
        <f ca="1">SOLID!AI74</f>
        <v>0</v>
      </c>
      <c r="AF59" s="26">
        <f ca="1">SOLID!AJ74</f>
        <v>0</v>
      </c>
      <c r="AG59" s="26">
        <f ca="1">SOLID!AK74</f>
        <v>0</v>
      </c>
      <c r="AH59" s="26">
        <f ca="1">SOLID!AL74</f>
        <v>0</v>
      </c>
      <c r="AI59" s="26">
        <f>SOLID!AM74</f>
        <v>0</v>
      </c>
    </row>
    <row r="60" spans="1:35" ht="21.75" hidden="1" outlineLevel="1" thickBot="1" x14ac:dyDescent="0.4">
      <c r="A60" s="57">
        <f>SOLID!E75</f>
        <v>0</v>
      </c>
      <c r="B60" s="28">
        <f ca="1">SOLID!F75</f>
        <v>0</v>
      </c>
      <c r="C60" s="28">
        <f ca="1">SOLID!G75</f>
        <v>0</v>
      </c>
      <c r="D60" s="28">
        <f ca="1">SOLID!H75</f>
        <v>0</v>
      </c>
      <c r="E60" s="28">
        <f ca="1">SOLID!I75</f>
        <v>0</v>
      </c>
      <c r="F60" s="26">
        <f ca="1">SOLID!J75</f>
        <v>0</v>
      </c>
      <c r="G60" s="26">
        <f ca="1">SOLID!K75</f>
        <v>0</v>
      </c>
      <c r="H60" s="26">
        <f ca="1">SOLID!L75</f>
        <v>0</v>
      </c>
      <c r="I60" s="26">
        <f ca="1">SOLID!M75</f>
        <v>0</v>
      </c>
      <c r="J60" s="26">
        <f ca="1">SOLID!N75</f>
        <v>0</v>
      </c>
      <c r="K60" s="26">
        <f ca="1">SOLID!O75</f>
        <v>0</v>
      </c>
      <c r="L60" s="26">
        <f ca="1">SOLID!P75</f>
        <v>0</v>
      </c>
      <c r="M60" s="26">
        <f ca="1">SOLID!Q75</f>
        <v>0</v>
      </c>
      <c r="N60" s="26">
        <f ca="1">SOLID!R75</f>
        <v>0</v>
      </c>
      <c r="O60" s="26">
        <f ca="1">SOLID!S75</f>
        <v>0</v>
      </c>
      <c r="P60" s="26">
        <f ca="1">SOLID!T75</f>
        <v>0</v>
      </c>
      <c r="Q60" s="26">
        <f ca="1">SOLID!U75</f>
        <v>0</v>
      </c>
      <c r="R60" s="26">
        <f ca="1">SOLID!V75</f>
        <v>0</v>
      </c>
      <c r="S60" s="26">
        <f ca="1">SOLID!W75</f>
        <v>0</v>
      </c>
      <c r="T60" s="26">
        <f ca="1">SOLID!X75</f>
        <v>0</v>
      </c>
      <c r="U60" s="26">
        <f ca="1">SOLID!Y75</f>
        <v>0</v>
      </c>
      <c r="V60" s="26">
        <f ca="1">SOLID!Z75</f>
        <v>0</v>
      </c>
      <c r="W60" s="26">
        <f ca="1">SOLID!AA75</f>
        <v>0</v>
      </c>
      <c r="X60" s="26">
        <f ca="1">SOLID!AB75</f>
        <v>0</v>
      </c>
      <c r="Y60" s="26">
        <f ca="1">SOLID!AC75</f>
        <v>0</v>
      </c>
      <c r="Z60" s="26">
        <f ca="1">SOLID!AD75</f>
        <v>0</v>
      </c>
      <c r="AA60" s="26">
        <f ca="1">SOLID!AE75</f>
        <v>0</v>
      </c>
      <c r="AB60" s="26">
        <f ca="1">SOLID!AF75</f>
        <v>0</v>
      </c>
      <c r="AC60" s="26">
        <f ca="1">SOLID!AG75</f>
        <v>0</v>
      </c>
      <c r="AD60" s="26">
        <f ca="1">SOLID!AH75</f>
        <v>0</v>
      </c>
      <c r="AE60" s="26">
        <f ca="1">SOLID!AI75</f>
        <v>0</v>
      </c>
      <c r="AF60" s="26">
        <f ca="1">SOLID!AJ75</f>
        <v>0</v>
      </c>
      <c r="AG60" s="26">
        <f ca="1">SOLID!AK75</f>
        <v>0</v>
      </c>
      <c r="AH60" s="26">
        <f ca="1">SOLID!AL75</f>
        <v>0</v>
      </c>
      <c r="AI60" s="26">
        <f>SOLID!AM75</f>
        <v>0</v>
      </c>
    </row>
    <row r="61" spans="1:35" ht="21.75" hidden="1" outlineLevel="1" thickBot="1" x14ac:dyDescent="0.4">
      <c r="A61" s="57">
        <f>SOLID!E76</f>
        <v>0</v>
      </c>
      <c r="B61" s="28">
        <f ca="1">SOLID!F76</f>
        <v>0</v>
      </c>
      <c r="C61" s="28">
        <f ca="1">SOLID!G76</f>
        <v>0</v>
      </c>
      <c r="D61" s="28">
        <f ca="1">SOLID!H76</f>
        <v>0</v>
      </c>
      <c r="E61" s="28">
        <f ca="1">SOLID!I76</f>
        <v>0</v>
      </c>
      <c r="F61" s="26">
        <f ca="1">SOLID!J76</f>
        <v>0</v>
      </c>
      <c r="G61" s="26">
        <f ca="1">SOLID!K76</f>
        <v>0</v>
      </c>
      <c r="H61" s="26">
        <f ca="1">SOLID!L76</f>
        <v>0</v>
      </c>
      <c r="I61" s="26">
        <f ca="1">SOLID!M76</f>
        <v>0</v>
      </c>
      <c r="J61" s="26">
        <f ca="1">SOLID!N76</f>
        <v>0</v>
      </c>
      <c r="K61" s="26">
        <f ca="1">SOLID!O76</f>
        <v>0</v>
      </c>
      <c r="L61" s="26">
        <f ca="1">SOLID!P76</f>
        <v>0</v>
      </c>
      <c r="M61" s="26">
        <f ca="1">SOLID!Q76</f>
        <v>0</v>
      </c>
      <c r="N61" s="26">
        <f ca="1">SOLID!R76</f>
        <v>0</v>
      </c>
      <c r="O61" s="26">
        <f ca="1">SOLID!S76</f>
        <v>0</v>
      </c>
      <c r="P61" s="26">
        <f ca="1">SOLID!T76</f>
        <v>0</v>
      </c>
      <c r="Q61" s="26">
        <f ca="1">SOLID!U76</f>
        <v>0</v>
      </c>
      <c r="R61" s="26">
        <f ca="1">SOLID!V76</f>
        <v>0</v>
      </c>
      <c r="S61" s="26">
        <f ca="1">SOLID!W76</f>
        <v>0</v>
      </c>
      <c r="T61" s="26">
        <f ca="1">SOLID!X76</f>
        <v>0</v>
      </c>
      <c r="U61" s="26">
        <f ca="1">SOLID!Y76</f>
        <v>0</v>
      </c>
      <c r="V61" s="26">
        <f ca="1">SOLID!Z76</f>
        <v>0</v>
      </c>
      <c r="W61" s="26">
        <f ca="1">SOLID!AA76</f>
        <v>0</v>
      </c>
      <c r="X61" s="26">
        <f ca="1">SOLID!AB76</f>
        <v>0</v>
      </c>
      <c r="Y61" s="26">
        <f ca="1">SOLID!AC76</f>
        <v>0</v>
      </c>
      <c r="Z61" s="26">
        <f ca="1">SOLID!AD76</f>
        <v>0</v>
      </c>
      <c r="AA61" s="26">
        <f ca="1">SOLID!AE76</f>
        <v>0</v>
      </c>
      <c r="AB61" s="26">
        <f ca="1">SOLID!AF76</f>
        <v>0</v>
      </c>
      <c r="AC61" s="26">
        <f ca="1">SOLID!AG76</f>
        <v>0</v>
      </c>
      <c r="AD61" s="26">
        <f ca="1">SOLID!AH76</f>
        <v>0</v>
      </c>
      <c r="AE61" s="26">
        <f ca="1">SOLID!AI76</f>
        <v>0</v>
      </c>
      <c r="AF61" s="26">
        <f ca="1">SOLID!AJ76</f>
        <v>0</v>
      </c>
      <c r="AG61" s="26">
        <f ca="1">SOLID!AK76</f>
        <v>0</v>
      </c>
      <c r="AH61" s="26">
        <f ca="1">SOLID!AL76</f>
        <v>0</v>
      </c>
      <c r="AI61" s="26">
        <f>SOLID!AM76</f>
        <v>0</v>
      </c>
    </row>
    <row r="62" spans="1:35" ht="21.75" hidden="1" outlineLevel="1" thickBot="1" x14ac:dyDescent="0.4">
      <c r="A62" s="57">
        <f>SOLID!E77</f>
        <v>0</v>
      </c>
      <c r="B62" s="28">
        <f ca="1">SOLID!F77</f>
        <v>0</v>
      </c>
      <c r="C62" s="28">
        <f ca="1">SOLID!G77</f>
        <v>0</v>
      </c>
      <c r="D62" s="28">
        <f ca="1">SOLID!H77</f>
        <v>0</v>
      </c>
      <c r="E62" s="28">
        <f ca="1">SOLID!I77</f>
        <v>0</v>
      </c>
      <c r="F62" s="26">
        <f ca="1">SOLID!J77</f>
        <v>0</v>
      </c>
      <c r="G62" s="26">
        <f ca="1">SOLID!K77</f>
        <v>0</v>
      </c>
      <c r="H62" s="26">
        <f ca="1">SOLID!L77</f>
        <v>0</v>
      </c>
      <c r="I62" s="26">
        <f ca="1">SOLID!M77</f>
        <v>0</v>
      </c>
      <c r="J62" s="26">
        <f ca="1">SOLID!N77</f>
        <v>0</v>
      </c>
      <c r="K62" s="26">
        <f ca="1">SOLID!O77</f>
        <v>0</v>
      </c>
      <c r="L62" s="26">
        <f ca="1">SOLID!P77</f>
        <v>0</v>
      </c>
      <c r="M62" s="26">
        <f ca="1">SOLID!Q77</f>
        <v>0</v>
      </c>
      <c r="N62" s="26">
        <f ca="1">SOLID!R77</f>
        <v>0</v>
      </c>
      <c r="O62" s="26">
        <f ca="1">SOLID!S77</f>
        <v>0</v>
      </c>
      <c r="P62" s="26">
        <f ca="1">SOLID!T77</f>
        <v>0</v>
      </c>
      <c r="Q62" s="26">
        <f ca="1">SOLID!U77</f>
        <v>0</v>
      </c>
      <c r="R62" s="26">
        <f ca="1">SOLID!V77</f>
        <v>0</v>
      </c>
      <c r="S62" s="26">
        <f ca="1">SOLID!W77</f>
        <v>0</v>
      </c>
      <c r="T62" s="26">
        <f ca="1">SOLID!X77</f>
        <v>0</v>
      </c>
      <c r="U62" s="26">
        <f ca="1">SOLID!Y77</f>
        <v>0</v>
      </c>
      <c r="V62" s="26">
        <f ca="1">SOLID!Z77</f>
        <v>0</v>
      </c>
      <c r="W62" s="26">
        <f ca="1">SOLID!AA77</f>
        <v>0</v>
      </c>
      <c r="X62" s="26">
        <f ca="1">SOLID!AB77</f>
        <v>0</v>
      </c>
      <c r="Y62" s="26">
        <f ca="1">SOLID!AC77</f>
        <v>0</v>
      </c>
      <c r="Z62" s="26">
        <f ca="1">SOLID!AD77</f>
        <v>0</v>
      </c>
      <c r="AA62" s="26">
        <f ca="1">SOLID!AE77</f>
        <v>0</v>
      </c>
      <c r="AB62" s="26">
        <f ca="1">SOLID!AF77</f>
        <v>0</v>
      </c>
      <c r="AC62" s="26">
        <f ca="1">SOLID!AG77</f>
        <v>0</v>
      </c>
      <c r="AD62" s="26">
        <f ca="1">SOLID!AH77</f>
        <v>0</v>
      </c>
      <c r="AE62" s="26">
        <f ca="1">SOLID!AI77</f>
        <v>0</v>
      </c>
      <c r="AF62" s="26">
        <f ca="1">SOLID!AJ77</f>
        <v>0</v>
      </c>
      <c r="AG62" s="26">
        <f ca="1">SOLID!AK77</f>
        <v>0</v>
      </c>
      <c r="AH62" s="26">
        <f ca="1">SOLID!AL77</f>
        <v>0</v>
      </c>
      <c r="AI62" s="26">
        <f>SOLID!AM77</f>
        <v>0</v>
      </c>
    </row>
    <row r="63" spans="1:35" ht="21.75" hidden="1" outlineLevel="1" thickBot="1" x14ac:dyDescent="0.4">
      <c r="A63" s="57">
        <f>SOLID!E78</f>
        <v>0</v>
      </c>
      <c r="B63" s="28">
        <f ca="1">SOLID!F78</f>
        <v>0</v>
      </c>
      <c r="C63" s="28">
        <f ca="1">SOLID!G78</f>
        <v>0</v>
      </c>
      <c r="D63" s="28">
        <f ca="1">SOLID!H78</f>
        <v>0</v>
      </c>
      <c r="E63" s="28">
        <f ca="1">SOLID!I78</f>
        <v>0</v>
      </c>
      <c r="F63" s="26">
        <f ca="1">SOLID!J78</f>
        <v>0</v>
      </c>
      <c r="G63" s="26">
        <f ca="1">SOLID!K78</f>
        <v>0</v>
      </c>
      <c r="H63" s="26">
        <f ca="1">SOLID!L78</f>
        <v>0</v>
      </c>
      <c r="I63" s="26">
        <f ca="1">SOLID!M78</f>
        <v>0</v>
      </c>
      <c r="J63" s="26">
        <f ca="1">SOLID!N78</f>
        <v>0</v>
      </c>
      <c r="K63" s="26">
        <f ca="1">SOLID!O78</f>
        <v>0</v>
      </c>
      <c r="L63" s="26">
        <f ca="1">SOLID!P78</f>
        <v>0</v>
      </c>
      <c r="M63" s="26">
        <f ca="1">SOLID!Q78</f>
        <v>0</v>
      </c>
      <c r="N63" s="26">
        <f ca="1">SOLID!R78</f>
        <v>0</v>
      </c>
      <c r="O63" s="26">
        <f ca="1">SOLID!S78</f>
        <v>0</v>
      </c>
      <c r="P63" s="26">
        <f ca="1">SOLID!T78</f>
        <v>0</v>
      </c>
      <c r="Q63" s="26">
        <f ca="1">SOLID!U78</f>
        <v>0</v>
      </c>
      <c r="R63" s="26">
        <f ca="1">SOLID!V78</f>
        <v>0</v>
      </c>
      <c r="S63" s="26">
        <f ca="1">SOLID!W78</f>
        <v>0</v>
      </c>
      <c r="T63" s="26">
        <f ca="1">SOLID!X78</f>
        <v>0</v>
      </c>
      <c r="U63" s="26">
        <f ca="1">SOLID!Y78</f>
        <v>0</v>
      </c>
      <c r="V63" s="26">
        <f ca="1">SOLID!Z78</f>
        <v>0</v>
      </c>
      <c r="W63" s="26">
        <f ca="1">SOLID!AA78</f>
        <v>0</v>
      </c>
      <c r="X63" s="26">
        <f ca="1">SOLID!AB78</f>
        <v>0</v>
      </c>
      <c r="Y63" s="26">
        <f ca="1">SOLID!AC78</f>
        <v>0</v>
      </c>
      <c r="Z63" s="26">
        <f ca="1">SOLID!AD78</f>
        <v>0</v>
      </c>
      <c r="AA63" s="26">
        <f ca="1">SOLID!AE78</f>
        <v>0</v>
      </c>
      <c r="AB63" s="26">
        <f ca="1">SOLID!AF78</f>
        <v>0</v>
      </c>
      <c r="AC63" s="26">
        <f ca="1">SOLID!AG78</f>
        <v>0</v>
      </c>
      <c r="AD63" s="26">
        <f ca="1">SOLID!AH78</f>
        <v>0</v>
      </c>
      <c r="AE63" s="26">
        <f ca="1">SOLID!AI78</f>
        <v>0</v>
      </c>
      <c r="AF63" s="26">
        <f ca="1">SOLID!AJ78</f>
        <v>0</v>
      </c>
      <c r="AG63" s="26">
        <f ca="1">SOLID!AK78</f>
        <v>0</v>
      </c>
      <c r="AH63" s="26">
        <f ca="1">SOLID!AL78</f>
        <v>0</v>
      </c>
      <c r="AI63" s="26">
        <f>SOLID!AM78</f>
        <v>0</v>
      </c>
    </row>
    <row r="64" spans="1:35" ht="21.75" hidden="1" outlineLevel="1" thickBot="1" x14ac:dyDescent="0.4">
      <c r="A64" s="57">
        <f>SOLID!E79</f>
        <v>1</v>
      </c>
      <c r="B64" s="28">
        <f>SOLID!F79</f>
        <v>0</v>
      </c>
      <c r="C64" s="28">
        <f>SOLID!G79</f>
        <v>0</v>
      </c>
      <c r="D64" s="28">
        <f>SOLID!H79</f>
        <v>0</v>
      </c>
      <c r="E64" s="28">
        <f>SOLID!I79</f>
        <v>0</v>
      </c>
      <c r="F64" s="26">
        <f>SOLID!J79</f>
        <v>0</v>
      </c>
      <c r="G64" s="26">
        <f>SOLID!K79</f>
        <v>0</v>
      </c>
      <c r="H64" s="26">
        <f>SOLID!L79</f>
        <v>0</v>
      </c>
      <c r="I64" s="26">
        <f>SOLID!M79</f>
        <v>0</v>
      </c>
      <c r="J64" s="26">
        <f>SOLID!N79</f>
        <v>0</v>
      </c>
      <c r="K64" s="26">
        <f>SOLID!O79</f>
        <v>0</v>
      </c>
      <c r="L64" s="26">
        <f>SOLID!P79</f>
        <v>0</v>
      </c>
      <c r="M64" s="26">
        <f>SOLID!Q79</f>
        <v>0</v>
      </c>
      <c r="N64" s="26">
        <f>SOLID!R79</f>
        <v>0</v>
      </c>
      <c r="O64" s="26">
        <f>SOLID!S79</f>
        <v>0</v>
      </c>
      <c r="P64" s="26">
        <f>SOLID!T79</f>
        <v>0</v>
      </c>
      <c r="Q64" s="26">
        <f>SOLID!U79</f>
        <v>0</v>
      </c>
      <c r="R64" s="26">
        <f>SOLID!V79</f>
        <v>0</v>
      </c>
      <c r="S64" s="26">
        <f>SOLID!W79</f>
        <v>0</v>
      </c>
      <c r="T64" s="26">
        <f>SOLID!X79</f>
        <v>0</v>
      </c>
      <c r="U64" s="26">
        <f>SOLID!Y79</f>
        <v>0</v>
      </c>
      <c r="V64" s="26">
        <f>SOLID!Z79</f>
        <v>0</v>
      </c>
      <c r="W64" s="26">
        <f>SOLID!AA79</f>
        <v>0</v>
      </c>
      <c r="X64" s="26">
        <f>SOLID!AB79</f>
        <v>0</v>
      </c>
      <c r="Y64" s="26">
        <f>SOLID!AC79</f>
        <v>0</v>
      </c>
      <c r="Z64" s="26">
        <f>SOLID!AD79</f>
        <v>0</v>
      </c>
      <c r="AA64" s="26">
        <f>SOLID!AE79</f>
        <v>0</v>
      </c>
      <c r="AB64" s="26">
        <f>SOLID!AF79</f>
        <v>0</v>
      </c>
      <c r="AC64" s="26">
        <f>SOLID!AG79</f>
        <v>0</v>
      </c>
      <c r="AD64" s="26">
        <f>SOLID!AH79</f>
        <v>0</v>
      </c>
      <c r="AE64" s="26">
        <f>SOLID!AI79</f>
        <v>0</v>
      </c>
      <c r="AF64" s="26">
        <f>SOLID!AJ79</f>
        <v>0</v>
      </c>
      <c r="AG64" s="26">
        <f>SOLID!AK79</f>
        <v>0</v>
      </c>
      <c r="AH64" s="26">
        <f>SOLID!AL79</f>
        <v>0</v>
      </c>
      <c r="AI64" s="26">
        <f>SOLID!AM79</f>
        <v>0</v>
      </c>
    </row>
    <row r="65" spans="1:35" ht="22.5" collapsed="1" thickTop="1" thickBot="1" x14ac:dyDescent="0.4">
      <c r="A65" s="60"/>
    </row>
    <row r="66" spans="1:35" ht="22.5" thickTop="1" thickBot="1" x14ac:dyDescent="0.4">
      <c r="A66" s="9" t="s">
        <v>37</v>
      </c>
      <c r="B66" s="106">
        <f>ALL!F49</f>
        <v>273.10000000000002</v>
      </c>
      <c r="C66" s="106">
        <f>ALL!G49</f>
        <v>293.3</v>
      </c>
      <c r="D66" s="106">
        <f>ALL!H49</f>
        <v>313.5</v>
      </c>
      <c r="E66" s="106">
        <f>ALL!I49</f>
        <v>333.7</v>
      </c>
      <c r="F66" s="9">
        <f>ALL!J49</f>
        <v>353.9</v>
      </c>
      <c r="G66" s="9">
        <f>ALL!K49</f>
        <v>374.1</v>
      </c>
      <c r="H66" s="9">
        <f>ALL!L49</f>
        <v>394.3</v>
      </c>
      <c r="I66" s="9">
        <f>ALL!M49</f>
        <v>414.5</v>
      </c>
      <c r="J66" s="9">
        <f>ALL!N49</f>
        <v>434.7</v>
      </c>
      <c r="K66" s="9">
        <f>ALL!O49</f>
        <v>454.9</v>
      </c>
      <c r="L66" s="9">
        <f>ALL!P49</f>
        <v>475.1</v>
      </c>
      <c r="M66" s="9">
        <f>ALL!Q49</f>
        <v>495.2</v>
      </c>
      <c r="N66" s="9">
        <f>ALL!R49</f>
        <v>515.4</v>
      </c>
      <c r="O66" s="9">
        <f>ALL!S49</f>
        <v>535.6</v>
      </c>
      <c r="P66" s="9">
        <f>ALL!T49</f>
        <v>555.79999999999995</v>
      </c>
      <c r="Q66" s="9">
        <f>ALL!U49</f>
        <v>576</v>
      </c>
      <c r="R66" s="9">
        <f>ALL!V49</f>
        <v>596.20000000000005</v>
      </c>
      <c r="S66" s="9">
        <f>ALL!W49</f>
        <v>616.4</v>
      </c>
      <c r="T66" s="9">
        <f>ALL!X49</f>
        <v>636.6</v>
      </c>
      <c r="U66" s="9">
        <f>ALL!Y49</f>
        <v>656.8</v>
      </c>
      <c r="V66" s="9">
        <f>ALL!Z49</f>
        <v>677</v>
      </c>
      <c r="W66" s="9">
        <f>ALL!AA49</f>
        <v>757.7</v>
      </c>
      <c r="X66" s="9">
        <f>ALL!AB49</f>
        <v>838.5</v>
      </c>
      <c r="Y66" s="9">
        <f>ALL!AC49</f>
        <v>919.2</v>
      </c>
      <c r="Z66" s="9">
        <f>ALL!AD49</f>
        <v>1000</v>
      </c>
      <c r="AA66" s="9">
        <f>ALL!AE49</f>
        <v>0</v>
      </c>
      <c r="AB66" s="9">
        <f>ALL!AF49</f>
        <v>0</v>
      </c>
      <c r="AC66" s="9">
        <f>ALL!AG49</f>
        <v>0</v>
      </c>
      <c r="AD66" s="9">
        <f>ALL!AH49</f>
        <v>0</v>
      </c>
      <c r="AE66" s="9">
        <f>ALL!AI49</f>
        <v>0</v>
      </c>
      <c r="AF66" s="9">
        <f>ALL!AJ49</f>
        <v>0</v>
      </c>
      <c r="AG66" s="9">
        <f>ALL!AK49</f>
        <v>0</v>
      </c>
      <c r="AH66" s="9">
        <f>ALL!AL49</f>
        <v>0</v>
      </c>
      <c r="AI66" s="9">
        <f>ALL!AM49</f>
        <v>0</v>
      </c>
    </row>
    <row r="67" spans="1:35" ht="22.5" hidden="1" outlineLevel="1" thickTop="1" thickBot="1" x14ac:dyDescent="0.4">
      <c r="A67" s="58" t="str">
        <f>ALL!E50</f>
        <v>*GeSe</v>
      </c>
      <c r="B67" s="28">
        <f ca="1">ALL!F50</f>
        <v>-90.09</v>
      </c>
      <c r="C67" s="28">
        <f ca="1">ALL!G50</f>
        <v>-84.48</v>
      </c>
      <c r="D67" s="28">
        <f ca="1">ALL!H50</f>
        <v>-79.510000000000005</v>
      </c>
      <c r="E67" s="28">
        <f ca="1">ALL!I50</f>
        <v>-75</v>
      </c>
      <c r="F67" s="26">
        <f ca="1">ALL!J50</f>
        <v>-70.88</v>
      </c>
      <c r="G67" s="26">
        <f ca="1">ALL!K50</f>
        <v>-67.12</v>
      </c>
      <c r="H67" s="26">
        <f ca="1">ALL!L50</f>
        <v>-63.72</v>
      </c>
      <c r="I67" s="26">
        <f ca="1">ALL!M50</f>
        <v>-60.660000000000004</v>
      </c>
      <c r="J67" s="26">
        <f ca="1">ALL!N50</f>
        <v>-57.89</v>
      </c>
      <c r="K67" s="26">
        <f ca="1">ALL!O50</f>
        <v>-55.430000000000007</v>
      </c>
      <c r="L67" s="26">
        <f ca="1">ALL!P50</f>
        <v>-53.18</v>
      </c>
      <c r="M67" s="26">
        <f ca="1">ALL!Q50</f>
        <v>-51.16</v>
      </c>
      <c r="N67" s="26">
        <f ca="1">ALL!R50</f>
        <v>-49.8</v>
      </c>
      <c r="O67" s="26">
        <f ca="1">ALL!S50</f>
        <v>-50.540000000000006</v>
      </c>
      <c r="P67" s="26">
        <f ca="1">ALL!T50</f>
        <v>-51.64</v>
      </c>
      <c r="Q67" s="26">
        <f ca="1">ALL!U50</f>
        <v>-52.730000000000004</v>
      </c>
      <c r="R67" s="26">
        <f ca="1">ALL!V50</f>
        <v>-53.819999999999993</v>
      </c>
      <c r="S67" s="26">
        <f ca="1">ALL!W50</f>
        <v>-54.9</v>
      </c>
      <c r="T67" s="26">
        <f ca="1">ALL!X50</f>
        <v>-55.959999999999994</v>
      </c>
      <c r="U67" s="26">
        <f ca="1">ALL!Y50</f>
        <v>-57</v>
      </c>
      <c r="V67" s="26">
        <f ca="1">ALL!Z50</f>
        <v>-58.040000000000006</v>
      </c>
      <c r="W67" s="26">
        <f ca="1">ALL!AA50</f>
        <v>-62.02</v>
      </c>
      <c r="X67" s="26">
        <f ca="1">ALL!AB50</f>
        <v>-65.739999999999995</v>
      </c>
      <c r="Y67" s="26">
        <f ca="1">ALL!AC50</f>
        <v>-69.13</v>
      </c>
      <c r="Z67" s="26">
        <f ca="1">ALL!AD50</f>
        <v>-72.19</v>
      </c>
      <c r="AA67" s="26">
        <f ca="1">ALL!AE50</f>
        <v>0</v>
      </c>
      <c r="AB67" s="26">
        <f ca="1">ALL!AF50</f>
        <v>0</v>
      </c>
      <c r="AC67" s="26">
        <f ca="1">ALL!AG50</f>
        <v>0</v>
      </c>
      <c r="AD67" s="26">
        <f ca="1">ALL!AH50</f>
        <v>0</v>
      </c>
      <c r="AE67" s="26">
        <f ca="1">ALL!AI50</f>
        <v>0</v>
      </c>
      <c r="AF67" s="26">
        <f ca="1">ALL!AJ50</f>
        <v>0</v>
      </c>
      <c r="AG67" s="26">
        <f ca="1">ALL!AK50</f>
        <v>0</v>
      </c>
      <c r="AH67" s="26">
        <f ca="1">ALL!AL50</f>
        <v>0</v>
      </c>
      <c r="AI67" s="26">
        <f>ALL!AM50</f>
        <v>0</v>
      </c>
    </row>
    <row r="68" spans="1:35" ht="21.75" hidden="1" outlineLevel="1" thickBot="1" x14ac:dyDescent="0.4">
      <c r="A68" s="58" t="str">
        <f>ALL!E51</f>
        <v>*Se[m]</v>
      </c>
      <c r="B68" s="28">
        <f ca="1">ALL!F51</f>
        <v>-23.56</v>
      </c>
      <c r="C68" s="28">
        <f ca="1">ALL!G51</f>
        <v>-22.35</v>
      </c>
      <c r="D68" s="28">
        <f ca="1">ALL!H51</f>
        <v>-21.55</v>
      </c>
      <c r="E68" s="28">
        <f ca="1">ALL!I51</f>
        <v>-21.2</v>
      </c>
      <c r="F68" s="26">
        <f ca="1">ALL!J51</f>
        <v>-21.2</v>
      </c>
      <c r="G68" s="26">
        <f ca="1">ALL!K51</f>
        <v>-21.38</v>
      </c>
      <c r="H68" s="26">
        <f ca="1">ALL!L51</f>
        <v>-21.63</v>
      </c>
      <c r="I68" s="26">
        <f ca="1">ALL!M51</f>
        <v>-21.89</v>
      </c>
      <c r="J68" s="26">
        <f ca="1">ALL!N51</f>
        <v>-22.11</v>
      </c>
      <c r="K68" s="26">
        <f ca="1">ALL!O51</f>
        <v>-22.3</v>
      </c>
      <c r="L68" s="26">
        <f ca="1">ALL!P51</f>
        <v>-22.47</v>
      </c>
      <c r="M68" s="26">
        <f ca="1">ALL!Q51</f>
        <v>-22.67</v>
      </c>
      <c r="N68" s="26">
        <f ca="1">ALL!R51</f>
        <v>-22.85</v>
      </c>
      <c r="O68" s="26">
        <f ca="1">ALL!S51</f>
        <v>-23.1</v>
      </c>
      <c r="P68" s="26">
        <f ca="1">ALL!T51</f>
        <v>-23.4</v>
      </c>
      <c r="Q68" s="26">
        <f ca="1">ALL!U51</f>
        <v>-23.69</v>
      </c>
      <c r="R68" s="26">
        <f ca="1">ALL!V51</f>
        <v>-23.99</v>
      </c>
      <c r="S68" s="26">
        <f ca="1">ALL!W51</f>
        <v>-24.29</v>
      </c>
      <c r="T68" s="26">
        <f ca="1">ALL!X51</f>
        <v>-24.58</v>
      </c>
      <c r="U68" s="26">
        <f ca="1">ALL!Y51</f>
        <v>-24.87</v>
      </c>
      <c r="V68" s="26">
        <f ca="1">ALL!Z51</f>
        <v>-25.16</v>
      </c>
      <c r="W68" s="26">
        <f ca="1">ALL!AA51</f>
        <v>-26.28</v>
      </c>
      <c r="X68" s="26">
        <f ca="1">ALL!AB51</f>
        <v>-27.37</v>
      </c>
      <c r="Y68" s="26">
        <f ca="1">ALL!AC51</f>
        <v>-28.41</v>
      </c>
      <c r="Z68" s="26">
        <f ca="1">ALL!AD51</f>
        <v>-29.42</v>
      </c>
      <c r="AA68" s="26">
        <f ca="1">ALL!AE51</f>
        <v>0</v>
      </c>
      <c r="AB68" s="26">
        <f ca="1">ALL!AF51</f>
        <v>0</v>
      </c>
      <c r="AC68" s="26">
        <f ca="1">ALL!AG51</f>
        <v>0</v>
      </c>
      <c r="AD68" s="26">
        <f ca="1">ALL!AH51</f>
        <v>0</v>
      </c>
      <c r="AE68" s="26">
        <f ca="1">ALL!AI51</f>
        <v>0</v>
      </c>
      <c r="AF68" s="26">
        <f ca="1">ALL!AJ51</f>
        <v>0</v>
      </c>
      <c r="AG68" s="26">
        <f ca="1">ALL!AK51</f>
        <v>0</v>
      </c>
      <c r="AH68" s="26">
        <f ca="1">ALL!AL51</f>
        <v>0</v>
      </c>
      <c r="AI68" s="26">
        <f>ALL!AM51</f>
        <v>0</v>
      </c>
    </row>
    <row r="69" spans="1:35" ht="21.75" hidden="1" outlineLevel="1" thickBot="1" x14ac:dyDescent="0.4">
      <c r="A69" s="58" t="str">
        <f>ALL!E52</f>
        <v>*GeSe2</v>
      </c>
      <c r="B69" s="28">
        <f ca="1">ALL!F52</f>
        <v>-113.65</v>
      </c>
      <c r="C69" s="28">
        <f ca="1">ALL!G52</f>
        <v>-106.83000000000001</v>
      </c>
      <c r="D69" s="28">
        <f ca="1">ALL!H52</f>
        <v>-101.06</v>
      </c>
      <c r="E69" s="28">
        <f ca="1">ALL!I52</f>
        <v>-96.199999999999989</v>
      </c>
      <c r="F69" s="26">
        <f ca="1">ALL!J52</f>
        <v>-92.08</v>
      </c>
      <c r="G69" s="26">
        <f ca="1">ALL!K52</f>
        <v>-88.5</v>
      </c>
      <c r="H69" s="26">
        <f ca="1">ALL!L52</f>
        <v>-85.35</v>
      </c>
      <c r="I69" s="26">
        <f ca="1">ALL!M52</f>
        <v>-82.550000000000011</v>
      </c>
      <c r="J69" s="26">
        <f ca="1">ALL!N52</f>
        <v>-80</v>
      </c>
      <c r="K69" s="26">
        <f ca="1">ALL!O52</f>
        <v>-77.73</v>
      </c>
      <c r="L69" s="26">
        <f ca="1">ALL!P52</f>
        <v>-75.650000000000006</v>
      </c>
      <c r="M69" s="26">
        <f ca="1">ALL!Q52</f>
        <v>-73.83</v>
      </c>
      <c r="N69" s="26">
        <f ca="1">ALL!R52</f>
        <v>-72.650000000000006</v>
      </c>
      <c r="O69" s="26">
        <f ca="1">ALL!S52</f>
        <v>-73.64</v>
      </c>
      <c r="P69" s="26">
        <f ca="1">ALL!T52</f>
        <v>-75.039999999999992</v>
      </c>
      <c r="Q69" s="26">
        <f ca="1">ALL!U52</f>
        <v>-76.42</v>
      </c>
      <c r="R69" s="26">
        <f ca="1">ALL!V52</f>
        <v>-77.81</v>
      </c>
      <c r="S69" s="26">
        <f ca="1">ALL!W52</f>
        <v>-79.19</v>
      </c>
      <c r="T69" s="26">
        <f ca="1">ALL!X52</f>
        <v>-80.539999999999992</v>
      </c>
      <c r="U69" s="26">
        <f ca="1">ALL!Y52</f>
        <v>-81.87</v>
      </c>
      <c r="V69" s="26">
        <f ca="1">ALL!Z52</f>
        <v>-83.2</v>
      </c>
      <c r="W69" s="26">
        <f ca="1">ALL!AA52</f>
        <v>-88.300000000000011</v>
      </c>
      <c r="X69" s="26">
        <f ca="1">ALL!AB52</f>
        <v>-93.11</v>
      </c>
      <c r="Y69" s="26">
        <f ca="1">ALL!AC52</f>
        <v>-97.539999999999992</v>
      </c>
      <c r="Z69" s="26">
        <f ca="1">ALL!AD52</f>
        <v>-101.61000000000001</v>
      </c>
      <c r="AA69" s="26">
        <f ca="1">ALL!AE52</f>
        <v>0</v>
      </c>
      <c r="AB69" s="26">
        <f ca="1">ALL!AF52</f>
        <v>0</v>
      </c>
      <c r="AC69" s="26">
        <f ca="1">ALL!AG52</f>
        <v>0</v>
      </c>
      <c r="AD69" s="26">
        <f ca="1">ALL!AH52</f>
        <v>0</v>
      </c>
      <c r="AE69" s="26">
        <f ca="1">ALL!AI52</f>
        <v>0</v>
      </c>
      <c r="AF69" s="26">
        <f ca="1">ALL!AJ52</f>
        <v>0</v>
      </c>
      <c r="AG69" s="26">
        <f ca="1">ALL!AK52</f>
        <v>0</v>
      </c>
      <c r="AH69" s="26">
        <f ca="1">ALL!AL52</f>
        <v>0</v>
      </c>
      <c r="AI69" s="26">
        <f>ALL!AM52</f>
        <v>0</v>
      </c>
    </row>
    <row r="70" spans="1:35" ht="21.75" hidden="1" outlineLevel="1" thickBot="1" x14ac:dyDescent="0.4">
      <c r="A70" s="58" t="str">
        <f>ALL!E53</f>
        <v>Ga2Se3</v>
      </c>
      <c r="B70" s="28">
        <f ca="1">ALL!F53</f>
        <v>-203.74</v>
      </c>
      <c r="C70" s="28">
        <f ca="1">ALL!G53</f>
        <v>-191.31</v>
      </c>
      <c r="D70" s="28">
        <f ca="1">ALL!H53</f>
        <v>-180.57</v>
      </c>
      <c r="E70" s="28">
        <f ca="1">ALL!I53</f>
        <v>-171.2</v>
      </c>
      <c r="F70" s="26">
        <f ca="1">ALL!J53</f>
        <v>-162.95999999999998</v>
      </c>
      <c r="G70" s="26">
        <f ca="1">ALL!K53</f>
        <v>-155.62</v>
      </c>
      <c r="H70" s="26">
        <f ca="1">ALL!L53</f>
        <v>-149.07</v>
      </c>
      <c r="I70" s="26">
        <f ca="1">ALL!M53</f>
        <v>-143.21</v>
      </c>
      <c r="J70" s="26">
        <f ca="1">ALL!N53</f>
        <v>-137.88999999999999</v>
      </c>
      <c r="K70" s="26">
        <f ca="1">ALL!O53</f>
        <v>-133.16000000000003</v>
      </c>
      <c r="L70" s="26">
        <f ca="1">ALL!P53</f>
        <v>-128.82999999999998</v>
      </c>
      <c r="M70" s="26">
        <f ca="1">ALL!Q53</f>
        <v>-124.99000000000001</v>
      </c>
      <c r="N70" s="26">
        <f ca="1">ALL!R53</f>
        <v>-122.45000000000002</v>
      </c>
      <c r="O70" s="26">
        <f ca="1">ALL!S53</f>
        <v>-124.18</v>
      </c>
      <c r="P70" s="26">
        <f ca="1">ALL!T53</f>
        <v>-126.67999999999998</v>
      </c>
      <c r="Q70" s="26">
        <f ca="1">ALL!U53</f>
        <v>-129.15</v>
      </c>
      <c r="R70" s="26">
        <f ca="1">ALL!V53</f>
        <v>-131.63</v>
      </c>
      <c r="S70" s="26">
        <f ca="1">ALL!W53</f>
        <v>-134.09</v>
      </c>
      <c r="T70" s="26">
        <f ca="1">ALL!X53</f>
        <v>-136.5</v>
      </c>
      <c r="U70" s="26">
        <f ca="1">ALL!Y53</f>
        <v>-138.87</v>
      </c>
      <c r="V70" s="26">
        <f ca="1">ALL!Z53</f>
        <v>-141.24</v>
      </c>
      <c r="W70" s="26">
        <f ca="1">ALL!AA53</f>
        <v>-150.32</v>
      </c>
      <c r="X70" s="26">
        <f ca="1">ALL!AB53</f>
        <v>-158.85</v>
      </c>
      <c r="Y70" s="26">
        <f ca="1">ALL!AC53</f>
        <v>-166.67000000000002</v>
      </c>
      <c r="Z70" s="26">
        <f ca="1">ALL!AD53</f>
        <v>-173.8</v>
      </c>
      <c r="AA70" s="26">
        <f ca="1">ALL!AE53</f>
        <v>0</v>
      </c>
      <c r="AB70" s="26">
        <f ca="1">ALL!AF53</f>
        <v>0</v>
      </c>
      <c r="AC70" s="26">
        <f ca="1">ALL!AG53</f>
        <v>0</v>
      </c>
      <c r="AD70" s="26">
        <f ca="1">ALL!AH53</f>
        <v>0</v>
      </c>
      <c r="AE70" s="26">
        <f ca="1">ALL!AI53</f>
        <v>0</v>
      </c>
      <c r="AF70" s="26">
        <f ca="1">ALL!AJ53</f>
        <v>0</v>
      </c>
      <c r="AG70" s="26">
        <f ca="1">ALL!AK53</f>
        <v>0</v>
      </c>
      <c r="AH70" s="26">
        <f ca="1">ALL!AL53</f>
        <v>0</v>
      </c>
      <c r="AI70" s="26">
        <f>ALL!AM53</f>
        <v>0</v>
      </c>
    </row>
    <row r="71" spans="1:35" ht="21.75" hidden="1" outlineLevel="1" thickBot="1" x14ac:dyDescent="0.4">
      <c r="A71" s="58" t="str">
        <f>ALL!E54</f>
        <v>Ar</v>
      </c>
      <c r="B71" s="28">
        <f ca="1">ALL!F54</f>
        <v>-18.760000000000002</v>
      </c>
      <c r="C71" s="28">
        <f ca="1">ALL!G54</f>
        <v>-18.75</v>
      </c>
      <c r="D71" s="28">
        <f ca="1">ALL!H54</f>
        <v>-18.75</v>
      </c>
      <c r="E71" s="28">
        <f ca="1">ALL!I54</f>
        <v>-18.75</v>
      </c>
      <c r="F71" s="26">
        <f ca="1">ALL!J54</f>
        <v>-18.760000000000002</v>
      </c>
      <c r="G71" s="26">
        <f ca="1">ALL!K54</f>
        <v>-18.79</v>
      </c>
      <c r="H71" s="26">
        <f ca="1">ALL!L54</f>
        <v>-18.809999999999999</v>
      </c>
      <c r="I71" s="26">
        <f ca="1">ALL!M54</f>
        <v>-18.850000000000001</v>
      </c>
      <c r="J71" s="26">
        <f ca="1">ALL!N54</f>
        <v>-18.88</v>
      </c>
      <c r="K71" s="26">
        <f ca="1">ALL!O54</f>
        <v>-18.91</v>
      </c>
      <c r="L71" s="26">
        <f ca="1">ALL!P54</f>
        <v>-18.940000000000001</v>
      </c>
      <c r="M71" s="26">
        <f ca="1">ALL!Q54</f>
        <v>-18.97</v>
      </c>
      <c r="N71" s="26">
        <f ca="1">ALL!R54</f>
        <v>-18.95</v>
      </c>
      <c r="O71" s="26">
        <f ca="1">ALL!S54</f>
        <v>-18.97</v>
      </c>
      <c r="P71" s="26">
        <f ca="1">ALL!T54</f>
        <v>-19.010000000000002</v>
      </c>
      <c r="Q71" s="26">
        <f ca="1">ALL!U54</f>
        <v>-19.05</v>
      </c>
      <c r="R71" s="26">
        <f ca="1">ALL!V54</f>
        <v>-19.09</v>
      </c>
      <c r="S71" s="26">
        <f ca="1">ALL!W54</f>
        <v>-19.14</v>
      </c>
      <c r="T71" s="26">
        <f ca="1">ALL!X54</f>
        <v>-19.18</v>
      </c>
      <c r="U71" s="26">
        <f ca="1">ALL!Y54</f>
        <v>-19.22</v>
      </c>
      <c r="V71" s="26">
        <f ca="1">ALL!Z54</f>
        <v>-19.260000000000002</v>
      </c>
      <c r="W71" s="26">
        <f ca="1">ALL!AA54</f>
        <v>-19.43</v>
      </c>
      <c r="X71" s="26">
        <f ca="1">ALL!AB54</f>
        <v>-19.59</v>
      </c>
      <c r="Y71" s="26">
        <f ca="1">ALL!AC54</f>
        <v>-19.739999999999998</v>
      </c>
      <c r="Z71" s="26">
        <f ca="1">ALL!AD54</f>
        <v>-19.88</v>
      </c>
      <c r="AA71" s="26">
        <f ca="1">ALL!AE54</f>
        <v>0</v>
      </c>
      <c r="AB71" s="26">
        <f ca="1">ALL!AF54</f>
        <v>0</v>
      </c>
      <c r="AC71" s="26">
        <f ca="1">ALL!AG54</f>
        <v>0</v>
      </c>
      <c r="AD71" s="26">
        <f ca="1">ALL!AH54</f>
        <v>0</v>
      </c>
      <c r="AE71" s="26">
        <f ca="1">ALL!AI54</f>
        <v>0</v>
      </c>
      <c r="AF71" s="26">
        <f ca="1">ALL!AJ54</f>
        <v>0</v>
      </c>
      <c r="AG71" s="26">
        <f ca="1">ALL!AK54</f>
        <v>0</v>
      </c>
      <c r="AH71" s="26">
        <f ca="1">ALL!AL54</f>
        <v>0</v>
      </c>
      <c r="AI71" s="26">
        <f>ALL!AM54</f>
        <v>0</v>
      </c>
    </row>
    <row r="72" spans="1:35" ht="21.75" hidden="1" outlineLevel="1" thickBot="1" x14ac:dyDescent="0.4">
      <c r="A72" s="58" t="str">
        <f>ALL!E55</f>
        <v>(l)GeSe2</v>
      </c>
      <c r="B72" s="28">
        <f ca="1">ALL!F55</f>
        <v>-113.65</v>
      </c>
      <c r="C72" s="28">
        <f ca="1">ALL!G55</f>
        <v>-106.83000000000001</v>
      </c>
      <c r="D72" s="28">
        <f ca="1">ALL!H55</f>
        <v>-101.06</v>
      </c>
      <c r="E72" s="28">
        <f ca="1">ALL!I55</f>
        <v>-96.199999999999989</v>
      </c>
      <c r="F72" s="26">
        <f ca="1">ALL!J55</f>
        <v>-92.08</v>
      </c>
      <c r="G72" s="26">
        <f ca="1">ALL!K55</f>
        <v>-88.5</v>
      </c>
      <c r="H72" s="26">
        <f ca="1">ALL!L55</f>
        <v>-85.35</v>
      </c>
      <c r="I72" s="26">
        <f ca="1">ALL!M55</f>
        <v>-82.550000000000011</v>
      </c>
      <c r="J72" s="26">
        <f ca="1">ALL!N55</f>
        <v>-80</v>
      </c>
      <c r="K72" s="26">
        <f ca="1">ALL!O55</f>
        <v>-77.73</v>
      </c>
      <c r="L72" s="26">
        <f ca="1">ALL!P55</f>
        <v>-75.650000000000006</v>
      </c>
      <c r="M72" s="26">
        <f ca="1">ALL!Q55</f>
        <v>-73.83</v>
      </c>
      <c r="N72" s="26">
        <f ca="1">ALL!R55</f>
        <v>-72.650000000000006</v>
      </c>
      <c r="O72" s="26">
        <f ca="1">ALL!S55</f>
        <v>-73.64</v>
      </c>
      <c r="P72" s="26">
        <f ca="1">ALL!T55</f>
        <v>-75.039999999999992</v>
      </c>
      <c r="Q72" s="26">
        <f ca="1">ALL!U55</f>
        <v>-76.42</v>
      </c>
      <c r="R72" s="26">
        <f ca="1">ALL!V55</f>
        <v>-77.81</v>
      </c>
      <c r="S72" s="26">
        <f ca="1">ALL!W55</f>
        <v>-79.19</v>
      </c>
      <c r="T72" s="26">
        <f ca="1">ALL!X55</f>
        <v>-80.539999999999992</v>
      </c>
      <c r="U72" s="26">
        <f ca="1">ALL!Y55</f>
        <v>-81.87</v>
      </c>
      <c r="V72" s="26">
        <f ca="1">ALL!Z55</f>
        <v>-83.2</v>
      </c>
      <c r="W72" s="26">
        <f ca="1">ALL!AA55</f>
        <v>-88.300000000000011</v>
      </c>
      <c r="X72" s="26">
        <f ca="1">ALL!AB55</f>
        <v>-93.11</v>
      </c>
      <c r="Y72" s="26">
        <f ca="1">ALL!AC55</f>
        <v>-97.539999999999992</v>
      </c>
      <c r="Z72" s="26">
        <f ca="1">ALL!AD55</f>
        <v>-101.61000000000001</v>
      </c>
      <c r="AA72" s="26">
        <f ca="1">ALL!AE55</f>
        <v>0</v>
      </c>
      <c r="AB72" s="26">
        <f ca="1">ALL!AF55</f>
        <v>0</v>
      </c>
      <c r="AC72" s="26">
        <f ca="1">ALL!AG55</f>
        <v>0</v>
      </c>
      <c r="AD72" s="26">
        <f ca="1">ALL!AH55</f>
        <v>0</v>
      </c>
      <c r="AE72" s="26">
        <f ca="1">ALL!AI55</f>
        <v>0</v>
      </c>
      <c r="AF72" s="26">
        <f ca="1">ALL!AJ55</f>
        <v>0</v>
      </c>
      <c r="AG72" s="26">
        <f ca="1">ALL!AK55</f>
        <v>0</v>
      </c>
      <c r="AH72" s="26">
        <f ca="1">ALL!AL55</f>
        <v>0</v>
      </c>
      <c r="AI72" s="26">
        <f>ALL!AM55</f>
        <v>0</v>
      </c>
    </row>
    <row r="73" spans="1:35" ht="21.75" hidden="1" outlineLevel="1" thickBot="1" x14ac:dyDescent="0.4">
      <c r="A73" s="58" t="str">
        <f>ALL!E56</f>
        <v>(l)GeSe</v>
      </c>
      <c r="B73" s="28">
        <f ca="1">ALL!F56</f>
        <v>-90.09</v>
      </c>
      <c r="C73" s="28">
        <f ca="1">ALL!G56</f>
        <v>-84.48</v>
      </c>
      <c r="D73" s="28">
        <f ca="1">ALL!H56</f>
        <v>-79.510000000000005</v>
      </c>
      <c r="E73" s="28">
        <f ca="1">ALL!I56</f>
        <v>-75</v>
      </c>
      <c r="F73" s="26">
        <f ca="1">ALL!J56</f>
        <v>-70.88</v>
      </c>
      <c r="G73" s="26">
        <f ca="1">ALL!K56</f>
        <v>-67.12</v>
      </c>
      <c r="H73" s="26">
        <f ca="1">ALL!L56</f>
        <v>-63.72</v>
      </c>
      <c r="I73" s="26">
        <f ca="1">ALL!M56</f>
        <v>-60.660000000000004</v>
      </c>
      <c r="J73" s="26">
        <f ca="1">ALL!N56</f>
        <v>-57.89</v>
      </c>
      <c r="K73" s="26">
        <f ca="1">ALL!O56</f>
        <v>-55.430000000000007</v>
      </c>
      <c r="L73" s="26">
        <f ca="1">ALL!P56</f>
        <v>-53.18</v>
      </c>
      <c r="M73" s="26">
        <f ca="1">ALL!Q56</f>
        <v>-51.16</v>
      </c>
      <c r="N73" s="26">
        <f ca="1">ALL!R56</f>
        <v>-49.8</v>
      </c>
      <c r="O73" s="26">
        <f ca="1">ALL!S56</f>
        <v>-50.540000000000006</v>
      </c>
      <c r="P73" s="26">
        <f ca="1">ALL!T56</f>
        <v>-51.64</v>
      </c>
      <c r="Q73" s="26">
        <f ca="1">ALL!U56</f>
        <v>-52.730000000000004</v>
      </c>
      <c r="R73" s="26">
        <f ca="1">ALL!V56</f>
        <v>-53.819999999999993</v>
      </c>
      <c r="S73" s="26">
        <f ca="1">ALL!W56</f>
        <v>-54.9</v>
      </c>
      <c r="T73" s="26">
        <f ca="1">ALL!X56</f>
        <v>-55.959999999999994</v>
      </c>
      <c r="U73" s="26">
        <f ca="1">ALL!Y56</f>
        <v>-57</v>
      </c>
      <c r="V73" s="26">
        <f ca="1">ALL!Z56</f>
        <v>-58.040000000000006</v>
      </c>
      <c r="W73" s="26">
        <f ca="1">ALL!AA56</f>
        <v>-62.02</v>
      </c>
      <c r="X73" s="26">
        <f ca="1">ALL!AB56</f>
        <v>-65.739999999999995</v>
      </c>
      <c r="Y73" s="26">
        <f ca="1">ALL!AC56</f>
        <v>-69.13</v>
      </c>
      <c r="Z73" s="26">
        <f ca="1">ALL!AD56</f>
        <v>-72.19</v>
      </c>
      <c r="AA73" s="26">
        <f ca="1">ALL!AE56</f>
        <v>0</v>
      </c>
      <c r="AB73" s="26">
        <f ca="1">ALL!AF56</f>
        <v>0</v>
      </c>
      <c r="AC73" s="26">
        <f ca="1">ALL!AG56</f>
        <v>0</v>
      </c>
      <c r="AD73" s="26">
        <f ca="1">ALL!AH56</f>
        <v>0</v>
      </c>
      <c r="AE73" s="26">
        <f ca="1">ALL!AI56</f>
        <v>0</v>
      </c>
      <c r="AF73" s="26">
        <f ca="1">ALL!AJ56</f>
        <v>0</v>
      </c>
      <c r="AG73" s="26">
        <f ca="1">ALL!AK56</f>
        <v>0</v>
      </c>
      <c r="AH73" s="26">
        <f ca="1">ALL!AL56</f>
        <v>0</v>
      </c>
      <c r="AI73" s="26">
        <f>ALL!AM56</f>
        <v>0</v>
      </c>
    </row>
    <row r="74" spans="1:35" ht="21.75" hidden="1" outlineLevel="1" thickBot="1" x14ac:dyDescent="0.4">
      <c r="A74" s="58" t="str">
        <f>ALL!E57</f>
        <v>(l)Ga2Se3</v>
      </c>
      <c r="B74" s="28">
        <f ca="1">ALL!F57</f>
        <v>-203.74</v>
      </c>
      <c r="C74" s="28">
        <f ca="1">ALL!G57</f>
        <v>-191.31</v>
      </c>
      <c r="D74" s="28">
        <f ca="1">ALL!H57</f>
        <v>-180.57</v>
      </c>
      <c r="E74" s="28">
        <f ca="1">ALL!I57</f>
        <v>-171.2</v>
      </c>
      <c r="F74" s="26">
        <f ca="1">ALL!J57</f>
        <v>-162.95999999999998</v>
      </c>
      <c r="G74" s="26">
        <f ca="1">ALL!K57</f>
        <v>-155.62</v>
      </c>
      <c r="H74" s="26">
        <f ca="1">ALL!L57</f>
        <v>-149.07</v>
      </c>
      <c r="I74" s="26">
        <f ca="1">ALL!M57</f>
        <v>-143.21</v>
      </c>
      <c r="J74" s="26">
        <f ca="1">ALL!N57</f>
        <v>-137.88999999999999</v>
      </c>
      <c r="K74" s="26">
        <f ca="1">ALL!O57</f>
        <v>-133.16000000000003</v>
      </c>
      <c r="L74" s="26">
        <f ca="1">ALL!P57</f>
        <v>-128.82999999999998</v>
      </c>
      <c r="M74" s="26">
        <f ca="1">ALL!Q57</f>
        <v>-124.99000000000001</v>
      </c>
      <c r="N74" s="26">
        <f ca="1">ALL!R57</f>
        <v>-122.45000000000002</v>
      </c>
      <c r="O74" s="26">
        <f ca="1">ALL!S57</f>
        <v>-124.18</v>
      </c>
      <c r="P74" s="26">
        <f ca="1">ALL!T57</f>
        <v>-126.67999999999998</v>
      </c>
      <c r="Q74" s="26">
        <f ca="1">ALL!U57</f>
        <v>-129.15</v>
      </c>
      <c r="R74" s="26">
        <f ca="1">ALL!V57</f>
        <v>-131.63</v>
      </c>
      <c r="S74" s="26">
        <f ca="1">ALL!W57</f>
        <v>-134.09</v>
      </c>
      <c r="T74" s="26">
        <f ca="1">ALL!X57</f>
        <v>-136.5</v>
      </c>
      <c r="U74" s="26">
        <f ca="1">ALL!Y57</f>
        <v>-138.87</v>
      </c>
      <c r="V74" s="26">
        <f ca="1">ALL!Z57</f>
        <v>-141.24</v>
      </c>
      <c r="W74" s="26">
        <f ca="1">ALL!AA57</f>
        <v>-150.32</v>
      </c>
      <c r="X74" s="26">
        <f ca="1">ALL!AB57</f>
        <v>-158.85</v>
      </c>
      <c r="Y74" s="26">
        <f ca="1">ALL!AC57</f>
        <v>-166.67000000000002</v>
      </c>
      <c r="Z74" s="26">
        <f ca="1">ALL!AD57</f>
        <v>-173.8</v>
      </c>
      <c r="AA74" s="26">
        <f ca="1">ALL!AE57</f>
        <v>0</v>
      </c>
      <c r="AB74" s="26">
        <f ca="1">ALL!AF57</f>
        <v>0</v>
      </c>
      <c r="AC74" s="26">
        <f ca="1">ALL!AG57</f>
        <v>0</v>
      </c>
      <c r="AD74" s="26">
        <f ca="1">ALL!AH57</f>
        <v>0</v>
      </c>
      <c r="AE74" s="26">
        <f ca="1">ALL!AI57</f>
        <v>0</v>
      </c>
      <c r="AF74" s="26">
        <f ca="1">ALL!AJ57</f>
        <v>0</v>
      </c>
      <c r="AG74" s="26">
        <f ca="1">ALL!AK57</f>
        <v>0</v>
      </c>
      <c r="AH74" s="26">
        <f ca="1">ALL!AL57</f>
        <v>0</v>
      </c>
      <c r="AI74" s="26">
        <f>ALL!AM57</f>
        <v>0</v>
      </c>
    </row>
    <row r="75" spans="1:35" ht="21.75" hidden="1" outlineLevel="1" thickBot="1" x14ac:dyDescent="0.4">
      <c r="A75" s="58" t="str">
        <f>ALL!E58</f>
        <v>(l)Ge</v>
      </c>
      <c r="B75" s="28">
        <f ca="1">ALL!F58</f>
        <v>-66.53</v>
      </c>
      <c r="C75" s="28">
        <f ca="1">ALL!G58</f>
        <v>-62.13</v>
      </c>
      <c r="D75" s="28">
        <f ca="1">ALL!H58</f>
        <v>-57.96</v>
      </c>
      <c r="E75" s="28">
        <f ca="1">ALL!I58</f>
        <v>-53.8</v>
      </c>
      <c r="F75" s="26">
        <f ca="1">ALL!J58</f>
        <v>-49.68</v>
      </c>
      <c r="G75" s="26">
        <f ca="1">ALL!K58</f>
        <v>-45.74</v>
      </c>
      <c r="H75" s="26">
        <f ca="1">ALL!L58</f>
        <v>-42.09</v>
      </c>
      <c r="I75" s="26">
        <f ca="1">ALL!M58</f>
        <v>-38.770000000000003</v>
      </c>
      <c r="J75" s="26">
        <f ca="1">ALL!N58</f>
        <v>-35.78</v>
      </c>
      <c r="K75" s="26">
        <f ca="1">ALL!O58</f>
        <v>-33.130000000000003</v>
      </c>
      <c r="L75" s="26">
        <f ca="1">ALL!P58</f>
        <v>-30.71</v>
      </c>
      <c r="M75" s="26">
        <f ca="1">ALL!Q58</f>
        <v>-28.49</v>
      </c>
      <c r="N75" s="26">
        <f ca="1">ALL!R58</f>
        <v>-26.95</v>
      </c>
      <c r="O75" s="26">
        <f ca="1">ALL!S58</f>
        <v>-27.44</v>
      </c>
      <c r="P75" s="26">
        <f ca="1">ALL!T58</f>
        <v>-28.24</v>
      </c>
      <c r="Q75" s="26">
        <f ca="1">ALL!U58</f>
        <v>-29.04</v>
      </c>
      <c r="R75" s="26">
        <f ca="1">ALL!V58</f>
        <v>-29.83</v>
      </c>
      <c r="S75" s="26">
        <f ca="1">ALL!W58</f>
        <v>-30.61</v>
      </c>
      <c r="T75" s="26">
        <f ca="1">ALL!X58</f>
        <v>-31.38</v>
      </c>
      <c r="U75" s="26">
        <f ca="1">ALL!Y58</f>
        <v>-32.130000000000003</v>
      </c>
      <c r="V75" s="26">
        <f ca="1">ALL!Z58</f>
        <v>-32.880000000000003</v>
      </c>
      <c r="W75" s="26">
        <f ca="1">ALL!AA58</f>
        <v>-35.74</v>
      </c>
      <c r="X75" s="26">
        <f ca="1">ALL!AB58</f>
        <v>-38.369999999999997</v>
      </c>
      <c r="Y75" s="26">
        <f ca="1">ALL!AC58</f>
        <v>-40.72</v>
      </c>
      <c r="Z75" s="26">
        <f ca="1">ALL!AD58</f>
        <v>-42.77</v>
      </c>
      <c r="AA75" s="26">
        <f ca="1">ALL!AE58</f>
        <v>0</v>
      </c>
      <c r="AB75" s="26">
        <f ca="1">ALL!AF58</f>
        <v>0</v>
      </c>
      <c r="AC75" s="26">
        <f ca="1">ALL!AG58</f>
        <v>0</v>
      </c>
      <c r="AD75" s="26">
        <f ca="1">ALL!AH58</f>
        <v>0</v>
      </c>
      <c r="AE75" s="26">
        <f ca="1">ALL!AI58</f>
        <v>0</v>
      </c>
      <c r="AF75" s="26">
        <f ca="1">ALL!AJ58</f>
        <v>0</v>
      </c>
      <c r="AG75" s="26">
        <f ca="1">ALL!AK58</f>
        <v>0</v>
      </c>
      <c r="AH75" s="26">
        <f ca="1">ALL!AL58</f>
        <v>0</v>
      </c>
      <c r="AI75" s="26">
        <f>ALL!AM58</f>
        <v>0</v>
      </c>
    </row>
    <row r="76" spans="1:35" ht="21.75" hidden="1" outlineLevel="1" thickBot="1" x14ac:dyDescent="0.4">
      <c r="A76" s="58" t="str">
        <f>ALL!E59</f>
        <v>(l)Ga</v>
      </c>
      <c r="B76" s="28">
        <f ca="1">ALL!F59</f>
        <v>-66.53</v>
      </c>
      <c r="C76" s="28">
        <f ca="1">ALL!G59</f>
        <v>-62.13</v>
      </c>
      <c r="D76" s="28">
        <f ca="1">ALL!H59</f>
        <v>-57.96</v>
      </c>
      <c r="E76" s="28">
        <f ca="1">ALL!I59</f>
        <v>-53.8</v>
      </c>
      <c r="F76" s="26">
        <f ca="1">ALL!J59</f>
        <v>-49.68</v>
      </c>
      <c r="G76" s="26">
        <f ca="1">ALL!K59</f>
        <v>-45.74</v>
      </c>
      <c r="H76" s="26">
        <f ca="1">ALL!L59</f>
        <v>-42.09</v>
      </c>
      <c r="I76" s="26">
        <f ca="1">ALL!M59</f>
        <v>-38.770000000000003</v>
      </c>
      <c r="J76" s="26">
        <f ca="1">ALL!N59</f>
        <v>-35.78</v>
      </c>
      <c r="K76" s="26">
        <f ca="1">ALL!O59</f>
        <v>-33.130000000000003</v>
      </c>
      <c r="L76" s="26">
        <f ca="1">ALL!P59</f>
        <v>-30.71</v>
      </c>
      <c r="M76" s="26">
        <f ca="1">ALL!Q59</f>
        <v>-28.49</v>
      </c>
      <c r="N76" s="26">
        <f ca="1">ALL!R59</f>
        <v>-26.95</v>
      </c>
      <c r="O76" s="26">
        <f ca="1">ALL!S59</f>
        <v>-27.44</v>
      </c>
      <c r="P76" s="26">
        <f ca="1">ALL!T59</f>
        <v>-28.24</v>
      </c>
      <c r="Q76" s="26">
        <f ca="1">ALL!U59</f>
        <v>-29.04</v>
      </c>
      <c r="R76" s="26">
        <f ca="1">ALL!V59</f>
        <v>-29.83</v>
      </c>
      <c r="S76" s="26">
        <f ca="1">ALL!W59</f>
        <v>-30.61</v>
      </c>
      <c r="T76" s="26">
        <f ca="1">ALL!X59</f>
        <v>-31.38</v>
      </c>
      <c r="U76" s="26">
        <f ca="1">ALL!Y59</f>
        <v>-32.130000000000003</v>
      </c>
      <c r="V76" s="26">
        <f ca="1">ALL!Z59</f>
        <v>-32.880000000000003</v>
      </c>
      <c r="W76" s="26">
        <f ca="1">ALL!AA59</f>
        <v>-35.74</v>
      </c>
      <c r="X76" s="26">
        <f ca="1">ALL!AB59</f>
        <v>-38.369999999999997</v>
      </c>
      <c r="Y76" s="26">
        <f ca="1">ALL!AC59</f>
        <v>-40.72</v>
      </c>
      <c r="Z76" s="26">
        <f ca="1">ALL!AD59</f>
        <v>-42.77</v>
      </c>
      <c r="AA76" s="26">
        <f ca="1">ALL!AE59</f>
        <v>0</v>
      </c>
      <c r="AB76" s="26">
        <f ca="1">ALL!AF59</f>
        <v>0</v>
      </c>
      <c r="AC76" s="26">
        <f ca="1">ALL!AG59</f>
        <v>0</v>
      </c>
      <c r="AD76" s="26">
        <f ca="1">ALL!AH59</f>
        <v>0</v>
      </c>
      <c r="AE76" s="26">
        <f ca="1">ALL!AI59</f>
        <v>0</v>
      </c>
      <c r="AF76" s="26">
        <f ca="1">ALL!AJ59</f>
        <v>0</v>
      </c>
      <c r="AG76" s="26">
        <f ca="1">ALL!AK59</f>
        <v>0</v>
      </c>
      <c r="AH76" s="26">
        <f ca="1">ALL!AL59</f>
        <v>0</v>
      </c>
      <c r="AI76" s="26">
        <f>ALL!AM59</f>
        <v>0</v>
      </c>
    </row>
    <row r="77" spans="1:35" ht="21.75" hidden="1" outlineLevel="1" thickBot="1" x14ac:dyDescent="0.4">
      <c r="A77" s="58" t="str">
        <f>ALL!E60</f>
        <v>(l)Se</v>
      </c>
      <c r="B77" s="28">
        <f ca="1">ALL!F60</f>
        <v>-23.56</v>
      </c>
      <c r="C77" s="28">
        <f ca="1">ALL!G60</f>
        <v>-22.35</v>
      </c>
      <c r="D77" s="28">
        <f ca="1">ALL!H60</f>
        <v>-21.55</v>
      </c>
      <c r="E77" s="28">
        <f ca="1">ALL!I60</f>
        <v>-21.2</v>
      </c>
      <c r="F77" s="26">
        <f ca="1">ALL!J60</f>
        <v>-21.2</v>
      </c>
      <c r="G77" s="26">
        <f ca="1">ALL!K60</f>
        <v>-21.38</v>
      </c>
      <c r="H77" s="26">
        <f ca="1">ALL!L60</f>
        <v>-21.63</v>
      </c>
      <c r="I77" s="26">
        <f ca="1">ALL!M60</f>
        <v>-21.89</v>
      </c>
      <c r="J77" s="26">
        <f ca="1">ALL!N60</f>
        <v>-22.11</v>
      </c>
      <c r="K77" s="26">
        <f ca="1">ALL!O60</f>
        <v>-22.3</v>
      </c>
      <c r="L77" s="26">
        <f ca="1">ALL!P60</f>
        <v>-22.47</v>
      </c>
      <c r="M77" s="26">
        <f ca="1">ALL!Q60</f>
        <v>-22.67</v>
      </c>
      <c r="N77" s="26">
        <f ca="1">ALL!R60</f>
        <v>-22.85</v>
      </c>
      <c r="O77" s="26">
        <f ca="1">ALL!S60</f>
        <v>-23.1</v>
      </c>
      <c r="P77" s="26">
        <f ca="1">ALL!T60</f>
        <v>-23.4</v>
      </c>
      <c r="Q77" s="26">
        <f ca="1">ALL!U60</f>
        <v>-23.69</v>
      </c>
      <c r="R77" s="26">
        <f ca="1">ALL!V60</f>
        <v>-23.99</v>
      </c>
      <c r="S77" s="26">
        <f ca="1">ALL!W60</f>
        <v>-24.29</v>
      </c>
      <c r="T77" s="26">
        <f ca="1">ALL!X60</f>
        <v>-24.58</v>
      </c>
      <c r="U77" s="26">
        <f ca="1">ALL!Y60</f>
        <v>-24.87</v>
      </c>
      <c r="V77" s="26">
        <f ca="1">ALL!Z60</f>
        <v>-25.16</v>
      </c>
      <c r="W77" s="26">
        <f ca="1">ALL!AA60</f>
        <v>-26.28</v>
      </c>
      <c r="X77" s="26">
        <f ca="1">ALL!AB60</f>
        <v>-27.37</v>
      </c>
      <c r="Y77" s="26">
        <f ca="1">ALL!AC60</f>
        <v>-28.41</v>
      </c>
      <c r="Z77" s="26">
        <f ca="1">ALL!AD60</f>
        <v>-29.42</v>
      </c>
      <c r="AA77" s="26">
        <f ca="1">ALL!AE60</f>
        <v>0</v>
      </c>
      <c r="AB77" s="26">
        <f ca="1">ALL!AF60</f>
        <v>0</v>
      </c>
      <c r="AC77" s="26">
        <f ca="1">ALL!AG60</f>
        <v>0</v>
      </c>
      <c r="AD77" s="26">
        <f ca="1">ALL!AH60</f>
        <v>0</v>
      </c>
      <c r="AE77" s="26">
        <f ca="1">ALL!AI60</f>
        <v>0</v>
      </c>
      <c r="AF77" s="26">
        <f ca="1">ALL!AJ60</f>
        <v>0</v>
      </c>
      <c r="AG77" s="26">
        <f ca="1">ALL!AK60</f>
        <v>0</v>
      </c>
      <c r="AH77" s="26">
        <f ca="1">ALL!AL60</f>
        <v>0</v>
      </c>
      <c r="AI77" s="26">
        <f>ALL!AM60</f>
        <v>0</v>
      </c>
    </row>
    <row r="78" spans="1:35" ht="21.75" hidden="1" outlineLevel="1" thickBot="1" x14ac:dyDescent="0.4">
      <c r="A78" s="58" t="str">
        <f>ALL!E61</f>
        <v>(l)Se[a]</v>
      </c>
      <c r="B78" s="28">
        <f ca="1">ALL!F61</f>
        <v>-23.56</v>
      </c>
      <c r="C78" s="28">
        <f ca="1">ALL!G61</f>
        <v>-22.35</v>
      </c>
      <c r="D78" s="28">
        <f ca="1">ALL!H61</f>
        <v>-21.55</v>
      </c>
      <c r="E78" s="28">
        <f ca="1">ALL!I61</f>
        <v>-21.2</v>
      </c>
      <c r="F78" s="26">
        <f ca="1">ALL!J61</f>
        <v>-21.2</v>
      </c>
      <c r="G78" s="26">
        <f ca="1">ALL!K61</f>
        <v>-21.38</v>
      </c>
      <c r="H78" s="26">
        <f ca="1">ALL!L61</f>
        <v>-21.63</v>
      </c>
      <c r="I78" s="26">
        <f ca="1">ALL!M61</f>
        <v>-21.89</v>
      </c>
      <c r="J78" s="26">
        <f ca="1">ALL!N61</f>
        <v>-22.11</v>
      </c>
      <c r="K78" s="26">
        <f ca="1">ALL!O61</f>
        <v>-22.3</v>
      </c>
      <c r="L78" s="26">
        <f ca="1">ALL!P61</f>
        <v>-22.47</v>
      </c>
      <c r="M78" s="26">
        <f ca="1">ALL!Q61</f>
        <v>-22.67</v>
      </c>
      <c r="N78" s="26">
        <f ca="1">ALL!R61</f>
        <v>-22.85</v>
      </c>
      <c r="O78" s="26">
        <f ca="1">ALL!S61</f>
        <v>-23.1</v>
      </c>
      <c r="P78" s="26">
        <f ca="1">ALL!T61</f>
        <v>-23.4</v>
      </c>
      <c r="Q78" s="26">
        <f ca="1">ALL!U61</f>
        <v>-23.69</v>
      </c>
      <c r="R78" s="26">
        <f ca="1">ALL!V61</f>
        <v>-23.99</v>
      </c>
      <c r="S78" s="26">
        <f ca="1">ALL!W61</f>
        <v>-24.29</v>
      </c>
      <c r="T78" s="26">
        <f ca="1">ALL!X61</f>
        <v>-24.58</v>
      </c>
      <c r="U78" s="26">
        <f ca="1">ALL!Y61</f>
        <v>-24.87</v>
      </c>
      <c r="V78" s="26">
        <f ca="1">ALL!Z61</f>
        <v>-25.16</v>
      </c>
      <c r="W78" s="26">
        <f ca="1">ALL!AA61</f>
        <v>-26.28</v>
      </c>
      <c r="X78" s="26">
        <f ca="1">ALL!AB61</f>
        <v>-27.37</v>
      </c>
      <c r="Y78" s="26">
        <f ca="1">ALL!AC61</f>
        <v>-28.41</v>
      </c>
      <c r="Z78" s="26">
        <f ca="1">ALL!AD61</f>
        <v>-29.42</v>
      </c>
      <c r="AA78" s="26">
        <f ca="1">ALL!AE61</f>
        <v>0</v>
      </c>
      <c r="AB78" s="26">
        <f ca="1">ALL!AF61</f>
        <v>0</v>
      </c>
      <c r="AC78" s="26">
        <f ca="1">ALL!AG61</f>
        <v>0</v>
      </c>
      <c r="AD78" s="26">
        <f ca="1">ALL!AH61</f>
        <v>0</v>
      </c>
      <c r="AE78" s="26">
        <f ca="1">ALL!AI61</f>
        <v>0</v>
      </c>
      <c r="AF78" s="26">
        <f ca="1">ALL!AJ61</f>
        <v>0</v>
      </c>
      <c r="AG78" s="26">
        <f ca="1">ALL!AK61</f>
        <v>0</v>
      </c>
      <c r="AH78" s="26">
        <f ca="1">ALL!AL61</f>
        <v>0</v>
      </c>
      <c r="AI78" s="26">
        <f>ALL!AM61</f>
        <v>0</v>
      </c>
    </row>
    <row r="79" spans="1:35" ht="21.75" hidden="1" outlineLevel="1" thickBot="1" x14ac:dyDescent="0.4">
      <c r="A79" s="58" t="str">
        <f>ALL!E62</f>
        <v>(l)Se[m]</v>
      </c>
      <c r="B79" s="28">
        <f ca="1">ALL!F62</f>
        <v>-23.56</v>
      </c>
      <c r="C79" s="28">
        <f ca="1">ALL!G62</f>
        <v>-22.35</v>
      </c>
      <c r="D79" s="28">
        <f ca="1">ALL!H62</f>
        <v>-21.55</v>
      </c>
      <c r="E79" s="28">
        <f ca="1">ALL!I62</f>
        <v>-21.2</v>
      </c>
      <c r="F79" s="26">
        <f ca="1">ALL!J62</f>
        <v>-21.2</v>
      </c>
      <c r="G79" s="26">
        <f ca="1">ALL!K62</f>
        <v>-21.38</v>
      </c>
      <c r="H79" s="26">
        <f ca="1">ALL!L62</f>
        <v>-21.63</v>
      </c>
      <c r="I79" s="26">
        <f ca="1">ALL!M62</f>
        <v>-21.89</v>
      </c>
      <c r="J79" s="26">
        <f ca="1">ALL!N62</f>
        <v>-22.11</v>
      </c>
      <c r="K79" s="26">
        <f ca="1">ALL!O62</f>
        <v>-22.3</v>
      </c>
      <c r="L79" s="26">
        <f ca="1">ALL!P62</f>
        <v>-22.47</v>
      </c>
      <c r="M79" s="26">
        <f ca="1">ALL!Q62</f>
        <v>-22.67</v>
      </c>
      <c r="N79" s="26">
        <f ca="1">ALL!R62</f>
        <v>-22.85</v>
      </c>
      <c r="O79" s="26">
        <f ca="1">ALL!S62</f>
        <v>-23.1</v>
      </c>
      <c r="P79" s="26">
        <f ca="1">ALL!T62</f>
        <v>-23.4</v>
      </c>
      <c r="Q79" s="26">
        <f ca="1">ALL!U62</f>
        <v>-23.69</v>
      </c>
      <c r="R79" s="26">
        <f ca="1">ALL!V62</f>
        <v>-23.99</v>
      </c>
      <c r="S79" s="26">
        <f ca="1">ALL!W62</f>
        <v>-24.29</v>
      </c>
      <c r="T79" s="26">
        <f ca="1">ALL!X62</f>
        <v>-24.58</v>
      </c>
      <c r="U79" s="26">
        <f ca="1">ALL!Y62</f>
        <v>-24.87</v>
      </c>
      <c r="V79" s="26">
        <f ca="1">ALL!Z62</f>
        <v>-25.16</v>
      </c>
      <c r="W79" s="26">
        <f ca="1">ALL!AA62</f>
        <v>-26.28</v>
      </c>
      <c r="X79" s="26">
        <f ca="1">ALL!AB62</f>
        <v>-27.37</v>
      </c>
      <c r="Y79" s="26">
        <f ca="1">ALL!AC62</f>
        <v>-28.41</v>
      </c>
      <c r="Z79" s="26">
        <f ca="1">ALL!AD62</f>
        <v>-29.42</v>
      </c>
      <c r="AA79" s="26">
        <f ca="1">ALL!AE62</f>
        <v>0</v>
      </c>
      <c r="AB79" s="26">
        <f ca="1">ALL!AF62</f>
        <v>0</v>
      </c>
      <c r="AC79" s="26">
        <f ca="1">ALL!AG62</f>
        <v>0</v>
      </c>
      <c r="AD79" s="26">
        <f ca="1">ALL!AH62</f>
        <v>0</v>
      </c>
      <c r="AE79" s="26">
        <f ca="1">ALL!AI62</f>
        <v>0</v>
      </c>
      <c r="AF79" s="26">
        <f ca="1">ALL!AJ62</f>
        <v>0</v>
      </c>
      <c r="AG79" s="26">
        <f ca="1">ALL!AK62</f>
        <v>0</v>
      </c>
      <c r="AH79" s="26">
        <f ca="1">ALL!AL62</f>
        <v>0</v>
      </c>
      <c r="AI79" s="26">
        <f>ALL!AM62</f>
        <v>0</v>
      </c>
    </row>
    <row r="80" spans="1:35" ht="21.75" hidden="1" outlineLevel="1" thickBot="1" x14ac:dyDescent="0.4">
      <c r="A80" s="58" t="str">
        <f>ALL!E63</f>
        <v>(l)Se[r]</v>
      </c>
      <c r="B80" s="28">
        <f ca="1">ALL!F63</f>
        <v>-23.56</v>
      </c>
      <c r="C80" s="28">
        <f ca="1">ALL!G63</f>
        <v>-22.35</v>
      </c>
      <c r="D80" s="28">
        <f ca="1">ALL!H63</f>
        <v>-21.55</v>
      </c>
      <c r="E80" s="28">
        <f ca="1">ALL!I63</f>
        <v>-21.2</v>
      </c>
      <c r="F80" s="26">
        <f ca="1">ALL!J63</f>
        <v>-21.2</v>
      </c>
      <c r="G80" s="26">
        <f ca="1">ALL!K63</f>
        <v>-21.38</v>
      </c>
      <c r="H80" s="26">
        <f ca="1">ALL!L63</f>
        <v>-21.63</v>
      </c>
      <c r="I80" s="26">
        <f ca="1">ALL!M63</f>
        <v>-21.89</v>
      </c>
      <c r="J80" s="26">
        <f ca="1">ALL!N63</f>
        <v>-22.11</v>
      </c>
      <c r="K80" s="26">
        <f ca="1">ALL!O63</f>
        <v>-22.3</v>
      </c>
      <c r="L80" s="26">
        <f ca="1">ALL!P63</f>
        <v>-22.47</v>
      </c>
      <c r="M80" s="26">
        <f ca="1">ALL!Q63</f>
        <v>-22.67</v>
      </c>
      <c r="N80" s="26">
        <f ca="1">ALL!R63</f>
        <v>-22.85</v>
      </c>
      <c r="O80" s="26">
        <f ca="1">ALL!S63</f>
        <v>-23.1</v>
      </c>
      <c r="P80" s="26">
        <f ca="1">ALL!T63</f>
        <v>-23.4</v>
      </c>
      <c r="Q80" s="26">
        <f ca="1">ALL!U63</f>
        <v>-23.69</v>
      </c>
      <c r="R80" s="26">
        <f ca="1">ALL!V63</f>
        <v>-23.99</v>
      </c>
      <c r="S80" s="26">
        <f ca="1">ALL!W63</f>
        <v>-24.29</v>
      </c>
      <c r="T80" s="26">
        <f ca="1">ALL!X63</f>
        <v>-24.58</v>
      </c>
      <c r="U80" s="26">
        <f ca="1">ALL!Y63</f>
        <v>-24.87</v>
      </c>
      <c r="V80" s="26">
        <f ca="1">ALL!Z63</f>
        <v>-25.16</v>
      </c>
      <c r="W80" s="26">
        <f ca="1">ALL!AA63</f>
        <v>-26.28</v>
      </c>
      <c r="X80" s="26">
        <f ca="1">ALL!AB63</f>
        <v>-27.37</v>
      </c>
      <c r="Y80" s="26">
        <f ca="1">ALL!AC63</f>
        <v>-28.41</v>
      </c>
      <c r="Z80" s="26">
        <f ca="1">ALL!AD63</f>
        <v>-29.42</v>
      </c>
      <c r="AA80" s="26">
        <f ca="1">ALL!AE63</f>
        <v>0</v>
      </c>
      <c r="AB80" s="26">
        <f ca="1">ALL!AF63</f>
        <v>0</v>
      </c>
      <c r="AC80" s="26">
        <f ca="1">ALL!AG63</f>
        <v>0</v>
      </c>
      <c r="AD80" s="26">
        <f ca="1">ALL!AH63</f>
        <v>0</v>
      </c>
      <c r="AE80" s="26">
        <f ca="1">ALL!AI63</f>
        <v>0</v>
      </c>
      <c r="AF80" s="26">
        <f ca="1">ALL!AJ63</f>
        <v>0</v>
      </c>
      <c r="AG80" s="26">
        <f ca="1">ALL!AK63</f>
        <v>0</v>
      </c>
      <c r="AH80" s="26">
        <f ca="1">ALL!AL63</f>
        <v>0</v>
      </c>
      <c r="AI80" s="26">
        <f>ALL!AM63</f>
        <v>0</v>
      </c>
    </row>
    <row r="81" spans="1:35" ht="21.75" hidden="1" outlineLevel="1" thickBot="1" x14ac:dyDescent="0.4">
      <c r="A81" s="58" t="str">
        <f>ALL!E64</f>
        <v>(l)Ge[c]</v>
      </c>
      <c r="B81" s="28">
        <f ca="1">ALL!F64</f>
        <v>-66.53</v>
      </c>
      <c r="C81" s="28">
        <f ca="1">ALL!G64</f>
        <v>-62.13</v>
      </c>
      <c r="D81" s="28">
        <f ca="1">ALL!H64</f>
        <v>-57.96</v>
      </c>
      <c r="E81" s="28">
        <f ca="1">ALL!I64</f>
        <v>-53.8</v>
      </c>
      <c r="F81" s="26">
        <f ca="1">ALL!J64</f>
        <v>-49.68</v>
      </c>
      <c r="G81" s="26">
        <f ca="1">ALL!K64</f>
        <v>-45.74</v>
      </c>
      <c r="H81" s="26">
        <f ca="1">ALL!L64</f>
        <v>-42.09</v>
      </c>
      <c r="I81" s="26">
        <f ca="1">ALL!M64</f>
        <v>-38.770000000000003</v>
      </c>
      <c r="J81" s="26">
        <f ca="1">ALL!N64</f>
        <v>-35.78</v>
      </c>
      <c r="K81" s="26">
        <f ca="1">ALL!O64</f>
        <v>-33.130000000000003</v>
      </c>
      <c r="L81" s="26">
        <f ca="1">ALL!P64</f>
        <v>-30.71</v>
      </c>
      <c r="M81" s="26">
        <f ca="1">ALL!Q64</f>
        <v>-28.49</v>
      </c>
      <c r="N81" s="26">
        <f ca="1">ALL!R64</f>
        <v>-26.95</v>
      </c>
      <c r="O81" s="26">
        <f ca="1">ALL!S64</f>
        <v>-27.44</v>
      </c>
      <c r="P81" s="26">
        <f ca="1">ALL!T64</f>
        <v>-28.24</v>
      </c>
      <c r="Q81" s="26">
        <f ca="1">ALL!U64</f>
        <v>-29.04</v>
      </c>
      <c r="R81" s="26">
        <f ca="1">ALL!V64</f>
        <v>-29.83</v>
      </c>
      <c r="S81" s="26">
        <f ca="1">ALL!W64</f>
        <v>-30.61</v>
      </c>
      <c r="T81" s="26">
        <f ca="1">ALL!X64</f>
        <v>-31.38</v>
      </c>
      <c r="U81" s="26">
        <f ca="1">ALL!Y64</f>
        <v>-32.130000000000003</v>
      </c>
      <c r="V81" s="26">
        <f ca="1">ALL!Z64</f>
        <v>-32.880000000000003</v>
      </c>
      <c r="W81" s="26">
        <f ca="1">ALL!AA64</f>
        <v>-35.74</v>
      </c>
      <c r="X81" s="26">
        <f ca="1">ALL!AB64</f>
        <v>-38.369999999999997</v>
      </c>
      <c r="Y81" s="26">
        <f ca="1">ALL!AC64</f>
        <v>-40.72</v>
      </c>
      <c r="Z81" s="26">
        <f ca="1">ALL!AD64</f>
        <v>-42.77</v>
      </c>
      <c r="AA81" s="26">
        <f ca="1">ALL!AE64</f>
        <v>0</v>
      </c>
      <c r="AB81" s="26">
        <f ca="1">ALL!AF64</f>
        <v>0</v>
      </c>
      <c r="AC81" s="26">
        <f ca="1">ALL!AG64</f>
        <v>0</v>
      </c>
      <c r="AD81" s="26">
        <f ca="1">ALL!AH64</f>
        <v>0</v>
      </c>
      <c r="AE81" s="26">
        <f ca="1">ALL!AI64</f>
        <v>0</v>
      </c>
      <c r="AF81" s="26">
        <f ca="1">ALL!AJ64</f>
        <v>0</v>
      </c>
      <c r="AG81" s="26">
        <f ca="1">ALL!AK64</f>
        <v>0</v>
      </c>
      <c r="AH81" s="26">
        <f ca="1">ALL!AL64</f>
        <v>0</v>
      </c>
      <c r="AI81" s="26">
        <f>ALL!AM64</f>
        <v>0</v>
      </c>
    </row>
    <row r="82" spans="1:35" ht="21.75" hidden="1" outlineLevel="1" thickBot="1" x14ac:dyDescent="0.4">
      <c r="A82" s="58" t="str">
        <f>ALL!E65</f>
        <v>H (Ar)</v>
      </c>
      <c r="B82" s="28">
        <f ca="1">ALL!F65</f>
        <v>-18.760000000000002</v>
      </c>
      <c r="C82" s="28">
        <f ca="1">ALL!G65</f>
        <v>-18.75</v>
      </c>
      <c r="D82" s="28">
        <f ca="1">ALL!H65</f>
        <v>-18.75</v>
      </c>
      <c r="E82" s="28">
        <f ca="1">ALL!I65</f>
        <v>-18.75</v>
      </c>
      <c r="F82" s="26">
        <f ca="1">ALL!J65</f>
        <v>-18.760000000000002</v>
      </c>
      <c r="G82" s="26">
        <f ca="1">ALL!K65</f>
        <v>-18.79</v>
      </c>
      <c r="H82" s="26">
        <f ca="1">ALL!L65</f>
        <v>-18.809999999999999</v>
      </c>
      <c r="I82" s="26">
        <f ca="1">ALL!M65</f>
        <v>-18.850000000000001</v>
      </c>
      <c r="J82" s="26">
        <f ca="1">ALL!N65</f>
        <v>-18.88</v>
      </c>
      <c r="K82" s="26">
        <f ca="1">ALL!O65</f>
        <v>-18.91</v>
      </c>
      <c r="L82" s="26">
        <f ca="1">ALL!P65</f>
        <v>-18.940000000000001</v>
      </c>
      <c r="M82" s="26">
        <f ca="1">ALL!Q65</f>
        <v>-18.97</v>
      </c>
      <c r="N82" s="26">
        <f ca="1">ALL!R65</f>
        <v>-18.95</v>
      </c>
      <c r="O82" s="26">
        <f ca="1">ALL!S65</f>
        <v>-18.97</v>
      </c>
      <c r="P82" s="26">
        <f ca="1">ALL!T65</f>
        <v>-19.010000000000002</v>
      </c>
      <c r="Q82" s="26">
        <f ca="1">ALL!U65</f>
        <v>-19.05</v>
      </c>
      <c r="R82" s="26">
        <f ca="1">ALL!V65</f>
        <v>-19.09</v>
      </c>
      <c r="S82" s="26">
        <f ca="1">ALL!W65</f>
        <v>-19.14</v>
      </c>
      <c r="T82" s="26">
        <f ca="1">ALL!X65</f>
        <v>-19.18</v>
      </c>
      <c r="U82" s="26">
        <f ca="1">ALL!Y65</f>
        <v>-19.22</v>
      </c>
      <c r="V82" s="26">
        <f ca="1">ALL!Z65</f>
        <v>-19.260000000000002</v>
      </c>
      <c r="W82" s="26">
        <f ca="1">ALL!AA65</f>
        <v>-19.43</v>
      </c>
      <c r="X82" s="26">
        <f ca="1">ALL!AB65</f>
        <v>-19.59</v>
      </c>
      <c r="Y82" s="26">
        <f ca="1">ALL!AC65</f>
        <v>-19.739999999999998</v>
      </c>
      <c r="Z82" s="26">
        <f ca="1">ALL!AD65</f>
        <v>-19.88</v>
      </c>
      <c r="AA82" s="26">
        <f ca="1">ALL!AE65</f>
        <v>0</v>
      </c>
      <c r="AB82" s="26">
        <f ca="1">ALL!AF65</f>
        <v>0</v>
      </c>
      <c r="AC82" s="26">
        <f ca="1">ALL!AG65</f>
        <v>0</v>
      </c>
      <c r="AD82" s="26">
        <f ca="1">ALL!AH65</f>
        <v>0</v>
      </c>
      <c r="AE82" s="26">
        <f ca="1">ALL!AI65</f>
        <v>0</v>
      </c>
      <c r="AF82" s="26">
        <f ca="1">ALL!AJ65</f>
        <v>0</v>
      </c>
      <c r="AG82" s="26">
        <f ca="1">ALL!AK65</f>
        <v>0</v>
      </c>
      <c r="AH82" s="26">
        <f ca="1">ALL!AL65</f>
        <v>0</v>
      </c>
      <c r="AI82" s="26">
        <f>ALL!AM65</f>
        <v>0</v>
      </c>
    </row>
    <row r="83" spans="1:35" ht="21.75" hidden="1" outlineLevel="1" thickBot="1" x14ac:dyDescent="0.4">
      <c r="A83" s="58" t="str">
        <f>ALL!E66</f>
        <v>H (Ga)</v>
      </c>
      <c r="B83" s="28">
        <f ca="1">ALL!F66</f>
        <v>-66.53</v>
      </c>
      <c r="C83" s="28">
        <f ca="1">ALL!G66</f>
        <v>-62.13</v>
      </c>
      <c r="D83" s="28">
        <f ca="1">ALL!H66</f>
        <v>-57.96</v>
      </c>
      <c r="E83" s="28">
        <f ca="1">ALL!I66</f>
        <v>-53.8</v>
      </c>
      <c r="F83" s="26">
        <f ca="1">ALL!J66</f>
        <v>-49.68</v>
      </c>
      <c r="G83" s="26">
        <f ca="1">ALL!K66</f>
        <v>-45.74</v>
      </c>
      <c r="H83" s="26">
        <f ca="1">ALL!L66</f>
        <v>-42.09</v>
      </c>
      <c r="I83" s="26">
        <f ca="1">ALL!M66</f>
        <v>-38.770000000000003</v>
      </c>
      <c r="J83" s="26">
        <f ca="1">ALL!N66</f>
        <v>-35.78</v>
      </c>
      <c r="K83" s="26">
        <f ca="1">ALL!O66</f>
        <v>-33.130000000000003</v>
      </c>
      <c r="L83" s="26">
        <f ca="1">ALL!P66</f>
        <v>-30.71</v>
      </c>
      <c r="M83" s="26">
        <f ca="1">ALL!Q66</f>
        <v>-28.49</v>
      </c>
      <c r="N83" s="26">
        <f ca="1">ALL!R66</f>
        <v>-26.95</v>
      </c>
      <c r="O83" s="26">
        <f ca="1">ALL!S66</f>
        <v>-27.44</v>
      </c>
      <c r="P83" s="26">
        <f ca="1">ALL!T66</f>
        <v>-28.24</v>
      </c>
      <c r="Q83" s="26">
        <f ca="1">ALL!U66</f>
        <v>-29.04</v>
      </c>
      <c r="R83" s="26">
        <f ca="1">ALL!V66</f>
        <v>-29.83</v>
      </c>
      <c r="S83" s="26">
        <f ca="1">ALL!W66</f>
        <v>-30.61</v>
      </c>
      <c r="T83" s="26">
        <f ca="1">ALL!X66</f>
        <v>-31.38</v>
      </c>
      <c r="U83" s="26">
        <f ca="1">ALL!Y66</f>
        <v>-32.130000000000003</v>
      </c>
      <c r="V83" s="26">
        <f ca="1">ALL!Z66</f>
        <v>-32.880000000000003</v>
      </c>
      <c r="W83" s="26">
        <f ca="1">ALL!AA66</f>
        <v>-35.74</v>
      </c>
      <c r="X83" s="26">
        <f ca="1">ALL!AB66</f>
        <v>-38.369999999999997</v>
      </c>
      <c r="Y83" s="26">
        <f ca="1">ALL!AC66</f>
        <v>-40.72</v>
      </c>
      <c r="Z83" s="26">
        <f ca="1">ALL!AD66</f>
        <v>-42.77</v>
      </c>
      <c r="AA83" s="26">
        <f ca="1">ALL!AE66</f>
        <v>0</v>
      </c>
      <c r="AB83" s="26">
        <f ca="1">ALL!AF66</f>
        <v>0</v>
      </c>
      <c r="AC83" s="26">
        <f ca="1">ALL!AG66</f>
        <v>0</v>
      </c>
      <c r="AD83" s="26">
        <f ca="1">ALL!AH66</f>
        <v>0</v>
      </c>
      <c r="AE83" s="26">
        <f ca="1">ALL!AI66</f>
        <v>0</v>
      </c>
      <c r="AF83" s="26">
        <f ca="1">ALL!AJ66</f>
        <v>0</v>
      </c>
      <c r="AG83" s="26">
        <f ca="1">ALL!AK66</f>
        <v>0</v>
      </c>
      <c r="AH83" s="26">
        <f ca="1">ALL!AL66</f>
        <v>0</v>
      </c>
      <c r="AI83" s="26">
        <f>ALL!AM66</f>
        <v>0</v>
      </c>
    </row>
    <row r="84" spans="1:35" ht="21.75" hidden="1" outlineLevel="1" thickBot="1" x14ac:dyDescent="0.4">
      <c r="A84" s="58" t="str">
        <f>ALL!E67</f>
        <v>H Ge)</v>
      </c>
      <c r="B84" s="28">
        <f ca="1">ALL!F67</f>
        <v>-66.53</v>
      </c>
      <c r="C84" s="28">
        <f ca="1">ALL!G67</f>
        <v>-62.13</v>
      </c>
      <c r="D84" s="28">
        <f ca="1">ALL!H67</f>
        <v>-57.96</v>
      </c>
      <c r="E84" s="28">
        <f ca="1">ALL!I67</f>
        <v>-53.8</v>
      </c>
      <c r="F84" s="26">
        <f ca="1">ALL!J67</f>
        <v>-49.68</v>
      </c>
      <c r="G84" s="26">
        <f ca="1">ALL!K67</f>
        <v>-45.74</v>
      </c>
      <c r="H84" s="26">
        <f ca="1">ALL!L67</f>
        <v>-42.09</v>
      </c>
      <c r="I84" s="26">
        <f ca="1">ALL!M67</f>
        <v>-38.770000000000003</v>
      </c>
      <c r="J84" s="26">
        <f ca="1">ALL!N67</f>
        <v>-35.78</v>
      </c>
      <c r="K84" s="26">
        <f ca="1">ALL!O67</f>
        <v>-33.130000000000003</v>
      </c>
      <c r="L84" s="26">
        <f ca="1">ALL!P67</f>
        <v>-30.71</v>
      </c>
      <c r="M84" s="26">
        <f ca="1">ALL!Q67</f>
        <v>-28.49</v>
      </c>
      <c r="N84" s="26">
        <f ca="1">ALL!R67</f>
        <v>-26.95</v>
      </c>
      <c r="O84" s="26">
        <f ca="1">ALL!S67</f>
        <v>-27.44</v>
      </c>
      <c r="P84" s="26">
        <f ca="1">ALL!T67</f>
        <v>-28.24</v>
      </c>
      <c r="Q84" s="26">
        <f ca="1">ALL!U67</f>
        <v>-29.04</v>
      </c>
      <c r="R84" s="26">
        <f ca="1">ALL!V67</f>
        <v>-29.83</v>
      </c>
      <c r="S84" s="26">
        <f ca="1">ALL!W67</f>
        <v>-30.61</v>
      </c>
      <c r="T84" s="26">
        <f ca="1">ALL!X67</f>
        <v>-31.38</v>
      </c>
      <c r="U84" s="26">
        <f ca="1">ALL!Y67</f>
        <v>-32.130000000000003</v>
      </c>
      <c r="V84" s="26">
        <f ca="1">ALL!Z67</f>
        <v>-32.880000000000003</v>
      </c>
      <c r="W84" s="26">
        <f ca="1">ALL!AA67</f>
        <v>-35.74</v>
      </c>
      <c r="X84" s="26">
        <f ca="1">ALL!AB67</f>
        <v>-38.369999999999997</v>
      </c>
      <c r="Y84" s="26">
        <f ca="1">ALL!AC67</f>
        <v>-40.72</v>
      </c>
      <c r="Z84" s="26">
        <f ca="1">ALL!AD67</f>
        <v>-42.77</v>
      </c>
      <c r="AA84" s="26">
        <f ca="1">ALL!AE67</f>
        <v>0</v>
      </c>
      <c r="AB84" s="26">
        <f ca="1">ALL!AF67</f>
        <v>0</v>
      </c>
      <c r="AC84" s="26">
        <f ca="1">ALL!AG67</f>
        <v>0</v>
      </c>
      <c r="AD84" s="26">
        <f ca="1">ALL!AH67</f>
        <v>0</v>
      </c>
      <c r="AE84" s="26">
        <f ca="1">ALL!AI67</f>
        <v>0</v>
      </c>
      <c r="AF84" s="26">
        <f ca="1">ALL!AJ67</f>
        <v>0</v>
      </c>
      <c r="AG84" s="26">
        <f ca="1">ALL!AK67</f>
        <v>0</v>
      </c>
      <c r="AH84" s="26">
        <f ca="1">ALL!AL67</f>
        <v>0</v>
      </c>
      <c r="AI84" s="26">
        <f>ALL!AM67</f>
        <v>0</v>
      </c>
    </row>
    <row r="85" spans="1:35" ht="21.75" hidden="1" outlineLevel="1" thickBot="1" x14ac:dyDescent="0.4">
      <c r="A85" s="58" t="str">
        <f>ALL!E68</f>
        <v>H (Se)</v>
      </c>
      <c r="B85" s="28">
        <f ca="1">ALL!F68</f>
        <v>-23.56</v>
      </c>
      <c r="C85" s="28">
        <f ca="1">ALL!G68</f>
        <v>-22.35</v>
      </c>
      <c r="D85" s="28">
        <f ca="1">ALL!H68</f>
        <v>-21.55</v>
      </c>
      <c r="E85" s="28">
        <f ca="1">ALL!I68</f>
        <v>-21.2</v>
      </c>
      <c r="F85" s="26">
        <f ca="1">ALL!J68</f>
        <v>-21.2</v>
      </c>
      <c r="G85" s="26">
        <f ca="1">ALL!K68</f>
        <v>-21.38</v>
      </c>
      <c r="H85" s="26">
        <f ca="1">ALL!L68</f>
        <v>-21.63</v>
      </c>
      <c r="I85" s="26">
        <f ca="1">ALL!M68</f>
        <v>-21.89</v>
      </c>
      <c r="J85" s="26">
        <f ca="1">ALL!N68</f>
        <v>-22.11</v>
      </c>
      <c r="K85" s="26">
        <f ca="1">ALL!O68</f>
        <v>-22.3</v>
      </c>
      <c r="L85" s="26">
        <f ca="1">ALL!P68</f>
        <v>-22.47</v>
      </c>
      <c r="M85" s="26">
        <f ca="1">ALL!Q68</f>
        <v>-22.67</v>
      </c>
      <c r="N85" s="26">
        <f ca="1">ALL!R68</f>
        <v>-22.85</v>
      </c>
      <c r="O85" s="26">
        <f ca="1">ALL!S68</f>
        <v>-23.1</v>
      </c>
      <c r="P85" s="26">
        <f ca="1">ALL!T68</f>
        <v>-23.4</v>
      </c>
      <c r="Q85" s="26">
        <f ca="1">ALL!U68</f>
        <v>-23.69</v>
      </c>
      <c r="R85" s="26">
        <f ca="1">ALL!V68</f>
        <v>-23.99</v>
      </c>
      <c r="S85" s="26">
        <f ca="1">ALL!W68</f>
        <v>-24.29</v>
      </c>
      <c r="T85" s="26">
        <f ca="1">ALL!X68</f>
        <v>-24.58</v>
      </c>
      <c r="U85" s="26">
        <f ca="1">ALL!Y68</f>
        <v>-24.87</v>
      </c>
      <c r="V85" s="26">
        <f ca="1">ALL!Z68</f>
        <v>-25.16</v>
      </c>
      <c r="W85" s="26">
        <f ca="1">ALL!AA68</f>
        <v>-26.28</v>
      </c>
      <c r="X85" s="26">
        <f ca="1">ALL!AB68</f>
        <v>-27.37</v>
      </c>
      <c r="Y85" s="26">
        <f ca="1">ALL!AC68</f>
        <v>-28.41</v>
      </c>
      <c r="Z85" s="26">
        <f ca="1">ALL!AD68</f>
        <v>-29.42</v>
      </c>
      <c r="AA85" s="26">
        <f ca="1">ALL!AE68</f>
        <v>0</v>
      </c>
      <c r="AB85" s="26">
        <f ca="1">ALL!AF68</f>
        <v>0</v>
      </c>
      <c r="AC85" s="26">
        <f ca="1">ALL!AG68</f>
        <v>0</v>
      </c>
      <c r="AD85" s="26">
        <f ca="1">ALL!AH68</f>
        <v>0</v>
      </c>
      <c r="AE85" s="26">
        <f ca="1">ALL!AI68</f>
        <v>0</v>
      </c>
      <c r="AF85" s="26">
        <f ca="1">ALL!AJ68</f>
        <v>0</v>
      </c>
      <c r="AG85" s="26">
        <f ca="1">ALL!AK68</f>
        <v>0</v>
      </c>
      <c r="AH85" s="26">
        <f ca="1">ALL!AL68</f>
        <v>0</v>
      </c>
      <c r="AI85" s="26">
        <f>ALL!AM68</f>
        <v>0</v>
      </c>
    </row>
    <row r="86" spans="1:35" ht="21.75" hidden="1" outlineLevel="1" thickBot="1" x14ac:dyDescent="0.4">
      <c r="A86" s="58">
        <f>ALL!E69</f>
        <v>0</v>
      </c>
      <c r="B86" s="28">
        <f ca="1">ALL!F69</f>
        <v>0</v>
      </c>
      <c r="C86" s="28">
        <f ca="1">ALL!G69</f>
        <v>0</v>
      </c>
      <c r="D86" s="28">
        <f ca="1">ALL!H69</f>
        <v>0</v>
      </c>
      <c r="E86" s="28">
        <f ca="1">ALL!I69</f>
        <v>0</v>
      </c>
      <c r="F86" s="26">
        <f ca="1">ALL!J69</f>
        <v>0</v>
      </c>
      <c r="G86" s="26">
        <f ca="1">ALL!K69</f>
        <v>0</v>
      </c>
      <c r="H86" s="26">
        <f ca="1">ALL!L69</f>
        <v>0</v>
      </c>
      <c r="I86" s="26">
        <f ca="1">ALL!M69</f>
        <v>0</v>
      </c>
      <c r="J86" s="26">
        <f ca="1">ALL!N69</f>
        <v>0</v>
      </c>
      <c r="K86" s="26">
        <f ca="1">ALL!O69</f>
        <v>0</v>
      </c>
      <c r="L86" s="26">
        <f ca="1">ALL!P69</f>
        <v>0</v>
      </c>
      <c r="M86" s="26">
        <f ca="1">ALL!Q69</f>
        <v>0</v>
      </c>
      <c r="N86" s="26">
        <f ca="1">ALL!R69</f>
        <v>0</v>
      </c>
      <c r="O86" s="26">
        <f ca="1">ALL!S69</f>
        <v>0</v>
      </c>
      <c r="P86" s="26">
        <f ca="1">ALL!T69</f>
        <v>0</v>
      </c>
      <c r="Q86" s="26">
        <f ca="1">ALL!U69</f>
        <v>0</v>
      </c>
      <c r="R86" s="26">
        <f ca="1">ALL!V69</f>
        <v>0</v>
      </c>
      <c r="S86" s="26">
        <f ca="1">ALL!W69</f>
        <v>0</v>
      </c>
      <c r="T86" s="26">
        <f ca="1">ALL!X69</f>
        <v>0</v>
      </c>
      <c r="U86" s="26">
        <f ca="1">ALL!Y69</f>
        <v>0</v>
      </c>
      <c r="V86" s="26">
        <f ca="1">ALL!Z69</f>
        <v>0</v>
      </c>
      <c r="W86" s="26">
        <f ca="1">ALL!AA69</f>
        <v>0</v>
      </c>
      <c r="X86" s="26">
        <f ca="1">ALL!AB69</f>
        <v>0</v>
      </c>
      <c r="Y86" s="26">
        <f ca="1">ALL!AC69</f>
        <v>0</v>
      </c>
      <c r="Z86" s="26">
        <f ca="1">ALL!AD69</f>
        <v>0</v>
      </c>
      <c r="AA86" s="26">
        <f ca="1">ALL!AE69</f>
        <v>0</v>
      </c>
      <c r="AB86" s="26">
        <f ca="1">ALL!AF69</f>
        <v>0</v>
      </c>
      <c r="AC86" s="26">
        <f ca="1">ALL!AG69</f>
        <v>0</v>
      </c>
      <c r="AD86" s="26">
        <f ca="1">ALL!AH69</f>
        <v>0</v>
      </c>
      <c r="AE86" s="26">
        <f ca="1">ALL!AI69</f>
        <v>0</v>
      </c>
      <c r="AF86" s="26">
        <f ca="1">ALL!AJ69</f>
        <v>0</v>
      </c>
      <c r="AG86" s="26">
        <f ca="1">ALL!AK69</f>
        <v>0</v>
      </c>
      <c r="AH86" s="26">
        <f ca="1">ALL!AL69</f>
        <v>0</v>
      </c>
      <c r="AI86" s="26">
        <f>ALL!AM69</f>
        <v>0</v>
      </c>
    </row>
    <row r="87" spans="1:35" ht="21.75" hidden="1" outlineLevel="1" thickBot="1" x14ac:dyDescent="0.4">
      <c r="A87" s="58">
        <f>ALL!E70</f>
        <v>0</v>
      </c>
      <c r="B87" s="28">
        <f ca="1">ALL!F70</f>
        <v>0</v>
      </c>
      <c r="C87" s="28">
        <f ca="1">ALL!G70</f>
        <v>0</v>
      </c>
      <c r="D87" s="28">
        <f ca="1">ALL!H70</f>
        <v>0</v>
      </c>
      <c r="E87" s="28">
        <f ca="1">ALL!I70</f>
        <v>0</v>
      </c>
      <c r="F87" s="26">
        <f ca="1">ALL!J70</f>
        <v>0</v>
      </c>
      <c r="G87" s="26">
        <f ca="1">ALL!K70</f>
        <v>0</v>
      </c>
      <c r="H87" s="26">
        <f ca="1">ALL!L70</f>
        <v>0</v>
      </c>
      <c r="I87" s="26">
        <f ca="1">ALL!M70</f>
        <v>0</v>
      </c>
      <c r="J87" s="26">
        <f ca="1">ALL!N70</f>
        <v>0</v>
      </c>
      <c r="K87" s="26">
        <f ca="1">ALL!O70</f>
        <v>0</v>
      </c>
      <c r="L87" s="26">
        <f ca="1">ALL!P70</f>
        <v>0</v>
      </c>
      <c r="M87" s="26">
        <f ca="1">ALL!Q70</f>
        <v>0</v>
      </c>
      <c r="N87" s="26">
        <f ca="1">ALL!R70</f>
        <v>0</v>
      </c>
      <c r="O87" s="26">
        <f ca="1">ALL!S70</f>
        <v>0</v>
      </c>
      <c r="P87" s="26">
        <f ca="1">ALL!T70</f>
        <v>0</v>
      </c>
      <c r="Q87" s="26">
        <f ca="1">ALL!U70</f>
        <v>0</v>
      </c>
      <c r="R87" s="26">
        <f ca="1">ALL!V70</f>
        <v>0</v>
      </c>
      <c r="S87" s="26">
        <f ca="1">ALL!W70</f>
        <v>0</v>
      </c>
      <c r="T87" s="26">
        <f ca="1">ALL!X70</f>
        <v>0</v>
      </c>
      <c r="U87" s="26">
        <f ca="1">ALL!Y70</f>
        <v>0</v>
      </c>
      <c r="V87" s="26">
        <f ca="1">ALL!Z70</f>
        <v>0</v>
      </c>
      <c r="W87" s="26">
        <f ca="1">ALL!AA70</f>
        <v>0</v>
      </c>
      <c r="X87" s="26">
        <f ca="1">ALL!AB70</f>
        <v>0</v>
      </c>
      <c r="Y87" s="26">
        <f ca="1">ALL!AC70</f>
        <v>0</v>
      </c>
      <c r="Z87" s="26">
        <f ca="1">ALL!AD70</f>
        <v>0</v>
      </c>
      <c r="AA87" s="26">
        <f ca="1">ALL!AE70</f>
        <v>0</v>
      </c>
      <c r="AB87" s="26">
        <f ca="1">ALL!AF70</f>
        <v>0</v>
      </c>
      <c r="AC87" s="26">
        <f ca="1">ALL!AG70</f>
        <v>0</v>
      </c>
      <c r="AD87" s="26">
        <f ca="1">ALL!AH70</f>
        <v>0</v>
      </c>
      <c r="AE87" s="26">
        <f ca="1">ALL!AI70</f>
        <v>0</v>
      </c>
      <c r="AF87" s="26">
        <f ca="1">ALL!AJ70</f>
        <v>0</v>
      </c>
      <c r="AG87" s="26">
        <f ca="1">ALL!AK70</f>
        <v>0</v>
      </c>
      <c r="AH87" s="26">
        <f ca="1">ALL!AL70</f>
        <v>0</v>
      </c>
      <c r="AI87" s="26">
        <f>ALL!AM70</f>
        <v>0</v>
      </c>
    </row>
    <row r="88" spans="1:35" ht="21.75" hidden="1" outlineLevel="1" thickBot="1" x14ac:dyDescent="0.4">
      <c r="A88" s="58">
        <f>ALL!E71</f>
        <v>0</v>
      </c>
      <c r="B88" s="28">
        <f ca="1">ALL!F71</f>
        <v>0</v>
      </c>
      <c r="C88" s="28">
        <f ca="1">ALL!G71</f>
        <v>0</v>
      </c>
      <c r="D88" s="28">
        <f ca="1">ALL!H71</f>
        <v>0</v>
      </c>
      <c r="E88" s="28">
        <f ca="1">ALL!I71</f>
        <v>0</v>
      </c>
      <c r="F88" s="26">
        <f ca="1">ALL!J71</f>
        <v>0</v>
      </c>
      <c r="G88" s="26">
        <f ca="1">ALL!K71</f>
        <v>0</v>
      </c>
      <c r="H88" s="26">
        <f ca="1">ALL!L71</f>
        <v>0</v>
      </c>
      <c r="I88" s="26">
        <f ca="1">ALL!M71</f>
        <v>0</v>
      </c>
      <c r="J88" s="26">
        <f ca="1">ALL!N71</f>
        <v>0</v>
      </c>
      <c r="K88" s="26">
        <f ca="1">ALL!O71</f>
        <v>0</v>
      </c>
      <c r="L88" s="26">
        <f ca="1">ALL!P71</f>
        <v>0</v>
      </c>
      <c r="M88" s="26">
        <f ca="1">ALL!Q71</f>
        <v>0</v>
      </c>
      <c r="N88" s="26">
        <f ca="1">ALL!R71</f>
        <v>0</v>
      </c>
      <c r="O88" s="26">
        <f ca="1">ALL!S71</f>
        <v>0</v>
      </c>
      <c r="P88" s="26">
        <f ca="1">ALL!T71</f>
        <v>0</v>
      </c>
      <c r="Q88" s="26">
        <f ca="1">ALL!U71</f>
        <v>0</v>
      </c>
      <c r="R88" s="26">
        <f ca="1">ALL!V71</f>
        <v>0</v>
      </c>
      <c r="S88" s="26">
        <f ca="1">ALL!W71</f>
        <v>0</v>
      </c>
      <c r="T88" s="26">
        <f ca="1">ALL!X71</f>
        <v>0</v>
      </c>
      <c r="U88" s="26">
        <f ca="1">ALL!Y71</f>
        <v>0</v>
      </c>
      <c r="V88" s="26">
        <f ca="1">ALL!Z71</f>
        <v>0</v>
      </c>
      <c r="W88" s="26">
        <f ca="1">ALL!AA71</f>
        <v>0</v>
      </c>
      <c r="X88" s="26">
        <f ca="1">ALL!AB71</f>
        <v>0</v>
      </c>
      <c r="Y88" s="26">
        <f ca="1">ALL!AC71</f>
        <v>0</v>
      </c>
      <c r="Z88" s="26">
        <f ca="1">ALL!AD71</f>
        <v>0</v>
      </c>
      <c r="AA88" s="26">
        <f ca="1">ALL!AE71</f>
        <v>0</v>
      </c>
      <c r="AB88" s="26">
        <f ca="1">ALL!AF71</f>
        <v>0</v>
      </c>
      <c r="AC88" s="26">
        <f ca="1">ALL!AG71</f>
        <v>0</v>
      </c>
      <c r="AD88" s="26">
        <f ca="1">ALL!AH71</f>
        <v>0</v>
      </c>
      <c r="AE88" s="26">
        <f ca="1">ALL!AI71</f>
        <v>0</v>
      </c>
      <c r="AF88" s="26">
        <f ca="1">ALL!AJ71</f>
        <v>0</v>
      </c>
      <c r="AG88" s="26">
        <f ca="1">ALL!AK71</f>
        <v>0</v>
      </c>
      <c r="AH88" s="26">
        <f ca="1">ALL!AL71</f>
        <v>0</v>
      </c>
      <c r="AI88" s="26">
        <f>ALL!AM71</f>
        <v>0</v>
      </c>
    </row>
    <row r="89" spans="1:35" ht="21.75" hidden="1" outlineLevel="1" thickBot="1" x14ac:dyDescent="0.4">
      <c r="A89" s="58">
        <f>ALL!E72</f>
        <v>0</v>
      </c>
      <c r="B89" s="28">
        <f ca="1">ALL!F72</f>
        <v>0</v>
      </c>
      <c r="C89" s="28">
        <f ca="1">ALL!G72</f>
        <v>0</v>
      </c>
      <c r="D89" s="28">
        <f ca="1">ALL!H72</f>
        <v>0</v>
      </c>
      <c r="E89" s="28">
        <f ca="1">ALL!I72</f>
        <v>0</v>
      </c>
      <c r="F89" s="26">
        <f ca="1">ALL!J72</f>
        <v>0</v>
      </c>
      <c r="G89" s="26">
        <f ca="1">ALL!K72</f>
        <v>0</v>
      </c>
      <c r="H89" s="26">
        <f ca="1">ALL!L72</f>
        <v>0</v>
      </c>
      <c r="I89" s="26">
        <f ca="1">ALL!M72</f>
        <v>0</v>
      </c>
      <c r="J89" s="26">
        <f ca="1">ALL!N72</f>
        <v>0</v>
      </c>
      <c r="K89" s="26">
        <f ca="1">ALL!O72</f>
        <v>0</v>
      </c>
      <c r="L89" s="26">
        <f ca="1">ALL!P72</f>
        <v>0</v>
      </c>
      <c r="M89" s="26">
        <f ca="1">ALL!Q72</f>
        <v>0</v>
      </c>
      <c r="N89" s="26">
        <f ca="1">ALL!R72</f>
        <v>0</v>
      </c>
      <c r="O89" s="26">
        <f ca="1">ALL!S72</f>
        <v>0</v>
      </c>
      <c r="P89" s="26">
        <f ca="1">ALL!T72</f>
        <v>0</v>
      </c>
      <c r="Q89" s="26">
        <f ca="1">ALL!U72</f>
        <v>0</v>
      </c>
      <c r="R89" s="26">
        <f ca="1">ALL!V72</f>
        <v>0</v>
      </c>
      <c r="S89" s="26">
        <f ca="1">ALL!W72</f>
        <v>0</v>
      </c>
      <c r="T89" s="26">
        <f ca="1">ALL!X72</f>
        <v>0</v>
      </c>
      <c r="U89" s="26">
        <f ca="1">ALL!Y72</f>
        <v>0</v>
      </c>
      <c r="V89" s="26">
        <f ca="1">ALL!Z72</f>
        <v>0</v>
      </c>
      <c r="W89" s="26">
        <f ca="1">ALL!AA72</f>
        <v>0</v>
      </c>
      <c r="X89" s="26">
        <f ca="1">ALL!AB72</f>
        <v>0</v>
      </c>
      <c r="Y89" s="26">
        <f ca="1">ALL!AC72</f>
        <v>0</v>
      </c>
      <c r="Z89" s="26">
        <f ca="1">ALL!AD72</f>
        <v>0</v>
      </c>
      <c r="AA89" s="26">
        <f ca="1">ALL!AE72</f>
        <v>0</v>
      </c>
      <c r="AB89" s="26">
        <f ca="1">ALL!AF72</f>
        <v>0</v>
      </c>
      <c r="AC89" s="26">
        <f ca="1">ALL!AG72</f>
        <v>0</v>
      </c>
      <c r="AD89" s="26">
        <f ca="1">ALL!AH72</f>
        <v>0</v>
      </c>
      <c r="AE89" s="26">
        <f ca="1">ALL!AI72</f>
        <v>0</v>
      </c>
      <c r="AF89" s="26">
        <f ca="1">ALL!AJ72</f>
        <v>0</v>
      </c>
      <c r="AG89" s="26">
        <f ca="1">ALL!AK72</f>
        <v>0</v>
      </c>
      <c r="AH89" s="26">
        <f ca="1">ALL!AL72</f>
        <v>0</v>
      </c>
      <c r="AI89" s="26">
        <f>ALL!AM72</f>
        <v>0</v>
      </c>
    </row>
    <row r="90" spans="1:35" ht="21.75" hidden="1" outlineLevel="1" thickBot="1" x14ac:dyDescent="0.4">
      <c r="A90" s="58">
        <f>ALL!E73</f>
        <v>0</v>
      </c>
      <c r="B90" s="28">
        <f ca="1">ALL!F73</f>
        <v>0</v>
      </c>
      <c r="C90" s="28">
        <f ca="1">ALL!G73</f>
        <v>0</v>
      </c>
      <c r="D90" s="28">
        <f ca="1">ALL!H73</f>
        <v>0</v>
      </c>
      <c r="E90" s="28">
        <f ca="1">ALL!I73</f>
        <v>0</v>
      </c>
      <c r="F90" s="26">
        <f ca="1">ALL!J73</f>
        <v>0</v>
      </c>
      <c r="G90" s="26">
        <f ca="1">ALL!K73</f>
        <v>0</v>
      </c>
      <c r="H90" s="26">
        <f ca="1">ALL!L73</f>
        <v>0</v>
      </c>
      <c r="I90" s="26">
        <f ca="1">ALL!M73</f>
        <v>0</v>
      </c>
      <c r="J90" s="26">
        <f ca="1">ALL!N73</f>
        <v>0</v>
      </c>
      <c r="K90" s="26">
        <f ca="1">ALL!O73</f>
        <v>0</v>
      </c>
      <c r="L90" s="26">
        <f ca="1">ALL!P73</f>
        <v>0</v>
      </c>
      <c r="M90" s="26">
        <f ca="1">ALL!Q73</f>
        <v>0</v>
      </c>
      <c r="N90" s="26">
        <f ca="1">ALL!R73</f>
        <v>0</v>
      </c>
      <c r="O90" s="26">
        <f ca="1">ALL!S73</f>
        <v>0</v>
      </c>
      <c r="P90" s="26">
        <f ca="1">ALL!T73</f>
        <v>0</v>
      </c>
      <c r="Q90" s="26">
        <f ca="1">ALL!U73</f>
        <v>0</v>
      </c>
      <c r="R90" s="26">
        <f ca="1">ALL!V73</f>
        <v>0</v>
      </c>
      <c r="S90" s="26">
        <f ca="1">ALL!W73</f>
        <v>0</v>
      </c>
      <c r="T90" s="26">
        <f ca="1">ALL!X73</f>
        <v>0</v>
      </c>
      <c r="U90" s="26">
        <f ca="1">ALL!Y73</f>
        <v>0</v>
      </c>
      <c r="V90" s="26">
        <f ca="1">ALL!Z73</f>
        <v>0</v>
      </c>
      <c r="W90" s="26">
        <f ca="1">ALL!AA73</f>
        <v>0</v>
      </c>
      <c r="X90" s="26">
        <f ca="1">ALL!AB73</f>
        <v>0</v>
      </c>
      <c r="Y90" s="26">
        <f ca="1">ALL!AC73</f>
        <v>0</v>
      </c>
      <c r="Z90" s="26">
        <f ca="1">ALL!AD73</f>
        <v>0</v>
      </c>
      <c r="AA90" s="26">
        <f ca="1">ALL!AE73</f>
        <v>0</v>
      </c>
      <c r="AB90" s="26">
        <f ca="1">ALL!AF73</f>
        <v>0</v>
      </c>
      <c r="AC90" s="26">
        <f ca="1">ALL!AG73</f>
        <v>0</v>
      </c>
      <c r="AD90" s="26">
        <f ca="1">ALL!AH73</f>
        <v>0</v>
      </c>
      <c r="AE90" s="26">
        <f ca="1">ALL!AI73</f>
        <v>0</v>
      </c>
      <c r="AF90" s="26">
        <f ca="1">ALL!AJ73</f>
        <v>0</v>
      </c>
      <c r="AG90" s="26">
        <f ca="1">ALL!AK73</f>
        <v>0</v>
      </c>
      <c r="AH90" s="26">
        <f ca="1">ALL!AL73</f>
        <v>0</v>
      </c>
      <c r="AI90" s="26">
        <f>ALL!AM73</f>
        <v>0</v>
      </c>
    </row>
    <row r="91" spans="1:35" ht="21.75" hidden="1" outlineLevel="1" thickBot="1" x14ac:dyDescent="0.4">
      <c r="A91" s="58">
        <f>ALL!E74</f>
        <v>0</v>
      </c>
      <c r="B91" s="28">
        <f ca="1">ALL!F74</f>
        <v>0</v>
      </c>
      <c r="C91" s="28">
        <f ca="1">ALL!G74</f>
        <v>0</v>
      </c>
      <c r="D91" s="28">
        <f ca="1">ALL!H74</f>
        <v>0</v>
      </c>
      <c r="E91" s="28">
        <f ca="1">ALL!I74</f>
        <v>0</v>
      </c>
      <c r="F91" s="26">
        <f ca="1">ALL!J74</f>
        <v>0</v>
      </c>
      <c r="G91" s="26">
        <f ca="1">ALL!K74</f>
        <v>0</v>
      </c>
      <c r="H91" s="26">
        <f ca="1">ALL!L74</f>
        <v>0</v>
      </c>
      <c r="I91" s="26">
        <f ca="1">ALL!M74</f>
        <v>0</v>
      </c>
      <c r="J91" s="26">
        <f ca="1">ALL!N74</f>
        <v>0</v>
      </c>
      <c r="K91" s="26">
        <f ca="1">ALL!O74</f>
        <v>0</v>
      </c>
      <c r="L91" s="26">
        <f ca="1">ALL!P74</f>
        <v>0</v>
      </c>
      <c r="M91" s="26">
        <f ca="1">ALL!Q74</f>
        <v>0</v>
      </c>
      <c r="N91" s="26">
        <f ca="1">ALL!R74</f>
        <v>0</v>
      </c>
      <c r="O91" s="26">
        <f ca="1">ALL!S74</f>
        <v>0</v>
      </c>
      <c r="P91" s="26">
        <f ca="1">ALL!T74</f>
        <v>0</v>
      </c>
      <c r="Q91" s="26">
        <f ca="1">ALL!U74</f>
        <v>0</v>
      </c>
      <c r="R91" s="26">
        <f ca="1">ALL!V74</f>
        <v>0</v>
      </c>
      <c r="S91" s="26">
        <f ca="1">ALL!W74</f>
        <v>0</v>
      </c>
      <c r="T91" s="26">
        <f ca="1">ALL!X74</f>
        <v>0</v>
      </c>
      <c r="U91" s="26">
        <f ca="1">ALL!Y74</f>
        <v>0</v>
      </c>
      <c r="V91" s="26">
        <f ca="1">ALL!Z74</f>
        <v>0</v>
      </c>
      <c r="W91" s="26">
        <f ca="1">ALL!AA74</f>
        <v>0</v>
      </c>
      <c r="X91" s="26">
        <f ca="1">ALL!AB74</f>
        <v>0</v>
      </c>
      <c r="Y91" s="26">
        <f ca="1">ALL!AC74</f>
        <v>0</v>
      </c>
      <c r="Z91" s="26">
        <f ca="1">ALL!AD74</f>
        <v>0</v>
      </c>
      <c r="AA91" s="26">
        <f ca="1">ALL!AE74</f>
        <v>0</v>
      </c>
      <c r="AB91" s="26">
        <f ca="1">ALL!AF74</f>
        <v>0</v>
      </c>
      <c r="AC91" s="26">
        <f ca="1">ALL!AG74</f>
        <v>0</v>
      </c>
      <c r="AD91" s="26">
        <f ca="1">ALL!AH74</f>
        <v>0</v>
      </c>
      <c r="AE91" s="26">
        <f ca="1">ALL!AI74</f>
        <v>0</v>
      </c>
      <c r="AF91" s="26">
        <f ca="1">ALL!AJ74</f>
        <v>0</v>
      </c>
      <c r="AG91" s="26">
        <f ca="1">ALL!AK74</f>
        <v>0</v>
      </c>
      <c r="AH91" s="26">
        <f ca="1">ALL!AL74</f>
        <v>0</v>
      </c>
      <c r="AI91" s="26">
        <f>ALL!AM74</f>
        <v>0</v>
      </c>
    </row>
    <row r="92" spans="1:35" ht="21.75" hidden="1" outlineLevel="1" thickBot="1" x14ac:dyDescent="0.4">
      <c r="A92" s="58">
        <f>ALL!E75</f>
        <v>0</v>
      </c>
      <c r="B92" s="28">
        <f ca="1">ALL!F75</f>
        <v>0</v>
      </c>
      <c r="C92" s="28">
        <f ca="1">ALL!G75</f>
        <v>0</v>
      </c>
      <c r="D92" s="28">
        <f ca="1">ALL!H75</f>
        <v>0</v>
      </c>
      <c r="E92" s="28">
        <f ca="1">ALL!I75</f>
        <v>0</v>
      </c>
      <c r="F92" s="26">
        <f ca="1">ALL!J75</f>
        <v>0</v>
      </c>
      <c r="G92" s="26">
        <f ca="1">ALL!K75</f>
        <v>0</v>
      </c>
      <c r="H92" s="26">
        <f ca="1">ALL!L75</f>
        <v>0</v>
      </c>
      <c r="I92" s="26">
        <f ca="1">ALL!M75</f>
        <v>0</v>
      </c>
      <c r="J92" s="26">
        <f ca="1">ALL!N75</f>
        <v>0</v>
      </c>
      <c r="K92" s="26">
        <f ca="1">ALL!O75</f>
        <v>0</v>
      </c>
      <c r="L92" s="26">
        <f ca="1">ALL!P75</f>
        <v>0</v>
      </c>
      <c r="M92" s="26">
        <f ca="1">ALL!Q75</f>
        <v>0</v>
      </c>
      <c r="N92" s="26">
        <f ca="1">ALL!R75</f>
        <v>0</v>
      </c>
      <c r="O92" s="26">
        <f ca="1">ALL!S75</f>
        <v>0</v>
      </c>
      <c r="P92" s="26">
        <f ca="1">ALL!T75</f>
        <v>0</v>
      </c>
      <c r="Q92" s="26">
        <f ca="1">ALL!U75</f>
        <v>0</v>
      </c>
      <c r="R92" s="26">
        <f ca="1">ALL!V75</f>
        <v>0</v>
      </c>
      <c r="S92" s="26">
        <f ca="1">ALL!W75</f>
        <v>0</v>
      </c>
      <c r="T92" s="26">
        <f ca="1">ALL!X75</f>
        <v>0</v>
      </c>
      <c r="U92" s="26">
        <f ca="1">ALL!Y75</f>
        <v>0</v>
      </c>
      <c r="V92" s="26">
        <f ca="1">ALL!Z75</f>
        <v>0</v>
      </c>
      <c r="W92" s="26">
        <f ca="1">ALL!AA75</f>
        <v>0</v>
      </c>
      <c r="X92" s="26">
        <f ca="1">ALL!AB75</f>
        <v>0</v>
      </c>
      <c r="Y92" s="26">
        <f ca="1">ALL!AC75</f>
        <v>0</v>
      </c>
      <c r="Z92" s="26">
        <f ca="1">ALL!AD75</f>
        <v>0</v>
      </c>
      <c r="AA92" s="26">
        <f ca="1">ALL!AE75</f>
        <v>0</v>
      </c>
      <c r="AB92" s="26">
        <f ca="1">ALL!AF75</f>
        <v>0</v>
      </c>
      <c r="AC92" s="26">
        <f ca="1">ALL!AG75</f>
        <v>0</v>
      </c>
      <c r="AD92" s="26">
        <f ca="1">ALL!AH75</f>
        <v>0</v>
      </c>
      <c r="AE92" s="26">
        <f ca="1">ALL!AI75</f>
        <v>0</v>
      </c>
      <c r="AF92" s="26">
        <f ca="1">ALL!AJ75</f>
        <v>0</v>
      </c>
      <c r="AG92" s="26">
        <f ca="1">ALL!AK75</f>
        <v>0</v>
      </c>
      <c r="AH92" s="26">
        <f ca="1">ALL!AL75</f>
        <v>0</v>
      </c>
      <c r="AI92" s="26">
        <f>ALL!AM75</f>
        <v>0</v>
      </c>
    </row>
    <row r="93" spans="1:35" ht="21.75" hidden="1" outlineLevel="1" thickBot="1" x14ac:dyDescent="0.4">
      <c r="A93" s="58">
        <f>ALL!E76</f>
        <v>0</v>
      </c>
      <c r="B93" s="28">
        <f ca="1">ALL!F76</f>
        <v>0</v>
      </c>
      <c r="C93" s="28">
        <f ca="1">ALL!G76</f>
        <v>0</v>
      </c>
      <c r="D93" s="28">
        <f ca="1">ALL!H76</f>
        <v>0</v>
      </c>
      <c r="E93" s="28">
        <f ca="1">ALL!I76</f>
        <v>0</v>
      </c>
      <c r="F93" s="26">
        <f ca="1">ALL!J76</f>
        <v>0</v>
      </c>
      <c r="G93" s="26">
        <f ca="1">ALL!K76</f>
        <v>0</v>
      </c>
      <c r="H93" s="26">
        <f ca="1">ALL!L76</f>
        <v>0</v>
      </c>
      <c r="I93" s="26">
        <f ca="1">ALL!M76</f>
        <v>0</v>
      </c>
      <c r="J93" s="26">
        <f ca="1">ALL!N76</f>
        <v>0</v>
      </c>
      <c r="K93" s="26">
        <f ca="1">ALL!O76</f>
        <v>0</v>
      </c>
      <c r="L93" s="26">
        <f ca="1">ALL!P76</f>
        <v>0</v>
      </c>
      <c r="M93" s="26">
        <f ca="1">ALL!Q76</f>
        <v>0</v>
      </c>
      <c r="N93" s="26">
        <f ca="1">ALL!R76</f>
        <v>0</v>
      </c>
      <c r="O93" s="26">
        <f ca="1">ALL!S76</f>
        <v>0</v>
      </c>
      <c r="P93" s="26">
        <f ca="1">ALL!T76</f>
        <v>0</v>
      </c>
      <c r="Q93" s="26">
        <f ca="1">ALL!U76</f>
        <v>0</v>
      </c>
      <c r="R93" s="26">
        <f ca="1">ALL!V76</f>
        <v>0</v>
      </c>
      <c r="S93" s="26">
        <f ca="1">ALL!W76</f>
        <v>0</v>
      </c>
      <c r="T93" s="26">
        <f ca="1">ALL!X76</f>
        <v>0</v>
      </c>
      <c r="U93" s="26">
        <f ca="1">ALL!Y76</f>
        <v>0</v>
      </c>
      <c r="V93" s="26">
        <f ca="1">ALL!Z76</f>
        <v>0</v>
      </c>
      <c r="W93" s="26">
        <f ca="1">ALL!AA76</f>
        <v>0</v>
      </c>
      <c r="X93" s="26">
        <f ca="1">ALL!AB76</f>
        <v>0</v>
      </c>
      <c r="Y93" s="26">
        <f ca="1">ALL!AC76</f>
        <v>0</v>
      </c>
      <c r="Z93" s="26">
        <f ca="1">ALL!AD76</f>
        <v>0</v>
      </c>
      <c r="AA93" s="26">
        <f ca="1">ALL!AE76</f>
        <v>0</v>
      </c>
      <c r="AB93" s="26">
        <f ca="1">ALL!AF76</f>
        <v>0</v>
      </c>
      <c r="AC93" s="26">
        <f ca="1">ALL!AG76</f>
        <v>0</v>
      </c>
      <c r="AD93" s="26">
        <f ca="1">ALL!AH76</f>
        <v>0</v>
      </c>
      <c r="AE93" s="26">
        <f ca="1">ALL!AI76</f>
        <v>0</v>
      </c>
      <c r="AF93" s="26">
        <f ca="1">ALL!AJ76</f>
        <v>0</v>
      </c>
      <c r="AG93" s="26">
        <f ca="1">ALL!AK76</f>
        <v>0</v>
      </c>
      <c r="AH93" s="26">
        <f ca="1">ALL!AL76</f>
        <v>0</v>
      </c>
      <c r="AI93" s="26">
        <f>ALL!AM76</f>
        <v>0</v>
      </c>
    </row>
    <row r="94" spans="1:35" ht="21.75" hidden="1" outlineLevel="1" thickBot="1" x14ac:dyDescent="0.4">
      <c r="A94" s="58">
        <f>ALL!E77</f>
        <v>0</v>
      </c>
      <c r="B94" s="28">
        <f ca="1">ALL!F77</f>
        <v>0</v>
      </c>
      <c r="C94" s="28">
        <f ca="1">ALL!G77</f>
        <v>0</v>
      </c>
      <c r="D94" s="28">
        <f ca="1">ALL!H77</f>
        <v>0</v>
      </c>
      <c r="E94" s="28">
        <f ca="1">ALL!I77</f>
        <v>0</v>
      </c>
      <c r="F94" s="26">
        <f ca="1">ALL!J77</f>
        <v>0</v>
      </c>
      <c r="G94" s="26">
        <f ca="1">ALL!K77</f>
        <v>0</v>
      </c>
      <c r="H94" s="26">
        <f ca="1">ALL!L77</f>
        <v>0</v>
      </c>
      <c r="I94" s="26">
        <f ca="1">ALL!M77</f>
        <v>0</v>
      </c>
      <c r="J94" s="26">
        <f ca="1">ALL!N77</f>
        <v>0</v>
      </c>
      <c r="K94" s="26">
        <f ca="1">ALL!O77</f>
        <v>0</v>
      </c>
      <c r="L94" s="26">
        <f ca="1">ALL!P77</f>
        <v>0</v>
      </c>
      <c r="M94" s="26">
        <f ca="1">ALL!Q77</f>
        <v>0</v>
      </c>
      <c r="N94" s="26">
        <f ca="1">ALL!R77</f>
        <v>0</v>
      </c>
      <c r="O94" s="26">
        <f ca="1">ALL!S77</f>
        <v>0</v>
      </c>
      <c r="P94" s="26">
        <f ca="1">ALL!T77</f>
        <v>0</v>
      </c>
      <c r="Q94" s="26">
        <f ca="1">ALL!U77</f>
        <v>0</v>
      </c>
      <c r="R94" s="26">
        <f ca="1">ALL!V77</f>
        <v>0</v>
      </c>
      <c r="S94" s="26">
        <f ca="1">ALL!W77</f>
        <v>0</v>
      </c>
      <c r="T94" s="26">
        <f ca="1">ALL!X77</f>
        <v>0</v>
      </c>
      <c r="U94" s="26">
        <f ca="1">ALL!Y77</f>
        <v>0</v>
      </c>
      <c r="V94" s="26">
        <f ca="1">ALL!Z77</f>
        <v>0</v>
      </c>
      <c r="W94" s="26">
        <f ca="1">ALL!AA77</f>
        <v>0</v>
      </c>
      <c r="X94" s="26">
        <f ca="1">ALL!AB77</f>
        <v>0</v>
      </c>
      <c r="Y94" s="26">
        <f ca="1">ALL!AC77</f>
        <v>0</v>
      </c>
      <c r="Z94" s="26">
        <f ca="1">ALL!AD77</f>
        <v>0</v>
      </c>
      <c r="AA94" s="26">
        <f ca="1">ALL!AE77</f>
        <v>0</v>
      </c>
      <c r="AB94" s="26">
        <f ca="1">ALL!AF77</f>
        <v>0</v>
      </c>
      <c r="AC94" s="26">
        <f ca="1">ALL!AG77</f>
        <v>0</v>
      </c>
      <c r="AD94" s="26">
        <f ca="1">ALL!AH77</f>
        <v>0</v>
      </c>
      <c r="AE94" s="26">
        <f ca="1">ALL!AI77</f>
        <v>0</v>
      </c>
      <c r="AF94" s="26">
        <f ca="1">ALL!AJ77</f>
        <v>0</v>
      </c>
      <c r="AG94" s="26">
        <f ca="1">ALL!AK77</f>
        <v>0</v>
      </c>
      <c r="AH94" s="26">
        <f ca="1">ALL!AL77</f>
        <v>0</v>
      </c>
      <c r="AI94" s="26">
        <f>ALL!AM77</f>
        <v>0</v>
      </c>
    </row>
    <row r="95" spans="1:35" ht="21.75" hidden="1" outlineLevel="1" thickBot="1" x14ac:dyDescent="0.4">
      <c r="A95" s="58">
        <f>ALL!E78</f>
        <v>0</v>
      </c>
      <c r="B95" s="28">
        <f ca="1">ALL!F78</f>
        <v>0</v>
      </c>
      <c r="C95" s="28">
        <f ca="1">ALL!G78</f>
        <v>0</v>
      </c>
      <c r="D95" s="28">
        <f ca="1">ALL!H78</f>
        <v>0</v>
      </c>
      <c r="E95" s="28">
        <f ca="1">ALL!I78</f>
        <v>0</v>
      </c>
      <c r="F95" s="26">
        <f ca="1">ALL!J78</f>
        <v>0</v>
      </c>
      <c r="G95" s="26">
        <f ca="1">ALL!K78</f>
        <v>0</v>
      </c>
      <c r="H95" s="26">
        <f ca="1">ALL!L78</f>
        <v>0</v>
      </c>
      <c r="I95" s="26">
        <f ca="1">ALL!M78</f>
        <v>0</v>
      </c>
      <c r="J95" s="26">
        <f ca="1">ALL!N78</f>
        <v>0</v>
      </c>
      <c r="K95" s="26">
        <f ca="1">ALL!O78</f>
        <v>0</v>
      </c>
      <c r="L95" s="26">
        <f ca="1">ALL!P78</f>
        <v>0</v>
      </c>
      <c r="M95" s="26">
        <f ca="1">ALL!Q78</f>
        <v>0</v>
      </c>
      <c r="N95" s="26">
        <f ca="1">ALL!R78</f>
        <v>0</v>
      </c>
      <c r="O95" s="26">
        <f ca="1">ALL!S78</f>
        <v>0</v>
      </c>
      <c r="P95" s="26">
        <f ca="1">ALL!T78</f>
        <v>0</v>
      </c>
      <c r="Q95" s="26">
        <f ca="1">ALL!U78</f>
        <v>0</v>
      </c>
      <c r="R95" s="26">
        <f ca="1">ALL!V78</f>
        <v>0</v>
      </c>
      <c r="S95" s="26">
        <f ca="1">ALL!W78</f>
        <v>0</v>
      </c>
      <c r="T95" s="26">
        <f ca="1">ALL!X78</f>
        <v>0</v>
      </c>
      <c r="U95" s="26">
        <f ca="1">ALL!Y78</f>
        <v>0</v>
      </c>
      <c r="V95" s="26">
        <f ca="1">ALL!Z78</f>
        <v>0</v>
      </c>
      <c r="W95" s="26">
        <f ca="1">ALL!AA78</f>
        <v>0</v>
      </c>
      <c r="X95" s="26">
        <f ca="1">ALL!AB78</f>
        <v>0</v>
      </c>
      <c r="Y95" s="26">
        <f ca="1">ALL!AC78</f>
        <v>0</v>
      </c>
      <c r="Z95" s="26">
        <f ca="1">ALL!AD78</f>
        <v>0</v>
      </c>
      <c r="AA95" s="26">
        <f ca="1">ALL!AE78</f>
        <v>0</v>
      </c>
      <c r="AB95" s="26">
        <f ca="1">ALL!AF78</f>
        <v>0</v>
      </c>
      <c r="AC95" s="26">
        <f ca="1">ALL!AG78</f>
        <v>0</v>
      </c>
      <c r="AD95" s="26">
        <f ca="1">ALL!AH78</f>
        <v>0</v>
      </c>
      <c r="AE95" s="26">
        <f ca="1">ALL!AI78</f>
        <v>0</v>
      </c>
      <c r="AF95" s="26">
        <f ca="1">ALL!AJ78</f>
        <v>0</v>
      </c>
      <c r="AG95" s="26">
        <f ca="1">ALL!AK78</f>
        <v>0</v>
      </c>
      <c r="AH95" s="26">
        <f ca="1">ALL!AL78</f>
        <v>0</v>
      </c>
      <c r="AI95" s="26">
        <f>ALL!AM78</f>
        <v>0</v>
      </c>
    </row>
    <row r="96" spans="1:35" ht="21.75" hidden="1" outlineLevel="1" thickBot="1" x14ac:dyDescent="0.4">
      <c r="A96" s="58">
        <f>ALL!E79</f>
        <v>1</v>
      </c>
      <c r="B96" s="28">
        <f>ALL!F79</f>
        <v>0</v>
      </c>
      <c r="C96" s="28">
        <f>ALL!G79</f>
        <v>0</v>
      </c>
      <c r="D96" s="28">
        <f>ALL!H79</f>
        <v>0</v>
      </c>
      <c r="E96" s="28">
        <f>ALL!I79</f>
        <v>0</v>
      </c>
      <c r="F96" s="26">
        <f>ALL!J79</f>
        <v>0</v>
      </c>
      <c r="G96" s="26">
        <f>ALL!K79</f>
        <v>0</v>
      </c>
      <c r="H96" s="26">
        <f>ALL!L79</f>
        <v>0</v>
      </c>
      <c r="I96" s="26">
        <f>ALL!M79</f>
        <v>0</v>
      </c>
      <c r="J96" s="26">
        <f>ALL!N79</f>
        <v>0</v>
      </c>
      <c r="K96" s="26">
        <f>ALL!O79</f>
        <v>0</v>
      </c>
      <c r="L96" s="26">
        <f>ALL!P79</f>
        <v>0</v>
      </c>
      <c r="M96" s="26">
        <f>ALL!Q79</f>
        <v>0</v>
      </c>
      <c r="N96" s="26">
        <f>ALL!R79</f>
        <v>0</v>
      </c>
      <c r="O96" s="26">
        <f>ALL!S79</f>
        <v>0</v>
      </c>
      <c r="P96" s="26">
        <f>ALL!T79</f>
        <v>0</v>
      </c>
      <c r="Q96" s="26">
        <f>ALL!U79</f>
        <v>0</v>
      </c>
      <c r="R96" s="26">
        <f>ALL!V79</f>
        <v>0</v>
      </c>
      <c r="S96" s="26">
        <f>ALL!W79</f>
        <v>0</v>
      </c>
      <c r="T96" s="26">
        <f>ALL!X79</f>
        <v>0</v>
      </c>
      <c r="U96" s="26">
        <f>ALL!Y79</f>
        <v>0</v>
      </c>
      <c r="V96" s="26">
        <f>ALL!Z79</f>
        <v>0</v>
      </c>
      <c r="W96" s="26">
        <f>ALL!AA79</f>
        <v>0</v>
      </c>
      <c r="X96" s="26">
        <f>ALL!AB79</f>
        <v>0</v>
      </c>
      <c r="Y96" s="26">
        <f>ALL!AC79</f>
        <v>0</v>
      </c>
      <c r="Z96" s="26">
        <f>ALL!AD79</f>
        <v>0</v>
      </c>
      <c r="AA96" s="26">
        <f>ALL!AE79</f>
        <v>0</v>
      </c>
      <c r="AB96" s="26">
        <f>ALL!AF79</f>
        <v>0</v>
      </c>
      <c r="AC96" s="26">
        <f>ALL!AG79</f>
        <v>0</v>
      </c>
      <c r="AD96" s="26">
        <f>ALL!AH79</f>
        <v>0</v>
      </c>
      <c r="AE96" s="26">
        <f>ALL!AI79</f>
        <v>0</v>
      </c>
      <c r="AF96" s="26">
        <f>ALL!AJ79</f>
        <v>0</v>
      </c>
      <c r="AG96" s="26">
        <f>ALL!AK79</f>
        <v>0</v>
      </c>
      <c r="AH96" s="26">
        <f>ALL!AL79</f>
        <v>0</v>
      </c>
      <c r="AI96" s="26">
        <f>ALL!AM79</f>
        <v>0</v>
      </c>
    </row>
    <row r="97" spans="1:94" ht="21.75" collapsed="1" thickTop="1" x14ac:dyDescent="0.35">
      <c r="A97" s="109" t="s">
        <v>11</v>
      </c>
      <c r="B97" s="110"/>
      <c r="F97" s="59"/>
      <c r="G97" s="59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9"/>
      <c r="AE97" s="59"/>
      <c r="AF97" s="59"/>
      <c r="AG97" s="59"/>
      <c r="AH97" s="59"/>
      <c r="AI97" s="59"/>
    </row>
    <row r="98" spans="1:94" x14ac:dyDescent="0.35">
      <c r="A98" s="42" t="e">
        <f>Values!#REF!</f>
        <v>#REF!</v>
      </c>
      <c r="B98" s="79">
        <f>MIN(B100:CP154)</f>
        <v>-193.34064356435644</v>
      </c>
    </row>
    <row r="99" spans="1:94" ht="21.75" thickBot="1" x14ac:dyDescent="0.4">
      <c r="A99" s="43" t="e">
        <f>A98</f>
        <v>#REF!</v>
      </c>
      <c r="B99" s="80">
        <v>0</v>
      </c>
    </row>
    <row r="100" spans="1:94" ht="22.5" thickTop="1" thickBot="1" x14ac:dyDescent="0.4">
      <c r="A100" s="9" t="s">
        <v>36</v>
      </c>
      <c r="B100" s="106">
        <v>290</v>
      </c>
      <c r="C100" s="106">
        <v>298</v>
      </c>
      <c r="D100" s="106">
        <v>306</v>
      </c>
      <c r="E100" s="106">
        <v>314</v>
      </c>
      <c r="F100" s="9">
        <v>322</v>
      </c>
      <c r="G100" s="9">
        <v>330</v>
      </c>
      <c r="H100" s="9">
        <v>338</v>
      </c>
      <c r="I100" s="9">
        <v>346</v>
      </c>
      <c r="J100" s="9">
        <v>354</v>
      </c>
      <c r="K100" s="9">
        <v>362</v>
      </c>
      <c r="L100" s="9">
        <v>370</v>
      </c>
      <c r="M100" s="9">
        <v>378</v>
      </c>
      <c r="N100" s="9">
        <v>386</v>
      </c>
      <c r="O100" s="9">
        <v>394</v>
      </c>
      <c r="P100" s="9">
        <v>402</v>
      </c>
      <c r="Q100" s="9">
        <v>410</v>
      </c>
      <c r="R100" s="9">
        <v>418</v>
      </c>
      <c r="S100" s="9">
        <v>426</v>
      </c>
      <c r="T100" s="9">
        <v>434</v>
      </c>
      <c r="U100" s="9">
        <v>442</v>
      </c>
      <c r="V100" s="9">
        <v>450</v>
      </c>
      <c r="W100" s="9">
        <v>458</v>
      </c>
      <c r="X100" s="9">
        <v>466</v>
      </c>
      <c r="Y100" s="9">
        <v>474</v>
      </c>
      <c r="Z100" s="9">
        <v>482</v>
      </c>
      <c r="AA100" s="9">
        <v>490</v>
      </c>
      <c r="AB100" s="9">
        <v>498</v>
      </c>
      <c r="AC100" s="9">
        <v>506</v>
      </c>
      <c r="AD100" s="9">
        <v>514</v>
      </c>
      <c r="AE100" s="9">
        <v>522</v>
      </c>
      <c r="AF100" s="9">
        <v>530</v>
      </c>
      <c r="AG100" s="9">
        <v>538</v>
      </c>
      <c r="AH100" s="9">
        <v>546</v>
      </c>
      <c r="AI100" s="9">
        <v>554</v>
      </c>
      <c r="AJ100" s="9">
        <v>562</v>
      </c>
      <c r="AK100" s="9">
        <v>570</v>
      </c>
      <c r="AL100" s="9">
        <v>578</v>
      </c>
      <c r="AM100" s="9">
        <v>586</v>
      </c>
      <c r="AN100" s="9">
        <v>594</v>
      </c>
      <c r="AO100" s="9">
        <v>602</v>
      </c>
      <c r="AP100" s="9">
        <v>610</v>
      </c>
      <c r="AQ100" s="9">
        <v>618</v>
      </c>
      <c r="AR100" s="9">
        <v>626</v>
      </c>
      <c r="AS100" s="9">
        <v>634</v>
      </c>
      <c r="AT100" s="9">
        <v>642</v>
      </c>
      <c r="AU100" s="9">
        <v>650</v>
      </c>
      <c r="AV100" s="9">
        <v>658</v>
      </c>
      <c r="AW100" s="9">
        <v>666</v>
      </c>
      <c r="AX100" s="9">
        <v>674</v>
      </c>
      <c r="AY100" s="9">
        <v>682</v>
      </c>
      <c r="AZ100" s="9">
        <v>690</v>
      </c>
      <c r="BA100" s="9">
        <v>698</v>
      </c>
      <c r="BB100" s="9">
        <v>706</v>
      </c>
      <c r="BC100" s="9">
        <v>714</v>
      </c>
      <c r="BD100" s="9">
        <v>722</v>
      </c>
      <c r="BE100" s="9">
        <v>730</v>
      </c>
      <c r="BF100" s="9">
        <v>738</v>
      </c>
      <c r="BG100" s="9">
        <v>746</v>
      </c>
      <c r="BH100" s="9">
        <v>754</v>
      </c>
      <c r="BI100" s="9">
        <v>762</v>
      </c>
      <c r="BJ100" s="9">
        <v>770</v>
      </c>
      <c r="BK100" s="9">
        <v>778</v>
      </c>
      <c r="BL100" s="9">
        <v>786</v>
      </c>
      <c r="BM100" s="9">
        <v>794</v>
      </c>
      <c r="BN100" s="9">
        <v>802</v>
      </c>
      <c r="BO100" s="9">
        <v>810</v>
      </c>
      <c r="BP100" s="9">
        <v>818</v>
      </c>
      <c r="BQ100" s="9">
        <v>826</v>
      </c>
      <c r="BR100" s="9">
        <v>834</v>
      </c>
      <c r="BS100" s="9">
        <v>842</v>
      </c>
      <c r="BT100" s="9">
        <v>850</v>
      </c>
      <c r="BU100" s="9">
        <v>858</v>
      </c>
      <c r="BV100" s="9">
        <v>866</v>
      </c>
      <c r="BW100" s="9">
        <v>874</v>
      </c>
      <c r="BX100" s="9">
        <v>882</v>
      </c>
      <c r="BY100" s="9">
        <v>890</v>
      </c>
      <c r="BZ100" s="9">
        <v>898</v>
      </c>
      <c r="CA100" s="9">
        <v>906</v>
      </c>
      <c r="CB100" s="9">
        <v>914</v>
      </c>
      <c r="CC100" s="9">
        <v>922</v>
      </c>
      <c r="CD100" s="9">
        <v>930</v>
      </c>
      <c r="CE100" s="9">
        <v>938</v>
      </c>
      <c r="CF100" s="9">
        <v>946</v>
      </c>
      <c r="CG100" s="9">
        <v>954</v>
      </c>
      <c r="CH100" s="9">
        <v>962</v>
      </c>
      <c r="CI100" s="9">
        <v>970</v>
      </c>
      <c r="CJ100" s="9">
        <v>978</v>
      </c>
      <c r="CK100" s="9">
        <v>986</v>
      </c>
      <c r="CL100" s="9">
        <v>994</v>
      </c>
      <c r="CM100" s="9"/>
      <c r="CN100" s="9"/>
      <c r="CO100" s="9"/>
      <c r="CP100" s="9"/>
    </row>
    <row r="101" spans="1:94" ht="22.5" thickTop="1" thickBot="1" x14ac:dyDescent="0.4">
      <c r="A101" s="30" t="s">
        <v>73</v>
      </c>
      <c r="B101" s="60">
        <v>-15.64579207920792</v>
      </c>
      <c r="C101" s="60">
        <v>-15.366435643564357</v>
      </c>
      <c r="D101" s="60">
        <v>-15.105049504950495</v>
      </c>
      <c r="E101" s="60">
        <v>-14.846138613861386</v>
      </c>
      <c r="F101">
        <v>-14.624356435643564</v>
      </c>
      <c r="G101">
        <v>-14.402574257425742</v>
      </c>
      <c r="H101">
        <v>-14.052217821782177</v>
      </c>
      <c r="I101">
        <v>-13.591227722772276</v>
      </c>
      <c r="J101">
        <v>-13.129466584158413</v>
      </c>
      <c r="K101">
        <v>-12.606793316831681</v>
      </c>
      <c r="L101">
        <v>-12.084120049504948</v>
      </c>
      <c r="M101">
        <v>-11.561446782178216</v>
      </c>
      <c r="N101">
        <v>-11.038773514851483</v>
      </c>
      <c r="O101">
        <v>-10.516100247524751</v>
      </c>
      <c r="P101">
        <v>-9.9934269801980182</v>
      </c>
      <c r="Q101">
        <v>-9.4707537128712858</v>
      </c>
      <c r="R101">
        <v>-8.9480804455445551</v>
      </c>
      <c r="S101">
        <v>-8.4254071782178208</v>
      </c>
      <c r="T101">
        <v>-7.9027339108910892</v>
      </c>
      <c r="U101">
        <v>-7.471400990099009</v>
      </c>
      <c r="V101">
        <v>-7.0488267326732661</v>
      </c>
      <c r="W101">
        <v>-6.6380693069306922</v>
      </c>
      <c r="X101">
        <v>-6.2459900990099015</v>
      </c>
      <c r="Y101">
        <v>-5.85391089108911</v>
      </c>
      <c r="Z101">
        <v>-5.4831492537313435</v>
      </c>
      <c r="AA101">
        <v>-5.1157860696517412</v>
      </c>
      <c r="AB101">
        <v>-4.7695742574257416</v>
      </c>
      <c r="AC101">
        <v>-4.4626435643564353</v>
      </c>
      <c r="AD101">
        <v>-4.1557128712871281</v>
      </c>
      <c r="AE101">
        <v>-4.117683168316832</v>
      </c>
      <c r="AF101">
        <v>-4.136693069306931</v>
      </c>
      <c r="AG101">
        <v>-4.1559405940594063</v>
      </c>
      <c r="AH101">
        <v>-4.1757425742574261</v>
      </c>
      <c r="AI101">
        <v>-4.1955445544554459</v>
      </c>
      <c r="AJ101">
        <v>-4.2150396039603963</v>
      </c>
      <c r="AK101">
        <v>-4.2344455445544549</v>
      </c>
      <c r="AL101">
        <v>-4.2539504950495051</v>
      </c>
      <c r="AM101">
        <v>-4.2737524752475249</v>
      </c>
      <c r="AN101">
        <v>-4.2935544554455447</v>
      </c>
      <c r="AO101">
        <v>-4.3133564356435645</v>
      </c>
      <c r="AP101">
        <v>-4.3331584158415843</v>
      </c>
      <c r="AQ101">
        <v>-4.3529603960396042</v>
      </c>
      <c r="AR101">
        <v>-4.372762376237624</v>
      </c>
      <c r="AS101">
        <v>-4.3925643564356438</v>
      </c>
      <c r="AT101">
        <v>-4.4123663366336636</v>
      </c>
      <c r="AU101">
        <v>-4.4321683168316834</v>
      </c>
      <c r="AV101">
        <v>-4.4519702970297024</v>
      </c>
      <c r="AW101">
        <v>-4.4717722772277222</v>
      </c>
      <c r="AX101">
        <v>-4.491574257425742</v>
      </c>
      <c r="AY101">
        <v>-4.5112057001239156</v>
      </c>
      <c r="AZ101">
        <v>-4.5307348203221807</v>
      </c>
      <c r="BA101">
        <v>-4.5502639405204457</v>
      </c>
      <c r="BB101">
        <v>-4.5697930607187107</v>
      </c>
      <c r="BC101">
        <v>-4.5893221809169757</v>
      </c>
      <c r="BD101">
        <v>-4.6088513011152417</v>
      </c>
      <c r="BE101">
        <v>-4.6283804213135067</v>
      </c>
      <c r="BF101">
        <v>-4.6479095415117717</v>
      </c>
      <c r="BG101">
        <v>-4.6674386617100367</v>
      </c>
      <c r="BH101">
        <v>-4.6869677819083018</v>
      </c>
      <c r="BI101">
        <v>-4.7061646039603957</v>
      </c>
      <c r="BJ101">
        <v>-4.7250754950495049</v>
      </c>
      <c r="BK101">
        <v>-4.7439863861386131</v>
      </c>
      <c r="BL101">
        <v>-4.7628972772277223</v>
      </c>
      <c r="BM101">
        <v>-4.7818081683168314</v>
      </c>
      <c r="BN101">
        <v>-4.8007190594059406</v>
      </c>
      <c r="BO101">
        <v>-4.8196299504950488</v>
      </c>
      <c r="BP101">
        <v>-4.838540841584158</v>
      </c>
      <c r="BQ101">
        <v>-4.8574517326732671</v>
      </c>
      <c r="BR101">
        <v>-4.8763626237623754</v>
      </c>
      <c r="BS101">
        <v>-4.8949801734820317</v>
      </c>
      <c r="BT101">
        <v>-4.913220570012391</v>
      </c>
      <c r="BU101">
        <v>-4.9314609665427502</v>
      </c>
      <c r="BV101">
        <v>-4.9497013630731095</v>
      </c>
      <c r="BW101">
        <v>-4.9679417596034696</v>
      </c>
      <c r="BX101">
        <v>-4.9861821561338289</v>
      </c>
      <c r="BY101">
        <v>-5.0044225526641881</v>
      </c>
      <c r="BZ101">
        <v>-5.0226629491945474</v>
      </c>
      <c r="CA101">
        <v>-5.0409033457249066</v>
      </c>
      <c r="CB101">
        <v>-5.0591437422552659</v>
      </c>
      <c r="CC101">
        <v>-5.077168316831683</v>
      </c>
      <c r="CD101">
        <v>-5.0947920792079202</v>
      </c>
      <c r="CE101">
        <v>-5.1124158415841583</v>
      </c>
      <c r="CF101">
        <v>-5.1300396039603955</v>
      </c>
      <c r="CG101">
        <v>-5.1476633663366336</v>
      </c>
      <c r="CH101">
        <v>-5.1652871287128708</v>
      </c>
      <c r="CI101">
        <v>-5.1829108910891089</v>
      </c>
      <c r="CJ101">
        <v>-5.200534653465346</v>
      </c>
      <c r="CK101">
        <v>-5.2181584158415841</v>
      </c>
      <c r="CL101">
        <v>-5.2357821782178213</v>
      </c>
    </row>
    <row r="102" spans="1:94" ht="21.75" thickBot="1" x14ac:dyDescent="0.4">
      <c r="A102" s="30" t="s">
        <v>48</v>
      </c>
      <c r="B102" s="60">
        <v>-15.64579207920792</v>
      </c>
      <c r="C102" s="60">
        <v>-15.366435643564357</v>
      </c>
      <c r="D102" s="60">
        <v>-15.105049504950495</v>
      </c>
      <c r="E102" s="60">
        <v>-14.846138613861386</v>
      </c>
      <c r="F102">
        <v>-14.624356435643564</v>
      </c>
      <c r="G102">
        <v>-14.402574257425742</v>
      </c>
      <c r="H102">
        <v>-14.052217821782177</v>
      </c>
      <c r="I102">
        <v>-13.591227722772276</v>
      </c>
      <c r="J102">
        <v>-13.129466584158413</v>
      </c>
      <c r="K102">
        <v>-12.606793316831681</v>
      </c>
      <c r="L102">
        <v>-12.084120049504948</v>
      </c>
      <c r="M102">
        <v>-11.561446782178216</v>
      </c>
      <c r="N102">
        <v>-11.038773514851483</v>
      </c>
      <c r="O102">
        <v>-10.516100247524751</v>
      </c>
      <c r="P102">
        <v>-9.9934269801980182</v>
      </c>
      <c r="Q102">
        <v>-9.4707537128712858</v>
      </c>
      <c r="R102">
        <v>-8.9480804455445551</v>
      </c>
      <c r="S102">
        <v>-8.4254071782178208</v>
      </c>
      <c r="T102">
        <v>-7.9027339108910892</v>
      </c>
      <c r="U102">
        <v>-7.471400990099009</v>
      </c>
      <c r="V102">
        <v>-7.0488267326732661</v>
      </c>
      <c r="W102">
        <v>-6.6380693069306922</v>
      </c>
      <c r="X102">
        <v>-6.2459900990099015</v>
      </c>
      <c r="Y102">
        <v>-5.85391089108911</v>
      </c>
      <c r="Z102">
        <v>-5.4831492537313435</v>
      </c>
      <c r="AA102">
        <v>-5.1157860696517412</v>
      </c>
      <c r="AB102">
        <v>-4.7695742574257416</v>
      </c>
      <c r="AC102">
        <v>-4.4626435643564353</v>
      </c>
      <c r="AD102">
        <v>-4.1557128712871281</v>
      </c>
      <c r="AE102">
        <v>-4.117683168316832</v>
      </c>
      <c r="AF102">
        <v>-4.136693069306931</v>
      </c>
      <c r="AG102">
        <v>-4.1559405940594063</v>
      </c>
      <c r="AH102">
        <v>-4.1757425742574261</v>
      </c>
      <c r="AI102">
        <v>-4.1955445544554459</v>
      </c>
      <c r="AJ102">
        <v>-4.2150396039603963</v>
      </c>
      <c r="AK102">
        <v>-4.2344455445544549</v>
      </c>
      <c r="AL102">
        <v>-4.2539504950495051</v>
      </c>
      <c r="AM102">
        <v>-4.2737524752475249</v>
      </c>
      <c r="AN102">
        <v>-4.2935544554455447</v>
      </c>
      <c r="AO102">
        <v>-4.3133564356435645</v>
      </c>
      <c r="AP102">
        <v>-4.3331584158415843</v>
      </c>
      <c r="AQ102">
        <v>-4.3529603960396042</v>
      </c>
      <c r="AR102">
        <v>-4.372762376237624</v>
      </c>
      <c r="AS102">
        <v>-4.3925643564356438</v>
      </c>
      <c r="AT102">
        <v>-4.4123663366336636</v>
      </c>
      <c r="AU102">
        <v>-4.4321683168316834</v>
      </c>
      <c r="AV102">
        <v>-4.4519702970297024</v>
      </c>
      <c r="AW102">
        <v>-4.4717722772277222</v>
      </c>
      <c r="AX102">
        <v>-4.491574257425742</v>
      </c>
      <c r="AY102">
        <v>-4.5112057001239156</v>
      </c>
      <c r="AZ102">
        <v>-4.5307348203221807</v>
      </c>
      <c r="BA102">
        <v>-4.5502639405204457</v>
      </c>
      <c r="BB102">
        <v>-4.5697930607187107</v>
      </c>
      <c r="BC102">
        <v>-4.5893221809169757</v>
      </c>
      <c r="BD102">
        <v>-4.6088513011152417</v>
      </c>
      <c r="BE102">
        <v>-4.6283804213135067</v>
      </c>
      <c r="BF102">
        <v>-4.6479095415117717</v>
      </c>
      <c r="BG102">
        <v>-4.6674386617100367</v>
      </c>
      <c r="BH102">
        <v>-4.6869677819083018</v>
      </c>
      <c r="BI102">
        <v>-4.7061646039603957</v>
      </c>
      <c r="BJ102">
        <v>-4.7250754950495049</v>
      </c>
      <c r="BK102">
        <v>-4.7439863861386131</v>
      </c>
      <c r="BL102">
        <v>-4.7628972772277223</v>
      </c>
      <c r="BM102">
        <v>-4.7818081683168314</v>
      </c>
      <c r="BN102">
        <v>-4.8007190594059406</v>
      </c>
      <c r="BO102">
        <v>-4.8196299504950488</v>
      </c>
      <c r="BP102">
        <v>-4.838540841584158</v>
      </c>
      <c r="BQ102">
        <v>-4.8574517326732671</v>
      </c>
      <c r="BR102">
        <v>-4.8763626237623754</v>
      </c>
      <c r="BS102">
        <v>-4.8949801734820317</v>
      </c>
      <c r="BT102">
        <v>-4.913220570012391</v>
      </c>
      <c r="BU102">
        <v>-4.9314609665427502</v>
      </c>
      <c r="BV102">
        <v>-4.9497013630731095</v>
      </c>
      <c r="BW102">
        <v>-4.9679417596034696</v>
      </c>
      <c r="BX102">
        <v>-4.9861821561338289</v>
      </c>
      <c r="BY102">
        <v>-5.0044225526641881</v>
      </c>
      <c r="BZ102">
        <v>-5.0226629491945474</v>
      </c>
      <c r="CA102">
        <v>-5.0409033457249066</v>
      </c>
      <c r="CB102">
        <v>-5.0591437422552659</v>
      </c>
      <c r="CC102">
        <v>-5.077168316831683</v>
      </c>
      <c r="CD102">
        <v>-5.0947920792079202</v>
      </c>
      <c r="CE102">
        <v>-5.1124158415841583</v>
      </c>
      <c r="CF102">
        <v>-5.1300396039603955</v>
      </c>
      <c r="CG102">
        <v>-5.1476633663366336</v>
      </c>
      <c r="CH102">
        <v>-5.1652871287128708</v>
      </c>
      <c r="CI102">
        <v>-5.1829108910891089</v>
      </c>
      <c r="CJ102">
        <v>-5.200534653465346</v>
      </c>
      <c r="CK102">
        <v>-5.2181584158415841</v>
      </c>
      <c r="CL102">
        <v>-5.2357821782178213</v>
      </c>
    </row>
    <row r="103" spans="1:94" ht="21.75" thickBot="1" x14ac:dyDescent="0.4">
      <c r="A103" s="30" t="s">
        <v>47</v>
      </c>
      <c r="B103" s="60">
        <v>-38.044702970297031</v>
      </c>
      <c r="C103" s="60">
        <v>-37.276534653465347</v>
      </c>
      <c r="D103" s="60">
        <v>-36.555742574257422</v>
      </c>
      <c r="E103" s="60">
        <v>-35.841138613861382</v>
      </c>
      <c r="F103">
        <v>-35.219356435643562</v>
      </c>
      <c r="G103">
        <v>-34.597574257425741</v>
      </c>
      <c r="H103">
        <v>-34.01879207920792</v>
      </c>
      <c r="I103">
        <v>-33.477009900990097</v>
      </c>
      <c r="J103">
        <v>-32.936969059405939</v>
      </c>
      <c r="K103">
        <v>-32.534493811881184</v>
      </c>
      <c r="L103">
        <v>-32.132018564356436</v>
      </c>
      <c r="M103">
        <v>-31.72954331683168</v>
      </c>
      <c r="N103">
        <v>-31.327068069306929</v>
      </c>
      <c r="O103">
        <v>-30.924592821782177</v>
      </c>
      <c r="P103">
        <v>-30.522117574257425</v>
      </c>
      <c r="Q103">
        <v>-30.119642326732674</v>
      </c>
      <c r="R103">
        <v>-29.717167079207918</v>
      </c>
      <c r="S103">
        <v>-29.314691831683167</v>
      </c>
      <c r="T103">
        <v>-28.912216584158415</v>
      </c>
      <c r="U103">
        <v>-28.607044554455445</v>
      </c>
      <c r="V103">
        <v>-28.311202970297028</v>
      </c>
      <c r="W103">
        <v>-28.025643564356436</v>
      </c>
      <c r="X103">
        <v>-27.756336633663366</v>
      </c>
      <c r="Y103">
        <v>-27.487029702970297</v>
      </c>
      <c r="Z103">
        <v>-27.239567164179103</v>
      </c>
      <c r="AA103">
        <v>-26.995587064676617</v>
      </c>
      <c r="AB103">
        <v>-26.772544554455443</v>
      </c>
      <c r="AC103">
        <v>-26.58838613861386</v>
      </c>
      <c r="AD103">
        <v>-26.404227722772276</v>
      </c>
      <c r="AE103">
        <v>-26.48570297029703</v>
      </c>
      <c r="AF103">
        <v>-26.623524752475248</v>
      </c>
      <c r="AG103">
        <v>-26.762772277227722</v>
      </c>
      <c r="AH103">
        <v>-26.905346534653464</v>
      </c>
      <c r="AI103">
        <v>-27.047920792079207</v>
      </c>
      <c r="AJ103">
        <v>-27.187118811881188</v>
      </c>
      <c r="AK103">
        <v>-27.325336633663365</v>
      </c>
      <c r="AL103">
        <v>-27.463653465346532</v>
      </c>
      <c r="AM103">
        <v>-27.602267326732672</v>
      </c>
      <c r="AN103">
        <v>-27.740881188118809</v>
      </c>
      <c r="AO103">
        <v>-27.877341584158415</v>
      </c>
      <c r="AP103">
        <v>-28.012985148514851</v>
      </c>
      <c r="AQ103">
        <v>-28.148628712871286</v>
      </c>
      <c r="AR103">
        <v>-28.284272277227721</v>
      </c>
      <c r="AS103">
        <v>-28.419915841584157</v>
      </c>
      <c r="AT103">
        <v>-28.555559405940592</v>
      </c>
      <c r="AU103">
        <v>-28.691202970297027</v>
      </c>
      <c r="AV103">
        <v>-28.826846534653463</v>
      </c>
      <c r="AW103">
        <v>-28.962490099009898</v>
      </c>
      <c r="AX103">
        <v>-29.098133663366333</v>
      </c>
      <c r="AY103">
        <v>-29.230598513011149</v>
      </c>
      <c r="AZ103">
        <v>-29.361156133828995</v>
      </c>
      <c r="BA103">
        <v>-29.491713754646838</v>
      </c>
      <c r="BB103">
        <v>-29.622271375464681</v>
      </c>
      <c r="BC103">
        <v>-29.752828996282528</v>
      </c>
      <c r="BD103">
        <v>-29.883386617100371</v>
      </c>
      <c r="BE103">
        <v>-30.013944237918214</v>
      </c>
      <c r="BF103">
        <v>-30.14450185873606</v>
      </c>
      <c r="BG103">
        <v>-30.275059479553903</v>
      </c>
      <c r="BH103">
        <v>-30.405617100371746</v>
      </c>
      <c r="BI103">
        <v>-30.534172029702972</v>
      </c>
      <c r="BJ103">
        <v>-30.661003712871288</v>
      </c>
      <c r="BK103">
        <v>-30.787835396039604</v>
      </c>
      <c r="BL103">
        <v>-30.91466707920792</v>
      </c>
      <c r="BM103">
        <v>-31.041498762376239</v>
      </c>
      <c r="BN103">
        <v>-31.168330445544555</v>
      </c>
      <c r="BO103">
        <v>-31.295162128712871</v>
      </c>
      <c r="BP103">
        <v>-31.421993811881187</v>
      </c>
      <c r="BQ103">
        <v>-31.548825495049506</v>
      </c>
      <c r="BR103">
        <v>-31.675657178217822</v>
      </c>
      <c r="BS103">
        <v>-31.800085501858735</v>
      </c>
      <c r="BT103">
        <v>-31.92142379182156</v>
      </c>
      <c r="BU103">
        <v>-32.042762081784389</v>
      </c>
      <c r="BV103">
        <v>-32.16410037174721</v>
      </c>
      <c r="BW103">
        <v>-32.285438661710032</v>
      </c>
      <c r="BX103">
        <v>-32.40677695167286</v>
      </c>
      <c r="BY103">
        <v>-32.528115241635682</v>
      </c>
      <c r="BZ103">
        <v>-32.64945353159851</v>
      </c>
      <c r="CA103">
        <v>-32.770791821561332</v>
      </c>
      <c r="CB103">
        <v>-32.89213011152416</v>
      </c>
      <c r="CC103">
        <v>-33.012168316831676</v>
      </c>
      <c r="CD103">
        <v>-33.129792079207917</v>
      </c>
      <c r="CE103">
        <v>-33.247415841584157</v>
      </c>
      <c r="CF103">
        <v>-33.36503960396039</v>
      </c>
      <c r="CG103">
        <v>-33.482663366336631</v>
      </c>
      <c r="CH103">
        <v>-33.600287128712871</v>
      </c>
      <c r="CI103">
        <v>-33.717910891089105</v>
      </c>
      <c r="CJ103">
        <v>-33.835534653465345</v>
      </c>
      <c r="CK103">
        <v>-33.953158415841585</v>
      </c>
      <c r="CL103">
        <v>-34.070782178217819</v>
      </c>
    </row>
    <row r="104" spans="1:94" ht="21.75" thickBot="1" x14ac:dyDescent="0.4">
      <c r="A104" s="30" t="s">
        <v>74</v>
      </c>
      <c r="B104" s="60">
        <v>-62.777772277227726</v>
      </c>
      <c r="C104" s="60">
        <v>-61.240742574257432</v>
      </c>
      <c r="D104" s="60">
        <v>-59.79519801980198</v>
      </c>
      <c r="E104" s="60">
        <v>-58.360792079207918</v>
      </c>
      <c r="F104">
        <v>-57.09346534653465</v>
      </c>
      <c r="G104">
        <v>-55.826138613861389</v>
      </c>
      <c r="H104">
        <v>-54.424702970297027</v>
      </c>
      <c r="I104">
        <v>-52.907871287128707</v>
      </c>
      <c r="J104">
        <v>-51.3921905940594</v>
      </c>
      <c r="K104">
        <v>-49.967438118811877</v>
      </c>
      <c r="L104">
        <v>-48.542685643564354</v>
      </c>
      <c r="M104">
        <v>-47.117933168316824</v>
      </c>
      <c r="N104">
        <v>-45.693180693069301</v>
      </c>
      <c r="O104">
        <v>-44.268428217821779</v>
      </c>
      <c r="P104">
        <v>-42.843675742574256</v>
      </c>
      <c r="Q104">
        <v>-41.418923267326733</v>
      </c>
      <c r="R104">
        <v>-39.99417079207921</v>
      </c>
      <c r="S104">
        <v>-38.569418316831687</v>
      </c>
      <c r="T104">
        <v>-37.144665841584157</v>
      </c>
      <c r="U104">
        <v>-35.98282178217822</v>
      </c>
      <c r="V104">
        <v>-34.846188118811881</v>
      </c>
      <c r="W104">
        <v>-33.743316831683167</v>
      </c>
      <c r="X104">
        <v>-32.693811881188118</v>
      </c>
      <c r="Y104">
        <v>-31.644306930693073</v>
      </c>
      <c r="Z104">
        <v>-30.655522388059701</v>
      </c>
      <c r="AA104">
        <v>-29.676417910447761</v>
      </c>
      <c r="AB104">
        <v>-28.722574257425741</v>
      </c>
      <c r="AC104">
        <v>-27.815643564356435</v>
      </c>
      <c r="AD104">
        <v>-26.908712871287126</v>
      </c>
      <c r="AE104">
        <v>-26.361188118811882</v>
      </c>
      <c r="AF104">
        <v>-25.889900990099008</v>
      </c>
      <c r="AG104">
        <v>-25.655049504950494</v>
      </c>
      <c r="AH104">
        <v>-25.971881188118811</v>
      </c>
      <c r="AI104">
        <v>-26.288712871287128</v>
      </c>
      <c r="AJ104">
        <v>-26.602475247524755</v>
      </c>
      <c r="AK104">
        <v>-26.915346534653466</v>
      </c>
      <c r="AL104">
        <v>-27.228217821782177</v>
      </c>
      <c r="AM104">
        <v>-27.541089108910889</v>
      </c>
      <c r="AN104">
        <v>-27.853960396039604</v>
      </c>
      <c r="AO104">
        <v>-28.158217821782177</v>
      </c>
      <c r="AP104">
        <v>-28.459207920792078</v>
      </c>
      <c r="AQ104">
        <v>-28.76019801980198</v>
      </c>
      <c r="AR104">
        <v>-29.061188118811881</v>
      </c>
      <c r="AS104">
        <v>-29.362178217821782</v>
      </c>
      <c r="AT104">
        <v>-29.663168316831683</v>
      </c>
      <c r="AU104">
        <v>-29.964158415841585</v>
      </c>
      <c r="AV104">
        <v>-30.265148514851486</v>
      </c>
      <c r="AW104">
        <v>-30.566138613861387</v>
      </c>
      <c r="AX104">
        <v>-30.867128712871288</v>
      </c>
      <c r="AY104">
        <v>-31.157199504337051</v>
      </c>
      <c r="AZ104">
        <v>-31.440718711276332</v>
      </c>
      <c r="BA104">
        <v>-31.724237918215614</v>
      </c>
      <c r="BB104">
        <v>-32.007757125154896</v>
      </c>
      <c r="BC104">
        <v>-32.291276332094178</v>
      </c>
      <c r="BD104">
        <v>-32.57479553903346</v>
      </c>
      <c r="BE104">
        <v>-32.858314745972741</v>
      </c>
      <c r="BF104">
        <v>-33.141833952912023</v>
      </c>
      <c r="BG104">
        <v>-33.425353159851305</v>
      </c>
      <c r="BH104">
        <v>-33.708872366790587</v>
      </c>
      <c r="BI104">
        <v>-33.979962871287128</v>
      </c>
      <c r="BJ104">
        <v>-34.240358910891089</v>
      </c>
      <c r="BK104">
        <v>-34.50075495049505</v>
      </c>
      <c r="BL104">
        <v>-34.761150990099011</v>
      </c>
      <c r="BM104">
        <v>-35.021547029702973</v>
      </c>
      <c r="BN104">
        <v>-35.281943069306934</v>
      </c>
      <c r="BO104">
        <v>-35.542339108910888</v>
      </c>
      <c r="BP104">
        <v>-35.802735148514849</v>
      </c>
      <c r="BQ104">
        <v>-36.06313118811881</v>
      </c>
      <c r="BR104">
        <v>-36.323527227722771</v>
      </c>
      <c r="BS104">
        <v>-36.572354399008674</v>
      </c>
      <c r="BT104">
        <v>-36.806307311028498</v>
      </c>
      <c r="BU104">
        <v>-37.040260223048328</v>
      </c>
      <c r="BV104">
        <v>-37.274213135068152</v>
      </c>
      <c r="BW104">
        <v>-37.508166047087975</v>
      </c>
      <c r="BX104">
        <v>-37.742118959107806</v>
      </c>
      <c r="BY104">
        <v>-37.97607187112763</v>
      </c>
      <c r="BZ104">
        <v>-38.21002478314746</v>
      </c>
      <c r="CA104">
        <v>-38.443977695167284</v>
      </c>
      <c r="CB104">
        <v>-38.677930607187108</v>
      </c>
      <c r="CC104">
        <v>-38.901039603960392</v>
      </c>
      <c r="CD104">
        <v>-39.1040099009901</v>
      </c>
      <c r="CE104">
        <v>-39.306980198019801</v>
      </c>
      <c r="CF104">
        <v>-39.509950495049502</v>
      </c>
      <c r="CG104">
        <v>-39.71292079207921</v>
      </c>
      <c r="CH104">
        <v>-39.915891089108911</v>
      </c>
      <c r="CI104">
        <v>-40.118861386138612</v>
      </c>
      <c r="CJ104">
        <v>-40.32183168316832</v>
      </c>
      <c r="CK104">
        <v>-40.524801980198021</v>
      </c>
      <c r="CL104">
        <v>-40.727772277227722</v>
      </c>
    </row>
    <row r="105" spans="1:94" ht="21.75" thickBot="1" x14ac:dyDescent="0.4">
      <c r="A105" s="30" t="s">
        <v>46</v>
      </c>
      <c r="B105" s="60">
        <v>-15.64579207920792</v>
      </c>
      <c r="C105" s="60">
        <v>-15.366435643564357</v>
      </c>
      <c r="D105" s="60">
        <v>-15.105049504950495</v>
      </c>
      <c r="E105" s="60">
        <v>-14.846138613861386</v>
      </c>
      <c r="F105">
        <v>-14.624356435643564</v>
      </c>
      <c r="G105">
        <v>-14.402574257425742</v>
      </c>
      <c r="H105">
        <v>-14.052217821782177</v>
      </c>
      <c r="I105">
        <v>-13.591227722772276</v>
      </c>
      <c r="J105">
        <v>-13.129466584158413</v>
      </c>
      <c r="K105">
        <v>-12.606793316831681</v>
      </c>
      <c r="L105">
        <v>-12.084120049504948</v>
      </c>
      <c r="M105">
        <v>-11.561446782178216</v>
      </c>
      <c r="N105">
        <v>-11.038773514851483</v>
      </c>
      <c r="O105">
        <v>-10.516100247524751</v>
      </c>
      <c r="P105">
        <v>-9.9934269801980182</v>
      </c>
      <c r="Q105">
        <v>-9.4707537128712858</v>
      </c>
      <c r="R105">
        <v>-8.9480804455445551</v>
      </c>
      <c r="S105">
        <v>-8.4254071782178208</v>
      </c>
      <c r="T105">
        <v>-7.9027339108910892</v>
      </c>
      <c r="U105">
        <v>-7.471400990099009</v>
      </c>
      <c r="V105">
        <v>-7.0488267326732661</v>
      </c>
      <c r="W105">
        <v>-6.6380693069306922</v>
      </c>
      <c r="X105">
        <v>-6.2459900990099015</v>
      </c>
      <c r="Y105">
        <v>-5.85391089108911</v>
      </c>
      <c r="Z105">
        <v>-5.4831492537313435</v>
      </c>
      <c r="AA105">
        <v>-5.1157860696517412</v>
      </c>
      <c r="AB105">
        <v>-4.7695742574257416</v>
      </c>
      <c r="AC105">
        <v>-4.4626435643564353</v>
      </c>
      <c r="AD105">
        <v>-4.1557128712871281</v>
      </c>
      <c r="AE105">
        <v>-4.117683168316832</v>
      </c>
      <c r="AF105">
        <v>-4.136693069306931</v>
      </c>
      <c r="AG105">
        <v>-4.1559405940594063</v>
      </c>
      <c r="AH105">
        <v>-4.1757425742574261</v>
      </c>
      <c r="AI105">
        <v>-4.1955445544554459</v>
      </c>
      <c r="AJ105">
        <v>-4.2150396039603963</v>
      </c>
      <c r="AK105">
        <v>-4.2344455445544549</v>
      </c>
      <c r="AL105">
        <v>-4.2539504950495051</v>
      </c>
      <c r="AM105">
        <v>-4.2737524752475249</v>
      </c>
      <c r="AN105">
        <v>-4.2935544554455447</v>
      </c>
      <c r="AO105">
        <v>-4.3133564356435645</v>
      </c>
      <c r="AP105">
        <v>-4.3331584158415843</v>
      </c>
      <c r="AQ105">
        <v>-4.3529603960396042</v>
      </c>
      <c r="AR105">
        <v>-4.372762376237624</v>
      </c>
      <c r="AS105">
        <v>-4.3925643564356438</v>
      </c>
      <c r="AT105">
        <v>-4.4123663366336636</v>
      </c>
      <c r="AU105">
        <v>-4.4321683168316834</v>
      </c>
      <c r="AV105">
        <v>-4.4519702970297024</v>
      </c>
      <c r="AW105">
        <v>-4.4717722772277222</v>
      </c>
      <c r="AX105">
        <v>-4.491574257425742</v>
      </c>
      <c r="AY105">
        <v>-4.5112057001239156</v>
      </c>
      <c r="AZ105">
        <v>-4.5307348203221807</v>
      </c>
      <c r="BA105">
        <v>-4.5502639405204457</v>
      </c>
      <c r="BB105">
        <v>-4.5697930607187107</v>
      </c>
      <c r="BC105">
        <v>-4.5893221809169757</v>
      </c>
      <c r="BD105">
        <v>-4.6088513011152417</v>
      </c>
      <c r="BE105">
        <v>-4.6283804213135067</v>
      </c>
      <c r="BF105">
        <v>-4.6479095415117717</v>
      </c>
      <c r="BG105">
        <v>-4.6674386617100367</v>
      </c>
      <c r="BH105">
        <v>-4.6869677819083018</v>
      </c>
      <c r="BI105">
        <v>-4.7061646039603957</v>
      </c>
      <c r="BJ105">
        <v>-4.7250754950495049</v>
      </c>
      <c r="BK105">
        <v>-4.7439863861386131</v>
      </c>
      <c r="BL105">
        <v>-4.7628972772277223</v>
      </c>
      <c r="BM105">
        <v>-4.7818081683168314</v>
      </c>
      <c r="BN105">
        <v>-4.8007190594059406</v>
      </c>
      <c r="BO105">
        <v>-4.8196299504950488</v>
      </c>
      <c r="BP105">
        <v>-4.838540841584158</v>
      </c>
      <c r="BQ105">
        <v>-4.8574517326732671</v>
      </c>
      <c r="BR105">
        <v>-4.8763626237623754</v>
      </c>
      <c r="BS105">
        <v>-4.8949801734820317</v>
      </c>
      <c r="BT105">
        <v>-4.913220570012391</v>
      </c>
      <c r="BU105">
        <v>-4.9314609665427502</v>
      </c>
      <c r="BV105">
        <v>-4.9497013630731095</v>
      </c>
      <c r="BW105">
        <v>-4.9679417596034696</v>
      </c>
      <c r="BX105">
        <v>-4.9861821561338289</v>
      </c>
      <c r="BY105">
        <v>-5.0044225526641881</v>
      </c>
      <c r="BZ105">
        <v>-5.0226629491945474</v>
      </c>
      <c r="CA105">
        <v>-5.0409033457249066</v>
      </c>
      <c r="CB105">
        <v>-5.0591437422552659</v>
      </c>
      <c r="CC105">
        <v>-5.077168316831683</v>
      </c>
      <c r="CD105">
        <v>-5.0947920792079202</v>
      </c>
      <c r="CE105">
        <v>-5.1124158415841583</v>
      </c>
      <c r="CF105">
        <v>-5.1300396039603955</v>
      </c>
      <c r="CG105">
        <v>-5.1476633663366336</v>
      </c>
      <c r="CH105">
        <v>-5.1652871287128708</v>
      </c>
      <c r="CI105">
        <v>-5.1829108910891089</v>
      </c>
      <c r="CJ105">
        <v>-5.200534653465346</v>
      </c>
      <c r="CK105">
        <v>-5.2181584158415841</v>
      </c>
      <c r="CL105">
        <v>-5.2357821782178213</v>
      </c>
    </row>
    <row r="106" spans="1:94" ht="21.75" thickBot="1" x14ac:dyDescent="0.4">
      <c r="A106" s="30" t="s">
        <v>45</v>
      </c>
      <c r="B106" s="60">
        <v>-22.398910891089109</v>
      </c>
      <c r="C106" s="60">
        <v>-21.910099009900989</v>
      </c>
      <c r="D106" s="60">
        <v>-21.450693069306929</v>
      </c>
      <c r="E106" s="60">
        <v>-20.995000000000001</v>
      </c>
      <c r="F106">
        <v>-20.594999999999999</v>
      </c>
      <c r="G106">
        <v>-20.195</v>
      </c>
      <c r="H106">
        <v>-19.966574257425744</v>
      </c>
      <c r="I106">
        <v>-19.885782178217823</v>
      </c>
      <c r="J106">
        <v>-19.807502475247524</v>
      </c>
      <c r="K106">
        <v>-19.927700495049507</v>
      </c>
      <c r="L106">
        <v>-20.047898514851486</v>
      </c>
      <c r="M106">
        <v>-20.168096534653465</v>
      </c>
      <c r="N106">
        <v>-20.288294554455447</v>
      </c>
      <c r="O106">
        <v>-20.408492574257426</v>
      </c>
      <c r="P106">
        <v>-20.528690594059405</v>
      </c>
      <c r="Q106">
        <v>-20.648888613861388</v>
      </c>
      <c r="R106">
        <v>-20.769086633663367</v>
      </c>
      <c r="S106">
        <v>-20.889284653465346</v>
      </c>
      <c r="T106">
        <v>-21.009482673267328</v>
      </c>
      <c r="U106">
        <v>-21.135643564356435</v>
      </c>
      <c r="V106">
        <v>-21.262376237623762</v>
      </c>
      <c r="W106">
        <v>-21.387574257425744</v>
      </c>
      <c r="X106">
        <v>-21.510346534653465</v>
      </c>
      <c r="Y106">
        <v>-21.633118811881186</v>
      </c>
      <c r="Z106">
        <v>-21.756417910447759</v>
      </c>
      <c r="AA106">
        <v>-21.879800995024876</v>
      </c>
      <c r="AB106">
        <v>-22.002970297029705</v>
      </c>
      <c r="AC106">
        <v>-22.125742574257426</v>
      </c>
      <c r="AD106">
        <v>-22.248514851485147</v>
      </c>
      <c r="AE106">
        <v>-22.368019801980196</v>
      </c>
      <c r="AF106">
        <v>-22.486831683168315</v>
      </c>
      <c r="AG106">
        <v>-22.606831683168316</v>
      </c>
      <c r="AH106">
        <v>-22.729603960396041</v>
      </c>
      <c r="AI106">
        <v>-22.852376237623762</v>
      </c>
      <c r="AJ106">
        <v>-22.972079207920792</v>
      </c>
      <c r="AK106">
        <v>-23.090891089108911</v>
      </c>
      <c r="AL106">
        <v>-23.20970297029703</v>
      </c>
      <c r="AM106">
        <v>-23.328514851485149</v>
      </c>
      <c r="AN106">
        <v>-23.447326732673268</v>
      </c>
      <c r="AO106">
        <v>-23.563985148514853</v>
      </c>
      <c r="AP106">
        <v>-23.679826732673266</v>
      </c>
      <c r="AQ106">
        <v>-23.795668316831684</v>
      </c>
      <c r="AR106">
        <v>-23.911509900990097</v>
      </c>
      <c r="AS106">
        <v>-24.027351485148515</v>
      </c>
      <c r="AT106">
        <v>-24.143193069306928</v>
      </c>
      <c r="AU106">
        <v>-24.259034653465346</v>
      </c>
      <c r="AV106">
        <v>-24.374876237623763</v>
      </c>
      <c r="AW106">
        <v>-24.490717821782177</v>
      </c>
      <c r="AX106">
        <v>-24.606559405940594</v>
      </c>
      <c r="AY106">
        <v>-24.719392812887236</v>
      </c>
      <c r="AZ106">
        <v>-24.830421313506815</v>
      </c>
      <c r="BA106">
        <v>-24.941449814126393</v>
      </c>
      <c r="BB106">
        <v>-25.052478314745972</v>
      </c>
      <c r="BC106">
        <v>-25.163506815365551</v>
      </c>
      <c r="BD106">
        <v>-25.27453531598513</v>
      </c>
      <c r="BE106">
        <v>-25.385563816604709</v>
      </c>
      <c r="BF106">
        <v>-25.496592317224287</v>
      </c>
      <c r="BG106">
        <v>-25.607620817843866</v>
      </c>
      <c r="BH106">
        <v>-25.718649318463445</v>
      </c>
      <c r="BI106">
        <v>-25.828007425742573</v>
      </c>
      <c r="BJ106">
        <v>-25.935928217821782</v>
      </c>
      <c r="BK106">
        <v>-26.043849009900988</v>
      </c>
      <c r="BL106">
        <v>-26.151769801980198</v>
      </c>
      <c r="BM106">
        <v>-26.259690594059403</v>
      </c>
      <c r="BN106">
        <v>-26.367611386138613</v>
      </c>
      <c r="BO106">
        <v>-26.475532178217822</v>
      </c>
      <c r="BP106">
        <v>-26.583452970297028</v>
      </c>
      <c r="BQ106">
        <v>-26.691373762376237</v>
      </c>
      <c r="BR106">
        <v>-26.799294554455443</v>
      </c>
      <c r="BS106">
        <v>-26.905105328376703</v>
      </c>
      <c r="BT106">
        <v>-27.008203221809168</v>
      </c>
      <c r="BU106">
        <v>-27.111301115241634</v>
      </c>
      <c r="BV106">
        <v>-27.2143990086741</v>
      </c>
      <c r="BW106">
        <v>-27.317496902106566</v>
      </c>
      <c r="BX106">
        <v>-27.420594795539031</v>
      </c>
      <c r="BY106">
        <v>-27.523692688971497</v>
      </c>
      <c r="BZ106">
        <v>-27.626790582403963</v>
      </c>
      <c r="CA106">
        <v>-27.729888475836429</v>
      </c>
      <c r="CB106">
        <v>-27.832986369268895</v>
      </c>
      <c r="CC106">
        <v>-27.934999999999999</v>
      </c>
      <c r="CD106">
        <v>-28.034999999999997</v>
      </c>
      <c r="CE106">
        <v>-28.134999999999998</v>
      </c>
      <c r="CF106">
        <v>-28.234999999999999</v>
      </c>
      <c r="CG106">
        <v>-28.334999999999997</v>
      </c>
      <c r="CH106">
        <v>-28.434999999999999</v>
      </c>
      <c r="CI106">
        <v>-28.535</v>
      </c>
      <c r="CJ106">
        <v>-28.634999999999998</v>
      </c>
      <c r="CK106">
        <v>-28.734999999999999</v>
      </c>
      <c r="CL106">
        <v>-28.835000000000001</v>
      </c>
    </row>
    <row r="107" spans="1:94" ht="21.75" thickBot="1" x14ac:dyDescent="0.4">
      <c r="A107" s="30" t="s">
        <v>58</v>
      </c>
      <c r="B107" s="60">
        <v>-60.44361386138614</v>
      </c>
      <c r="C107" s="60">
        <v>-59.186633663366337</v>
      </c>
      <c r="D107" s="60">
        <v>-58.006435643564352</v>
      </c>
      <c r="E107" s="60">
        <v>-56.836138613861387</v>
      </c>
      <c r="F107">
        <v>-55.814356435643568</v>
      </c>
      <c r="G107">
        <v>-54.792574257425748</v>
      </c>
      <c r="H107">
        <v>-53.985366336633668</v>
      </c>
      <c r="I107">
        <v>-53.362792079207928</v>
      </c>
      <c r="J107">
        <v>-52.744471534653471</v>
      </c>
      <c r="K107">
        <v>-52.462194306930698</v>
      </c>
      <c r="L107">
        <v>-52.179917079207925</v>
      </c>
      <c r="M107">
        <v>-51.897639851485152</v>
      </c>
      <c r="N107">
        <v>-51.61536262376238</v>
      </c>
      <c r="O107">
        <v>-51.333085396039607</v>
      </c>
      <c r="P107">
        <v>-51.050808168316834</v>
      </c>
      <c r="Q107">
        <v>-50.768530940594061</v>
      </c>
      <c r="R107">
        <v>-50.486253712871289</v>
      </c>
      <c r="S107">
        <v>-50.203976485148516</v>
      </c>
      <c r="T107">
        <v>-49.921699257425743</v>
      </c>
      <c r="U107">
        <v>-49.742688118811877</v>
      </c>
      <c r="V107">
        <v>-49.573579207920787</v>
      </c>
      <c r="W107">
        <v>-49.413217821782176</v>
      </c>
      <c r="X107">
        <v>-49.266683168316831</v>
      </c>
      <c r="Y107">
        <v>-49.120148514851479</v>
      </c>
      <c r="Z107">
        <v>-48.995985074626866</v>
      </c>
      <c r="AA107">
        <v>-48.875388059701493</v>
      </c>
      <c r="AB107">
        <v>-48.775514851485148</v>
      </c>
      <c r="AC107">
        <v>-48.714128712871286</v>
      </c>
      <c r="AD107">
        <v>-48.652742574257424</v>
      </c>
      <c r="AE107">
        <v>-48.853722772277223</v>
      </c>
      <c r="AF107">
        <v>-49.11035643564356</v>
      </c>
      <c r="AG107">
        <v>-49.369603960396041</v>
      </c>
      <c r="AH107">
        <v>-49.634950495049509</v>
      </c>
      <c r="AI107">
        <v>-49.900297029702969</v>
      </c>
      <c r="AJ107">
        <v>-50.159198019801984</v>
      </c>
      <c r="AK107">
        <v>-50.416227722772277</v>
      </c>
      <c r="AL107">
        <v>-50.673356435643569</v>
      </c>
      <c r="AM107">
        <v>-50.930782178217825</v>
      </c>
      <c r="AN107">
        <v>-51.188207920792081</v>
      </c>
      <c r="AO107">
        <v>-51.441326732673268</v>
      </c>
      <c r="AP107">
        <v>-51.692811881188121</v>
      </c>
      <c r="AQ107">
        <v>-51.944297029702966</v>
      </c>
      <c r="AR107">
        <v>-52.195782178217819</v>
      </c>
      <c r="AS107">
        <v>-52.447267326732671</v>
      </c>
      <c r="AT107">
        <v>-52.698752475247524</v>
      </c>
      <c r="AU107">
        <v>-52.950237623762376</v>
      </c>
      <c r="AV107">
        <v>-53.201722772277229</v>
      </c>
      <c r="AW107">
        <v>-53.453207920792082</v>
      </c>
      <c r="AX107">
        <v>-53.704693069306927</v>
      </c>
      <c r="AY107">
        <v>-53.949991325898388</v>
      </c>
      <c r="AZ107">
        <v>-54.19157744733581</v>
      </c>
      <c r="BA107">
        <v>-54.433163568773232</v>
      </c>
      <c r="BB107">
        <v>-54.674749690210653</v>
      </c>
      <c r="BC107">
        <v>-54.916335811648075</v>
      </c>
      <c r="BD107">
        <v>-55.157921933085497</v>
      </c>
      <c r="BE107">
        <v>-55.399508054522919</v>
      </c>
      <c r="BF107">
        <v>-55.64109417596034</v>
      </c>
      <c r="BG107">
        <v>-55.882680297397769</v>
      </c>
      <c r="BH107">
        <v>-56.124266418835191</v>
      </c>
      <c r="BI107">
        <v>-56.362179455445542</v>
      </c>
      <c r="BJ107">
        <v>-56.596931930693067</v>
      </c>
      <c r="BK107">
        <v>-56.831684405940592</v>
      </c>
      <c r="BL107">
        <v>-57.066436881188118</v>
      </c>
      <c r="BM107">
        <v>-57.301189356435643</v>
      </c>
      <c r="BN107">
        <v>-57.535941831683168</v>
      </c>
      <c r="BO107">
        <v>-57.770694306930693</v>
      </c>
      <c r="BP107">
        <v>-58.005446782178218</v>
      </c>
      <c r="BQ107">
        <v>-58.240199257425743</v>
      </c>
      <c r="BR107">
        <v>-58.474951732673269</v>
      </c>
      <c r="BS107">
        <v>-58.705190830235438</v>
      </c>
      <c r="BT107">
        <v>-58.929627013630729</v>
      </c>
      <c r="BU107">
        <v>-59.154063197026019</v>
      </c>
      <c r="BV107">
        <v>-59.37849938042131</v>
      </c>
      <c r="BW107">
        <v>-59.602935563816601</v>
      </c>
      <c r="BX107">
        <v>-59.827371747211892</v>
      </c>
      <c r="BY107">
        <v>-60.051807930607183</v>
      </c>
      <c r="BZ107">
        <v>-60.276244114002473</v>
      </c>
      <c r="CA107">
        <v>-60.500680297397764</v>
      </c>
      <c r="CB107">
        <v>-60.725116480793055</v>
      </c>
      <c r="CC107">
        <v>-60.947168316831679</v>
      </c>
      <c r="CD107">
        <v>-61.164792079207913</v>
      </c>
      <c r="CE107">
        <v>-61.382415841584155</v>
      </c>
      <c r="CF107">
        <v>-61.60003960396039</v>
      </c>
      <c r="CG107">
        <v>-61.817663366336632</v>
      </c>
      <c r="CH107">
        <v>-62.035287128712866</v>
      </c>
      <c r="CI107">
        <v>-62.252910891089108</v>
      </c>
      <c r="CJ107">
        <v>-62.47053465346535</v>
      </c>
      <c r="CK107">
        <v>-62.688158415841585</v>
      </c>
      <c r="CL107">
        <v>-62.905782178217827</v>
      </c>
    </row>
    <row r="108" spans="1:94" ht="21.75" thickBot="1" x14ac:dyDescent="0.4">
      <c r="A108" s="30" t="s">
        <v>57</v>
      </c>
      <c r="B108" s="60">
        <v>-192.75227722772277</v>
      </c>
      <c r="C108" s="60">
        <v>-188.21178217821782</v>
      </c>
      <c r="D108" s="60">
        <v>-183.94247524752475</v>
      </c>
      <c r="E108" s="60">
        <v>-179.70658415841584</v>
      </c>
      <c r="F108">
        <v>-175.97193069306931</v>
      </c>
      <c r="G108">
        <v>-172.23727722772276</v>
      </c>
      <c r="H108">
        <v>-168.74912871287128</v>
      </c>
      <c r="I108">
        <v>-165.47308910891087</v>
      </c>
      <c r="J108">
        <v>-162.20688861386137</v>
      </c>
      <c r="K108">
        <v>-159.71797772277228</v>
      </c>
      <c r="L108">
        <v>-157.22906683168316</v>
      </c>
      <c r="M108">
        <v>-154.74015594059406</v>
      </c>
      <c r="N108">
        <v>-152.25124504950494</v>
      </c>
      <c r="O108">
        <v>-149.76233415841585</v>
      </c>
      <c r="P108">
        <v>-147.27342326732673</v>
      </c>
      <c r="Q108">
        <v>-144.78451237623764</v>
      </c>
      <c r="R108">
        <v>-142.29560148514852</v>
      </c>
      <c r="S108">
        <v>-139.80669059405943</v>
      </c>
      <c r="T108">
        <v>-137.31777970297031</v>
      </c>
      <c r="U108">
        <v>-135.37257425742575</v>
      </c>
      <c r="V108">
        <v>-133.47950495049506</v>
      </c>
      <c r="W108">
        <v>-131.64935643564354</v>
      </c>
      <c r="X108">
        <v>-129.91866336633663</v>
      </c>
      <c r="Y108">
        <v>-128.18797029702969</v>
      </c>
      <c r="Z108">
        <v>-126.58029850746269</v>
      </c>
      <c r="AA108">
        <v>-124.99223880597015</v>
      </c>
      <c r="AB108">
        <v>-123.45405940594058</v>
      </c>
      <c r="AC108">
        <v>-122.00851485148515</v>
      </c>
      <c r="AD108">
        <v>-120.56297029702969</v>
      </c>
      <c r="AE108">
        <v>-119.82643564356437</v>
      </c>
      <c r="AF108">
        <v>-119.24029702970299</v>
      </c>
      <c r="AG108">
        <v>-119.13059405940595</v>
      </c>
      <c r="AH108">
        <v>-120.13257425742574</v>
      </c>
      <c r="AI108">
        <v>-121.13455445544555</v>
      </c>
      <c r="AJ108">
        <v>-122.12118811881189</v>
      </c>
      <c r="AK108">
        <v>-123.10336633663366</v>
      </c>
      <c r="AL108">
        <v>-124.08554455445544</v>
      </c>
      <c r="AM108">
        <v>-125.06772277227722</v>
      </c>
      <c r="AN108">
        <v>-126.04990099009899</v>
      </c>
      <c r="AO108">
        <v>-127.0083910891089</v>
      </c>
      <c r="AP108">
        <v>-127.95789603960395</v>
      </c>
      <c r="AQ108">
        <v>-128.90740099009901</v>
      </c>
      <c r="AR108">
        <v>-129.85690594059406</v>
      </c>
      <c r="AS108">
        <v>-130.80641089108912</v>
      </c>
      <c r="AT108">
        <v>-131.75591584158414</v>
      </c>
      <c r="AU108">
        <v>-132.7054207920792</v>
      </c>
      <c r="AV108">
        <v>-133.65492574257425</v>
      </c>
      <c r="AW108">
        <v>-134.6044306930693</v>
      </c>
      <c r="AX108">
        <v>-135.55393564356436</v>
      </c>
      <c r="AY108">
        <v>-136.47257744733582</v>
      </c>
      <c r="AZ108">
        <v>-137.37270136307311</v>
      </c>
      <c r="BA108">
        <v>-138.27282527881042</v>
      </c>
      <c r="BB108">
        <v>-139.1729491945477</v>
      </c>
      <c r="BC108">
        <v>-140.07307311028501</v>
      </c>
      <c r="BD108">
        <v>-140.97319702602232</v>
      </c>
      <c r="BE108">
        <v>-141.8733209417596</v>
      </c>
      <c r="BF108">
        <v>-142.77344485749691</v>
      </c>
      <c r="BG108">
        <v>-143.67356877323419</v>
      </c>
      <c r="BH108">
        <v>-144.57369268897151</v>
      </c>
      <c r="BI108">
        <v>-145.44394801980198</v>
      </c>
      <c r="BJ108">
        <v>-146.28850247524753</v>
      </c>
      <c r="BK108">
        <v>-147.13305693069307</v>
      </c>
      <c r="BL108">
        <v>-147.97761138613862</v>
      </c>
      <c r="BM108">
        <v>-148.82216584158417</v>
      </c>
      <c r="BN108">
        <v>-149.66672029702968</v>
      </c>
      <c r="BO108">
        <v>-150.51127475247523</v>
      </c>
      <c r="BP108">
        <v>-151.35582920792078</v>
      </c>
      <c r="BQ108">
        <v>-152.20038366336632</v>
      </c>
      <c r="BR108">
        <v>-153.04493811881187</v>
      </c>
      <c r="BS108">
        <v>-153.86002478314745</v>
      </c>
      <c r="BT108">
        <v>-154.63722428748449</v>
      </c>
      <c r="BU108">
        <v>-155.41442379182155</v>
      </c>
      <c r="BV108">
        <v>-156.19162329615858</v>
      </c>
      <c r="BW108">
        <v>-156.96882280049564</v>
      </c>
      <c r="BX108">
        <v>-157.74602230483271</v>
      </c>
      <c r="BY108">
        <v>-158.52322180916974</v>
      </c>
      <c r="BZ108">
        <v>-159.3004213135068</v>
      </c>
      <c r="CA108">
        <v>-160.07762081784384</v>
      </c>
      <c r="CB108">
        <v>-160.8548203221809</v>
      </c>
      <c r="CC108">
        <v>-161.60707920792078</v>
      </c>
      <c r="CD108">
        <v>-162.31301980198018</v>
      </c>
      <c r="CE108">
        <v>-163.0189603960396</v>
      </c>
      <c r="CF108">
        <v>-163.724900990099</v>
      </c>
      <c r="CG108">
        <v>-164.4308415841584</v>
      </c>
      <c r="CH108">
        <v>-165.13678217821783</v>
      </c>
      <c r="CI108">
        <v>-165.84272277227723</v>
      </c>
      <c r="CJ108">
        <v>-166.54866336633663</v>
      </c>
      <c r="CK108">
        <v>-167.25460396039605</v>
      </c>
      <c r="CL108">
        <v>-167.96054455445545</v>
      </c>
    </row>
    <row r="109" spans="1:94" ht="21.75" thickBot="1" x14ac:dyDescent="0.4">
      <c r="A109" s="30" t="s">
        <v>1</v>
      </c>
      <c r="B109" s="60">
        <v>-18.871633663366339</v>
      </c>
      <c r="C109" s="60">
        <v>-18.872326732673269</v>
      </c>
      <c r="D109" s="60">
        <v>-18.876287128712871</v>
      </c>
      <c r="E109" s="60">
        <v>-18.880247524752473</v>
      </c>
      <c r="F109">
        <v>-18.884207920792079</v>
      </c>
      <c r="G109">
        <v>-18.888168316831685</v>
      </c>
      <c r="H109">
        <v>-18.895534653465347</v>
      </c>
      <c r="I109">
        <v>-18.905831683168316</v>
      </c>
      <c r="J109">
        <v>-18.916141089108912</v>
      </c>
      <c r="K109">
        <v>-18.927428217821781</v>
      </c>
      <c r="L109">
        <v>-18.938715346534654</v>
      </c>
      <c r="M109">
        <v>-18.950002475247526</v>
      </c>
      <c r="N109">
        <v>-18.961289603960395</v>
      </c>
      <c r="O109">
        <v>-18.972576732673268</v>
      </c>
      <c r="P109">
        <v>-18.983863861386141</v>
      </c>
      <c r="Q109">
        <v>-18.99515099009901</v>
      </c>
      <c r="R109">
        <v>-19.006438118811882</v>
      </c>
      <c r="S109">
        <v>-19.017725247524755</v>
      </c>
      <c r="T109">
        <v>-19.029012376237624</v>
      </c>
      <c r="U109">
        <v>-19.044455445544557</v>
      </c>
      <c r="V109">
        <v>-19.060297029702969</v>
      </c>
      <c r="W109">
        <v>-19.076138613861385</v>
      </c>
      <c r="X109">
        <v>-19.091980198019801</v>
      </c>
      <c r="Y109">
        <v>-19.107821782178217</v>
      </c>
      <c r="Z109">
        <v>-19.12373134328358</v>
      </c>
      <c r="AA109">
        <v>-19.13965174129353</v>
      </c>
      <c r="AB109">
        <v>-19.155544554455446</v>
      </c>
      <c r="AC109">
        <v>-19.171386138613862</v>
      </c>
      <c r="AD109">
        <v>-19.187227722772278</v>
      </c>
      <c r="AE109">
        <v>-19.127920792079209</v>
      </c>
      <c r="AF109">
        <v>-19.052673267326732</v>
      </c>
      <c r="AG109">
        <v>-19.001188118811882</v>
      </c>
      <c r="AH109">
        <v>-19.005148514851484</v>
      </c>
      <c r="AI109">
        <v>-19.00910891089109</v>
      </c>
      <c r="AJ109">
        <v>-19.022277227722775</v>
      </c>
      <c r="AK109">
        <v>-19.038118811881191</v>
      </c>
      <c r="AL109">
        <v>-19.053960396039603</v>
      </c>
      <c r="AM109">
        <v>-19.069801980198019</v>
      </c>
      <c r="AN109">
        <v>-19.085643564356435</v>
      </c>
      <c r="AO109">
        <v>-19.102202970297029</v>
      </c>
      <c r="AP109">
        <v>-19.119034653465345</v>
      </c>
      <c r="AQ109">
        <v>-19.135866336633665</v>
      </c>
      <c r="AR109">
        <v>-19.152698019801981</v>
      </c>
      <c r="AS109">
        <v>-19.169529702970298</v>
      </c>
      <c r="AT109">
        <v>-19.186361386138614</v>
      </c>
      <c r="AU109">
        <v>-19.203193069306931</v>
      </c>
      <c r="AV109">
        <v>-19.220024752475247</v>
      </c>
      <c r="AW109">
        <v>-19.236856435643567</v>
      </c>
      <c r="AX109">
        <v>-19.253688118811883</v>
      </c>
      <c r="AY109">
        <v>-19.270532837670384</v>
      </c>
      <c r="AZ109">
        <v>-19.287385377943</v>
      </c>
      <c r="BA109">
        <v>-19.304237918215616</v>
      </c>
      <c r="BB109">
        <v>-19.321090458488229</v>
      </c>
      <c r="BC109">
        <v>-19.337942998760845</v>
      </c>
      <c r="BD109">
        <v>-19.354795539033457</v>
      </c>
      <c r="BE109">
        <v>-19.371648079306073</v>
      </c>
      <c r="BF109">
        <v>-19.388500619578686</v>
      </c>
      <c r="BG109">
        <v>-19.405353159851302</v>
      </c>
      <c r="BH109">
        <v>-19.422205700123914</v>
      </c>
      <c r="BI109">
        <v>-19.438514851485149</v>
      </c>
      <c r="BJ109">
        <v>-19.454356435643565</v>
      </c>
      <c r="BK109">
        <v>-19.47019801980198</v>
      </c>
      <c r="BL109">
        <v>-19.486039603960396</v>
      </c>
      <c r="BM109">
        <v>-19.501881188118812</v>
      </c>
      <c r="BN109">
        <v>-19.517722772277228</v>
      </c>
      <c r="BO109">
        <v>-19.533564356435644</v>
      </c>
      <c r="BP109">
        <v>-19.54940594059406</v>
      </c>
      <c r="BQ109">
        <v>-19.565247524752476</v>
      </c>
      <c r="BR109">
        <v>-19.581089108910891</v>
      </c>
      <c r="BS109">
        <v>-19.596505576208177</v>
      </c>
      <c r="BT109">
        <v>-19.611375464684013</v>
      </c>
      <c r="BU109">
        <v>-19.626245353159852</v>
      </c>
      <c r="BV109">
        <v>-19.641115241635688</v>
      </c>
      <c r="BW109">
        <v>-19.655985130111524</v>
      </c>
      <c r="BX109">
        <v>-19.670855018587361</v>
      </c>
      <c r="BY109">
        <v>-19.685724907063197</v>
      </c>
      <c r="BZ109">
        <v>-19.700594795539033</v>
      </c>
      <c r="CA109">
        <v>-19.715464684014869</v>
      </c>
      <c r="CB109">
        <v>-19.730334572490705</v>
      </c>
      <c r="CC109">
        <v>-19.744851485148512</v>
      </c>
      <c r="CD109">
        <v>-19.758712871287127</v>
      </c>
      <c r="CE109">
        <v>-19.772574257425742</v>
      </c>
      <c r="CF109">
        <v>-19.786435643564356</v>
      </c>
      <c r="CG109">
        <v>-19.800297029702968</v>
      </c>
      <c r="CH109">
        <v>-19.814158415841582</v>
      </c>
      <c r="CI109">
        <v>-19.828019801980197</v>
      </c>
      <c r="CJ109">
        <v>-19.841881188118812</v>
      </c>
      <c r="CK109">
        <v>-19.855742574257423</v>
      </c>
      <c r="CL109">
        <v>-19.869603960396038</v>
      </c>
    </row>
    <row r="110" spans="1:94" ht="21.75" thickBot="1" x14ac:dyDescent="0.4">
      <c r="A110" s="30" t="s">
        <v>43</v>
      </c>
      <c r="B110" s="60">
        <v>-15.64579207920792</v>
      </c>
      <c r="C110" s="60">
        <v>-15.366435643564357</v>
      </c>
      <c r="D110" s="60">
        <v>-15.105049504950495</v>
      </c>
      <c r="E110" s="60">
        <v>-14.846138613861386</v>
      </c>
      <c r="F110">
        <v>-14.624356435643564</v>
      </c>
      <c r="G110">
        <v>-14.402574257425742</v>
      </c>
      <c r="H110">
        <v>-14.052217821782177</v>
      </c>
      <c r="I110">
        <v>-13.591227722772276</v>
      </c>
      <c r="J110">
        <v>-13.129466584158413</v>
      </c>
      <c r="K110">
        <v>-12.606793316831681</v>
      </c>
      <c r="L110">
        <v>-12.084120049504948</v>
      </c>
      <c r="M110">
        <v>-11.561446782178216</v>
      </c>
      <c r="N110">
        <v>-11.038773514851483</v>
      </c>
      <c r="O110">
        <v>-10.516100247524751</v>
      </c>
      <c r="P110">
        <v>-9.9934269801980182</v>
      </c>
      <c r="Q110">
        <v>-9.4707537128712858</v>
      </c>
      <c r="R110">
        <v>-8.9480804455445551</v>
      </c>
      <c r="S110">
        <v>-8.4254071782178208</v>
      </c>
      <c r="T110">
        <v>-7.9027339108910892</v>
      </c>
      <c r="U110">
        <v>-7.471400990099009</v>
      </c>
      <c r="V110">
        <v>-7.0488267326732661</v>
      </c>
      <c r="W110">
        <v>-6.6380693069306922</v>
      </c>
      <c r="X110">
        <v>-6.2459900990099015</v>
      </c>
      <c r="Y110">
        <v>-5.85391089108911</v>
      </c>
      <c r="Z110">
        <v>-5.4831492537313435</v>
      </c>
      <c r="AA110">
        <v>-5.1157860696517412</v>
      </c>
      <c r="AB110">
        <v>-4.7695742574257416</v>
      </c>
      <c r="AC110">
        <v>-4.4626435643564353</v>
      </c>
      <c r="AD110">
        <v>-4.1557128712871281</v>
      </c>
      <c r="AE110">
        <v>-4.117683168316832</v>
      </c>
      <c r="AF110">
        <v>-4.136693069306931</v>
      </c>
      <c r="AG110">
        <v>-4.1559405940594063</v>
      </c>
      <c r="AH110">
        <v>-4.1757425742574261</v>
      </c>
      <c r="AI110">
        <v>-4.1955445544554459</v>
      </c>
      <c r="AJ110">
        <v>-4.2150396039603963</v>
      </c>
      <c r="AK110">
        <v>-4.2344455445544549</v>
      </c>
      <c r="AL110">
        <v>-4.2539504950495051</v>
      </c>
      <c r="AM110">
        <v>-4.2737524752475249</v>
      </c>
      <c r="AN110">
        <v>-4.2935544554455447</v>
      </c>
      <c r="AO110">
        <v>-4.3133564356435645</v>
      </c>
      <c r="AP110">
        <v>-4.3331584158415843</v>
      </c>
      <c r="AQ110">
        <v>-4.3529603960396042</v>
      </c>
      <c r="AR110">
        <v>-4.372762376237624</v>
      </c>
      <c r="AS110">
        <v>-4.3925643564356438</v>
      </c>
      <c r="AT110">
        <v>-4.4123663366336636</v>
      </c>
      <c r="AU110">
        <v>-4.4321683168316834</v>
      </c>
      <c r="AV110">
        <v>-4.4519702970297024</v>
      </c>
      <c r="AW110">
        <v>-4.4717722772277222</v>
      </c>
      <c r="AX110">
        <v>-4.491574257425742</v>
      </c>
      <c r="AY110">
        <v>-4.5112057001239156</v>
      </c>
      <c r="AZ110">
        <v>-4.5307348203221807</v>
      </c>
      <c r="BA110">
        <v>-4.5502639405204457</v>
      </c>
      <c r="BB110">
        <v>-4.5697930607187107</v>
      </c>
      <c r="BC110">
        <v>-4.5893221809169757</v>
      </c>
      <c r="BD110">
        <v>-4.6088513011152417</v>
      </c>
      <c r="BE110">
        <v>-4.6283804213135067</v>
      </c>
      <c r="BF110">
        <v>-4.6479095415117717</v>
      </c>
      <c r="BG110">
        <v>-4.6674386617100367</v>
      </c>
      <c r="BH110">
        <v>-4.6869677819083018</v>
      </c>
      <c r="BI110">
        <v>-4.7061646039603957</v>
      </c>
      <c r="BJ110">
        <v>-4.7250754950495049</v>
      </c>
      <c r="BK110">
        <v>-4.7439863861386131</v>
      </c>
      <c r="BL110">
        <v>-4.7628972772277223</v>
      </c>
      <c r="BM110">
        <v>-4.7818081683168314</v>
      </c>
      <c r="BN110">
        <v>-4.8007190594059406</v>
      </c>
      <c r="BO110">
        <v>-4.8196299504950488</v>
      </c>
      <c r="BP110">
        <v>-4.838540841584158</v>
      </c>
      <c r="BQ110">
        <v>-4.8574517326732671</v>
      </c>
      <c r="BR110">
        <v>-4.8763626237623754</v>
      </c>
      <c r="BS110">
        <v>-4.8949801734820317</v>
      </c>
      <c r="BT110">
        <v>-4.913220570012391</v>
      </c>
      <c r="BU110">
        <v>-4.9314609665427502</v>
      </c>
      <c r="BV110">
        <v>-4.9497013630731095</v>
      </c>
      <c r="BW110">
        <v>-4.9679417596034696</v>
      </c>
      <c r="BX110">
        <v>-4.9861821561338289</v>
      </c>
      <c r="BY110">
        <v>-5.0044225526641881</v>
      </c>
      <c r="BZ110">
        <v>-5.0226629491945474</v>
      </c>
      <c r="CA110">
        <v>-5.0409033457249066</v>
      </c>
      <c r="CB110">
        <v>-5.0591437422552659</v>
      </c>
      <c r="CC110">
        <v>-5.077168316831683</v>
      </c>
      <c r="CD110">
        <v>-5.0947920792079202</v>
      </c>
      <c r="CE110">
        <v>-5.1124158415841583</v>
      </c>
      <c r="CF110">
        <v>-5.1300396039603955</v>
      </c>
      <c r="CG110">
        <v>-5.1476633663366336</v>
      </c>
      <c r="CH110">
        <v>-5.1652871287128708</v>
      </c>
      <c r="CI110">
        <v>-5.1829108910891089</v>
      </c>
      <c r="CJ110">
        <v>-5.200534653465346</v>
      </c>
      <c r="CK110">
        <v>-5.2181584158415841</v>
      </c>
      <c r="CL110">
        <v>-5.2357821782178213</v>
      </c>
    </row>
    <row r="111" spans="1:94" ht="21.75" hidden="1" thickBot="1" x14ac:dyDescent="0.4">
      <c r="A111" s="30" t="s">
        <v>34</v>
      </c>
      <c r="B111" s="60">
        <v>-18.871633663366339</v>
      </c>
      <c r="C111" s="60">
        <v>-18.872326732673269</v>
      </c>
      <c r="D111" s="60">
        <v>-18.876287128712871</v>
      </c>
      <c r="E111" s="60">
        <v>-18.880247524752473</v>
      </c>
      <c r="F111">
        <v>-18.884207920792079</v>
      </c>
      <c r="G111">
        <v>-18.888168316831685</v>
      </c>
      <c r="H111">
        <v>-18.895534653465347</v>
      </c>
      <c r="I111">
        <v>-18.905831683168316</v>
      </c>
      <c r="J111">
        <v>-18.916141089108912</v>
      </c>
      <c r="K111">
        <v>-18.927428217821781</v>
      </c>
      <c r="L111">
        <v>-18.938715346534654</v>
      </c>
      <c r="M111">
        <v>-18.950002475247526</v>
      </c>
      <c r="N111">
        <v>-18.961289603960395</v>
      </c>
      <c r="O111">
        <v>-18.972576732673268</v>
      </c>
      <c r="P111">
        <v>-18.983863861386141</v>
      </c>
      <c r="Q111">
        <v>-18.99515099009901</v>
      </c>
      <c r="R111">
        <v>-19.006438118811882</v>
      </c>
      <c r="S111">
        <v>-19.017725247524755</v>
      </c>
      <c r="T111">
        <v>-19.029012376237624</v>
      </c>
      <c r="U111">
        <v>-19.044455445544557</v>
      </c>
      <c r="V111">
        <v>-19.060297029702969</v>
      </c>
      <c r="W111">
        <v>-19.076138613861385</v>
      </c>
      <c r="X111">
        <v>-19.091980198019801</v>
      </c>
      <c r="Y111">
        <v>-19.107821782178217</v>
      </c>
      <c r="Z111">
        <v>-19.12373134328358</v>
      </c>
      <c r="AA111">
        <v>-19.13965174129353</v>
      </c>
      <c r="AB111">
        <v>-19.155544554455446</v>
      </c>
      <c r="AC111">
        <v>-19.171386138613862</v>
      </c>
      <c r="AD111">
        <v>-19.187227722772278</v>
      </c>
      <c r="AE111">
        <v>-19.127920792079209</v>
      </c>
      <c r="AF111">
        <v>-19.052673267326732</v>
      </c>
      <c r="AG111">
        <v>-19.001188118811882</v>
      </c>
      <c r="AH111">
        <v>-19.005148514851484</v>
      </c>
      <c r="AI111">
        <v>-19.00910891089109</v>
      </c>
      <c r="AJ111">
        <v>-19.022277227722775</v>
      </c>
      <c r="AK111">
        <v>-19.038118811881191</v>
      </c>
      <c r="AL111">
        <v>-19.053960396039603</v>
      </c>
      <c r="AM111">
        <v>-19.069801980198019</v>
      </c>
      <c r="AN111">
        <v>-19.085643564356435</v>
      </c>
      <c r="AO111">
        <v>-19.102202970297029</v>
      </c>
      <c r="AP111">
        <v>-19.119034653465345</v>
      </c>
      <c r="AQ111">
        <v>-19.135866336633665</v>
      </c>
      <c r="AR111">
        <v>-19.152698019801981</v>
      </c>
      <c r="AS111">
        <v>-19.169529702970298</v>
      </c>
      <c r="AT111">
        <v>-19.186361386138614</v>
      </c>
      <c r="AU111">
        <v>-19.203193069306931</v>
      </c>
      <c r="AV111">
        <v>-19.220024752475247</v>
      </c>
      <c r="AW111">
        <v>-19.236856435643567</v>
      </c>
      <c r="AX111">
        <v>-19.253688118811883</v>
      </c>
      <c r="AY111">
        <v>-19.270532837670384</v>
      </c>
      <c r="AZ111">
        <v>-19.287385377943</v>
      </c>
      <c r="BA111">
        <v>-19.304237918215616</v>
      </c>
      <c r="BB111">
        <v>-19.321090458488229</v>
      </c>
      <c r="BC111">
        <v>-19.337942998760845</v>
      </c>
      <c r="BD111">
        <v>-19.354795539033457</v>
      </c>
      <c r="BE111">
        <v>-19.371648079306073</v>
      </c>
      <c r="BF111">
        <v>-19.388500619578686</v>
      </c>
      <c r="BG111">
        <v>-19.405353159851302</v>
      </c>
      <c r="BH111">
        <v>-19.422205700123914</v>
      </c>
      <c r="BI111">
        <v>-19.438514851485149</v>
      </c>
      <c r="BJ111">
        <v>-19.454356435643565</v>
      </c>
      <c r="BK111">
        <v>-19.47019801980198</v>
      </c>
      <c r="BL111">
        <v>-19.486039603960396</v>
      </c>
      <c r="BM111">
        <v>-19.501881188118812</v>
      </c>
      <c r="BN111">
        <v>-19.517722772277228</v>
      </c>
      <c r="BO111">
        <v>-19.533564356435644</v>
      </c>
      <c r="BP111">
        <v>-19.54940594059406</v>
      </c>
      <c r="BQ111">
        <v>-19.565247524752476</v>
      </c>
      <c r="BR111">
        <v>-19.581089108910891</v>
      </c>
      <c r="BS111">
        <v>-19.596505576208177</v>
      </c>
      <c r="BT111">
        <v>-19.611375464684013</v>
      </c>
      <c r="BU111">
        <v>-19.626245353159852</v>
      </c>
      <c r="BV111">
        <v>-19.641115241635688</v>
      </c>
      <c r="BW111">
        <v>-19.655985130111524</v>
      </c>
      <c r="BX111">
        <v>-19.670855018587361</v>
      </c>
      <c r="BY111">
        <v>-19.685724907063197</v>
      </c>
      <c r="BZ111">
        <v>-19.700594795539033</v>
      </c>
      <c r="CA111">
        <v>-19.715464684014869</v>
      </c>
      <c r="CB111">
        <v>-19.730334572490705</v>
      </c>
      <c r="CC111">
        <v>-19.744851485148512</v>
      </c>
      <c r="CD111">
        <v>-19.758712871287127</v>
      </c>
      <c r="CE111">
        <v>-19.772574257425742</v>
      </c>
      <c r="CF111">
        <v>-19.786435643564356</v>
      </c>
      <c r="CG111">
        <v>-19.800297029702968</v>
      </c>
      <c r="CH111">
        <v>-19.814158415841582</v>
      </c>
      <c r="CI111">
        <v>-19.828019801980197</v>
      </c>
      <c r="CJ111">
        <v>-19.841881188118812</v>
      </c>
      <c r="CK111">
        <v>-19.855742574257423</v>
      </c>
      <c r="CL111">
        <v>-19.869603960396038</v>
      </c>
    </row>
    <row r="112" spans="1:94" ht="21.75" hidden="1" thickBot="1" x14ac:dyDescent="0.4">
      <c r="A112" s="30" t="s">
        <v>5</v>
      </c>
      <c r="B112" s="60">
        <v>-62.777772277227726</v>
      </c>
      <c r="C112" s="60">
        <v>-61.240742574257432</v>
      </c>
      <c r="D112" s="60">
        <v>-59.79519801980198</v>
      </c>
      <c r="E112" s="60">
        <v>-58.360792079207918</v>
      </c>
      <c r="F112">
        <v>-57.09346534653465</v>
      </c>
      <c r="G112">
        <v>-55.826138613861389</v>
      </c>
      <c r="H112">
        <v>-54.424702970297027</v>
      </c>
      <c r="I112">
        <v>-52.907871287128707</v>
      </c>
      <c r="J112">
        <v>-51.3921905940594</v>
      </c>
      <c r="K112">
        <v>-49.967438118811877</v>
      </c>
      <c r="L112">
        <v>-48.542685643564354</v>
      </c>
      <c r="M112">
        <v>-47.117933168316824</v>
      </c>
      <c r="N112">
        <v>-45.693180693069301</v>
      </c>
      <c r="O112">
        <v>-44.268428217821779</v>
      </c>
      <c r="P112">
        <v>-42.843675742574256</v>
      </c>
      <c r="Q112">
        <v>-41.418923267326733</v>
      </c>
      <c r="R112">
        <v>-39.99417079207921</v>
      </c>
      <c r="S112">
        <v>-38.569418316831687</v>
      </c>
      <c r="T112">
        <v>-37.144665841584157</v>
      </c>
      <c r="U112">
        <v>-35.98282178217822</v>
      </c>
      <c r="V112">
        <v>-34.846188118811881</v>
      </c>
      <c r="W112">
        <v>-33.743316831683167</v>
      </c>
      <c r="X112">
        <v>-32.693811881188118</v>
      </c>
      <c r="Y112">
        <v>-31.644306930693073</v>
      </c>
      <c r="Z112">
        <v>-30.655522388059701</v>
      </c>
      <c r="AA112">
        <v>-29.676417910447761</v>
      </c>
      <c r="AB112">
        <v>-28.722574257425741</v>
      </c>
      <c r="AC112">
        <v>-27.815643564356435</v>
      </c>
      <c r="AD112">
        <v>-26.908712871287126</v>
      </c>
      <c r="AE112">
        <v>-26.361188118811882</v>
      </c>
      <c r="AF112">
        <v>-25.889900990099008</v>
      </c>
      <c r="AG112">
        <v>-25.655049504950494</v>
      </c>
      <c r="AH112">
        <v>-25.971881188118811</v>
      </c>
      <c r="AI112">
        <v>-26.288712871287128</v>
      </c>
      <c r="AJ112">
        <v>-26.602475247524755</v>
      </c>
      <c r="AK112">
        <v>-26.915346534653466</v>
      </c>
      <c r="AL112">
        <v>-27.228217821782177</v>
      </c>
      <c r="AM112">
        <v>-27.541089108910889</v>
      </c>
      <c r="AN112">
        <v>-27.853960396039604</v>
      </c>
      <c r="AO112">
        <v>-28.158217821782177</v>
      </c>
      <c r="AP112">
        <v>-28.459207920792078</v>
      </c>
      <c r="AQ112">
        <v>-28.76019801980198</v>
      </c>
      <c r="AR112">
        <v>-29.061188118811881</v>
      </c>
      <c r="AS112">
        <v>-29.362178217821782</v>
      </c>
      <c r="AT112">
        <v>-29.663168316831683</v>
      </c>
      <c r="AU112">
        <v>-29.964158415841585</v>
      </c>
      <c r="AV112">
        <v>-30.265148514851486</v>
      </c>
      <c r="AW112">
        <v>-30.566138613861387</v>
      </c>
      <c r="AX112">
        <v>-30.867128712871288</v>
      </c>
      <c r="AY112">
        <v>-31.157199504337051</v>
      </c>
      <c r="AZ112">
        <v>-31.440718711276332</v>
      </c>
      <c r="BA112">
        <v>-31.724237918215614</v>
      </c>
      <c r="BB112">
        <v>-32.007757125154896</v>
      </c>
      <c r="BC112">
        <v>-32.291276332094178</v>
      </c>
      <c r="BD112">
        <v>-32.57479553903346</v>
      </c>
      <c r="BE112">
        <v>-32.858314745972741</v>
      </c>
      <c r="BF112">
        <v>-33.141833952912023</v>
      </c>
      <c r="BG112">
        <v>-33.425353159851305</v>
      </c>
      <c r="BH112">
        <v>-33.708872366790587</v>
      </c>
      <c r="BI112">
        <v>-33.979962871287128</v>
      </c>
      <c r="BJ112">
        <v>-34.240358910891089</v>
      </c>
      <c r="BK112">
        <v>-34.50075495049505</v>
      </c>
      <c r="BL112">
        <v>-34.761150990099011</v>
      </c>
      <c r="BM112">
        <v>-35.021547029702973</v>
      </c>
      <c r="BN112">
        <v>-35.281943069306934</v>
      </c>
      <c r="BO112">
        <v>-35.542339108910888</v>
      </c>
      <c r="BP112">
        <v>-35.802735148514849</v>
      </c>
      <c r="BQ112">
        <v>-36.06313118811881</v>
      </c>
      <c r="BR112">
        <v>-36.323527227722771</v>
      </c>
      <c r="BS112">
        <v>-36.572354399008674</v>
      </c>
      <c r="BT112">
        <v>-36.806307311028498</v>
      </c>
      <c r="BU112">
        <v>-37.040260223048328</v>
      </c>
      <c r="BV112">
        <v>-37.274213135068152</v>
      </c>
      <c r="BW112">
        <v>-37.508166047087975</v>
      </c>
      <c r="BX112">
        <v>-37.742118959107806</v>
      </c>
      <c r="BY112">
        <v>-37.97607187112763</v>
      </c>
      <c r="BZ112">
        <v>-38.21002478314746</v>
      </c>
      <c r="CA112">
        <v>-38.443977695167284</v>
      </c>
      <c r="CB112">
        <v>-38.677930607187108</v>
      </c>
      <c r="CC112">
        <v>-38.901039603960392</v>
      </c>
      <c r="CD112">
        <v>-39.1040099009901</v>
      </c>
      <c r="CE112">
        <v>-39.306980198019801</v>
      </c>
      <c r="CF112">
        <v>-39.509950495049502</v>
      </c>
      <c r="CG112">
        <v>-39.71292079207921</v>
      </c>
      <c r="CH112">
        <v>-39.915891089108911</v>
      </c>
      <c r="CI112">
        <v>-40.118861386138612</v>
      </c>
      <c r="CJ112">
        <v>-40.32183168316832</v>
      </c>
      <c r="CK112">
        <v>-40.524801980198021</v>
      </c>
      <c r="CL112">
        <v>-40.727772277227722</v>
      </c>
    </row>
    <row r="113" spans="1:90" ht="21.75" hidden="1" thickBot="1" x14ac:dyDescent="0.4">
      <c r="A113" s="30" t="s">
        <v>6</v>
      </c>
      <c r="B113" s="60">
        <v>-15.64579207920792</v>
      </c>
      <c r="C113" s="60">
        <v>-15.366435643564357</v>
      </c>
      <c r="D113" s="60">
        <v>-15.105049504950495</v>
      </c>
      <c r="E113" s="60">
        <v>-14.846138613861386</v>
      </c>
      <c r="F113">
        <v>-14.624356435643564</v>
      </c>
      <c r="G113">
        <v>-14.402574257425742</v>
      </c>
      <c r="H113">
        <v>-14.052217821782177</v>
      </c>
      <c r="I113">
        <v>-13.591227722772276</v>
      </c>
      <c r="J113">
        <v>-13.129466584158413</v>
      </c>
      <c r="K113">
        <v>-12.606793316831681</v>
      </c>
      <c r="L113">
        <v>-12.084120049504948</v>
      </c>
      <c r="M113">
        <v>-11.561446782178216</v>
      </c>
      <c r="N113">
        <v>-11.038773514851483</v>
      </c>
      <c r="O113">
        <v>-10.516100247524751</v>
      </c>
      <c r="P113">
        <v>-9.9934269801980182</v>
      </c>
      <c r="Q113">
        <v>-9.4707537128712858</v>
      </c>
      <c r="R113">
        <v>-8.9480804455445551</v>
      </c>
      <c r="S113">
        <v>-8.4254071782178208</v>
      </c>
      <c r="T113">
        <v>-7.9027339108910892</v>
      </c>
      <c r="U113">
        <v>-7.471400990099009</v>
      </c>
      <c r="V113">
        <v>-7.0488267326732661</v>
      </c>
      <c r="W113">
        <v>-6.6380693069306922</v>
      </c>
      <c r="X113">
        <v>-6.2459900990099015</v>
      </c>
      <c r="Y113">
        <v>-5.85391089108911</v>
      </c>
      <c r="Z113">
        <v>-5.4831492537313435</v>
      </c>
      <c r="AA113">
        <v>-5.1157860696517412</v>
      </c>
      <c r="AB113">
        <v>-4.7695742574257416</v>
      </c>
      <c r="AC113">
        <v>-4.4626435643564353</v>
      </c>
      <c r="AD113">
        <v>-4.1557128712871281</v>
      </c>
      <c r="AE113">
        <v>-4.117683168316832</v>
      </c>
      <c r="AF113">
        <v>-4.136693069306931</v>
      </c>
      <c r="AG113">
        <v>-4.1559405940594063</v>
      </c>
      <c r="AH113">
        <v>-4.1757425742574261</v>
      </c>
      <c r="AI113">
        <v>-4.1955445544554459</v>
      </c>
      <c r="AJ113">
        <v>-4.2150396039603963</v>
      </c>
      <c r="AK113">
        <v>-4.2344455445544549</v>
      </c>
      <c r="AL113">
        <v>-4.2539504950495051</v>
      </c>
      <c r="AM113">
        <v>-4.2737524752475249</v>
      </c>
      <c r="AN113">
        <v>-4.2935544554455447</v>
      </c>
      <c r="AO113">
        <v>-4.3133564356435645</v>
      </c>
      <c r="AP113">
        <v>-4.3331584158415843</v>
      </c>
      <c r="AQ113">
        <v>-4.3529603960396042</v>
      </c>
      <c r="AR113">
        <v>-4.372762376237624</v>
      </c>
      <c r="AS113">
        <v>-4.3925643564356438</v>
      </c>
      <c r="AT113">
        <v>-4.4123663366336636</v>
      </c>
      <c r="AU113">
        <v>-4.4321683168316834</v>
      </c>
      <c r="AV113">
        <v>-4.4519702970297024</v>
      </c>
      <c r="AW113">
        <v>-4.4717722772277222</v>
      </c>
      <c r="AX113">
        <v>-4.491574257425742</v>
      </c>
      <c r="AY113">
        <v>-4.5112057001239156</v>
      </c>
      <c r="AZ113">
        <v>-4.5307348203221807</v>
      </c>
      <c r="BA113">
        <v>-4.5502639405204457</v>
      </c>
      <c r="BB113">
        <v>-4.5697930607187107</v>
      </c>
      <c r="BC113">
        <v>-4.5893221809169757</v>
      </c>
      <c r="BD113">
        <v>-4.6088513011152417</v>
      </c>
      <c r="BE113">
        <v>-4.6283804213135067</v>
      </c>
      <c r="BF113">
        <v>-4.6479095415117717</v>
      </c>
      <c r="BG113">
        <v>-4.6674386617100367</v>
      </c>
      <c r="BH113">
        <v>-4.6869677819083018</v>
      </c>
      <c r="BI113">
        <v>-4.7061646039603957</v>
      </c>
      <c r="BJ113">
        <v>-4.7250754950495049</v>
      </c>
      <c r="BK113">
        <v>-4.7439863861386131</v>
      </c>
      <c r="BL113">
        <v>-4.7628972772277223</v>
      </c>
      <c r="BM113">
        <v>-4.7818081683168314</v>
      </c>
      <c r="BN113">
        <v>-4.8007190594059406</v>
      </c>
      <c r="BO113">
        <v>-4.8196299504950488</v>
      </c>
      <c r="BP113">
        <v>-4.838540841584158</v>
      </c>
      <c r="BQ113">
        <v>-4.8574517326732671</v>
      </c>
      <c r="BR113">
        <v>-4.8763626237623754</v>
      </c>
      <c r="BS113">
        <v>-4.8949801734820317</v>
      </c>
      <c r="BT113">
        <v>-4.913220570012391</v>
      </c>
      <c r="BU113">
        <v>-4.9314609665427502</v>
      </c>
      <c r="BV113">
        <v>-4.9497013630731095</v>
      </c>
      <c r="BW113">
        <v>-4.9679417596034696</v>
      </c>
      <c r="BX113">
        <v>-4.9861821561338289</v>
      </c>
      <c r="BY113">
        <v>-5.0044225526641881</v>
      </c>
      <c r="BZ113">
        <v>-5.0226629491945474</v>
      </c>
      <c r="CA113">
        <v>-5.0409033457249066</v>
      </c>
      <c r="CB113">
        <v>-5.0591437422552659</v>
      </c>
      <c r="CC113">
        <v>-5.077168316831683</v>
      </c>
      <c r="CD113">
        <v>-5.0947920792079202</v>
      </c>
      <c r="CE113">
        <v>-5.1124158415841583</v>
      </c>
      <c r="CF113">
        <v>-5.1300396039603955</v>
      </c>
      <c r="CG113">
        <v>-5.1476633663366336</v>
      </c>
      <c r="CH113">
        <v>-5.1652871287128708</v>
      </c>
      <c r="CI113">
        <v>-5.1829108910891089</v>
      </c>
      <c r="CJ113">
        <v>-5.200534653465346</v>
      </c>
      <c r="CK113">
        <v>-5.2181584158415841</v>
      </c>
      <c r="CL113">
        <v>-5.2357821782178213</v>
      </c>
    </row>
    <row r="114" spans="1:90" ht="21.75" hidden="1" thickBot="1" x14ac:dyDescent="0.4">
      <c r="A114" s="30" t="s">
        <v>7</v>
      </c>
      <c r="B114" s="60">
        <v>-22.398910891089109</v>
      </c>
      <c r="C114" s="60">
        <v>-21.910099009900989</v>
      </c>
      <c r="D114" s="60">
        <v>-21.450693069306929</v>
      </c>
      <c r="E114" s="60">
        <v>-20.995000000000001</v>
      </c>
      <c r="F114">
        <v>-20.594999999999999</v>
      </c>
      <c r="G114">
        <v>-20.195</v>
      </c>
      <c r="H114">
        <v>-19.966574257425744</v>
      </c>
      <c r="I114">
        <v>-19.885782178217823</v>
      </c>
      <c r="J114">
        <v>-19.807502475247524</v>
      </c>
      <c r="K114">
        <v>-19.927700495049507</v>
      </c>
      <c r="L114">
        <v>-20.047898514851486</v>
      </c>
      <c r="M114">
        <v>-20.168096534653465</v>
      </c>
      <c r="N114">
        <v>-20.288294554455447</v>
      </c>
      <c r="O114">
        <v>-20.408492574257426</v>
      </c>
      <c r="P114">
        <v>-20.528690594059405</v>
      </c>
      <c r="Q114">
        <v>-20.648888613861388</v>
      </c>
      <c r="R114">
        <v>-20.769086633663367</v>
      </c>
      <c r="S114">
        <v>-20.889284653465346</v>
      </c>
      <c r="T114">
        <v>-21.009482673267328</v>
      </c>
      <c r="U114">
        <v>-21.135643564356435</v>
      </c>
      <c r="V114">
        <v>-21.262376237623762</v>
      </c>
      <c r="W114">
        <v>-21.387574257425744</v>
      </c>
      <c r="X114">
        <v>-21.510346534653465</v>
      </c>
      <c r="Y114">
        <v>-21.633118811881186</v>
      </c>
      <c r="Z114">
        <v>-21.756417910447759</v>
      </c>
      <c r="AA114">
        <v>-21.879800995024876</v>
      </c>
      <c r="AB114">
        <v>-22.002970297029705</v>
      </c>
      <c r="AC114">
        <v>-22.125742574257426</v>
      </c>
      <c r="AD114">
        <v>-22.248514851485147</v>
      </c>
      <c r="AE114">
        <v>-22.368019801980196</v>
      </c>
      <c r="AF114">
        <v>-22.486831683168315</v>
      </c>
      <c r="AG114">
        <v>-22.606831683168316</v>
      </c>
      <c r="AH114">
        <v>-22.729603960396041</v>
      </c>
      <c r="AI114">
        <v>-22.852376237623762</v>
      </c>
      <c r="AJ114">
        <v>-22.972079207920792</v>
      </c>
      <c r="AK114">
        <v>-23.090891089108911</v>
      </c>
      <c r="AL114">
        <v>-23.20970297029703</v>
      </c>
      <c r="AM114">
        <v>-23.328514851485149</v>
      </c>
      <c r="AN114">
        <v>-23.447326732673268</v>
      </c>
      <c r="AO114">
        <v>-23.563985148514853</v>
      </c>
      <c r="AP114">
        <v>-23.679826732673266</v>
      </c>
      <c r="AQ114">
        <v>-23.795668316831684</v>
      </c>
      <c r="AR114">
        <v>-23.911509900990097</v>
      </c>
      <c r="AS114">
        <v>-24.027351485148515</v>
      </c>
      <c r="AT114">
        <v>-24.143193069306928</v>
      </c>
      <c r="AU114">
        <v>-24.259034653465346</v>
      </c>
      <c r="AV114">
        <v>-24.374876237623763</v>
      </c>
      <c r="AW114">
        <v>-24.490717821782177</v>
      </c>
      <c r="AX114">
        <v>-24.606559405940594</v>
      </c>
      <c r="AY114">
        <v>-24.719392812887236</v>
      </c>
      <c r="AZ114">
        <v>-24.830421313506815</v>
      </c>
      <c r="BA114">
        <v>-24.941449814126393</v>
      </c>
      <c r="BB114">
        <v>-25.052478314745972</v>
      </c>
      <c r="BC114">
        <v>-25.163506815365551</v>
      </c>
      <c r="BD114">
        <v>-25.27453531598513</v>
      </c>
      <c r="BE114">
        <v>-25.385563816604709</v>
      </c>
      <c r="BF114">
        <v>-25.496592317224287</v>
      </c>
      <c r="BG114">
        <v>-25.607620817843866</v>
      </c>
      <c r="BH114">
        <v>-25.718649318463445</v>
      </c>
      <c r="BI114">
        <v>-25.828007425742573</v>
      </c>
      <c r="BJ114">
        <v>-25.935928217821782</v>
      </c>
      <c r="BK114">
        <v>-26.043849009900988</v>
      </c>
      <c r="BL114">
        <v>-26.151769801980198</v>
      </c>
      <c r="BM114">
        <v>-26.259690594059403</v>
      </c>
      <c r="BN114">
        <v>-26.367611386138613</v>
      </c>
      <c r="BO114">
        <v>-26.475532178217822</v>
      </c>
      <c r="BP114">
        <v>-26.583452970297028</v>
      </c>
      <c r="BQ114">
        <v>-26.691373762376237</v>
      </c>
      <c r="BR114">
        <v>-26.799294554455443</v>
      </c>
      <c r="BS114">
        <v>-26.905105328376703</v>
      </c>
      <c r="BT114">
        <v>-27.008203221809168</v>
      </c>
      <c r="BU114">
        <v>-27.111301115241634</v>
      </c>
      <c r="BV114">
        <v>-27.2143990086741</v>
      </c>
      <c r="BW114">
        <v>-27.317496902106566</v>
      </c>
      <c r="BX114">
        <v>-27.420594795539031</v>
      </c>
      <c r="BY114">
        <v>-27.523692688971497</v>
      </c>
      <c r="BZ114">
        <v>-27.626790582403963</v>
      </c>
      <c r="CA114">
        <v>-27.729888475836429</v>
      </c>
      <c r="CB114">
        <v>-27.832986369268895</v>
      </c>
      <c r="CC114">
        <v>-27.934999999999999</v>
      </c>
      <c r="CD114">
        <v>-28.034999999999997</v>
      </c>
      <c r="CE114">
        <v>-28.134999999999998</v>
      </c>
      <c r="CF114">
        <v>-28.234999999999999</v>
      </c>
      <c r="CG114">
        <v>-28.334999999999997</v>
      </c>
      <c r="CH114">
        <v>-28.434999999999999</v>
      </c>
      <c r="CI114">
        <v>-28.535</v>
      </c>
      <c r="CJ114">
        <v>-28.634999999999998</v>
      </c>
      <c r="CK114">
        <v>-28.734999999999999</v>
      </c>
      <c r="CL114">
        <v>-28.835000000000001</v>
      </c>
    </row>
    <row r="115" spans="1:90" ht="21.75" hidden="1" thickBot="1" x14ac:dyDescent="0.4">
      <c r="A115" s="30"/>
    </row>
    <row r="116" spans="1:90" ht="21.75" hidden="1" thickBot="1" x14ac:dyDescent="0.4">
      <c r="A116" s="30"/>
    </row>
    <row r="117" spans="1:90" ht="21.75" hidden="1" thickBot="1" x14ac:dyDescent="0.4">
      <c r="A117" s="30"/>
    </row>
    <row r="118" spans="1:90" ht="21.75" hidden="1" thickBot="1" x14ac:dyDescent="0.4">
      <c r="A118" s="30"/>
    </row>
    <row r="119" spans="1:90" ht="21.75" hidden="1" thickBot="1" x14ac:dyDescent="0.4">
      <c r="A119" s="30"/>
    </row>
    <row r="120" spans="1:90" ht="21.75" hidden="1" thickBot="1" x14ac:dyDescent="0.4">
      <c r="A120" s="30"/>
    </row>
    <row r="121" spans="1:90" ht="21.75" hidden="1" thickBot="1" x14ac:dyDescent="0.4">
      <c r="A121" s="30"/>
    </row>
    <row r="122" spans="1:90" ht="21.75" hidden="1" thickBot="1" x14ac:dyDescent="0.4">
      <c r="A122" s="30"/>
    </row>
    <row r="123" spans="1:90" ht="21.75" hidden="1" thickBot="1" x14ac:dyDescent="0.4">
      <c r="A123" s="30"/>
    </row>
    <row r="124" spans="1:90" ht="21.75" hidden="1" thickBot="1" x14ac:dyDescent="0.4">
      <c r="A124" s="30"/>
    </row>
    <row r="125" spans="1:90" ht="21.75" hidden="1" thickBot="1" x14ac:dyDescent="0.4">
      <c r="A125" s="30"/>
    </row>
    <row r="126" spans="1:90" ht="21.75" hidden="1" thickBot="1" x14ac:dyDescent="0.4">
      <c r="A126" s="30"/>
    </row>
    <row r="127" spans="1:90" ht="21.75" hidden="1" thickBot="1" x14ac:dyDescent="0.4">
      <c r="A127" s="30"/>
    </row>
    <row r="128" spans="1:90" ht="21.75" hidden="1" thickBot="1" x14ac:dyDescent="0.4">
      <c r="A128" s="30"/>
    </row>
    <row r="129" spans="1:90" ht="21.75" hidden="1" thickBot="1" x14ac:dyDescent="0.4">
      <c r="A129" s="30"/>
    </row>
    <row r="130" spans="1:90" ht="21.75" hidden="1" thickBot="1" x14ac:dyDescent="0.4">
      <c r="A130" s="30"/>
    </row>
    <row r="131" spans="1:90" ht="21.75" thickBot="1" x14ac:dyDescent="0.4"/>
    <row r="132" spans="1:90" ht="21.75" thickBot="1" x14ac:dyDescent="0.4">
      <c r="A132" s="30" t="s">
        <v>47</v>
      </c>
      <c r="B132" s="60">
        <v>-85.396485148514856</v>
      </c>
      <c r="C132" s="60">
        <v>-83.32361386138615</v>
      </c>
      <c r="D132" s="60">
        <v>-81.355297029702982</v>
      </c>
      <c r="E132" s="60">
        <v>-79.398366336633671</v>
      </c>
      <c r="F132">
        <v>-77.612227722772275</v>
      </c>
      <c r="G132">
        <v>-75.826089108910892</v>
      </c>
      <c r="H132">
        <v>-74.122970297029696</v>
      </c>
      <c r="I132">
        <v>-72.49128712871287</v>
      </c>
      <c r="J132">
        <v>-70.861386138613852</v>
      </c>
      <c r="K132">
        <v>-69.372277227722776</v>
      </c>
      <c r="L132">
        <v>-67.883168316831686</v>
      </c>
      <c r="M132">
        <v>-66.463564356435654</v>
      </c>
      <c r="N132">
        <v>-65.117029702970299</v>
      </c>
      <c r="O132">
        <v>-63.770495049504952</v>
      </c>
      <c r="P132">
        <v>-62.553564356435643</v>
      </c>
      <c r="Q132">
        <v>-61.341683168316834</v>
      </c>
      <c r="R132">
        <v>-60.180049504950496</v>
      </c>
      <c r="S132">
        <v>-59.0830198019802</v>
      </c>
      <c r="T132">
        <v>-57.985990099009896</v>
      </c>
      <c r="U132">
        <v>-57.000990099009904</v>
      </c>
      <c r="V132">
        <v>-56.026732673267333</v>
      </c>
      <c r="W132">
        <v>-55.08470297029703</v>
      </c>
      <c r="X132">
        <v>-54.19361386138614</v>
      </c>
      <c r="Y132">
        <v>-53.30252475247525</v>
      </c>
      <c r="Z132">
        <v>-52.486567164179107</v>
      </c>
      <c r="AA132">
        <v>-51.682587064676611</v>
      </c>
      <c r="AB132">
        <v>-50.971485148514844</v>
      </c>
      <c r="AC132">
        <v>-50.432871287128705</v>
      </c>
      <c r="AD132">
        <v>-49.894257425742573</v>
      </c>
      <c r="AE132">
        <v>-50.041782178217822</v>
      </c>
      <c r="AF132">
        <v>-50.334851485148519</v>
      </c>
      <c r="AG132">
        <v>-50.670693069306935</v>
      </c>
      <c r="AH132">
        <v>-51.106336633663368</v>
      </c>
      <c r="AI132">
        <v>-51.541980198019807</v>
      </c>
      <c r="AJ132">
        <v>-51.974554455445549</v>
      </c>
      <c r="AK132">
        <v>-52.406237623762379</v>
      </c>
      <c r="AL132">
        <v>-52.83792079207921</v>
      </c>
      <c r="AM132">
        <v>-53.26960396039604</v>
      </c>
      <c r="AN132">
        <v>-53.701287128712863</v>
      </c>
      <c r="AO132">
        <v>-54.130099009900981</v>
      </c>
      <c r="AP132">
        <v>-54.557821782178216</v>
      </c>
      <c r="AQ132">
        <v>-54.983960396039606</v>
      </c>
      <c r="AR132">
        <v>-55.403762376237623</v>
      </c>
      <c r="AS132">
        <v>-55.823564356435639</v>
      </c>
      <c r="AT132">
        <v>-56.238019801980194</v>
      </c>
      <c r="AU132">
        <v>-56.649900990099006</v>
      </c>
      <c r="AV132">
        <v>-57.061782178217825</v>
      </c>
      <c r="AW132">
        <v>-57.473663366336638</v>
      </c>
      <c r="AX132">
        <v>-57.88554455445545</v>
      </c>
      <c r="AY132">
        <v>-58.28659231722429</v>
      </c>
      <c r="AZ132">
        <v>-58.681140024783154</v>
      </c>
      <c r="BA132">
        <v>-59.075687732342011</v>
      </c>
      <c r="BB132">
        <v>-59.470235439900868</v>
      </c>
      <c r="BC132">
        <v>-59.864783147459733</v>
      </c>
      <c r="BD132">
        <v>-60.25933085501859</v>
      </c>
      <c r="BE132">
        <v>-60.653878562577447</v>
      </c>
      <c r="BF132">
        <v>-61.048426270136311</v>
      </c>
      <c r="BG132">
        <v>-61.442973977695168</v>
      </c>
      <c r="BH132">
        <v>-61.837521685254032</v>
      </c>
      <c r="BI132">
        <v>-62.217970297029701</v>
      </c>
      <c r="BJ132">
        <v>-62.586287128712868</v>
      </c>
      <c r="BK132">
        <v>-62.954603960396042</v>
      </c>
      <c r="BL132">
        <v>-63.322920792079209</v>
      </c>
      <c r="BM132">
        <v>-63.691237623762376</v>
      </c>
      <c r="BN132">
        <v>-64.059554455445536</v>
      </c>
      <c r="BO132">
        <v>-64.42787128712871</v>
      </c>
      <c r="BP132">
        <v>-64.796188118811884</v>
      </c>
      <c r="BQ132">
        <v>-65.164504950495044</v>
      </c>
      <c r="BR132">
        <v>-65.532821782178218</v>
      </c>
      <c r="BS132">
        <v>-65.887026022304823</v>
      </c>
      <c r="BT132">
        <v>-66.223085501858733</v>
      </c>
      <c r="BU132">
        <v>-66.559144981412629</v>
      </c>
      <c r="BV132">
        <v>-66.895204460966539</v>
      </c>
      <c r="BW132">
        <v>-67.231263940520435</v>
      </c>
      <c r="BX132">
        <v>-67.567323420074345</v>
      </c>
      <c r="BY132">
        <v>-67.903382899628241</v>
      </c>
      <c r="BZ132">
        <v>-68.239442379182151</v>
      </c>
      <c r="CA132">
        <v>-68.575501858736047</v>
      </c>
      <c r="CB132">
        <v>-68.911561338289957</v>
      </c>
      <c r="CC132">
        <v>-69.236039603960393</v>
      </c>
      <c r="CD132">
        <v>-69.539009900990095</v>
      </c>
      <c r="CE132">
        <v>-69.841980198019797</v>
      </c>
      <c r="CF132">
        <v>-70.1449504950495</v>
      </c>
      <c r="CG132">
        <v>-70.447920792079202</v>
      </c>
      <c r="CH132">
        <v>-70.750891089108904</v>
      </c>
      <c r="CI132">
        <v>-71.053861386138607</v>
      </c>
      <c r="CJ132">
        <v>-71.356831683168309</v>
      </c>
      <c r="CK132">
        <v>-71.659801980198012</v>
      </c>
      <c r="CL132">
        <v>-71.962772277227714</v>
      </c>
    </row>
    <row r="133" spans="1:90" ht="21.75" thickBot="1" x14ac:dyDescent="0.4">
      <c r="A133" s="30" t="s">
        <v>45</v>
      </c>
      <c r="B133" s="60">
        <v>-22.547673267326733</v>
      </c>
      <c r="C133" s="60">
        <v>-22.163861386138617</v>
      </c>
      <c r="D133" s="60">
        <v>-21.8470297029703</v>
      </c>
      <c r="E133" s="60">
        <v>-21.541336633663366</v>
      </c>
      <c r="F133">
        <v>-21.40272277227723</v>
      </c>
      <c r="G133">
        <v>-21.264108910891089</v>
      </c>
      <c r="H133">
        <v>-21.2</v>
      </c>
      <c r="I133">
        <v>-21.2</v>
      </c>
      <c r="J133">
        <v>-21.200891089108911</v>
      </c>
      <c r="K133">
        <v>-21.272178217821782</v>
      </c>
      <c r="L133">
        <v>-21.343465346534654</v>
      </c>
      <c r="M133">
        <v>-21.428267326732673</v>
      </c>
      <c r="N133">
        <v>-21.52727722772277</v>
      </c>
      <c r="O133">
        <v>-21.626287128712871</v>
      </c>
      <c r="P133">
        <v>-21.729108910891089</v>
      </c>
      <c r="Q133">
        <v>-21.832079207920792</v>
      </c>
      <c r="R133">
        <v>-21.928118811881188</v>
      </c>
      <c r="S133">
        <v>-22.015247524752475</v>
      </c>
      <c r="T133">
        <v>-22.102376237623762</v>
      </c>
      <c r="U133">
        <v>-22.178663366336632</v>
      </c>
      <c r="V133">
        <v>-22.253910891089109</v>
      </c>
      <c r="W133">
        <v>-22.326089108910892</v>
      </c>
      <c r="X133">
        <v>-22.393415841584158</v>
      </c>
      <c r="Y133">
        <v>-22.460742574257424</v>
      </c>
      <c r="Z133">
        <v>-22.538656716417911</v>
      </c>
      <c r="AA133">
        <v>-22.618258706467664</v>
      </c>
      <c r="AB133">
        <v>-22.694950495049508</v>
      </c>
      <c r="AC133">
        <v>-22.766237623762379</v>
      </c>
      <c r="AD133">
        <v>-22.83752475247525</v>
      </c>
      <c r="AE133">
        <v>-22.931683168316834</v>
      </c>
      <c r="AF133">
        <v>-23.030693069306931</v>
      </c>
      <c r="AG133">
        <v>-23.135643564356435</v>
      </c>
      <c r="AH133">
        <v>-23.254455445544554</v>
      </c>
      <c r="AI133">
        <v>-23.373267326732673</v>
      </c>
      <c r="AJ133">
        <v>-23.489009900990098</v>
      </c>
      <c r="AK133">
        <v>-23.603861386138615</v>
      </c>
      <c r="AL133">
        <v>-23.719702970297032</v>
      </c>
      <c r="AM133">
        <v>-23.838514851485147</v>
      </c>
      <c r="AN133">
        <v>-23.957326732673266</v>
      </c>
      <c r="AO133">
        <v>-24.076138613861385</v>
      </c>
      <c r="AP133">
        <v>-24.194950495049504</v>
      </c>
      <c r="AQ133">
        <v>-24.312970297029704</v>
      </c>
      <c r="AR133">
        <v>-24.427821782178217</v>
      </c>
      <c r="AS133">
        <v>-24.54267326732673</v>
      </c>
      <c r="AT133">
        <v>-24.657524752475247</v>
      </c>
      <c r="AU133">
        <v>-24.772376237623764</v>
      </c>
      <c r="AV133">
        <v>-24.88722772277228</v>
      </c>
      <c r="AW133">
        <v>-25.002079207920794</v>
      </c>
      <c r="AX133">
        <v>-25.116930693069307</v>
      </c>
      <c r="AY133">
        <v>-25.229392812887237</v>
      </c>
      <c r="AZ133">
        <v>-25.340421313506816</v>
      </c>
      <c r="BA133">
        <v>-25.451449814126395</v>
      </c>
      <c r="BB133">
        <v>-25.562478314745974</v>
      </c>
      <c r="BC133">
        <v>-25.673506815365553</v>
      </c>
      <c r="BD133">
        <v>-25.784535315985131</v>
      </c>
      <c r="BE133">
        <v>-25.89556381660471</v>
      </c>
      <c r="BF133">
        <v>-26.006592317224289</v>
      </c>
      <c r="BG133">
        <v>-26.117620817843868</v>
      </c>
      <c r="BH133">
        <v>-26.228649318463447</v>
      </c>
      <c r="BI133">
        <v>-26.338007425742575</v>
      </c>
      <c r="BJ133">
        <v>-26.445928217821784</v>
      </c>
      <c r="BK133">
        <v>-26.55384900990099</v>
      </c>
      <c r="BL133">
        <v>-26.661769801980199</v>
      </c>
      <c r="BM133">
        <v>-26.769690594059405</v>
      </c>
      <c r="BN133">
        <v>-26.877611386138614</v>
      </c>
      <c r="BO133">
        <v>-26.985532178217824</v>
      </c>
      <c r="BP133">
        <v>-27.093452970297029</v>
      </c>
      <c r="BQ133">
        <v>-27.201373762376239</v>
      </c>
      <c r="BR133">
        <v>-27.309294554455448</v>
      </c>
      <c r="BS133">
        <v>-27.415105328376704</v>
      </c>
      <c r="BT133">
        <v>-27.51820322180917</v>
      </c>
      <c r="BU133">
        <v>-27.621301115241636</v>
      </c>
      <c r="BV133">
        <v>-27.724399008674101</v>
      </c>
      <c r="BW133">
        <v>-27.827496902106567</v>
      </c>
      <c r="BX133">
        <v>-27.930594795539033</v>
      </c>
      <c r="BY133">
        <v>-28.033692688971499</v>
      </c>
      <c r="BZ133">
        <v>-28.136790582403965</v>
      </c>
      <c r="CA133">
        <v>-28.23988847583643</v>
      </c>
      <c r="CB133">
        <v>-28.342986369268896</v>
      </c>
      <c r="CC133">
        <v>-28.445</v>
      </c>
      <c r="CD133">
        <v>-28.544999999999998</v>
      </c>
      <c r="CE133">
        <v>-28.645</v>
      </c>
      <c r="CF133">
        <v>-28.745000000000001</v>
      </c>
      <c r="CG133">
        <v>-28.844999999999999</v>
      </c>
      <c r="CH133">
        <v>-28.945</v>
      </c>
      <c r="CI133">
        <v>-29.045000000000002</v>
      </c>
      <c r="CJ133">
        <v>-29.145</v>
      </c>
      <c r="CK133">
        <v>-29.245000000000001</v>
      </c>
      <c r="CL133">
        <v>-29.345000000000002</v>
      </c>
    </row>
    <row r="134" spans="1:90" ht="21.75" thickBot="1" x14ac:dyDescent="0.4">
      <c r="A134" s="30" t="s">
        <v>58</v>
      </c>
      <c r="B134" s="60">
        <v>-107.9441584158416</v>
      </c>
      <c r="C134" s="60">
        <v>-105.48747524752477</v>
      </c>
      <c r="D134" s="60">
        <v>-103.20232673267327</v>
      </c>
      <c r="E134" s="60">
        <v>-100.93970297029703</v>
      </c>
      <c r="F134">
        <v>-99.014950495049504</v>
      </c>
      <c r="G134">
        <v>-97.090198019801974</v>
      </c>
      <c r="H134">
        <v>-95.322970297029684</v>
      </c>
      <c r="I134">
        <v>-93.691287128712858</v>
      </c>
      <c r="J134">
        <v>-92.06227722772276</v>
      </c>
      <c r="K134">
        <v>-90.644455445544551</v>
      </c>
      <c r="L134">
        <v>-89.226633663366343</v>
      </c>
      <c r="M134">
        <v>-87.89183168316832</v>
      </c>
      <c r="N134">
        <v>-86.644306930693062</v>
      </c>
      <c r="O134">
        <v>-85.396782178217819</v>
      </c>
      <c r="P134">
        <v>-84.282673267326729</v>
      </c>
      <c r="Q134">
        <v>-83.173762376237633</v>
      </c>
      <c r="R134">
        <v>-82.108168316831694</v>
      </c>
      <c r="S134">
        <v>-81.098267326732682</v>
      </c>
      <c r="T134">
        <v>-80.088366336633669</v>
      </c>
      <c r="U134">
        <v>-79.179653465346533</v>
      </c>
      <c r="V134">
        <v>-78.280643564356438</v>
      </c>
      <c r="W134">
        <v>-77.410792079207923</v>
      </c>
      <c r="X134">
        <v>-76.587029702970298</v>
      </c>
      <c r="Y134">
        <v>-75.763267326732688</v>
      </c>
      <c r="Z134">
        <v>-75.025223880597025</v>
      </c>
      <c r="AA134">
        <v>-74.300845771144282</v>
      </c>
      <c r="AB134">
        <v>-73.666435643564355</v>
      </c>
      <c r="AC134">
        <v>-73.199108910891084</v>
      </c>
      <c r="AD134">
        <v>-72.731782178217827</v>
      </c>
      <c r="AE134">
        <v>-72.973465346534653</v>
      </c>
      <c r="AF134">
        <v>-73.365544554455454</v>
      </c>
      <c r="AG134">
        <v>-73.806336633663364</v>
      </c>
      <c r="AH134">
        <v>-74.360792079207911</v>
      </c>
      <c r="AI134">
        <v>-74.915247524752473</v>
      </c>
      <c r="AJ134">
        <v>-75.46356435643564</v>
      </c>
      <c r="AK134">
        <v>-76.010099009900983</v>
      </c>
      <c r="AL134">
        <v>-76.557623762376238</v>
      </c>
      <c r="AM134">
        <v>-77.108118811881184</v>
      </c>
      <c r="AN134">
        <v>-77.658613861386144</v>
      </c>
      <c r="AO134">
        <v>-78.206237623762377</v>
      </c>
      <c r="AP134">
        <v>-78.75277227722772</v>
      </c>
      <c r="AQ134">
        <v>-79.296930693069299</v>
      </c>
      <c r="AR134">
        <v>-79.831584158415836</v>
      </c>
      <c r="AS134">
        <v>-80.366237623762373</v>
      </c>
      <c r="AT134">
        <v>-80.895544554455441</v>
      </c>
      <c r="AU134">
        <v>-81.422277227722773</v>
      </c>
      <c r="AV134">
        <v>-81.949009900990106</v>
      </c>
      <c r="AW134">
        <v>-82.475742574257424</v>
      </c>
      <c r="AX134">
        <v>-83.002475247524757</v>
      </c>
      <c r="AY134">
        <v>-83.515985130111531</v>
      </c>
      <c r="AZ134">
        <v>-84.02156133828997</v>
      </c>
      <c r="BA134">
        <v>-84.52713754646841</v>
      </c>
      <c r="BB134">
        <v>-85.032713754646849</v>
      </c>
      <c r="BC134">
        <v>-85.538289962825289</v>
      </c>
      <c r="BD134">
        <v>-86.043866171003728</v>
      </c>
      <c r="BE134">
        <v>-86.549442379182167</v>
      </c>
      <c r="BF134">
        <v>-87.055018587360607</v>
      </c>
      <c r="BG134">
        <v>-87.560594795539046</v>
      </c>
      <c r="BH134">
        <v>-88.066171003717486</v>
      </c>
      <c r="BI134">
        <v>-88.555977722772283</v>
      </c>
      <c r="BJ134">
        <v>-89.032215346534656</v>
      </c>
      <c r="BK134">
        <v>-89.508452970297043</v>
      </c>
      <c r="BL134">
        <v>-89.984690594059416</v>
      </c>
      <c r="BM134">
        <v>-90.460928217821788</v>
      </c>
      <c r="BN134">
        <v>-90.937165841584161</v>
      </c>
      <c r="BO134">
        <v>-91.413403465346533</v>
      </c>
      <c r="BP134">
        <v>-91.889641089108906</v>
      </c>
      <c r="BQ134">
        <v>-92.365878712871293</v>
      </c>
      <c r="BR134">
        <v>-92.842116336633666</v>
      </c>
      <c r="BS134">
        <v>-93.302131350681535</v>
      </c>
      <c r="BT134">
        <v>-93.741288723667907</v>
      </c>
      <c r="BU134">
        <v>-94.180446096654279</v>
      </c>
      <c r="BV134">
        <v>-94.619603469640637</v>
      </c>
      <c r="BW134">
        <v>-95.058760842627009</v>
      </c>
      <c r="BX134">
        <v>-95.497918215613382</v>
      </c>
      <c r="BY134">
        <v>-95.93707558859974</v>
      </c>
      <c r="BZ134">
        <v>-96.376232961586112</v>
      </c>
      <c r="CA134">
        <v>-96.815390334572484</v>
      </c>
      <c r="CB134">
        <v>-97.254547707558856</v>
      </c>
      <c r="CC134">
        <v>-97.681039603960386</v>
      </c>
      <c r="CD134">
        <v>-98.084009900990097</v>
      </c>
      <c r="CE134">
        <v>-98.486980198019793</v>
      </c>
      <c r="CF134">
        <v>-98.889950495049504</v>
      </c>
      <c r="CG134">
        <v>-99.292920792079201</v>
      </c>
      <c r="CH134">
        <v>-99.695891089108912</v>
      </c>
      <c r="CI134">
        <v>-100.09886138613862</v>
      </c>
      <c r="CJ134">
        <v>-100.50183168316832</v>
      </c>
      <c r="CK134">
        <v>-100.90480198019803</v>
      </c>
      <c r="CL134">
        <v>-101.30777227722774</v>
      </c>
    </row>
    <row r="135" spans="1:90" ht="21.75" thickBot="1" x14ac:dyDescent="0.4">
      <c r="A135" s="30" t="s">
        <v>57</v>
      </c>
      <c r="B135" s="60">
        <v>-193.34064356435644</v>
      </c>
      <c r="C135" s="60">
        <v>-188.81108910891089</v>
      </c>
      <c r="D135" s="60">
        <v>-184.55762376237624</v>
      </c>
      <c r="E135" s="60">
        <v>-180.33806930693069</v>
      </c>
      <c r="F135">
        <v>-176.62717821782178</v>
      </c>
      <c r="G135">
        <v>-172.91628712871287</v>
      </c>
      <c r="H135">
        <v>-169.44594059405938</v>
      </c>
      <c r="I135">
        <v>-166.18257425742573</v>
      </c>
      <c r="J135">
        <v>-162.9236633663366</v>
      </c>
      <c r="K135">
        <v>-160.01673267326731</v>
      </c>
      <c r="L135">
        <v>-157.10980198019803</v>
      </c>
      <c r="M135">
        <v>-154.35539603960396</v>
      </c>
      <c r="N135">
        <v>-151.76133663366338</v>
      </c>
      <c r="O135">
        <v>-149.16727722772276</v>
      </c>
      <c r="P135">
        <v>-146.83623762376237</v>
      </c>
      <c r="Q135">
        <v>-144.51544554455447</v>
      </c>
      <c r="R135">
        <v>-142.28821782178218</v>
      </c>
      <c r="S135">
        <v>-140.18128712871285</v>
      </c>
      <c r="T135">
        <v>-138.07435643564355</v>
      </c>
      <c r="U135">
        <v>-136.18064356435644</v>
      </c>
      <c r="V135">
        <v>-134.30737623762377</v>
      </c>
      <c r="W135">
        <v>-132.49549504950497</v>
      </c>
      <c r="X135">
        <v>-130.78064356435644</v>
      </c>
      <c r="Y135">
        <v>-129.06579207920791</v>
      </c>
      <c r="Z135">
        <v>-127.51179104477612</v>
      </c>
      <c r="AA135">
        <v>-125.98343283582089</v>
      </c>
      <c r="AB135">
        <v>-124.63792079207921</v>
      </c>
      <c r="AC135">
        <v>-123.63198019801982</v>
      </c>
      <c r="AD135">
        <v>-122.62603960396041</v>
      </c>
      <c r="AE135">
        <v>-123.0152475247525</v>
      </c>
      <c r="AF135">
        <v>-123.70039603960397</v>
      </c>
      <c r="AG135">
        <v>-124.4770297029703</v>
      </c>
      <c r="AH135">
        <v>-125.46712871287129</v>
      </c>
      <c r="AI135">
        <v>-126.45722772277226</v>
      </c>
      <c r="AJ135">
        <v>-127.43811881188118</v>
      </c>
      <c r="AK135">
        <v>-128.41633663366338</v>
      </c>
      <c r="AL135">
        <v>-129.39554455445545</v>
      </c>
      <c r="AM135">
        <v>-130.37772277227722</v>
      </c>
      <c r="AN135">
        <v>-131.35990099009899</v>
      </c>
      <c r="AO135">
        <v>-132.33633663366336</v>
      </c>
      <c r="AP135">
        <v>-133.31059405940593</v>
      </c>
      <c r="AQ135">
        <v>-134.28089108910891</v>
      </c>
      <c r="AR135">
        <v>-135.23534653465347</v>
      </c>
      <c r="AS135">
        <v>-136.18980198019801</v>
      </c>
      <c r="AT135">
        <v>-137.13356435643564</v>
      </c>
      <c r="AU135">
        <v>-138.0721782178218</v>
      </c>
      <c r="AV135">
        <v>-139.01079207920793</v>
      </c>
      <c r="AW135">
        <v>-139.94940594059406</v>
      </c>
      <c r="AX135">
        <v>-140.88801980198022</v>
      </c>
      <c r="AY135">
        <v>-141.80257744733581</v>
      </c>
      <c r="AZ135">
        <v>-142.70270136307312</v>
      </c>
      <c r="BA135">
        <v>-143.6028252788104</v>
      </c>
      <c r="BB135">
        <v>-144.50294919454771</v>
      </c>
      <c r="BC135">
        <v>-145.40307311028499</v>
      </c>
      <c r="BD135">
        <v>-146.3031970260223</v>
      </c>
      <c r="BE135">
        <v>-147.20332094175959</v>
      </c>
      <c r="BF135">
        <v>-148.1034448574969</v>
      </c>
      <c r="BG135">
        <v>-149.00356877323418</v>
      </c>
      <c r="BH135">
        <v>-149.90369268897149</v>
      </c>
      <c r="BI135">
        <v>-150.77394801980196</v>
      </c>
      <c r="BJ135">
        <v>-151.61850247524751</v>
      </c>
      <c r="BK135">
        <v>-152.46305693069306</v>
      </c>
      <c r="BL135">
        <v>-153.3076113861386</v>
      </c>
      <c r="BM135">
        <v>-154.15216584158415</v>
      </c>
      <c r="BN135">
        <v>-154.9967202970297</v>
      </c>
      <c r="BO135">
        <v>-155.84127475247524</v>
      </c>
      <c r="BP135">
        <v>-156.68582920792079</v>
      </c>
      <c r="BQ135">
        <v>-157.53038366336634</v>
      </c>
      <c r="BR135">
        <v>-158.37493811881188</v>
      </c>
      <c r="BS135">
        <v>-159.18915737298636</v>
      </c>
      <c r="BT135">
        <v>-159.96437422552663</v>
      </c>
      <c r="BU135">
        <v>-160.73959107806692</v>
      </c>
      <c r="BV135">
        <v>-161.51480793060719</v>
      </c>
      <c r="BW135">
        <v>-162.29002478314746</v>
      </c>
      <c r="BX135">
        <v>-163.06524163568773</v>
      </c>
      <c r="BY135">
        <v>-163.84045848822802</v>
      </c>
      <c r="BZ135">
        <v>-164.61567534076829</v>
      </c>
      <c r="CA135">
        <v>-165.39089219330856</v>
      </c>
      <c r="CB135">
        <v>-166.16610904584883</v>
      </c>
      <c r="CC135">
        <v>-166.91707920792081</v>
      </c>
      <c r="CD135">
        <v>-167.62301980198021</v>
      </c>
      <c r="CE135">
        <v>-168.32896039603961</v>
      </c>
      <c r="CF135">
        <v>-169.03490099009903</v>
      </c>
      <c r="CG135">
        <v>-169.74084158415843</v>
      </c>
      <c r="CH135">
        <v>-170.44678217821783</v>
      </c>
      <c r="CI135">
        <v>-171.15272277227723</v>
      </c>
      <c r="CJ135">
        <v>-171.85866336633666</v>
      </c>
      <c r="CK135">
        <v>-172.56460396039606</v>
      </c>
      <c r="CL135">
        <v>-173.27054455445545</v>
      </c>
    </row>
    <row r="136" spans="1:90" ht="21.75" thickBot="1" x14ac:dyDescent="0.4">
      <c r="A136" s="30" t="s">
        <v>1</v>
      </c>
      <c r="B136" s="60">
        <v>-18.751633663366338</v>
      </c>
      <c r="C136" s="60">
        <v>-18.75</v>
      </c>
      <c r="D136" s="60">
        <v>-18.75</v>
      </c>
      <c r="E136" s="60">
        <v>-18.75</v>
      </c>
      <c r="F136">
        <v>-18.75</v>
      </c>
      <c r="G136">
        <v>-18.75</v>
      </c>
      <c r="H136">
        <v>-18.752128712871286</v>
      </c>
      <c r="I136">
        <v>-18.756089108910892</v>
      </c>
      <c r="J136">
        <v>-18.760148514851487</v>
      </c>
      <c r="K136">
        <v>-18.772029702970297</v>
      </c>
      <c r="L136">
        <v>-18.783910891089107</v>
      </c>
      <c r="M136">
        <v>-18.793861386138612</v>
      </c>
      <c r="N136">
        <v>-18.80178217821782</v>
      </c>
      <c r="O136">
        <v>-18.809702970297028</v>
      </c>
      <c r="P136">
        <v>-18.825247524752474</v>
      </c>
      <c r="Q136">
        <v>-18.841089108910893</v>
      </c>
      <c r="R136">
        <v>-18.855198019801982</v>
      </c>
      <c r="S136">
        <v>-18.867079207920792</v>
      </c>
      <c r="T136">
        <v>-18.878960396039602</v>
      </c>
      <c r="U136">
        <v>-18.890841584158416</v>
      </c>
      <c r="V136">
        <v>-18.902722772277226</v>
      </c>
      <c r="W136">
        <v>-18.91460396039604</v>
      </c>
      <c r="X136">
        <v>-18.926485148514853</v>
      </c>
      <c r="Y136">
        <v>-18.938366336633663</v>
      </c>
      <c r="Z136">
        <v>-18.950298507462687</v>
      </c>
      <c r="AA136">
        <v>-18.962238805970149</v>
      </c>
      <c r="AB136">
        <v>-18.967227722772275</v>
      </c>
      <c r="AC136">
        <v>-18.959306930693067</v>
      </c>
      <c r="AD136">
        <v>-18.951386138613859</v>
      </c>
      <c r="AE136">
        <v>-18.956534653465347</v>
      </c>
      <c r="AF136">
        <v>-18.964455445544555</v>
      </c>
      <c r="AG136">
        <v>-18.974752475247524</v>
      </c>
      <c r="AH136">
        <v>-18.990594059405939</v>
      </c>
      <c r="AI136">
        <v>-19.006435643564359</v>
      </c>
      <c r="AJ136">
        <v>-19.022277227722775</v>
      </c>
      <c r="AK136">
        <v>-19.038118811881191</v>
      </c>
      <c r="AL136">
        <v>-19.053960396039603</v>
      </c>
      <c r="AM136">
        <v>-19.069801980198019</v>
      </c>
      <c r="AN136">
        <v>-19.085643564356435</v>
      </c>
      <c r="AO136">
        <v>-19.104356435643563</v>
      </c>
      <c r="AP136">
        <v>-19.124158415841585</v>
      </c>
      <c r="AQ136">
        <v>-19.143168316831684</v>
      </c>
      <c r="AR136">
        <v>-19.1590099009901</v>
      </c>
      <c r="AS136">
        <v>-19.174851485148515</v>
      </c>
      <c r="AT136">
        <v>-19.190693069306931</v>
      </c>
      <c r="AU136">
        <v>-19.206534653465347</v>
      </c>
      <c r="AV136">
        <v>-19.222376237623763</v>
      </c>
      <c r="AW136">
        <v>-19.238217821782179</v>
      </c>
      <c r="AX136">
        <v>-19.254059405940595</v>
      </c>
      <c r="AY136">
        <v>-19.270532837670384</v>
      </c>
      <c r="AZ136">
        <v>-19.287385377943</v>
      </c>
      <c r="BA136">
        <v>-19.304237918215616</v>
      </c>
      <c r="BB136">
        <v>-19.321090458488229</v>
      </c>
      <c r="BC136">
        <v>-19.337942998760845</v>
      </c>
      <c r="BD136">
        <v>-19.354795539033457</v>
      </c>
      <c r="BE136">
        <v>-19.371648079306073</v>
      </c>
      <c r="BF136">
        <v>-19.388500619578686</v>
      </c>
      <c r="BG136">
        <v>-19.405353159851302</v>
      </c>
      <c r="BH136">
        <v>-19.422205700123914</v>
      </c>
      <c r="BI136">
        <v>-19.438514851485149</v>
      </c>
      <c r="BJ136">
        <v>-19.454356435643565</v>
      </c>
      <c r="BK136">
        <v>-19.47019801980198</v>
      </c>
      <c r="BL136">
        <v>-19.486039603960396</v>
      </c>
      <c r="BM136">
        <v>-19.501881188118812</v>
      </c>
      <c r="BN136">
        <v>-19.517722772277228</v>
      </c>
      <c r="BO136">
        <v>-19.533564356435644</v>
      </c>
      <c r="BP136">
        <v>-19.54940594059406</v>
      </c>
      <c r="BQ136">
        <v>-19.565247524752476</v>
      </c>
      <c r="BR136">
        <v>-19.581089108910891</v>
      </c>
      <c r="BS136">
        <v>-19.596505576208177</v>
      </c>
      <c r="BT136">
        <v>-19.611375464684013</v>
      </c>
      <c r="BU136">
        <v>-19.626245353159852</v>
      </c>
      <c r="BV136">
        <v>-19.641115241635688</v>
      </c>
      <c r="BW136">
        <v>-19.655985130111524</v>
      </c>
      <c r="BX136">
        <v>-19.670855018587361</v>
      </c>
      <c r="BY136">
        <v>-19.685724907063197</v>
      </c>
      <c r="BZ136">
        <v>-19.700594795539033</v>
      </c>
      <c r="CA136">
        <v>-19.715464684014869</v>
      </c>
      <c r="CB136">
        <v>-19.730334572490705</v>
      </c>
      <c r="CC136">
        <v>-19.744851485148512</v>
      </c>
      <c r="CD136">
        <v>-19.758712871287127</v>
      </c>
      <c r="CE136">
        <v>-19.772574257425742</v>
      </c>
      <c r="CF136">
        <v>-19.786435643564356</v>
      </c>
      <c r="CG136">
        <v>-19.800297029702968</v>
      </c>
      <c r="CH136">
        <v>-19.814158415841582</v>
      </c>
      <c r="CI136">
        <v>-19.828019801980197</v>
      </c>
      <c r="CJ136">
        <v>-19.841881188118812</v>
      </c>
      <c r="CK136">
        <v>-19.855742574257423</v>
      </c>
      <c r="CL136">
        <v>-19.869603960396038</v>
      </c>
    </row>
    <row r="137" spans="1:90" ht="21.75" thickBot="1" x14ac:dyDescent="0.4">
      <c r="A137" s="30" t="s">
        <v>69</v>
      </c>
      <c r="B137" s="60">
        <v>-107.9441584158416</v>
      </c>
      <c r="C137" s="60">
        <v>-105.48747524752477</v>
      </c>
      <c r="D137" s="60">
        <v>-103.20232673267327</v>
      </c>
      <c r="E137" s="60">
        <v>-100.93970297029703</v>
      </c>
      <c r="F137">
        <v>-99.014950495049504</v>
      </c>
      <c r="G137">
        <v>-97.090198019801974</v>
      </c>
      <c r="H137">
        <v>-95.322970297029684</v>
      </c>
      <c r="I137">
        <v>-93.691287128712858</v>
      </c>
      <c r="J137">
        <v>-92.06227722772276</v>
      </c>
      <c r="K137">
        <v>-90.644455445544551</v>
      </c>
      <c r="L137">
        <v>-89.226633663366343</v>
      </c>
      <c r="M137">
        <v>-87.89183168316832</v>
      </c>
      <c r="N137">
        <v>-86.644306930693062</v>
      </c>
      <c r="O137">
        <v>-85.396782178217819</v>
      </c>
      <c r="P137">
        <v>-84.282673267326729</v>
      </c>
      <c r="Q137">
        <v>-83.173762376237633</v>
      </c>
      <c r="R137">
        <v>-82.108168316831694</v>
      </c>
      <c r="S137">
        <v>-81.098267326732682</v>
      </c>
      <c r="T137">
        <v>-80.088366336633669</v>
      </c>
      <c r="U137">
        <v>-79.179653465346533</v>
      </c>
      <c r="V137">
        <v>-78.280643564356438</v>
      </c>
      <c r="W137">
        <v>-77.410792079207923</v>
      </c>
      <c r="X137">
        <v>-76.587029702970298</v>
      </c>
      <c r="Y137">
        <v>-75.763267326732688</v>
      </c>
      <c r="Z137">
        <v>-75.025223880597025</v>
      </c>
      <c r="AA137">
        <v>-74.300845771144282</v>
      </c>
      <c r="AB137">
        <v>-73.666435643564355</v>
      </c>
      <c r="AC137">
        <v>-73.199108910891084</v>
      </c>
      <c r="AD137">
        <v>-72.731782178217827</v>
      </c>
      <c r="AE137">
        <v>-72.973465346534653</v>
      </c>
      <c r="AF137">
        <v>-73.365544554455454</v>
      </c>
      <c r="AG137">
        <v>-73.806336633663364</v>
      </c>
      <c r="AH137">
        <v>-74.360792079207911</v>
      </c>
      <c r="AI137">
        <v>-74.915247524752473</v>
      </c>
      <c r="AJ137">
        <v>-75.46356435643564</v>
      </c>
      <c r="AK137">
        <v>-76.010099009900983</v>
      </c>
      <c r="AL137">
        <v>-76.557623762376238</v>
      </c>
      <c r="AM137">
        <v>-77.108118811881184</v>
      </c>
      <c r="AN137">
        <v>-77.658613861386144</v>
      </c>
      <c r="AO137">
        <v>-78.206237623762377</v>
      </c>
      <c r="AP137">
        <v>-78.75277227722772</v>
      </c>
      <c r="AQ137">
        <v>-79.296930693069299</v>
      </c>
      <c r="AR137">
        <v>-79.831584158415836</v>
      </c>
      <c r="AS137">
        <v>-80.366237623762373</v>
      </c>
      <c r="AT137">
        <v>-80.895544554455441</v>
      </c>
      <c r="AU137">
        <v>-81.422277227722773</v>
      </c>
      <c r="AV137">
        <v>-81.949009900990106</v>
      </c>
      <c r="AW137">
        <v>-82.475742574257424</v>
      </c>
      <c r="AX137">
        <v>-83.002475247524757</v>
      </c>
      <c r="AY137">
        <v>-83.515985130111531</v>
      </c>
      <c r="AZ137">
        <v>-84.02156133828997</v>
      </c>
      <c r="BA137">
        <v>-84.52713754646841</v>
      </c>
      <c r="BB137">
        <v>-85.032713754646849</v>
      </c>
      <c r="BC137">
        <v>-85.538289962825289</v>
      </c>
      <c r="BD137">
        <v>-86.043866171003728</v>
      </c>
      <c r="BE137">
        <v>-86.549442379182167</v>
      </c>
      <c r="BF137">
        <v>-87.055018587360607</v>
      </c>
      <c r="BG137">
        <v>-87.560594795539046</v>
      </c>
      <c r="BH137">
        <v>-88.066171003717486</v>
      </c>
      <c r="BI137">
        <v>-88.555977722772283</v>
      </c>
      <c r="BJ137">
        <v>-89.032215346534656</v>
      </c>
      <c r="BK137">
        <v>-89.508452970297043</v>
      </c>
      <c r="BL137">
        <v>-89.984690594059416</v>
      </c>
      <c r="BM137">
        <v>-90.460928217821788</v>
      </c>
      <c r="BN137">
        <v>-90.937165841584161</v>
      </c>
      <c r="BO137">
        <v>-91.413403465346533</v>
      </c>
      <c r="BP137">
        <v>-91.889641089108906</v>
      </c>
      <c r="BQ137">
        <v>-92.365878712871293</v>
      </c>
      <c r="BR137">
        <v>-92.842116336633666</v>
      </c>
      <c r="BS137">
        <v>-93.302131350681535</v>
      </c>
      <c r="BT137">
        <v>-93.741288723667907</v>
      </c>
      <c r="BU137">
        <v>-94.180446096654279</v>
      </c>
      <c r="BV137">
        <v>-94.619603469640637</v>
      </c>
      <c r="BW137">
        <v>-95.058760842627009</v>
      </c>
      <c r="BX137">
        <v>-95.497918215613382</v>
      </c>
      <c r="BY137">
        <v>-95.93707558859974</v>
      </c>
      <c r="BZ137">
        <v>-96.376232961586112</v>
      </c>
      <c r="CA137">
        <v>-96.815390334572484</v>
      </c>
      <c r="CB137">
        <v>-97.254547707558856</v>
      </c>
      <c r="CC137">
        <v>-97.681039603960386</v>
      </c>
      <c r="CD137">
        <v>-98.084009900990097</v>
      </c>
      <c r="CE137">
        <v>-98.486980198019793</v>
      </c>
      <c r="CF137">
        <v>-98.889950495049504</v>
      </c>
      <c r="CG137">
        <v>-99.292920792079201</v>
      </c>
      <c r="CH137">
        <v>-99.695891089108912</v>
      </c>
      <c r="CI137">
        <v>-100.09886138613862</v>
      </c>
      <c r="CJ137">
        <v>-100.50183168316832</v>
      </c>
      <c r="CK137">
        <v>-100.90480198019803</v>
      </c>
      <c r="CL137">
        <v>-101.30777227722774</v>
      </c>
    </row>
    <row r="138" spans="1:90" ht="21.75" thickBot="1" x14ac:dyDescent="0.4">
      <c r="A138" s="30" t="s">
        <v>56</v>
      </c>
      <c r="B138" s="60">
        <v>-85.396485148514856</v>
      </c>
      <c r="C138" s="60">
        <v>-83.32361386138615</v>
      </c>
      <c r="D138" s="60">
        <v>-81.355297029702982</v>
      </c>
      <c r="E138" s="60">
        <v>-79.398366336633671</v>
      </c>
      <c r="F138">
        <v>-77.612227722772275</v>
      </c>
      <c r="G138">
        <v>-75.826089108910892</v>
      </c>
      <c r="H138">
        <v>-74.122970297029696</v>
      </c>
      <c r="I138">
        <v>-72.49128712871287</v>
      </c>
      <c r="J138">
        <v>-70.861386138613852</v>
      </c>
      <c r="K138">
        <v>-69.372277227722776</v>
      </c>
      <c r="L138">
        <v>-67.883168316831686</v>
      </c>
      <c r="M138">
        <v>-66.463564356435654</v>
      </c>
      <c r="N138">
        <v>-65.117029702970299</v>
      </c>
      <c r="O138">
        <v>-63.770495049504952</v>
      </c>
      <c r="P138">
        <v>-62.553564356435643</v>
      </c>
      <c r="Q138">
        <v>-61.341683168316834</v>
      </c>
      <c r="R138">
        <v>-60.180049504950496</v>
      </c>
      <c r="S138">
        <v>-59.0830198019802</v>
      </c>
      <c r="T138">
        <v>-57.985990099009896</v>
      </c>
      <c r="U138">
        <v>-57.000990099009904</v>
      </c>
      <c r="V138">
        <v>-56.026732673267333</v>
      </c>
      <c r="W138">
        <v>-55.08470297029703</v>
      </c>
      <c r="X138">
        <v>-54.19361386138614</v>
      </c>
      <c r="Y138">
        <v>-53.30252475247525</v>
      </c>
      <c r="Z138">
        <v>-52.486567164179107</v>
      </c>
      <c r="AA138">
        <v>-51.682587064676611</v>
      </c>
      <c r="AB138">
        <v>-50.971485148514844</v>
      </c>
      <c r="AC138">
        <v>-50.432871287128705</v>
      </c>
      <c r="AD138">
        <v>-49.894257425742573</v>
      </c>
      <c r="AE138">
        <v>-50.041782178217822</v>
      </c>
      <c r="AF138">
        <v>-50.334851485148519</v>
      </c>
      <c r="AG138">
        <v>-50.670693069306935</v>
      </c>
      <c r="AH138">
        <v>-51.106336633663368</v>
      </c>
      <c r="AI138">
        <v>-51.541980198019807</v>
      </c>
      <c r="AJ138">
        <v>-51.974554455445549</v>
      </c>
      <c r="AK138">
        <v>-52.406237623762379</v>
      </c>
      <c r="AL138">
        <v>-52.83792079207921</v>
      </c>
      <c r="AM138">
        <v>-53.26960396039604</v>
      </c>
      <c r="AN138">
        <v>-53.701287128712863</v>
      </c>
      <c r="AO138">
        <v>-54.130099009900981</v>
      </c>
      <c r="AP138">
        <v>-54.557821782178216</v>
      </c>
      <c r="AQ138">
        <v>-54.983960396039606</v>
      </c>
      <c r="AR138">
        <v>-55.403762376237623</v>
      </c>
      <c r="AS138">
        <v>-55.823564356435639</v>
      </c>
      <c r="AT138">
        <v>-56.238019801980194</v>
      </c>
      <c r="AU138">
        <v>-56.649900990099006</v>
      </c>
      <c r="AV138">
        <v>-57.061782178217825</v>
      </c>
      <c r="AW138">
        <v>-57.473663366336638</v>
      </c>
      <c r="AX138">
        <v>-57.88554455445545</v>
      </c>
      <c r="AY138">
        <v>-58.28659231722429</v>
      </c>
      <c r="AZ138">
        <v>-58.681140024783154</v>
      </c>
      <c r="BA138">
        <v>-59.075687732342011</v>
      </c>
      <c r="BB138">
        <v>-59.470235439900868</v>
      </c>
      <c r="BC138">
        <v>-59.864783147459733</v>
      </c>
      <c r="BD138">
        <v>-60.25933085501859</v>
      </c>
      <c r="BE138">
        <v>-60.653878562577447</v>
      </c>
      <c r="BF138">
        <v>-61.048426270136311</v>
      </c>
      <c r="BG138">
        <v>-61.442973977695168</v>
      </c>
      <c r="BH138">
        <v>-61.837521685254032</v>
      </c>
      <c r="BI138">
        <v>-62.217970297029701</v>
      </c>
      <c r="BJ138">
        <v>-62.586287128712868</v>
      </c>
      <c r="BK138">
        <v>-62.954603960396042</v>
      </c>
      <c r="BL138">
        <v>-63.322920792079209</v>
      </c>
      <c r="BM138">
        <v>-63.691237623762376</v>
      </c>
      <c r="BN138">
        <v>-64.059554455445536</v>
      </c>
      <c r="BO138">
        <v>-64.42787128712871</v>
      </c>
      <c r="BP138">
        <v>-64.796188118811884</v>
      </c>
      <c r="BQ138">
        <v>-65.164504950495044</v>
      </c>
      <c r="BR138">
        <v>-65.532821782178218</v>
      </c>
      <c r="BS138">
        <v>-65.887026022304823</v>
      </c>
      <c r="BT138">
        <v>-66.223085501858733</v>
      </c>
      <c r="BU138">
        <v>-66.559144981412629</v>
      </c>
      <c r="BV138">
        <v>-66.895204460966539</v>
      </c>
      <c r="BW138">
        <v>-67.231263940520435</v>
      </c>
      <c r="BX138">
        <v>-67.567323420074345</v>
      </c>
      <c r="BY138">
        <v>-67.903382899628241</v>
      </c>
      <c r="BZ138">
        <v>-68.239442379182151</v>
      </c>
      <c r="CA138">
        <v>-68.575501858736047</v>
      </c>
      <c r="CB138">
        <v>-68.911561338289957</v>
      </c>
      <c r="CC138">
        <v>-69.236039603960393</v>
      </c>
      <c r="CD138">
        <v>-69.539009900990095</v>
      </c>
      <c r="CE138">
        <v>-69.841980198019797</v>
      </c>
      <c r="CF138">
        <v>-70.1449504950495</v>
      </c>
      <c r="CG138">
        <v>-70.447920792079202</v>
      </c>
      <c r="CH138">
        <v>-70.750891089108904</v>
      </c>
      <c r="CI138">
        <v>-71.053861386138607</v>
      </c>
      <c r="CJ138">
        <v>-71.356831683168309</v>
      </c>
      <c r="CK138">
        <v>-71.659801980198012</v>
      </c>
      <c r="CL138">
        <v>-71.962772277227714</v>
      </c>
    </row>
    <row r="139" spans="1:90" ht="21.75" thickBot="1" x14ac:dyDescent="0.4">
      <c r="A139" s="30" t="s">
        <v>70</v>
      </c>
      <c r="B139" s="60">
        <v>-193.34064356435644</v>
      </c>
      <c r="C139" s="60">
        <v>-188.81108910891089</v>
      </c>
      <c r="D139" s="60">
        <v>-184.55762376237624</v>
      </c>
      <c r="E139" s="60">
        <v>-180.33806930693069</v>
      </c>
      <c r="F139">
        <v>-176.62717821782178</v>
      </c>
      <c r="G139">
        <v>-172.91628712871287</v>
      </c>
      <c r="H139">
        <v>-169.44594059405938</v>
      </c>
      <c r="I139">
        <v>-166.18257425742573</v>
      </c>
      <c r="J139">
        <v>-162.9236633663366</v>
      </c>
      <c r="K139">
        <v>-160.01673267326731</v>
      </c>
      <c r="L139">
        <v>-157.10980198019803</v>
      </c>
      <c r="M139">
        <v>-154.35539603960396</v>
      </c>
      <c r="N139">
        <v>-151.76133663366338</v>
      </c>
      <c r="O139">
        <v>-149.16727722772276</v>
      </c>
      <c r="P139">
        <v>-146.83623762376237</v>
      </c>
      <c r="Q139">
        <v>-144.51544554455447</v>
      </c>
      <c r="R139">
        <v>-142.28821782178218</v>
      </c>
      <c r="S139">
        <v>-140.18128712871285</v>
      </c>
      <c r="T139">
        <v>-138.07435643564355</v>
      </c>
      <c r="U139">
        <v>-136.18064356435644</v>
      </c>
      <c r="V139">
        <v>-134.30737623762377</v>
      </c>
      <c r="W139">
        <v>-132.49549504950497</v>
      </c>
      <c r="X139">
        <v>-130.78064356435644</v>
      </c>
      <c r="Y139">
        <v>-129.06579207920791</v>
      </c>
      <c r="Z139">
        <v>-127.51179104477612</v>
      </c>
      <c r="AA139">
        <v>-125.98343283582089</v>
      </c>
      <c r="AB139">
        <v>-124.63792079207921</v>
      </c>
      <c r="AC139">
        <v>-123.63198019801982</v>
      </c>
      <c r="AD139">
        <v>-122.62603960396041</v>
      </c>
      <c r="AE139">
        <v>-123.0152475247525</v>
      </c>
      <c r="AF139">
        <v>-123.70039603960397</v>
      </c>
      <c r="AG139">
        <v>-124.4770297029703</v>
      </c>
      <c r="AH139">
        <v>-125.46712871287129</v>
      </c>
      <c r="AI139">
        <v>-126.45722772277226</v>
      </c>
      <c r="AJ139">
        <v>-127.43811881188118</v>
      </c>
      <c r="AK139">
        <v>-128.41633663366338</v>
      </c>
      <c r="AL139">
        <v>-129.39554455445545</v>
      </c>
      <c r="AM139">
        <v>-130.37772277227722</v>
      </c>
      <c r="AN139">
        <v>-131.35990099009899</v>
      </c>
      <c r="AO139">
        <v>-132.33633663366336</v>
      </c>
      <c r="AP139">
        <v>-133.31059405940593</v>
      </c>
      <c r="AQ139">
        <v>-134.28089108910891</v>
      </c>
      <c r="AR139">
        <v>-135.23534653465347</v>
      </c>
      <c r="AS139">
        <v>-136.18980198019801</v>
      </c>
      <c r="AT139">
        <v>-137.13356435643564</v>
      </c>
      <c r="AU139">
        <v>-138.0721782178218</v>
      </c>
      <c r="AV139">
        <v>-139.01079207920793</v>
      </c>
      <c r="AW139">
        <v>-139.94940594059406</v>
      </c>
      <c r="AX139">
        <v>-140.88801980198022</v>
      </c>
      <c r="AY139">
        <v>-141.80257744733581</v>
      </c>
      <c r="AZ139">
        <v>-142.70270136307312</v>
      </c>
      <c r="BA139">
        <v>-143.6028252788104</v>
      </c>
      <c r="BB139">
        <v>-144.50294919454771</v>
      </c>
      <c r="BC139">
        <v>-145.40307311028499</v>
      </c>
      <c r="BD139">
        <v>-146.3031970260223</v>
      </c>
      <c r="BE139">
        <v>-147.20332094175959</v>
      </c>
      <c r="BF139">
        <v>-148.1034448574969</v>
      </c>
      <c r="BG139">
        <v>-149.00356877323418</v>
      </c>
      <c r="BH139">
        <v>-149.90369268897149</v>
      </c>
      <c r="BI139">
        <v>-150.77394801980196</v>
      </c>
      <c r="BJ139">
        <v>-151.61850247524751</v>
      </c>
      <c r="BK139">
        <v>-152.46305693069306</v>
      </c>
      <c r="BL139">
        <v>-153.3076113861386</v>
      </c>
      <c r="BM139">
        <v>-154.15216584158415</v>
      </c>
      <c r="BN139">
        <v>-154.9967202970297</v>
      </c>
      <c r="BO139">
        <v>-155.84127475247524</v>
      </c>
      <c r="BP139">
        <v>-156.68582920792079</v>
      </c>
      <c r="BQ139">
        <v>-157.53038366336634</v>
      </c>
      <c r="BR139">
        <v>-158.37493811881188</v>
      </c>
      <c r="BS139">
        <v>-159.18915737298636</v>
      </c>
      <c r="BT139">
        <v>-159.96437422552663</v>
      </c>
      <c r="BU139">
        <v>-160.73959107806692</v>
      </c>
      <c r="BV139">
        <v>-161.51480793060719</v>
      </c>
      <c r="BW139">
        <v>-162.29002478314746</v>
      </c>
      <c r="BX139">
        <v>-163.06524163568773</v>
      </c>
      <c r="BY139">
        <v>-163.84045848822802</v>
      </c>
      <c r="BZ139">
        <v>-164.61567534076829</v>
      </c>
      <c r="CA139">
        <v>-165.39089219330856</v>
      </c>
      <c r="CB139">
        <v>-166.16610904584883</v>
      </c>
      <c r="CC139">
        <v>-166.91707920792081</v>
      </c>
      <c r="CD139">
        <v>-167.62301980198021</v>
      </c>
      <c r="CE139">
        <v>-168.32896039603961</v>
      </c>
      <c r="CF139">
        <v>-169.03490099009903</v>
      </c>
      <c r="CG139">
        <v>-169.74084158415843</v>
      </c>
      <c r="CH139">
        <v>-170.44678217821783</v>
      </c>
      <c r="CI139">
        <v>-171.15272277227723</v>
      </c>
      <c r="CJ139">
        <v>-171.85866336633666</v>
      </c>
      <c r="CK139">
        <v>-172.56460396039606</v>
      </c>
      <c r="CL139">
        <v>-173.27054455445545</v>
      </c>
    </row>
    <row r="140" spans="1:90" ht="21.75" thickBot="1" x14ac:dyDescent="0.4">
      <c r="A140" s="30" t="s">
        <v>55</v>
      </c>
      <c r="B140" s="60">
        <v>-62.848811881188126</v>
      </c>
      <c r="C140" s="60">
        <v>-61.159752475247529</v>
      </c>
      <c r="D140" s="60">
        <v>-59.508267326732678</v>
      </c>
      <c r="E140" s="60">
        <v>-57.857029702970294</v>
      </c>
      <c r="F140">
        <v>-56.209504950495045</v>
      </c>
      <c r="G140">
        <v>-54.561980198019796</v>
      </c>
      <c r="H140">
        <v>-52.9229702970297</v>
      </c>
      <c r="I140">
        <v>-51.291287128712867</v>
      </c>
      <c r="J140">
        <v>-49.660495049504945</v>
      </c>
      <c r="K140">
        <v>-48.100099009900987</v>
      </c>
      <c r="L140">
        <v>-46.539702970297036</v>
      </c>
      <c r="M140">
        <v>-45.035297029702974</v>
      </c>
      <c r="N140">
        <v>-43.589752475247529</v>
      </c>
      <c r="O140">
        <v>-42.144207920792084</v>
      </c>
      <c r="P140">
        <v>-40.824455445544558</v>
      </c>
      <c r="Q140">
        <v>-39.509603960396042</v>
      </c>
      <c r="R140">
        <v>-38.251930693069312</v>
      </c>
      <c r="S140">
        <v>-37.067772277227725</v>
      </c>
      <c r="T140">
        <v>-35.883613861386138</v>
      </c>
      <c r="U140">
        <v>-34.822326732673268</v>
      </c>
      <c r="V140">
        <v>-33.77282178217822</v>
      </c>
      <c r="W140">
        <v>-32.758613861386138</v>
      </c>
      <c r="X140">
        <v>-31.800198019801982</v>
      </c>
      <c r="Y140">
        <v>-30.841782178217827</v>
      </c>
      <c r="Z140">
        <v>-29.947910447761195</v>
      </c>
      <c r="AA140">
        <v>-29.064328358208954</v>
      </c>
      <c r="AB140">
        <v>-28.276534653465344</v>
      </c>
      <c r="AC140">
        <v>-27.666633663366333</v>
      </c>
      <c r="AD140">
        <v>-27.056732673267323</v>
      </c>
      <c r="AE140">
        <v>-27.110099009900992</v>
      </c>
      <c r="AF140">
        <v>-27.304158415841584</v>
      </c>
      <c r="AG140">
        <v>-27.535049504950496</v>
      </c>
      <c r="AH140">
        <v>-27.851881188118814</v>
      </c>
      <c r="AI140">
        <v>-28.168712871287131</v>
      </c>
      <c r="AJ140">
        <v>-28.485544554455444</v>
      </c>
      <c r="AK140">
        <v>-28.802376237623761</v>
      </c>
      <c r="AL140">
        <v>-29.118217821782178</v>
      </c>
      <c r="AM140">
        <v>-29.431089108910889</v>
      </c>
      <c r="AN140">
        <v>-29.743960396039601</v>
      </c>
      <c r="AO140">
        <v>-30.053960396039603</v>
      </c>
      <c r="AP140">
        <v>-30.362871287128712</v>
      </c>
      <c r="AQ140">
        <v>-30.670990099009902</v>
      </c>
      <c r="AR140">
        <v>-30.975940594059406</v>
      </c>
      <c r="AS140">
        <v>-31.280891089108909</v>
      </c>
      <c r="AT140">
        <v>-31.58049504950495</v>
      </c>
      <c r="AU140">
        <v>-31.877524752475249</v>
      </c>
      <c r="AV140">
        <v>-32.174554455445552</v>
      </c>
      <c r="AW140">
        <v>-32.471584158415844</v>
      </c>
      <c r="AX140">
        <v>-32.768613861386143</v>
      </c>
      <c r="AY140">
        <v>-33.057199504337056</v>
      </c>
      <c r="AZ140">
        <v>-33.340718711276331</v>
      </c>
      <c r="BA140">
        <v>-33.624237918215613</v>
      </c>
      <c r="BB140">
        <v>-33.907757125154895</v>
      </c>
      <c r="BC140">
        <v>-34.191276332094176</v>
      </c>
      <c r="BD140">
        <v>-34.474795539033458</v>
      </c>
      <c r="BE140">
        <v>-34.75831474597274</v>
      </c>
      <c r="BF140">
        <v>-35.041833952912022</v>
      </c>
      <c r="BG140">
        <v>-35.325353159851304</v>
      </c>
      <c r="BH140">
        <v>-35.608872366790585</v>
      </c>
      <c r="BI140">
        <v>-35.879962871287127</v>
      </c>
      <c r="BJ140">
        <v>-36.140358910891088</v>
      </c>
      <c r="BK140">
        <v>-36.400754950495049</v>
      </c>
      <c r="BL140">
        <v>-36.66115099009901</v>
      </c>
      <c r="BM140">
        <v>-36.921547029702971</v>
      </c>
      <c r="BN140">
        <v>-37.181943069306932</v>
      </c>
      <c r="BO140">
        <v>-37.442339108910886</v>
      </c>
      <c r="BP140">
        <v>-37.702735148514847</v>
      </c>
      <c r="BQ140">
        <v>-37.963131188118808</v>
      </c>
      <c r="BR140">
        <v>-38.223527227722769</v>
      </c>
      <c r="BS140">
        <v>-38.471920693928126</v>
      </c>
      <c r="BT140">
        <v>-38.704882280049567</v>
      </c>
      <c r="BU140">
        <v>-38.937843866171001</v>
      </c>
      <c r="BV140">
        <v>-39.170805452292441</v>
      </c>
      <c r="BW140">
        <v>-39.403767038413875</v>
      </c>
      <c r="BX140">
        <v>-39.636728624535316</v>
      </c>
      <c r="BY140">
        <v>-39.869690210656749</v>
      </c>
      <c r="BZ140">
        <v>-40.10265179677819</v>
      </c>
      <c r="CA140">
        <v>-40.335613382899624</v>
      </c>
      <c r="CB140">
        <v>-40.568574969021064</v>
      </c>
      <c r="CC140">
        <v>-40.791039603960392</v>
      </c>
      <c r="CD140">
        <v>-40.9940099009901</v>
      </c>
      <c r="CE140">
        <v>-41.196980198019801</v>
      </c>
      <c r="CF140">
        <v>-41.399950495049502</v>
      </c>
      <c r="CG140">
        <v>-41.60292079207921</v>
      </c>
      <c r="CH140">
        <v>-41.805891089108911</v>
      </c>
      <c r="CI140">
        <v>-42.008861386138612</v>
      </c>
      <c r="CJ140">
        <v>-42.21183168316832</v>
      </c>
      <c r="CK140">
        <v>-42.414801980198021</v>
      </c>
      <c r="CL140">
        <v>-42.617772277227722</v>
      </c>
    </row>
    <row r="141" spans="1:90" ht="21.75" thickBot="1" x14ac:dyDescent="0.4">
      <c r="A141" s="30" t="s">
        <v>54</v>
      </c>
      <c r="B141" s="60">
        <v>-62.848811881188126</v>
      </c>
      <c r="C141" s="60">
        <v>-61.159752475247529</v>
      </c>
      <c r="D141" s="60">
        <v>-59.508267326732678</v>
      </c>
      <c r="E141" s="60">
        <v>-57.857029702970294</v>
      </c>
      <c r="F141">
        <v>-56.209504950495045</v>
      </c>
      <c r="G141">
        <v>-54.561980198019796</v>
      </c>
      <c r="H141">
        <v>-52.9229702970297</v>
      </c>
      <c r="I141">
        <v>-51.291287128712867</v>
      </c>
      <c r="J141">
        <v>-49.660495049504945</v>
      </c>
      <c r="K141">
        <v>-48.100099009900987</v>
      </c>
      <c r="L141">
        <v>-46.539702970297036</v>
      </c>
      <c r="M141">
        <v>-45.035297029702974</v>
      </c>
      <c r="N141">
        <v>-43.589752475247529</v>
      </c>
      <c r="O141">
        <v>-42.144207920792084</v>
      </c>
      <c r="P141">
        <v>-40.824455445544558</v>
      </c>
      <c r="Q141">
        <v>-39.509603960396042</v>
      </c>
      <c r="R141">
        <v>-38.251930693069312</v>
      </c>
      <c r="S141">
        <v>-37.067772277227725</v>
      </c>
      <c r="T141">
        <v>-35.883613861386138</v>
      </c>
      <c r="U141">
        <v>-34.822326732673268</v>
      </c>
      <c r="V141">
        <v>-33.77282178217822</v>
      </c>
      <c r="W141">
        <v>-32.758613861386138</v>
      </c>
      <c r="X141">
        <v>-31.800198019801982</v>
      </c>
      <c r="Y141">
        <v>-30.841782178217827</v>
      </c>
      <c r="Z141">
        <v>-29.947910447761195</v>
      </c>
      <c r="AA141">
        <v>-29.064328358208954</v>
      </c>
      <c r="AB141">
        <v>-28.276534653465344</v>
      </c>
      <c r="AC141">
        <v>-27.666633663366333</v>
      </c>
      <c r="AD141">
        <v>-27.056732673267323</v>
      </c>
      <c r="AE141">
        <v>-27.110099009900992</v>
      </c>
      <c r="AF141">
        <v>-27.304158415841584</v>
      </c>
      <c r="AG141">
        <v>-27.535049504950496</v>
      </c>
      <c r="AH141">
        <v>-27.851881188118814</v>
      </c>
      <c r="AI141">
        <v>-28.168712871287131</v>
      </c>
      <c r="AJ141">
        <v>-28.485544554455444</v>
      </c>
      <c r="AK141">
        <v>-28.802376237623761</v>
      </c>
      <c r="AL141">
        <v>-29.118217821782178</v>
      </c>
      <c r="AM141">
        <v>-29.431089108910889</v>
      </c>
      <c r="AN141">
        <v>-29.743960396039601</v>
      </c>
      <c r="AO141">
        <v>-30.053960396039603</v>
      </c>
      <c r="AP141">
        <v>-30.362871287128712</v>
      </c>
      <c r="AQ141">
        <v>-30.670990099009902</v>
      </c>
      <c r="AR141">
        <v>-30.975940594059406</v>
      </c>
      <c r="AS141">
        <v>-31.280891089108909</v>
      </c>
      <c r="AT141">
        <v>-31.58049504950495</v>
      </c>
      <c r="AU141">
        <v>-31.877524752475249</v>
      </c>
      <c r="AV141">
        <v>-32.174554455445552</v>
      </c>
      <c r="AW141">
        <v>-32.471584158415844</v>
      </c>
      <c r="AX141">
        <v>-32.768613861386143</v>
      </c>
      <c r="AY141">
        <v>-33.057199504337056</v>
      </c>
      <c r="AZ141">
        <v>-33.340718711276331</v>
      </c>
      <c r="BA141">
        <v>-33.624237918215613</v>
      </c>
      <c r="BB141">
        <v>-33.907757125154895</v>
      </c>
      <c r="BC141">
        <v>-34.191276332094176</v>
      </c>
      <c r="BD141">
        <v>-34.474795539033458</v>
      </c>
      <c r="BE141">
        <v>-34.75831474597274</v>
      </c>
      <c r="BF141">
        <v>-35.041833952912022</v>
      </c>
      <c r="BG141">
        <v>-35.325353159851304</v>
      </c>
      <c r="BH141">
        <v>-35.608872366790585</v>
      </c>
      <c r="BI141">
        <v>-35.879962871287127</v>
      </c>
      <c r="BJ141">
        <v>-36.140358910891088</v>
      </c>
      <c r="BK141">
        <v>-36.400754950495049</v>
      </c>
      <c r="BL141">
        <v>-36.66115099009901</v>
      </c>
      <c r="BM141">
        <v>-36.921547029702971</v>
      </c>
      <c r="BN141">
        <v>-37.181943069306932</v>
      </c>
      <c r="BO141">
        <v>-37.442339108910886</v>
      </c>
      <c r="BP141">
        <v>-37.702735148514847</v>
      </c>
      <c r="BQ141">
        <v>-37.963131188118808</v>
      </c>
      <c r="BR141">
        <v>-38.223527227722769</v>
      </c>
      <c r="BS141">
        <v>-38.471920693928126</v>
      </c>
      <c r="BT141">
        <v>-38.704882280049567</v>
      </c>
      <c r="BU141">
        <v>-38.937843866171001</v>
      </c>
      <c r="BV141">
        <v>-39.170805452292441</v>
      </c>
      <c r="BW141">
        <v>-39.403767038413875</v>
      </c>
      <c r="BX141">
        <v>-39.636728624535316</v>
      </c>
      <c r="BY141">
        <v>-39.869690210656749</v>
      </c>
      <c r="BZ141">
        <v>-40.10265179677819</v>
      </c>
      <c r="CA141">
        <v>-40.335613382899624</v>
      </c>
      <c r="CB141">
        <v>-40.568574969021064</v>
      </c>
      <c r="CC141">
        <v>-40.791039603960392</v>
      </c>
      <c r="CD141">
        <v>-40.9940099009901</v>
      </c>
      <c r="CE141">
        <v>-41.196980198019801</v>
      </c>
      <c r="CF141">
        <v>-41.399950495049502</v>
      </c>
      <c r="CG141">
        <v>-41.60292079207921</v>
      </c>
      <c r="CH141">
        <v>-41.805891089108911</v>
      </c>
      <c r="CI141">
        <v>-42.008861386138612</v>
      </c>
      <c r="CJ141">
        <v>-42.21183168316832</v>
      </c>
      <c r="CK141">
        <v>-42.414801980198021</v>
      </c>
      <c r="CL141">
        <v>-42.617772277227722</v>
      </c>
    </row>
    <row r="142" spans="1:90" ht="21.75" thickBot="1" x14ac:dyDescent="0.4">
      <c r="A142" s="30" t="s">
        <v>53</v>
      </c>
      <c r="B142" s="60">
        <v>-22.547673267326733</v>
      </c>
      <c r="C142" s="60">
        <v>-22.163861386138617</v>
      </c>
      <c r="D142" s="60">
        <v>-21.8470297029703</v>
      </c>
      <c r="E142" s="60">
        <v>-21.541336633663366</v>
      </c>
      <c r="F142">
        <v>-21.40272277227723</v>
      </c>
      <c r="G142">
        <v>-21.264108910891089</v>
      </c>
      <c r="H142">
        <v>-21.2</v>
      </c>
      <c r="I142">
        <v>-21.2</v>
      </c>
      <c r="J142">
        <v>-21.200891089108911</v>
      </c>
      <c r="K142">
        <v>-21.272178217821782</v>
      </c>
      <c r="L142">
        <v>-21.343465346534654</v>
      </c>
      <c r="M142">
        <v>-21.428267326732673</v>
      </c>
      <c r="N142">
        <v>-21.52727722772277</v>
      </c>
      <c r="O142">
        <v>-21.626287128712871</v>
      </c>
      <c r="P142">
        <v>-21.729108910891089</v>
      </c>
      <c r="Q142">
        <v>-21.832079207920792</v>
      </c>
      <c r="R142">
        <v>-21.928118811881188</v>
      </c>
      <c r="S142">
        <v>-22.015247524752475</v>
      </c>
      <c r="T142">
        <v>-22.102376237623762</v>
      </c>
      <c r="U142">
        <v>-22.178663366336632</v>
      </c>
      <c r="V142">
        <v>-22.253910891089109</v>
      </c>
      <c r="W142">
        <v>-22.326089108910892</v>
      </c>
      <c r="X142">
        <v>-22.393415841584158</v>
      </c>
      <c r="Y142">
        <v>-22.460742574257424</v>
      </c>
      <c r="Z142">
        <v>-22.538656716417911</v>
      </c>
      <c r="AA142">
        <v>-22.618258706467664</v>
      </c>
      <c r="AB142">
        <v>-22.694950495049508</v>
      </c>
      <c r="AC142">
        <v>-22.766237623762379</v>
      </c>
      <c r="AD142">
        <v>-22.83752475247525</v>
      </c>
      <c r="AE142">
        <v>-22.931683168316834</v>
      </c>
      <c r="AF142">
        <v>-23.030693069306931</v>
      </c>
      <c r="AG142">
        <v>-23.135643564356435</v>
      </c>
      <c r="AH142">
        <v>-23.254455445544554</v>
      </c>
      <c r="AI142">
        <v>-23.373267326732673</v>
      </c>
      <c r="AJ142">
        <v>-23.489009900990098</v>
      </c>
      <c r="AK142">
        <v>-23.603861386138615</v>
      </c>
      <c r="AL142">
        <v>-23.719702970297032</v>
      </c>
      <c r="AM142">
        <v>-23.838514851485147</v>
      </c>
      <c r="AN142">
        <v>-23.957326732673266</v>
      </c>
      <c r="AO142">
        <v>-24.076138613861385</v>
      </c>
      <c r="AP142">
        <v>-24.194950495049504</v>
      </c>
      <c r="AQ142">
        <v>-24.312970297029704</v>
      </c>
      <c r="AR142">
        <v>-24.427821782178217</v>
      </c>
      <c r="AS142">
        <v>-24.54267326732673</v>
      </c>
      <c r="AT142">
        <v>-24.657524752475247</v>
      </c>
      <c r="AU142">
        <v>-24.772376237623764</v>
      </c>
      <c r="AV142">
        <v>-24.88722772277228</v>
      </c>
      <c r="AW142">
        <v>-25.002079207920794</v>
      </c>
      <c r="AX142">
        <v>-25.116930693069307</v>
      </c>
      <c r="AY142">
        <v>-25.229392812887237</v>
      </c>
      <c r="AZ142">
        <v>-25.340421313506816</v>
      </c>
      <c r="BA142">
        <v>-25.451449814126395</v>
      </c>
      <c r="BB142">
        <v>-25.562478314745974</v>
      </c>
      <c r="BC142">
        <v>-25.673506815365553</v>
      </c>
      <c r="BD142">
        <v>-25.784535315985131</v>
      </c>
      <c r="BE142">
        <v>-25.89556381660471</v>
      </c>
      <c r="BF142">
        <v>-26.006592317224289</v>
      </c>
      <c r="BG142">
        <v>-26.117620817843868</v>
      </c>
      <c r="BH142">
        <v>-26.228649318463447</v>
      </c>
      <c r="BI142">
        <v>-26.338007425742575</v>
      </c>
      <c r="BJ142">
        <v>-26.445928217821784</v>
      </c>
      <c r="BK142">
        <v>-26.55384900990099</v>
      </c>
      <c r="BL142">
        <v>-26.661769801980199</v>
      </c>
      <c r="BM142">
        <v>-26.769690594059405</v>
      </c>
      <c r="BN142">
        <v>-26.877611386138614</v>
      </c>
      <c r="BO142">
        <v>-26.985532178217824</v>
      </c>
      <c r="BP142">
        <v>-27.093452970297029</v>
      </c>
      <c r="BQ142">
        <v>-27.201373762376239</v>
      </c>
      <c r="BR142">
        <v>-27.309294554455448</v>
      </c>
      <c r="BS142">
        <v>-27.415105328376704</v>
      </c>
      <c r="BT142">
        <v>-27.51820322180917</v>
      </c>
      <c r="BU142">
        <v>-27.621301115241636</v>
      </c>
      <c r="BV142">
        <v>-27.724399008674101</v>
      </c>
      <c r="BW142">
        <v>-27.827496902106567</v>
      </c>
      <c r="BX142">
        <v>-27.930594795539033</v>
      </c>
      <c r="BY142">
        <v>-28.033692688971499</v>
      </c>
      <c r="BZ142">
        <v>-28.136790582403965</v>
      </c>
      <c r="CA142">
        <v>-28.23988847583643</v>
      </c>
      <c r="CB142">
        <v>-28.342986369268896</v>
      </c>
      <c r="CC142">
        <v>-28.445</v>
      </c>
      <c r="CD142">
        <v>-28.544999999999998</v>
      </c>
      <c r="CE142">
        <v>-28.645</v>
      </c>
      <c r="CF142">
        <v>-28.745000000000001</v>
      </c>
      <c r="CG142">
        <v>-28.844999999999999</v>
      </c>
      <c r="CH142">
        <v>-28.945</v>
      </c>
      <c r="CI142">
        <v>-29.045000000000002</v>
      </c>
      <c r="CJ142">
        <v>-29.145</v>
      </c>
      <c r="CK142">
        <v>-29.245000000000001</v>
      </c>
      <c r="CL142">
        <v>-29.345000000000002</v>
      </c>
    </row>
    <row r="143" spans="1:90" ht="21.75" thickBot="1" x14ac:dyDescent="0.4">
      <c r="A143" s="30" t="s">
        <v>52</v>
      </c>
      <c r="B143" s="60">
        <v>-22.547673267326733</v>
      </c>
      <c r="C143" s="60">
        <v>-22.163861386138617</v>
      </c>
      <c r="D143" s="60">
        <v>-21.8470297029703</v>
      </c>
      <c r="E143" s="60">
        <v>-21.541336633663366</v>
      </c>
      <c r="F143">
        <v>-21.40272277227723</v>
      </c>
      <c r="G143">
        <v>-21.264108910891089</v>
      </c>
      <c r="H143">
        <v>-21.2</v>
      </c>
      <c r="I143">
        <v>-21.2</v>
      </c>
      <c r="J143">
        <v>-21.200891089108911</v>
      </c>
      <c r="K143">
        <v>-21.272178217821782</v>
      </c>
      <c r="L143">
        <v>-21.343465346534654</v>
      </c>
      <c r="M143">
        <v>-21.428267326732673</v>
      </c>
      <c r="N143">
        <v>-21.52727722772277</v>
      </c>
      <c r="O143">
        <v>-21.626287128712871</v>
      </c>
      <c r="P143">
        <v>-21.729108910891089</v>
      </c>
      <c r="Q143">
        <v>-21.832079207920792</v>
      </c>
      <c r="R143">
        <v>-21.928118811881188</v>
      </c>
      <c r="S143">
        <v>-22.015247524752475</v>
      </c>
      <c r="T143">
        <v>-22.102376237623762</v>
      </c>
      <c r="U143">
        <v>-22.178663366336632</v>
      </c>
      <c r="V143">
        <v>-22.253910891089109</v>
      </c>
      <c r="W143">
        <v>-22.326089108910892</v>
      </c>
      <c r="X143">
        <v>-22.393415841584158</v>
      </c>
      <c r="Y143">
        <v>-22.460742574257424</v>
      </c>
      <c r="Z143">
        <v>-22.538656716417911</v>
      </c>
      <c r="AA143">
        <v>-22.618258706467664</v>
      </c>
      <c r="AB143">
        <v>-22.694950495049508</v>
      </c>
      <c r="AC143">
        <v>-22.766237623762379</v>
      </c>
      <c r="AD143">
        <v>-22.83752475247525</v>
      </c>
      <c r="AE143">
        <v>-22.931683168316834</v>
      </c>
      <c r="AF143">
        <v>-23.030693069306931</v>
      </c>
      <c r="AG143">
        <v>-23.135643564356435</v>
      </c>
      <c r="AH143">
        <v>-23.254455445544554</v>
      </c>
      <c r="AI143">
        <v>-23.373267326732673</v>
      </c>
      <c r="AJ143">
        <v>-23.489009900990098</v>
      </c>
      <c r="AK143">
        <v>-23.603861386138615</v>
      </c>
      <c r="AL143">
        <v>-23.719702970297032</v>
      </c>
      <c r="AM143">
        <v>-23.838514851485147</v>
      </c>
      <c r="AN143">
        <v>-23.957326732673266</v>
      </c>
      <c r="AO143">
        <v>-24.076138613861385</v>
      </c>
      <c r="AP143">
        <v>-24.194950495049504</v>
      </c>
      <c r="AQ143">
        <v>-24.312970297029704</v>
      </c>
      <c r="AR143">
        <v>-24.427821782178217</v>
      </c>
      <c r="AS143">
        <v>-24.54267326732673</v>
      </c>
      <c r="AT143">
        <v>-24.657524752475247</v>
      </c>
      <c r="AU143">
        <v>-24.772376237623764</v>
      </c>
      <c r="AV143">
        <v>-24.88722772277228</v>
      </c>
      <c r="AW143">
        <v>-25.002079207920794</v>
      </c>
      <c r="AX143">
        <v>-25.116930693069307</v>
      </c>
      <c r="AY143">
        <v>-25.229392812887237</v>
      </c>
      <c r="AZ143">
        <v>-25.340421313506816</v>
      </c>
      <c r="BA143">
        <v>-25.451449814126395</v>
      </c>
      <c r="BB143">
        <v>-25.562478314745974</v>
      </c>
      <c r="BC143">
        <v>-25.673506815365553</v>
      </c>
      <c r="BD143">
        <v>-25.784535315985131</v>
      </c>
      <c r="BE143">
        <v>-25.89556381660471</v>
      </c>
      <c r="BF143">
        <v>-26.006592317224289</v>
      </c>
      <c r="BG143">
        <v>-26.117620817843868</v>
      </c>
      <c r="BH143">
        <v>-26.228649318463447</v>
      </c>
      <c r="BI143">
        <v>-26.338007425742575</v>
      </c>
      <c r="BJ143">
        <v>-26.445928217821784</v>
      </c>
      <c r="BK143">
        <v>-26.55384900990099</v>
      </c>
      <c r="BL143">
        <v>-26.661769801980199</v>
      </c>
      <c r="BM143">
        <v>-26.769690594059405</v>
      </c>
      <c r="BN143">
        <v>-26.877611386138614</v>
      </c>
      <c r="BO143">
        <v>-26.985532178217824</v>
      </c>
      <c r="BP143">
        <v>-27.093452970297029</v>
      </c>
      <c r="BQ143">
        <v>-27.201373762376239</v>
      </c>
      <c r="BR143">
        <v>-27.309294554455448</v>
      </c>
      <c r="BS143">
        <v>-27.415105328376704</v>
      </c>
      <c r="BT143">
        <v>-27.51820322180917</v>
      </c>
      <c r="BU143">
        <v>-27.621301115241636</v>
      </c>
      <c r="BV143">
        <v>-27.724399008674101</v>
      </c>
      <c r="BW143">
        <v>-27.827496902106567</v>
      </c>
      <c r="BX143">
        <v>-27.930594795539033</v>
      </c>
      <c r="BY143">
        <v>-28.033692688971499</v>
      </c>
      <c r="BZ143">
        <v>-28.136790582403965</v>
      </c>
      <c r="CA143">
        <v>-28.23988847583643</v>
      </c>
      <c r="CB143">
        <v>-28.342986369268896</v>
      </c>
      <c r="CC143">
        <v>-28.445</v>
      </c>
      <c r="CD143">
        <v>-28.544999999999998</v>
      </c>
      <c r="CE143">
        <v>-28.645</v>
      </c>
      <c r="CF143">
        <v>-28.745000000000001</v>
      </c>
      <c r="CG143">
        <v>-28.844999999999999</v>
      </c>
      <c r="CH143">
        <v>-28.945</v>
      </c>
      <c r="CI143">
        <v>-29.045000000000002</v>
      </c>
      <c r="CJ143">
        <v>-29.145</v>
      </c>
      <c r="CK143">
        <v>-29.245000000000001</v>
      </c>
      <c r="CL143">
        <v>-29.345000000000002</v>
      </c>
    </row>
    <row r="144" spans="1:90" ht="21.75" thickBot="1" x14ac:dyDescent="0.4">
      <c r="A144" s="30" t="s">
        <v>59</v>
      </c>
      <c r="B144" s="60">
        <v>-22.547673267326733</v>
      </c>
      <c r="C144" s="60">
        <v>-22.163861386138617</v>
      </c>
      <c r="D144" s="60">
        <v>-21.8470297029703</v>
      </c>
      <c r="E144" s="60">
        <v>-21.541336633663366</v>
      </c>
      <c r="F144">
        <v>-21.40272277227723</v>
      </c>
      <c r="G144">
        <v>-21.264108910891089</v>
      </c>
      <c r="H144">
        <v>-21.2</v>
      </c>
      <c r="I144">
        <v>-21.2</v>
      </c>
      <c r="J144">
        <v>-21.200891089108911</v>
      </c>
      <c r="K144">
        <v>-21.272178217821782</v>
      </c>
      <c r="L144">
        <v>-21.343465346534654</v>
      </c>
      <c r="M144">
        <v>-21.428267326732673</v>
      </c>
      <c r="N144">
        <v>-21.52727722772277</v>
      </c>
      <c r="O144">
        <v>-21.626287128712871</v>
      </c>
      <c r="P144">
        <v>-21.729108910891089</v>
      </c>
      <c r="Q144">
        <v>-21.832079207920792</v>
      </c>
      <c r="R144">
        <v>-21.928118811881188</v>
      </c>
      <c r="S144">
        <v>-22.015247524752475</v>
      </c>
      <c r="T144">
        <v>-22.102376237623762</v>
      </c>
      <c r="U144">
        <v>-22.178663366336632</v>
      </c>
      <c r="V144">
        <v>-22.253910891089109</v>
      </c>
      <c r="W144">
        <v>-22.326089108910892</v>
      </c>
      <c r="X144">
        <v>-22.393415841584158</v>
      </c>
      <c r="Y144">
        <v>-22.460742574257424</v>
      </c>
      <c r="Z144">
        <v>-22.538656716417911</v>
      </c>
      <c r="AA144">
        <v>-22.618258706467664</v>
      </c>
      <c r="AB144">
        <v>-22.694950495049508</v>
      </c>
      <c r="AC144">
        <v>-22.766237623762379</v>
      </c>
      <c r="AD144">
        <v>-22.83752475247525</v>
      </c>
      <c r="AE144">
        <v>-22.931683168316834</v>
      </c>
      <c r="AF144">
        <v>-23.030693069306931</v>
      </c>
      <c r="AG144">
        <v>-23.135643564356435</v>
      </c>
      <c r="AH144">
        <v>-23.254455445544554</v>
      </c>
      <c r="AI144">
        <v>-23.373267326732673</v>
      </c>
      <c r="AJ144">
        <v>-23.489009900990098</v>
      </c>
      <c r="AK144">
        <v>-23.603861386138615</v>
      </c>
      <c r="AL144">
        <v>-23.719702970297032</v>
      </c>
      <c r="AM144">
        <v>-23.838514851485147</v>
      </c>
      <c r="AN144">
        <v>-23.957326732673266</v>
      </c>
      <c r="AO144">
        <v>-24.076138613861385</v>
      </c>
      <c r="AP144">
        <v>-24.194950495049504</v>
      </c>
      <c r="AQ144">
        <v>-24.312970297029704</v>
      </c>
      <c r="AR144">
        <v>-24.427821782178217</v>
      </c>
      <c r="AS144">
        <v>-24.54267326732673</v>
      </c>
      <c r="AT144">
        <v>-24.657524752475247</v>
      </c>
      <c r="AU144">
        <v>-24.772376237623764</v>
      </c>
      <c r="AV144">
        <v>-24.88722772277228</v>
      </c>
      <c r="AW144">
        <v>-25.002079207920794</v>
      </c>
      <c r="AX144">
        <v>-25.116930693069307</v>
      </c>
      <c r="AY144">
        <v>-25.229392812887237</v>
      </c>
      <c r="AZ144">
        <v>-25.340421313506816</v>
      </c>
      <c r="BA144">
        <v>-25.451449814126395</v>
      </c>
      <c r="BB144">
        <v>-25.562478314745974</v>
      </c>
      <c r="BC144">
        <v>-25.673506815365553</v>
      </c>
      <c r="BD144">
        <v>-25.784535315985131</v>
      </c>
      <c r="BE144">
        <v>-25.89556381660471</v>
      </c>
      <c r="BF144">
        <v>-26.006592317224289</v>
      </c>
      <c r="BG144">
        <v>-26.117620817843868</v>
      </c>
      <c r="BH144">
        <v>-26.228649318463447</v>
      </c>
      <c r="BI144">
        <v>-26.338007425742575</v>
      </c>
      <c r="BJ144">
        <v>-26.445928217821784</v>
      </c>
      <c r="BK144">
        <v>-26.55384900990099</v>
      </c>
      <c r="BL144">
        <v>-26.661769801980199</v>
      </c>
      <c r="BM144">
        <v>-26.769690594059405</v>
      </c>
      <c r="BN144">
        <v>-26.877611386138614</v>
      </c>
      <c r="BO144">
        <v>-26.985532178217824</v>
      </c>
      <c r="BP144">
        <v>-27.093452970297029</v>
      </c>
      <c r="BQ144">
        <v>-27.201373762376239</v>
      </c>
      <c r="BR144">
        <v>-27.309294554455448</v>
      </c>
      <c r="BS144">
        <v>-27.415105328376704</v>
      </c>
      <c r="BT144">
        <v>-27.51820322180917</v>
      </c>
      <c r="BU144">
        <v>-27.621301115241636</v>
      </c>
      <c r="BV144">
        <v>-27.724399008674101</v>
      </c>
      <c r="BW144">
        <v>-27.827496902106567</v>
      </c>
      <c r="BX144">
        <v>-27.930594795539033</v>
      </c>
      <c r="BY144">
        <v>-28.033692688971499</v>
      </c>
      <c r="BZ144">
        <v>-28.136790582403965</v>
      </c>
      <c r="CA144">
        <v>-28.23988847583643</v>
      </c>
      <c r="CB144">
        <v>-28.342986369268896</v>
      </c>
      <c r="CC144">
        <v>-28.445</v>
      </c>
      <c r="CD144">
        <v>-28.544999999999998</v>
      </c>
      <c r="CE144">
        <v>-28.645</v>
      </c>
      <c r="CF144">
        <v>-28.745000000000001</v>
      </c>
      <c r="CG144">
        <v>-28.844999999999999</v>
      </c>
      <c r="CH144">
        <v>-28.945</v>
      </c>
      <c r="CI144">
        <v>-29.045000000000002</v>
      </c>
      <c r="CJ144">
        <v>-29.145</v>
      </c>
      <c r="CK144">
        <v>-29.245000000000001</v>
      </c>
      <c r="CL144">
        <v>-29.345000000000002</v>
      </c>
    </row>
    <row r="145" spans="1:90" ht="21.75" thickBot="1" x14ac:dyDescent="0.4">
      <c r="A145" s="30" t="s">
        <v>51</v>
      </c>
      <c r="B145" s="60">
        <v>-22.547673267326733</v>
      </c>
      <c r="C145" s="60">
        <v>-22.163861386138617</v>
      </c>
      <c r="D145" s="60">
        <v>-21.8470297029703</v>
      </c>
      <c r="E145" s="60">
        <v>-21.541336633663366</v>
      </c>
      <c r="F145">
        <v>-21.40272277227723</v>
      </c>
      <c r="G145">
        <v>-21.264108910891089</v>
      </c>
      <c r="H145">
        <v>-21.2</v>
      </c>
      <c r="I145">
        <v>-21.2</v>
      </c>
      <c r="J145">
        <v>-21.200891089108911</v>
      </c>
      <c r="K145">
        <v>-21.272178217821782</v>
      </c>
      <c r="L145">
        <v>-21.343465346534654</v>
      </c>
      <c r="M145">
        <v>-21.428267326732673</v>
      </c>
      <c r="N145">
        <v>-21.52727722772277</v>
      </c>
      <c r="O145">
        <v>-21.626287128712871</v>
      </c>
      <c r="P145">
        <v>-21.729108910891089</v>
      </c>
      <c r="Q145">
        <v>-21.832079207920792</v>
      </c>
      <c r="R145">
        <v>-21.928118811881188</v>
      </c>
      <c r="S145">
        <v>-22.015247524752475</v>
      </c>
      <c r="T145">
        <v>-22.102376237623762</v>
      </c>
      <c r="U145">
        <v>-22.178663366336632</v>
      </c>
      <c r="V145">
        <v>-22.253910891089109</v>
      </c>
      <c r="W145">
        <v>-22.326089108910892</v>
      </c>
      <c r="X145">
        <v>-22.393415841584158</v>
      </c>
      <c r="Y145">
        <v>-22.460742574257424</v>
      </c>
      <c r="Z145">
        <v>-22.538656716417911</v>
      </c>
      <c r="AA145">
        <v>-22.618258706467664</v>
      </c>
      <c r="AB145">
        <v>-22.694950495049508</v>
      </c>
      <c r="AC145">
        <v>-22.766237623762379</v>
      </c>
      <c r="AD145">
        <v>-22.83752475247525</v>
      </c>
      <c r="AE145">
        <v>-22.931683168316834</v>
      </c>
      <c r="AF145">
        <v>-23.030693069306931</v>
      </c>
      <c r="AG145">
        <v>-23.135643564356435</v>
      </c>
      <c r="AH145">
        <v>-23.254455445544554</v>
      </c>
      <c r="AI145">
        <v>-23.373267326732673</v>
      </c>
      <c r="AJ145">
        <v>-23.489009900990098</v>
      </c>
      <c r="AK145">
        <v>-23.603861386138615</v>
      </c>
      <c r="AL145">
        <v>-23.719702970297032</v>
      </c>
      <c r="AM145">
        <v>-23.838514851485147</v>
      </c>
      <c r="AN145">
        <v>-23.957326732673266</v>
      </c>
      <c r="AO145">
        <v>-24.076138613861385</v>
      </c>
      <c r="AP145">
        <v>-24.194950495049504</v>
      </c>
      <c r="AQ145">
        <v>-24.312970297029704</v>
      </c>
      <c r="AR145">
        <v>-24.427821782178217</v>
      </c>
      <c r="AS145">
        <v>-24.54267326732673</v>
      </c>
      <c r="AT145">
        <v>-24.657524752475247</v>
      </c>
      <c r="AU145">
        <v>-24.772376237623764</v>
      </c>
      <c r="AV145">
        <v>-24.88722772277228</v>
      </c>
      <c r="AW145">
        <v>-25.002079207920794</v>
      </c>
      <c r="AX145">
        <v>-25.116930693069307</v>
      </c>
      <c r="AY145">
        <v>-25.229392812887237</v>
      </c>
      <c r="AZ145">
        <v>-25.340421313506816</v>
      </c>
      <c r="BA145">
        <v>-25.451449814126395</v>
      </c>
      <c r="BB145">
        <v>-25.562478314745974</v>
      </c>
      <c r="BC145">
        <v>-25.673506815365553</v>
      </c>
      <c r="BD145">
        <v>-25.784535315985131</v>
      </c>
      <c r="BE145">
        <v>-25.89556381660471</v>
      </c>
      <c r="BF145">
        <v>-26.006592317224289</v>
      </c>
      <c r="BG145">
        <v>-26.117620817843868</v>
      </c>
      <c r="BH145">
        <v>-26.228649318463447</v>
      </c>
      <c r="BI145">
        <v>-26.338007425742575</v>
      </c>
      <c r="BJ145">
        <v>-26.445928217821784</v>
      </c>
      <c r="BK145">
        <v>-26.55384900990099</v>
      </c>
      <c r="BL145">
        <v>-26.661769801980199</v>
      </c>
      <c r="BM145">
        <v>-26.769690594059405</v>
      </c>
      <c r="BN145">
        <v>-26.877611386138614</v>
      </c>
      <c r="BO145">
        <v>-26.985532178217824</v>
      </c>
      <c r="BP145">
        <v>-27.093452970297029</v>
      </c>
      <c r="BQ145">
        <v>-27.201373762376239</v>
      </c>
      <c r="BR145">
        <v>-27.309294554455448</v>
      </c>
      <c r="BS145">
        <v>-27.415105328376704</v>
      </c>
      <c r="BT145">
        <v>-27.51820322180917</v>
      </c>
      <c r="BU145">
        <v>-27.621301115241636</v>
      </c>
      <c r="BV145">
        <v>-27.724399008674101</v>
      </c>
      <c r="BW145">
        <v>-27.827496902106567</v>
      </c>
      <c r="BX145">
        <v>-27.930594795539033</v>
      </c>
      <c r="BY145">
        <v>-28.033692688971499</v>
      </c>
      <c r="BZ145">
        <v>-28.136790582403965</v>
      </c>
      <c r="CA145">
        <v>-28.23988847583643</v>
      </c>
      <c r="CB145">
        <v>-28.342986369268896</v>
      </c>
      <c r="CC145">
        <v>-28.445</v>
      </c>
      <c r="CD145">
        <v>-28.544999999999998</v>
      </c>
      <c r="CE145">
        <v>-28.645</v>
      </c>
      <c r="CF145">
        <v>-28.745000000000001</v>
      </c>
      <c r="CG145">
        <v>-28.844999999999999</v>
      </c>
      <c r="CH145">
        <v>-28.945</v>
      </c>
      <c r="CI145">
        <v>-29.045000000000002</v>
      </c>
      <c r="CJ145">
        <v>-29.145</v>
      </c>
      <c r="CK145">
        <v>-29.245000000000001</v>
      </c>
      <c r="CL145">
        <v>-29.345000000000002</v>
      </c>
    </row>
    <row r="146" spans="1:90" ht="21.75" thickBot="1" x14ac:dyDescent="0.4">
      <c r="A146" s="30" t="s">
        <v>68</v>
      </c>
      <c r="B146" s="60">
        <v>-62.848811881188126</v>
      </c>
      <c r="C146" s="60">
        <v>-61.159752475247529</v>
      </c>
      <c r="D146" s="60">
        <v>-59.508267326732678</v>
      </c>
      <c r="E146" s="60">
        <v>-57.857029702970294</v>
      </c>
      <c r="F146">
        <v>-56.209504950495045</v>
      </c>
      <c r="G146">
        <v>-54.561980198019796</v>
      </c>
      <c r="H146">
        <v>-52.9229702970297</v>
      </c>
      <c r="I146">
        <v>-51.291287128712867</v>
      </c>
      <c r="J146">
        <v>-49.660495049504945</v>
      </c>
      <c r="K146">
        <v>-48.100099009900987</v>
      </c>
      <c r="L146">
        <v>-46.539702970297036</v>
      </c>
      <c r="M146">
        <v>-45.035297029702974</v>
      </c>
      <c r="N146">
        <v>-43.589752475247529</v>
      </c>
      <c r="O146">
        <v>-42.144207920792084</v>
      </c>
      <c r="P146">
        <v>-40.824455445544558</v>
      </c>
      <c r="Q146">
        <v>-39.509603960396042</v>
      </c>
      <c r="R146">
        <v>-38.251930693069312</v>
      </c>
      <c r="S146">
        <v>-37.067772277227725</v>
      </c>
      <c r="T146">
        <v>-35.883613861386138</v>
      </c>
      <c r="U146">
        <v>-34.822326732673268</v>
      </c>
      <c r="V146">
        <v>-33.77282178217822</v>
      </c>
      <c r="W146">
        <v>-32.758613861386138</v>
      </c>
      <c r="X146">
        <v>-31.800198019801982</v>
      </c>
      <c r="Y146">
        <v>-30.841782178217827</v>
      </c>
      <c r="Z146">
        <v>-29.947910447761195</v>
      </c>
      <c r="AA146">
        <v>-29.064328358208954</v>
      </c>
      <c r="AB146">
        <v>-28.276534653465344</v>
      </c>
      <c r="AC146">
        <v>-27.666633663366333</v>
      </c>
      <c r="AD146">
        <v>-27.056732673267323</v>
      </c>
      <c r="AE146">
        <v>-27.110099009900992</v>
      </c>
      <c r="AF146">
        <v>-27.304158415841584</v>
      </c>
      <c r="AG146">
        <v>-27.535049504950496</v>
      </c>
      <c r="AH146">
        <v>-27.851881188118814</v>
      </c>
      <c r="AI146">
        <v>-28.168712871287131</v>
      </c>
      <c r="AJ146">
        <v>-28.485544554455444</v>
      </c>
      <c r="AK146">
        <v>-28.802376237623761</v>
      </c>
      <c r="AL146">
        <v>-29.118217821782178</v>
      </c>
      <c r="AM146">
        <v>-29.431089108910889</v>
      </c>
      <c r="AN146">
        <v>-29.743960396039601</v>
      </c>
      <c r="AO146">
        <v>-30.053960396039603</v>
      </c>
      <c r="AP146">
        <v>-30.362871287128712</v>
      </c>
      <c r="AQ146">
        <v>-30.670990099009902</v>
      </c>
      <c r="AR146">
        <v>-30.975940594059406</v>
      </c>
      <c r="AS146">
        <v>-31.280891089108909</v>
      </c>
      <c r="AT146">
        <v>-31.58049504950495</v>
      </c>
      <c r="AU146">
        <v>-31.877524752475249</v>
      </c>
      <c r="AV146">
        <v>-32.174554455445552</v>
      </c>
      <c r="AW146">
        <v>-32.471584158415844</v>
      </c>
      <c r="AX146">
        <v>-32.768613861386143</v>
      </c>
      <c r="AY146">
        <v>-33.057199504337056</v>
      </c>
      <c r="AZ146">
        <v>-33.340718711276331</v>
      </c>
      <c r="BA146">
        <v>-33.624237918215613</v>
      </c>
      <c r="BB146">
        <v>-33.907757125154895</v>
      </c>
      <c r="BC146">
        <v>-34.191276332094176</v>
      </c>
      <c r="BD146">
        <v>-34.474795539033458</v>
      </c>
      <c r="BE146">
        <v>-34.75831474597274</v>
      </c>
      <c r="BF146">
        <v>-35.041833952912022</v>
      </c>
      <c r="BG146">
        <v>-35.325353159851304</v>
      </c>
      <c r="BH146">
        <v>-35.608872366790585</v>
      </c>
      <c r="BI146">
        <v>-35.879962871287127</v>
      </c>
      <c r="BJ146">
        <v>-36.140358910891088</v>
      </c>
      <c r="BK146">
        <v>-36.400754950495049</v>
      </c>
      <c r="BL146">
        <v>-36.66115099009901</v>
      </c>
      <c r="BM146">
        <v>-36.921547029702971</v>
      </c>
      <c r="BN146">
        <v>-37.181943069306932</v>
      </c>
      <c r="BO146">
        <v>-37.442339108910886</v>
      </c>
      <c r="BP146">
        <v>-37.702735148514847</v>
      </c>
      <c r="BQ146">
        <v>-37.963131188118808</v>
      </c>
      <c r="BR146">
        <v>-38.223527227722769</v>
      </c>
      <c r="BS146">
        <v>-38.471920693928126</v>
      </c>
      <c r="BT146">
        <v>-38.704882280049567</v>
      </c>
      <c r="BU146">
        <v>-38.937843866171001</v>
      </c>
      <c r="BV146">
        <v>-39.170805452292441</v>
      </c>
      <c r="BW146">
        <v>-39.403767038413875</v>
      </c>
      <c r="BX146">
        <v>-39.636728624535316</v>
      </c>
      <c r="BY146">
        <v>-39.869690210656749</v>
      </c>
      <c r="BZ146">
        <v>-40.10265179677819</v>
      </c>
      <c r="CA146">
        <v>-40.335613382899624</v>
      </c>
      <c r="CB146">
        <v>-40.568574969021064</v>
      </c>
      <c r="CC146">
        <v>-40.791039603960392</v>
      </c>
      <c r="CD146">
        <v>-40.9940099009901</v>
      </c>
      <c r="CE146">
        <v>-41.196980198019801</v>
      </c>
      <c r="CF146">
        <v>-41.399950495049502</v>
      </c>
      <c r="CG146">
        <v>-41.60292079207921</v>
      </c>
      <c r="CH146">
        <v>-41.805891089108911</v>
      </c>
      <c r="CI146">
        <v>-42.008861386138612</v>
      </c>
      <c r="CJ146">
        <v>-42.21183168316832</v>
      </c>
      <c r="CK146">
        <v>-42.414801980198021</v>
      </c>
      <c r="CL146">
        <v>-42.617772277227722</v>
      </c>
    </row>
    <row r="147" spans="1:90" ht="21.75" thickBot="1" x14ac:dyDescent="0.4">
      <c r="A147" s="30" t="s">
        <v>34</v>
      </c>
      <c r="B147" s="60">
        <v>-18.751633663366338</v>
      </c>
      <c r="C147" s="60">
        <v>-18.75</v>
      </c>
      <c r="D147" s="60">
        <v>-18.75</v>
      </c>
      <c r="E147" s="60">
        <v>-18.75</v>
      </c>
      <c r="F147">
        <v>-18.75</v>
      </c>
      <c r="G147">
        <v>-18.75</v>
      </c>
      <c r="H147">
        <v>-18.752128712871286</v>
      </c>
      <c r="I147">
        <v>-18.756089108910892</v>
      </c>
      <c r="J147">
        <v>-18.760148514851487</v>
      </c>
      <c r="K147">
        <v>-18.772029702970297</v>
      </c>
      <c r="L147">
        <v>-18.783910891089107</v>
      </c>
      <c r="M147">
        <v>-18.793861386138612</v>
      </c>
      <c r="N147">
        <v>-18.80178217821782</v>
      </c>
      <c r="O147">
        <v>-18.809702970297028</v>
      </c>
      <c r="P147">
        <v>-18.825247524752474</v>
      </c>
      <c r="Q147">
        <v>-18.841089108910893</v>
      </c>
      <c r="R147">
        <v>-18.855198019801982</v>
      </c>
      <c r="S147">
        <v>-18.867079207920792</v>
      </c>
      <c r="T147">
        <v>-18.878960396039602</v>
      </c>
      <c r="U147">
        <v>-18.890841584158416</v>
      </c>
      <c r="V147">
        <v>-18.902722772277226</v>
      </c>
      <c r="W147">
        <v>-18.91460396039604</v>
      </c>
      <c r="X147">
        <v>-18.926485148514853</v>
      </c>
      <c r="Y147">
        <v>-18.938366336633663</v>
      </c>
      <c r="Z147">
        <v>-18.950298507462687</v>
      </c>
      <c r="AA147">
        <v>-18.962238805970149</v>
      </c>
      <c r="AB147">
        <v>-18.967227722772275</v>
      </c>
      <c r="AC147">
        <v>-18.959306930693067</v>
      </c>
      <c r="AD147">
        <v>-18.951386138613859</v>
      </c>
      <c r="AE147">
        <v>-18.956534653465347</v>
      </c>
      <c r="AF147">
        <v>-18.964455445544555</v>
      </c>
      <c r="AG147">
        <v>-18.974752475247524</v>
      </c>
      <c r="AH147">
        <v>-18.990594059405939</v>
      </c>
      <c r="AI147">
        <v>-19.006435643564359</v>
      </c>
      <c r="AJ147">
        <v>-19.022277227722775</v>
      </c>
      <c r="AK147">
        <v>-19.038118811881191</v>
      </c>
      <c r="AL147">
        <v>-19.053960396039603</v>
      </c>
      <c r="AM147">
        <v>-19.069801980198019</v>
      </c>
      <c r="AN147">
        <v>-19.085643564356435</v>
      </c>
      <c r="AO147">
        <v>-19.104356435643563</v>
      </c>
      <c r="AP147">
        <v>-19.124158415841585</v>
      </c>
      <c r="AQ147">
        <v>-19.143168316831684</v>
      </c>
      <c r="AR147">
        <v>-19.1590099009901</v>
      </c>
      <c r="AS147">
        <v>-19.174851485148515</v>
      </c>
      <c r="AT147">
        <v>-19.190693069306931</v>
      </c>
      <c r="AU147">
        <v>-19.206534653465347</v>
      </c>
      <c r="AV147">
        <v>-19.222376237623763</v>
      </c>
      <c r="AW147">
        <v>-19.238217821782179</v>
      </c>
      <c r="AX147">
        <v>-19.254059405940595</v>
      </c>
      <c r="AY147">
        <v>-19.270532837670384</v>
      </c>
      <c r="AZ147">
        <v>-19.287385377943</v>
      </c>
      <c r="BA147">
        <v>-19.304237918215616</v>
      </c>
      <c r="BB147">
        <v>-19.321090458488229</v>
      </c>
      <c r="BC147">
        <v>-19.337942998760845</v>
      </c>
      <c r="BD147">
        <v>-19.354795539033457</v>
      </c>
      <c r="BE147">
        <v>-19.371648079306073</v>
      </c>
      <c r="BF147">
        <v>-19.388500619578686</v>
      </c>
      <c r="BG147">
        <v>-19.405353159851302</v>
      </c>
      <c r="BH147">
        <v>-19.422205700123914</v>
      </c>
      <c r="BI147">
        <v>-19.438514851485149</v>
      </c>
      <c r="BJ147">
        <v>-19.454356435643565</v>
      </c>
      <c r="BK147">
        <v>-19.47019801980198</v>
      </c>
      <c r="BL147">
        <v>-19.486039603960396</v>
      </c>
      <c r="BM147">
        <v>-19.501881188118812</v>
      </c>
      <c r="BN147">
        <v>-19.517722772277228</v>
      </c>
      <c r="BO147">
        <v>-19.533564356435644</v>
      </c>
      <c r="BP147">
        <v>-19.54940594059406</v>
      </c>
      <c r="BQ147">
        <v>-19.565247524752476</v>
      </c>
      <c r="BR147">
        <v>-19.581089108910891</v>
      </c>
      <c r="BS147">
        <v>-19.596505576208177</v>
      </c>
      <c r="BT147">
        <v>-19.611375464684013</v>
      </c>
      <c r="BU147">
        <v>-19.626245353159852</v>
      </c>
      <c r="BV147">
        <v>-19.641115241635688</v>
      </c>
      <c r="BW147">
        <v>-19.655985130111524</v>
      </c>
      <c r="BX147">
        <v>-19.670855018587361</v>
      </c>
      <c r="BY147">
        <v>-19.685724907063197</v>
      </c>
      <c r="BZ147">
        <v>-19.700594795539033</v>
      </c>
      <c r="CA147">
        <v>-19.715464684014869</v>
      </c>
      <c r="CB147">
        <v>-19.730334572490705</v>
      </c>
      <c r="CC147">
        <v>-19.744851485148512</v>
      </c>
      <c r="CD147">
        <v>-19.758712871287127</v>
      </c>
      <c r="CE147">
        <v>-19.772574257425742</v>
      </c>
      <c r="CF147">
        <v>-19.786435643564356</v>
      </c>
      <c r="CG147">
        <v>-19.800297029702968</v>
      </c>
      <c r="CH147">
        <v>-19.814158415841582</v>
      </c>
      <c r="CI147">
        <v>-19.828019801980197</v>
      </c>
      <c r="CJ147">
        <v>-19.841881188118812</v>
      </c>
      <c r="CK147">
        <v>-19.855742574257423</v>
      </c>
      <c r="CL147">
        <v>-19.869603960396038</v>
      </c>
    </row>
    <row r="148" spans="1:90" ht="21.75" thickBot="1" x14ac:dyDescent="0.4">
      <c r="A148" s="30" t="s">
        <v>5</v>
      </c>
      <c r="B148" s="60">
        <v>-62.848811881188126</v>
      </c>
      <c r="C148" s="60">
        <v>-61.159752475247529</v>
      </c>
      <c r="D148" s="60">
        <v>-59.508267326732678</v>
      </c>
      <c r="E148" s="60">
        <v>-57.857029702970294</v>
      </c>
      <c r="F148">
        <v>-56.209504950495045</v>
      </c>
      <c r="G148">
        <v>-54.561980198019796</v>
      </c>
      <c r="H148">
        <v>-52.9229702970297</v>
      </c>
      <c r="I148">
        <v>-51.291287128712867</v>
      </c>
      <c r="J148">
        <v>-49.660495049504945</v>
      </c>
      <c r="K148">
        <v>-48.100099009900987</v>
      </c>
      <c r="L148">
        <v>-46.539702970297036</v>
      </c>
      <c r="M148">
        <v>-45.035297029702974</v>
      </c>
      <c r="N148">
        <v>-43.589752475247529</v>
      </c>
      <c r="O148">
        <v>-42.144207920792084</v>
      </c>
      <c r="P148">
        <v>-40.824455445544558</v>
      </c>
      <c r="Q148">
        <v>-39.509603960396042</v>
      </c>
      <c r="R148">
        <v>-38.251930693069312</v>
      </c>
      <c r="S148">
        <v>-37.067772277227725</v>
      </c>
      <c r="T148">
        <v>-35.883613861386138</v>
      </c>
      <c r="U148">
        <v>-34.822326732673268</v>
      </c>
      <c r="V148">
        <v>-33.77282178217822</v>
      </c>
      <c r="W148">
        <v>-32.758613861386138</v>
      </c>
      <c r="X148">
        <v>-31.800198019801982</v>
      </c>
      <c r="Y148">
        <v>-30.841782178217827</v>
      </c>
      <c r="Z148">
        <v>-29.947910447761195</v>
      </c>
      <c r="AA148">
        <v>-29.064328358208954</v>
      </c>
      <c r="AB148">
        <v>-28.276534653465344</v>
      </c>
      <c r="AC148">
        <v>-27.666633663366333</v>
      </c>
      <c r="AD148">
        <v>-27.056732673267323</v>
      </c>
      <c r="AE148">
        <v>-27.110099009900992</v>
      </c>
      <c r="AF148">
        <v>-27.304158415841584</v>
      </c>
      <c r="AG148">
        <v>-27.535049504950496</v>
      </c>
      <c r="AH148">
        <v>-27.851881188118814</v>
      </c>
      <c r="AI148">
        <v>-28.168712871287131</v>
      </c>
      <c r="AJ148">
        <v>-28.485544554455444</v>
      </c>
      <c r="AK148">
        <v>-28.802376237623761</v>
      </c>
      <c r="AL148">
        <v>-29.118217821782178</v>
      </c>
      <c r="AM148">
        <v>-29.431089108910889</v>
      </c>
      <c r="AN148">
        <v>-29.743960396039601</v>
      </c>
      <c r="AO148">
        <v>-30.053960396039603</v>
      </c>
      <c r="AP148">
        <v>-30.362871287128712</v>
      </c>
      <c r="AQ148">
        <v>-30.670990099009902</v>
      </c>
      <c r="AR148">
        <v>-30.975940594059406</v>
      </c>
      <c r="AS148">
        <v>-31.280891089108909</v>
      </c>
      <c r="AT148">
        <v>-31.58049504950495</v>
      </c>
      <c r="AU148">
        <v>-31.877524752475249</v>
      </c>
      <c r="AV148">
        <v>-32.174554455445552</v>
      </c>
      <c r="AW148">
        <v>-32.471584158415844</v>
      </c>
      <c r="AX148">
        <v>-32.768613861386143</v>
      </c>
      <c r="AY148">
        <v>-33.057199504337056</v>
      </c>
      <c r="AZ148">
        <v>-33.340718711276331</v>
      </c>
      <c r="BA148">
        <v>-33.624237918215613</v>
      </c>
      <c r="BB148">
        <v>-33.907757125154895</v>
      </c>
      <c r="BC148">
        <v>-34.191276332094176</v>
      </c>
      <c r="BD148">
        <v>-34.474795539033458</v>
      </c>
      <c r="BE148">
        <v>-34.75831474597274</v>
      </c>
      <c r="BF148">
        <v>-35.041833952912022</v>
      </c>
      <c r="BG148">
        <v>-35.325353159851304</v>
      </c>
      <c r="BH148">
        <v>-35.608872366790585</v>
      </c>
      <c r="BI148">
        <v>-35.879962871287127</v>
      </c>
      <c r="BJ148">
        <v>-36.140358910891088</v>
      </c>
      <c r="BK148">
        <v>-36.400754950495049</v>
      </c>
      <c r="BL148">
        <v>-36.66115099009901</v>
      </c>
      <c r="BM148">
        <v>-36.921547029702971</v>
      </c>
      <c r="BN148">
        <v>-37.181943069306932</v>
      </c>
      <c r="BO148">
        <v>-37.442339108910886</v>
      </c>
      <c r="BP148">
        <v>-37.702735148514847</v>
      </c>
      <c r="BQ148">
        <v>-37.963131188118808</v>
      </c>
      <c r="BR148">
        <v>-38.223527227722769</v>
      </c>
      <c r="BS148">
        <v>-38.471920693928126</v>
      </c>
      <c r="BT148">
        <v>-38.704882280049567</v>
      </c>
      <c r="BU148">
        <v>-38.937843866171001</v>
      </c>
      <c r="BV148">
        <v>-39.170805452292441</v>
      </c>
      <c r="BW148">
        <v>-39.403767038413875</v>
      </c>
      <c r="BX148">
        <v>-39.636728624535316</v>
      </c>
      <c r="BY148">
        <v>-39.869690210656749</v>
      </c>
      <c r="BZ148">
        <v>-40.10265179677819</v>
      </c>
      <c r="CA148">
        <v>-40.335613382899624</v>
      </c>
      <c r="CB148">
        <v>-40.568574969021064</v>
      </c>
      <c r="CC148">
        <v>-40.791039603960392</v>
      </c>
      <c r="CD148">
        <v>-40.9940099009901</v>
      </c>
      <c r="CE148">
        <v>-41.196980198019801</v>
      </c>
      <c r="CF148">
        <v>-41.399950495049502</v>
      </c>
      <c r="CG148">
        <v>-41.60292079207921</v>
      </c>
      <c r="CH148">
        <v>-41.805891089108911</v>
      </c>
      <c r="CI148">
        <v>-42.008861386138612</v>
      </c>
      <c r="CJ148">
        <v>-42.21183168316832</v>
      </c>
      <c r="CK148">
        <v>-42.414801980198021</v>
      </c>
      <c r="CL148">
        <v>-42.617772277227722</v>
      </c>
    </row>
    <row r="149" spans="1:90" ht="21.75" thickBot="1" x14ac:dyDescent="0.4">
      <c r="A149" s="30" t="s">
        <v>72</v>
      </c>
      <c r="B149" s="60">
        <v>-62.848811881188126</v>
      </c>
      <c r="C149" s="60">
        <v>-61.159752475247529</v>
      </c>
      <c r="D149" s="60">
        <v>-59.508267326732678</v>
      </c>
      <c r="E149" s="60">
        <v>-57.857029702970294</v>
      </c>
      <c r="F149">
        <v>-56.209504950495045</v>
      </c>
      <c r="G149">
        <v>-54.561980198019796</v>
      </c>
      <c r="H149">
        <v>-52.9229702970297</v>
      </c>
      <c r="I149">
        <v>-51.291287128712867</v>
      </c>
      <c r="J149">
        <v>-49.660495049504945</v>
      </c>
      <c r="K149">
        <v>-48.100099009900987</v>
      </c>
      <c r="L149">
        <v>-46.539702970297036</v>
      </c>
      <c r="M149">
        <v>-45.035297029702974</v>
      </c>
      <c r="N149">
        <v>-43.589752475247529</v>
      </c>
      <c r="O149">
        <v>-42.144207920792084</v>
      </c>
      <c r="P149">
        <v>-40.824455445544558</v>
      </c>
      <c r="Q149">
        <v>-39.509603960396042</v>
      </c>
      <c r="R149">
        <v>-38.251930693069312</v>
      </c>
      <c r="S149">
        <v>-37.067772277227725</v>
      </c>
      <c r="T149">
        <v>-35.883613861386138</v>
      </c>
      <c r="U149">
        <v>-34.822326732673268</v>
      </c>
      <c r="V149">
        <v>-33.77282178217822</v>
      </c>
      <c r="W149">
        <v>-32.758613861386138</v>
      </c>
      <c r="X149">
        <v>-31.800198019801982</v>
      </c>
      <c r="Y149">
        <v>-30.841782178217827</v>
      </c>
      <c r="Z149">
        <v>-29.947910447761195</v>
      </c>
      <c r="AA149">
        <v>-29.064328358208954</v>
      </c>
      <c r="AB149">
        <v>-28.276534653465344</v>
      </c>
      <c r="AC149">
        <v>-27.666633663366333</v>
      </c>
      <c r="AD149">
        <v>-27.056732673267323</v>
      </c>
      <c r="AE149">
        <v>-27.110099009900992</v>
      </c>
      <c r="AF149">
        <v>-27.304158415841584</v>
      </c>
      <c r="AG149">
        <v>-27.535049504950496</v>
      </c>
      <c r="AH149">
        <v>-27.851881188118814</v>
      </c>
      <c r="AI149">
        <v>-28.168712871287131</v>
      </c>
      <c r="AJ149">
        <v>-28.485544554455444</v>
      </c>
      <c r="AK149">
        <v>-28.802376237623761</v>
      </c>
      <c r="AL149">
        <v>-29.118217821782178</v>
      </c>
      <c r="AM149">
        <v>-29.431089108910889</v>
      </c>
      <c r="AN149">
        <v>-29.743960396039601</v>
      </c>
      <c r="AO149">
        <v>-30.053960396039603</v>
      </c>
      <c r="AP149">
        <v>-30.362871287128712</v>
      </c>
      <c r="AQ149">
        <v>-30.670990099009902</v>
      </c>
      <c r="AR149">
        <v>-30.975940594059406</v>
      </c>
      <c r="AS149">
        <v>-31.280891089108909</v>
      </c>
      <c r="AT149">
        <v>-31.58049504950495</v>
      </c>
      <c r="AU149">
        <v>-31.877524752475249</v>
      </c>
      <c r="AV149">
        <v>-32.174554455445552</v>
      </c>
      <c r="AW149">
        <v>-32.471584158415844</v>
      </c>
      <c r="AX149">
        <v>-32.768613861386143</v>
      </c>
      <c r="AY149">
        <v>-33.057199504337056</v>
      </c>
      <c r="AZ149">
        <v>-33.340718711276331</v>
      </c>
      <c r="BA149">
        <v>-33.624237918215613</v>
      </c>
      <c r="BB149">
        <v>-33.907757125154895</v>
      </c>
      <c r="BC149">
        <v>-34.191276332094176</v>
      </c>
      <c r="BD149">
        <v>-34.474795539033458</v>
      </c>
      <c r="BE149">
        <v>-34.75831474597274</v>
      </c>
      <c r="BF149">
        <v>-35.041833952912022</v>
      </c>
      <c r="BG149">
        <v>-35.325353159851304</v>
      </c>
      <c r="BH149">
        <v>-35.608872366790585</v>
      </c>
      <c r="BI149">
        <v>-35.879962871287127</v>
      </c>
      <c r="BJ149">
        <v>-36.140358910891088</v>
      </c>
      <c r="BK149">
        <v>-36.400754950495049</v>
      </c>
      <c r="BL149">
        <v>-36.66115099009901</v>
      </c>
      <c r="BM149">
        <v>-36.921547029702971</v>
      </c>
      <c r="BN149">
        <v>-37.181943069306932</v>
      </c>
      <c r="BO149">
        <v>-37.442339108910886</v>
      </c>
      <c r="BP149">
        <v>-37.702735148514847</v>
      </c>
      <c r="BQ149">
        <v>-37.963131188118808</v>
      </c>
      <c r="BR149">
        <v>-38.223527227722769</v>
      </c>
      <c r="BS149">
        <v>-38.471920693928126</v>
      </c>
      <c r="BT149">
        <v>-38.704882280049567</v>
      </c>
      <c r="BU149">
        <v>-38.937843866171001</v>
      </c>
      <c r="BV149">
        <v>-39.170805452292441</v>
      </c>
      <c r="BW149">
        <v>-39.403767038413875</v>
      </c>
      <c r="BX149">
        <v>-39.636728624535316</v>
      </c>
      <c r="BY149">
        <v>-39.869690210656749</v>
      </c>
      <c r="BZ149">
        <v>-40.10265179677819</v>
      </c>
      <c r="CA149">
        <v>-40.335613382899624</v>
      </c>
      <c r="CB149">
        <v>-40.568574969021064</v>
      </c>
      <c r="CC149">
        <v>-40.791039603960392</v>
      </c>
      <c r="CD149">
        <v>-40.9940099009901</v>
      </c>
      <c r="CE149">
        <v>-41.196980198019801</v>
      </c>
      <c r="CF149">
        <v>-41.399950495049502</v>
      </c>
      <c r="CG149">
        <v>-41.60292079207921</v>
      </c>
      <c r="CH149">
        <v>-41.805891089108911</v>
      </c>
      <c r="CI149">
        <v>-42.008861386138612</v>
      </c>
      <c r="CJ149">
        <v>-42.21183168316832</v>
      </c>
      <c r="CK149">
        <v>-42.414801980198021</v>
      </c>
      <c r="CL149">
        <v>-42.617772277227722</v>
      </c>
    </row>
    <row r="150" spans="1:90" ht="21.75" thickBot="1" x14ac:dyDescent="0.4">
      <c r="A150" s="30" t="s">
        <v>7</v>
      </c>
      <c r="B150" s="60">
        <v>-22.547673267326733</v>
      </c>
      <c r="C150" s="60">
        <v>-22.163861386138617</v>
      </c>
      <c r="D150" s="60">
        <v>-21.8470297029703</v>
      </c>
      <c r="E150" s="60">
        <v>-21.541336633663366</v>
      </c>
      <c r="F150">
        <v>-21.40272277227723</v>
      </c>
      <c r="G150">
        <v>-21.264108910891089</v>
      </c>
      <c r="H150">
        <v>-21.2</v>
      </c>
      <c r="I150">
        <v>-21.2</v>
      </c>
      <c r="J150">
        <v>-21.200891089108911</v>
      </c>
      <c r="K150">
        <v>-21.272178217821782</v>
      </c>
      <c r="L150">
        <v>-21.343465346534654</v>
      </c>
      <c r="M150">
        <v>-21.428267326732673</v>
      </c>
      <c r="N150">
        <v>-21.52727722772277</v>
      </c>
      <c r="O150">
        <v>-21.626287128712871</v>
      </c>
      <c r="P150">
        <v>-21.729108910891089</v>
      </c>
      <c r="Q150">
        <v>-21.832079207920792</v>
      </c>
      <c r="R150">
        <v>-21.928118811881188</v>
      </c>
      <c r="S150">
        <v>-22.015247524752475</v>
      </c>
      <c r="T150">
        <v>-22.102376237623762</v>
      </c>
      <c r="U150">
        <v>-22.178663366336632</v>
      </c>
      <c r="V150">
        <v>-22.253910891089109</v>
      </c>
      <c r="W150">
        <v>-22.326089108910892</v>
      </c>
      <c r="X150">
        <v>-22.393415841584158</v>
      </c>
      <c r="Y150">
        <v>-22.460742574257424</v>
      </c>
      <c r="Z150">
        <v>-22.538656716417911</v>
      </c>
      <c r="AA150">
        <v>-22.618258706467664</v>
      </c>
      <c r="AB150">
        <v>-22.694950495049508</v>
      </c>
      <c r="AC150">
        <v>-22.766237623762379</v>
      </c>
      <c r="AD150">
        <v>-22.83752475247525</v>
      </c>
      <c r="AE150">
        <v>-22.931683168316834</v>
      </c>
      <c r="AF150">
        <v>-23.030693069306931</v>
      </c>
      <c r="AG150">
        <v>-23.135643564356435</v>
      </c>
      <c r="AH150">
        <v>-23.254455445544554</v>
      </c>
      <c r="AI150">
        <v>-23.373267326732673</v>
      </c>
      <c r="AJ150">
        <v>-23.489009900990098</v>
      </c>
      <c r="AK150">
        <v>-23.603861386138615</v>
      </c>
      <c r="AL150">
        <v>-23.719702970297032</v>
      </c>
      <c r="AM150">
        <v>-23.838514851485147</v>
      </c>
      <c r="AN150">
        <v>-23.957326732673266</v>
      </c>
      <c r="AO150">
        <v>-24.076138613861385</v>
      </c>
      <c r="AP150">
        <v>-24.194950495049504</v>
      </c>
      <c r="AQ150">
        <v>-24.312970297029704</v>
      </c>
      <c r="AR150">
        <v>-24.427821782178217</v>
      </c>
      <c r="AS150">
        <v>-24.54267326732673</v>
      </c>
      <c r="AT150">
        <v>-24.657524752475247</v>
      </c>
      <c r="AU150">
        <v>-24.772376237623764</v>
      </c>
      <c r="AV150">
        <v>-24.88722772277228</v>
      </c>
      <c r="AW150">
        <v>-25.002079207920794</v>
      </c>
      <c r="AX150">
        <v>-25.116930693069307</v>
      </c>
      <c r="AY150">
        <v>-25.229392812887237</v>
      </c>
      <c r="AZ150">
        <v>-25.340421313506816</v>
      </c>
      <c r="BA150">
        <v>-25.451449814126395</v>
      </c>
      <c r="BB150">
        <v>-25.562478314745974</v>
      </c>
      <c r="BC150">
        <v>-25.673506815365553</v>
      </c>
      <c r="BD150">
        <v>-25.784535315985131</v>
      </c>
      <c r="BE150">
        <v>-25.89556381660471</v>
      </c>
      <c r="BF150">
        <v>-26.006592317224289</v>
      </c>
      <c r="BG150">
        <v>-26.117620817843868</v>
      </c>
      <c r="BH150">
        <v>-26.228649318463447</v>
      </c>
      <c r="BI150">
        <v>-26.338007425742575</v>
      </c>
      <c r="BJ150">
        <v>-26.445928217821784</v>
      </c>
      <c r="BK150">
        <v>-26.55384900990099</v>
      </c>
      <c r="BL150">
        <v>-26.661769801980199</v>
      </c>
      <c r="BM150">
        <v>-26.769690594059405</v>
      </c>
      <c r="BN150">
        <v>-26.877611386138614</v>
      </c>
      <c r="BO150">
        <v>-26.985532178217824</v>
      </c>
      <c r="BP150">
        <v>-27.093452970297029</v>
      </c>
      <c r="BQ150">
        <v>-27.201373762376239</v>
      </c>
      <c r="BR150">
        <v>-27.309294554455448</v>
      </c>
      <c r="BS150">
        <v>-27.415105328376704</v>
      </c>
      <c r="BT150">
        <v>-27.51820322180917</v>
      </c>
      <c r="BU150">
        <v>-27.621301115241636</v>
      </c>
      <c r="BV150">
        <v>-27.724399008674101</v>
      </c>
      <c r="BW150">
        <v>-27.827496902106567</v>
      </c>
      <c r="BX150">
        <v>-27.930594795539033</v>
      </c>
      <c r="BY150">
        <v>-28.033692688971499</v>
      </c>
      <c r="BZ150">
        <v>-28.136790582403965</v>
      </c>
      <c r="CA150">
        <v>-28.23988847583643</v>
      </c>
      <c r="CB150">
        <v>-28.342986369268896</v>
      </c>
      <c r="CC150">
        <v>-28.445</v>
      </c>
      <c r="CD150">
        <v>-28.544999999999998</v>
      </c>
      <c r="CE150">
        <v>-28.645</v>
      </c>
      <c r="CF150">
        <v>-28.745000000000001</v>
      </c>
      <c r="CG150">
        <v>-28.844999999999999</v>
      </c>
      <c r="CH150">
        <v>-28.945</v>
      </c>
      <c r="CI150">
        <v>-29.045000000000002</v>
      </c>
      <c r="CJ150">
        <v>-29.145</v>
      </c>
      <c r="CK150">
        <v>-29.245000000000001</v>
      </c>
      <c r="CL150">
        <v>-29.345000000000002</v>
      </c>
    </row>
    <row r="151" spans="1:90" ht="21.75" thickBot="1" x14ac:dyDescent="0.4">
      <c r="A151" s="30"/>
    </row>
    <row r="152" spans="1:90" ht="21.75" thickBot="1" x14ac:dyDescent="0.4">
      <c r="A152" s="30"/>
    </row>
    <row r="153" spans="1:90" ht="21.75" thickBot="1" x14ac:dyDescent="0.4">
      <c r="A153" s="30"/>
    </row>
    <row r="154" spans="1:90" ht="21.75" thickBot="1" x14ac:dyDescent="0.4">
      <c r="A154" s="30"/>
    </row>
    <row r="155" spans="1:90" ht="21.75" thickBot="1" x14ac:dyDescent="0.4">
      <c r="A155" s="30"/>
    </row>
    <row r="156" spans="1:90" ht="21.75" thickBot="1" x14ac:dyDescent="0.4">
      <c r="A156" s="30"/>
    </row>
  </sheetData>
  <mergeCells count="1">
    <mergeCell ref="A97:B9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5</xdr:col>
                    <xdr:colOff>95250</xdr:colOff>
                    <xdr:row>0</xdr:row>
                    <xdr:rowOff>47625</xdr:rowOff>
                  </from>
                  <to>
                    <xdr:col>94</xdr:col>
                    <xdr:colOff>647700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I21" sqref="I21"/>
    </sheetView>
  </sheetViews>
  <sheetFormatPr defaultRowHeight="21" x14ac:dyDescent="0.35"/>
  <cols>
    <col min="1" max="1" width="4.81640625" customWidth="1"/>
  </cols>
  <sheetData>
    <row r="1" spans="1:12" ht="28.5" x14ac:dyDescent="0.45">
      <c r="A1" s="67">
        <v>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</row>
    <row r="2" spans="1:12" ht="21.75" customHeight="1" x14ac:dyDescent="0.35">
      <c r="A2" s="68" t="s">
        <v>38</v>
      </c>
      <c r="B2" s="84"/>
      <c r="C2" s="82"/>
      <c r="D2" s="82"/>
      <c r="E2" s="82"/>
      <c r="F2" s="82"/>
      <c r="G2" s="82"/>
      <c r="H2" s="82"/>
      <c r="I2" s="82"/>
      <c r="J2" s="82"/>
      <c r="K2" s="82"/>
      <c r="L2" s="82"/>
    </row>
    <row r="3" spans="1:12" x14ac:dyDescent="0.35">
      <c r="B3" s="83"/>
      <c r="C3" s="82"/>
      <c r="D3" s="82"/>
      <c r="E3" s="82"/>
      <c r="F3" s="83"/>
      <c r="G3" s="82"/>
      <c r="H3" s="82"/>
      <c r="I3" s="82"/>
      <c r="J3" s="83"/>
      <c r="K3" s="82"/>
      <c r="L3" s="82"/>
    </row>
    <row r="4" spans="1:12" x14ac:dyDescent="0.35">
      <c r="B4" s="84"/>
      <c r="C4" s="82"/>
      <c r="D4" s="82"/>
      <c r="E4" s="82"/>
      <c r="F4" s="82"/>
      <c r="G4" s="82"/>
      <c r="H4" s="82"/>
      <c r="I4" s="82"/>
      <c r="J4" s="82"/>
      <c r="K4" s="82"/>
      <c r="L4" s="82"/>
    </row>
    <row r="5" spans="1:12" x14ac:dyDescent="0.35">
      <c r="B5" s="83"/>
      <c r="C5" s="82"/>
      <c r="D5" s="82"/>
      <c r="E5" s="82"/>
      <c r="F5" s="83"/>
      <c r="G5" s="82"/>
      <c r="H5" s="82"/>
      <c r="I5" s="82"/>
      <c r="J5" s="83"/>
      <c r="K5" s="82"/>
      <c r="L5" s="82"/>
    </row>
    <row r="6" spans="1:12" x14ac:dyDescent="0.35">
      <c r="B6" s="84"/>
      <c r="C6" s="82"/>
      <c r="D6" s="82"/>
      <c r="E6" s="82"/>
      <c r="F6" s="82"/>
      <c r="G6" s="82"/>
      <c r="H6" s="82"/>
      <c r="I6" s="82"/>
      <c r="J6" s="82"/>
      <c r="K6" s="82"/>
      <c r="L6" s="82"/>
    </row>
    <row r="7" spans="1:12" x14ac:dyDescent="0.35">
      <c r="B7" s="83"/>
      <c r="C7" s="82"/>
      <c r="D7" s="82"/>
      <c r="E7" s="82"/>
      <c r="F7" s="82"/>
      <c r="G7" s="82"/>
      <c r="H7" s="82"/>
      <c r="I7" s="82"/>
      <c r="J7" s="83"/>
      <c r="K7" s="82"/>
      <c r="L7" s="82"/>
    </row>
    <row r="8" spans="1:12" x14ac:dyDescent="0.35">
      <c r="B8" s="84"/>
      <c r="C8" s="82"/>
      <c r="D8" s="82"/>
      <c r="E8" s="82"/>
      <c r="F8" s="82"/>
      <c r="G8" s="82"/>
      <c r="H8" s="82"/>
      <c r="I8" s="82"/>
      <c r="J8" s="82"/>
      <c r="K8" s="82"/>
      <c r="L8" s="82"/>
    </row>
    <row r="9" spans="1:12" x14ac:dyDescent="0.35">
      <c r="B9" s="84"/>
      <c r="C9" s="82"/>
      <c r="D9" s="82"/>
      <c r="E9" s="82"/>
      <c r="F9" s="82"/>
      <c r="G9" s="82"/>
      <c r="H9" s="82"/>
      <c r="I9" s="82"/>
      <c r="J9" s="83"/>
      <c r="K9" s="82"/>
      <c r="L9" s="82"/>
    </row>
    <row r="10" spans="1:12" x14ac:dyDescent="0.35">
      <c r="B10" s="83"/>
      <c r="C10" s="82"/>
      <c r="D10" s="82"/>
      <c r="E10" s="82"/>
      <c r="F10" s="82"/>
      <c r="G10" s="82"/>
      <c r="H10" s="82"/>
      <c r="I10" s="82"/>
      <c r="J10" s="82"/>
      <c r="K10" s="82"/>
      <c r="L10" s="82"/>
    </row>
    <row r="11" spans="1:12" x14ac:dyDescent="0.35">
      <c r="B11" s="84"/>
      <c r="C11" s="82"/>
      <c r="D11" s="82"/>
      <c r="E11" s="82"/>
      <c r="F11" s="82"/>
      <c r="G11" s="82"/>
      <c r="H11" s="82"/>
      <c r="I11" s="82"/>
      <c r="J11" s="83"/>
      <c r="K11" s="82"/>
      <c r="L11" s="82"/>
    </row>
    <row r="12" spans="1:12" x14ac:dyDescent="0.35">
      <c r="B12" s="83"/>
      <c r="C12" s="82"/>
      <c r="D12" s="82"/>
      <c r="E12" s="82"/>
      <c r="F12" s="82"/>
      <c r="G12" s="82"/>
      <c r="H12" s="82"/>
      <c r="I12" s="82"/>
      <c r="J12" s="82"/>
      <c r="K12" s="82"/>
      <c r="L12" s="82"/>
    </row>
    <row r="13" spans="1:12" x14ac:dyDescent="0.35">
      <c r="B13" s="84"/>
      <c r="C13" s="82"/>
      <c r="D13" s="82"/>
      <c r="E13" s="82"/>
      <c r="F13" s="83"/>
      <c r="G13" s="82"/>
      <c r="H13" s="82"/>
      <c r="I13" s="82"/>
      <c r="J13" s="83"/>
      <c r="K13" s="82"/>
      <c r="L13" s="82"/>
    </row>
    <row r="14" spans="1:12" x14ac:dyDescent="0.35">
      <c r="B14" s="83"/>
      <c r="C14" s="82"/>
      <c r="D14" s="82"/>
      <c r="E14" s="82"/>
      <c r="F14" s="82"/>
      <c r="G14" s="82"/>
      <c r="H14" s="82"/>
      <c r="I14" s="82"/>
      <c r="J14" s="82"/>
      <c r="K14" s="82"/>
      <c r="L14" s="82"/>
    </row>
    <row r="15" spans="1:12" x14ac:dyDescent="0.35">
      <c r="B15" s="84"/>
      <c r="C15" s="82"/>
      <c r="D15" s="82"/>
      <c r="E15" s="82"/>
      <c r="F15" s="82"/>
      <c r="G15" s="82"/>
      <c r="H15" s="82"/>
      <c r="I15" s="82"/>
      <c r="J15" s="83"/>
      <c r="K15" s="82"/>
      <c r="L15" s="82"/>
    </row>
    <row r="16" spans="1:12" x14ac:dyDescent="0.35">
      <c r="B16" s="84"/>
      <c r="C16" s="82"/>
      <c r="D16" s="82"/>
      <c r="E16" s="82"/>
      <c r="F16" s="82"/>
      <c r="G16" s="82"/>
      <c r="H16" s="82"/>
      <c r="I16" s="82"/>
      <c r="J16" s="82"/>
      <c r="K16" s="82"/>
      <c r="L16" s="82"/>
    </row>
    <row r="17" spans="1:12" x14ac:dyDescent="0.35">
      <c r="B17" s="83"/>
      <c r="C17" s="82"/>
      <c r="D17" s="82"/>
      <c r="E17" s="82"/>
      <c r="F17" s="83"/>
      <c r="G17" s="82"/>
      <c r="H17" s="82"/>
      <c r="I17" s="82"/>
      <c r="J17" s="83"/>
      <c r="K17" s="82"/>
      <c r="L17" s="82"/>
    </row>
    <row r="18" spans="1:12" x14ac:dyDescent="0.35">
      <c r="B18" s="84"/>
      <c r="C18" s="82"/>
      <c r="D18" s="82"/>
      <c r="E18" s="82"/>
      <c r="F18" s="82"/>
      <c r="G18" s="82"/>
      <c r="H18" s="82"/>
      <c r="I18" s="82"/>
      <c r="J18" s="82"/>
      <c r="K18" s="82"/>
      <c r="L18" s="82"/>
    </row>
    <row r="19" spans="1:12" x14ac:dyDescent="0.35">
      <c r="B19" s="84"/>
      <c r="C19" s="82"/>
      <c r="D19" s="82"/>
      <c r="E19" s="82"/>
      <c r="F19" s="83"/>
      <c r="G19" s="82"/>
      <c r="H19" s="82"/>
      <c r="I19" s="82"/>
      <c r="J19" s="83"/>
      <c r="K19" s="82"/>
      <c r="L19" s="82"/>
    </row>
    <row r="20" spans="1:12" x14ac:dyDescent="0.35">
      <c r="B20" s="83"/>
      <c r="C20" s="82"/>
      <c r="D20" s="82"/>
      <c r="E20" s="82"/>
      <c r="F20" s="82"/>
      <c r="G20" s="82"/>
      <c r="H20" s="82"/>
      <c r="I20" s="82"/>
      <c r="J20" s="82"/>
      <c r="K20" s="82"/>
      <c r="L20" s="82"/>
    </row>
    <row r="22" spans="1:12" x14ac:dyDescent="0.35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12</vt:i4>
      </vt:variant>
    </vt:vector>
  </HeadingPairs>
  <TitlesOfParts>
    <vt:vector size="18" baseType="lpstr">
      <vt:lpstr>Values</vt:lpstr>
      <vt:lpstr>ALL</vt:lpstr>
      <vt:lpstr>FLUID</vt:lpstr>
      <vt:lpstr>SOLID</vt:lpstr>
      <vt:lpstr>EVALUATION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2021-03-21T19:29:59Z</dcterms:modified>
</cp:coreProperties>
</file>