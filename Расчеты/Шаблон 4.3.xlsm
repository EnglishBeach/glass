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0FAC8EC6-0F27-4B96-93B6-20097916EA62}" xr6:coauthVersionLast="46" xr6:coauthVersionMax="46" xr10:uidLastSave="{00000000-0000-0000-0000-000000000000}"/>
  <bookViews>
    <workbookView xWindow="-120" yWindow="-120" windowWidth="29040" windowHeight="15990" activeTab="5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EVALUATION" sheetId="8" r:id="rId5"/>
    <sheet name="data" sheetId="7" r:id="rId6"/>
  </sheets>
  <functionGroups builtInGroupCount="19"/>
  <externalReferences>
    <externalReference r:id="rId7"/>
  </externalReferences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2" i="4" l="1" a="1"/>
  <c r="E122" i="4" s="1"/>
  <c r="F119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B32" i="8"/>
  <c r="E31" i="8"/>
  <c r="D31" i="8"/>
  <c r="C31" i="8"/>
  <c r="E30" i="8"/>
  <c r="D30" i="8"/>
  <c r="C30" i="8"/>
  <c r="E29" i="8"/>
  <c r="D29" i="8"/>
  <c r="C29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H34" i="8" s="1"/>
  <c r="AK45" i="12"/>
  <c r="AG34" i="8" s="1"/>
  <c r="AJ45" i="12"/>
  <c r="AF34" i="8" s="1"/>
  <c r="AI45" i="12"/>
  <c r="AE34" i="8" s="1"/>
  <c r="AH45" i="12"/>
  <c r="AD34" i="8" s="1"/>
  <c r="AG45" i="12"/>
  <c r="AC34" i="8" s="1"/>
  <c r="AF45" i="12"/>
  <c r="AB34" i="8" s="1"/>
  <c r="AE45" i="12"/>
  <c r="AA34" i="8" s="1"/>
  <c r="AD45" i="12"/>
  <c r="Z34" i="8" s="1"/>
  <c r="AC45" i="12"/>
  <c r="Y34" i="8" s="1"/>
  <c r="AB45" i="12"/>
  <c r="X34" i="8" s="1"/>
  <c r="AA45" i="12"/>
  <c r="W34" i="8" s="1"/>
  <c r="Z45" i="12"/>
  <c r="V34" i="8" s="1"/>
  <c r="Y45" i="12"/>
  <c r="U34" i="8" s="1"/>
  <c r="X45" i="12"/>
  <c r="T34" i="8" s="1"/>
  <c r="W45" i="12"/>
  <c r="S34" i="8" s="1"/>
  <c r="V45" i="12"/>
  <c r="R34" i="8" s="1"/>
  <c r="U45" i="12"/>
  <c r="Q34" i="8" s="1"/>
  <c r="T45" i="12"/>
  <c r="P34" i="8" s="1"/>
  <c r="S45" i="12"/>
  <c r="O34" i="8" s="1"/>
  <c r="R45" i="12"/>
  <c r="N34" i="8" s="1"/>
  <c r="Q45" i="12"/>
  <c r="M34" i="8" s="1"/>
  <c r="P45" i="12"/>
  <c r="L34" i="8" s="1"/>
  <c r="O45" i="12"/>
  <c r="K34" i="8" s="1"/>
  <c r="N45" i="12"/>
  <c r="J34" i="8" s="1"/>
  <c r="M45" i="12"/>
  <c r="I34" i="8" s="1"/>
  <c r="L45" i="12"/>
  <c r="H34" i="8" s="1"/>
  <c r="K45" i="12"/>
  <c r="G34" i="8" s="1"/>
  <c r="J45" i="12"/>
  <c r="F34" i="8" s="1"/>
  <c r="I45" i="12"/>
  <c r="E34" i="8" s="1"/>
  <c r="H45" i="12"/>
  <c r="D34" i="8" s="1"/>
  <c r="G45" i="12"/>
  <c r="C34" i="8" s="1"/>
  <c r="F45" i="12"/>
  <c r="B34" i="8" s="1"/>
  <c r="E45" i="12"/>
  <c r="E79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D35" i="12"/>
  <c r="AF35" i="12" s="1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109" i="11" s="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H2" i="8" s="1"/>
  <c r="AK45" i="11"/>
  <c r="AG2" i="8" s="1"/>
  <c r="AJ45" i="11"/>
  <c r="AF2" i="8" s="1"/>
  <c r="AI45" i="11"/>
  <c r="AE2" i="8" s="1"/>
  <c r="AH45" i="11"/>
  <c r="AD2" i="8" s="1"/>
  <c r="AG45" i="11"/>
  <c r="AC2" i="8" s="1"/>
  <c r="AF45" i="11"/>
  <c r="AB2" i="8" s="1"/>
  <c r="AE45" i="11"/>
  <c r="AA2" i="8" s="1"/>
  <c r="AD45" i="11"/>
  <c r="Z2" i="8" s="1"/>
  <c r="AC45" i="11"/>
  <c r="Y2" i="8" s="1"/>
  <c r="AB45" i="11"/>
  <c r="X2" i="8" s="1"/>
  <c r="AA45" i="11"/>
  <c r="W2" i="8" s="1"/>
  <c r="Z45" i="11"/>
  <c r="V2" i="8" s="1"/>
  <c r="Y45" i="11"/>
  <c r="U2" i="8" s="1"/>
  <c r="X45" i="11"/>
  <c r="T2" i="8" s="1"/>
  <c r="W45" i="11"/>
  <c r="S2" i="8" s="1"/>
  <c r="V45" i="11"/>
  <c r="R2" i="8" s="1"/>
  <c r="U45" i="11"/>
  <c r="Q2" i="8" s="1"/>
  <c r="T45" i="11"/>
  <c r="P2" i="8" s="1"/>
  <c r="S45" i="11"/>
  <c r="O2" i="8" s="1"/>
  <c r="R45" i="11"/>
  <c r="N2" i="8" s="1"/>
  <c r="Q45" i="11"/>
  <c r="M2" i="8" s="1"/>
  <c r="P45" i="11"/>
  <c r="L2" i="8" s="1"/>
  <c r="O45" i="11"/>
  <c r="K2" i="8" s="1"/>
  <c r="N45" i="11"/>
  <c r="J2" i="8" s="1"/>
  <c r="M45" i="11"/>
  <c r="I2" i="8" s="1"/>
  <c r="L45" i="11"/>
  <c r="H2" i="8" s="1"/>
  <c r="K45" i="11"/>
  <c r="G2" i="8" s="1"/>
  <c r="J45" i="11"/>
  <c r="F2" i="8" s="1"/>
  <c r="I45" i="11"/>
  <c r="E2" i="8" s="1"/>
  <c r="H45" i="11"/>
  <c r="D2" i="8" s="1"/>
  <c r="G45" i="11"/>
  <c r="C2" i="8" s="1"/>
  <c r="F45" i="11"/>
  <c r="B2" i="8" s="1"/>
  <c r="E45" i="11"/>
  <c r="E79" i="11" s="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AB37" i="11" s="1"/>
  <c r="D36" i="11"/>
  <c r="AK36" i="11" s="1"/>
  <c r="D35" i="11"/>
  <c r="AJ35" i="11" s="1"/>
  <c r="AE34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B2" i="2"/>
  <c r="B1" i="2" s="1"/>
  <c r="A2" i="11" s="1"/>
  <c r="A114" i="11" s="1"/>
  <c r="A115" i="11" s="1"/>
  <c r="A22" i="7"/>
  <c r="AB134" i="4" l="1"/>
  <c r="X132" i="4"/>
  <c r="AJ130" i="4"/>
  <c r="N129" i="4"/>
  <c r="AH127" i="4"/>
  <c r="AB126" i="4"/>
  <c r="AL125" i="4"/>
  <c r="V125" i="4"/>
  <c r="F125" i="4"/>
  <c r="AF124" i="4"/>
  <c r="X124" i="4"/>
  <c r="P124" i="4"/>
  <c r="H124" i="4"/>
  <c r="AH123" i="4"/>
  <c r="Z123" i="4"/>
  <c r="R123" i="4"/>
  <c r="J123" i="4"/>
  <c r="AJ122" i="4"/>
  <c r="Z135" i="4"/>
  <c r="AJ134" i="4"/>
  <c r="AL133" i="4"/>
  <c r="N133" i="4"/>
  <c r="H132" i="4"/>
  <c r="R131" i="4"/>
  <c r="AB130" i="4"/>
  <c r="AL129" i="4"/>
  <c r="F129" i="4"/>
  <c r="P128" i="4"/>
  <c r="R127" i="4"/>
  <c r="T126" i="4"/>
  <c r="AD125" i="4"/>
  <c r="AB122" i="4"/>
  <c r="AG135" i="4"/>
  <c r="Y135" i="4"/>
  <c r="Q135" i="4"/>
  <c r="I135" i="4"/>
  <c r="AI134" i="4"/>
  <c r="AA134" i="4"/>
  <c r="S134" i="4"/>
  <c r="K134" i="4"/>
  <c r="AK133" i="4"/>
  <c r="AC133" i="4"/>
  <c r="U133" i="4"/>
  <c r="M133" i="4"/>
  <c r="E133" i="4"/>
  <c r="AE132" i="4"/>
  <c r="W132" i="4"/>
  <c r="O132" i="4"/>
  <c r="G132" i="4"/>
  <c r="AG131" i="4"/>
  <c r="Y131" i="4"/>
  <c r="Q131" i="4"/>
  <c r="I131" i="4"/>
  <c r="AI130" i="4"/>
  <c r="AA130" i="4"/>
  <c r="S130" i="4"/>
  <c r="K130" i="4"/>
  <c r="AK129" i="4"/>
  <c r="AC129" i="4"/>
  <c r="U129" i="4"/>
  <c r="M129" i="4"/>
  <c r="E129" i="4"/>
  <c r="AE128" i="4"/>
  <c r="W128" i="4"/>
  <c r="O128" i="4"/>
  <c r="G128" i="4"/>
  <c r="AG127" i="4"/>
  <c r="Y127" i="4"/>
  <c r="Q127" i="4"/>
  <c r="I127" i="4"/>
  <c r="AI126" i="4"/>
  <c r="AA126" i="4"/>
  <c r="S126" i="4"/>
  <c r="K126" i="4"/>
  <c r="AK125" i="4"/>
  <c r="AC125" i="4"/>
  <c r="U125" i="4"/>
  <c r="M125" i="4"/>
  <c r="E125" i="4"/>
  <c r="AE124" i="4"/>
  <c r="W124" i="4"/>
  <c r="O124" i="4"/>
  <c r="G124" i="4"/>
  <c r="AG123" i="4"/>
  <c r="Y123" i="4"/>
  <c r="Q123" i="4"/>
  <c r="I123" i="4"/>
  <c r="AI122" i="4"/>
  <c r="AA122" i="4"/>
  <c r="S122" i="4"/>
  <c r="K122" i="4"/>
  <c r="AH135" i="4"/>
  <c r="J135" i="4"/>
  <c r="L134" i="4"/>
  <c r="V133" i="4"/>
  <c r="AF132" i="4"/>
  <c r="AH131" i="4"/>
  <c r="J131" i="4"/>
  <c r="L130" i="4"/>
  <c r="V129" i="4"/>
  <c r="AF128" i="4"/>
  <c r="H128" i="4"/>
  <c r="Z127" i="4"/>
  <c r="AJ126" i="4"/>
  <c r="L126" i="4"/>
  <c r="N125" i="4"/>
  <c r="L122" i="4"/>
  <c r="AF135" i="4"/>
  <c r="X135" i="4"/>
  <c r="P135" i="4"/>
  <c r="H135" i="4"/>
  <c r="AH134" i="4"/>
  <c r="Z134" i="4"/>
  <c r="R134" i="4"/>
  <c r="J134" i="4"/>
  <c r="AJ133" i="4"/>
  <c r="AB133" i="4"/>
  <c r="T133" i="4"/>
  <c r="L133" i="4"/>
  <c r="AL132" i="4"/>
  <c r="AD132" i="4"/>
  <c r="V132" i="4"/>
  <c r="N132" i="4"/>
  <c r="F132" i="4"/>
  <c r="AF131" i="4"/>
  <c r="X131" i="4"/>
  <c r="P131" i="4"/>
  <c r="H131" i="4"/>
  <c r="AH130" i="4"/>
  <c r="Z130" i="4"/>
  <c r="R130" i="4"/>
  <c r="J130" i="4"/>
  <c r="AJ129" i="4"/>
  <c r="AB129" i="4"/>
  <c r="T129" i="4"/>
  <c r="L129" i="4"/>
  <c r="AL128" i="4"/>
  <c r="AD128" i="4"/>
  <c r="V128" i="4"/>
  <c r="N128" i="4"/>
  <c r="F128" i="4"/>
  <c r="AF127" i="4"/>
  <c r="X127" i="4"/>
  <c r="P127" i="4"/>
  <c r="H127" i="4"/>
  <c r="AH126" i="4"/>
  <c r="Z126" i="4"/>
  <c r="R126" i="4"/>
  <c r="J126" i="4"/>
  <c r="AJ125" i="4"/>
  <c r="AB125" i="4"/>
  <c r="T125" i="4"/>
  <c r="L125" i="4"/>
  <c r="AL124" i="4"/>
  <c r="AD124" i="4"/>
  <c r="V124" i="4"/>
  <c r="N124" i="4"/>
  <c r="F124" i="4"/>
  <c r="AF123" i="4"/>
  <c r="X123" i="4"/>
  <c r="P123" i="4"/>
  <c r="H123" i="4"/>
  <c r="AH122" i="4"/>
  <c r="Z122" i="4"/>
  <c r="R122" i="4"/>
  <c r="J122" i="4"/>
  <c r="R135" i="4"/>
  <c r="T134" i="4"/>
  <c r="AD133" i="4"/>
  <c r="F133" i="4"/>
  <c r="P132" i="4"/>
  <c r="Z131" i="4"/>
  <c r="T130" i="4"/>
  <c r="AD129" i="4"/>
  <c r="X128" i="4"/>
  <c r="J127" i="4"/>
  <c r="T122" i="4"/>
  <c r="AL135" i="4"/>
  <c r="AE135" i="4"/>
  <c r="W135" i="4"/>
  <c r="O135" i="4"/>
  <c r="G135" i="4"/>
  <c r="AG134" i="4"/>
  <c r="Y134" i="4"/>
  <c r="Q134" i="4"/>
  <c r="I134" i="4"/>
  <c r="AI133" i="4"/>
  <c r="AA133" i="4"/>
  <c r="S133" i="4"/>
  <c r="K133" i="4"/>
  <c r="AK132" i="4"/>
  <c r="AC132" i="4"/>
  <c r="U132" i="4"/>
  <c r="M132" i="4"/>
  <c r="E132" i="4"/>
  <c r="AE131" i="4"/>
  <c r="W131" i="4"/>
  <c r="O131" i="4"/>
  <c r="G131" i="4"/>
  <c r="AG130" i="4"/>
  <c r="Y130" i="4"/>
  <c r="Q130" i="4"/>
  <c r="I130" i="4"/>
  <c r="AI129" i="4"/>
  <c r="AA129" i="4"/>
  <c r="S129" i="4"/>
  <c r="K129" i="4"/>
  <c r="AK128" i="4"/>
  <c r="AC128" i="4"/>
  <c r="U128" i="4"/>
  <c r="M128" i="4"/>
  <c r="E128" i="4"/>
  <c r="AE127" i="4"/>
  <c r="W127" i="4"/>
  <c r="O127" i="4"/>
  <c r="G127" i="4"/>
  <c r="AG126" i="4"/>
  <c r="Y126" i="4"/>
  <c r="Q126" i="4"/>
  <c r="I126" i="4"/>
  <c r="AI125" i="4"/>
  <c r="AA125" i="4"/>
  <c r="S125" i="4"/>
  <c r="K125" i="4"/>
  <c r="AK124" i="4"/>
  <c r="AC124" i="4"/>
  <c r="U124" i="4"/>
  <c r="M124" i="4"/>
  <c r="E124" i="4"/>
  <c r="AE123" i="4"/>
  <c r="W123" i="4"/>
  <c r="O123" i="4"/>
  <c r="G123" i="4"/>
  <c r="AG122" i="4"/>
  <c r="Y122" i="4"/>
  <c r="Q122" i="4"/>
  <c r="I122" i="4"/>
  <c r="AD135" i="4"/>
  <c r="V135" i="4"/>
  <c r="N135" i="4"/>
  <c r="F135" i="4"/>
  <c r="AF134" i="4"/>
  <c r="X134" i="4"/>
  <c r="P134" i="4"/>
  <c r="H134" i="4"/>
  <c r="AH133" i="4"/>
  <c r="Z133" i="4"/>
  <c r="R133" i="4"/>
  <c r="J133" i="4"/>
  <c r="AJ132" i="4"/>
  <c r="AB132" i="4"/>
  <c r="T132" i="4"/>
  <c r="L132" i="4"/>
  <c r="AL131" i="4"/>
  <c r="AD131" i="4"/>
  <c r="V131" i="4"/>
  <c r="N131" i="4"/>
  <c r="F131" i="4"/>
  <c r="AF130" i="4"/>
  <c r="X130" i="4"/>
  <c r="P130" i="4"/>
  <c r="H130" i="4"/>
  <c r="AH129" i="4"/>
  <c r="Z129" i="4"/>
  <c r="R129" i="4"/>
  <c r="J129" i="4"/>
  <c r="AJ128" i="4"/>
  <c r="AB128" i="4"/>
  <c r="T128" i="4"/>
  <c r="L128" i="4"/>
  <c r="AL127" i="4"/>
  <c r="AD127" i="4"/>
  <c r="V127" i="4"/>
  <c r="N127" i="4"/>
  <c r="F127" i="4"/>
  <c r="AF126" i="4"/>
  <c r="X126" i="4"/>
  <c r="P126" i="4"/>
  <c r="H126" i="4"/>
  <c r="AH125" i="4"/>
  <c r="Z125" i="4"/>
  <c r="R125" i="4"/>
  <c r="J125" i="4"/>
  <c r="AJ124" i="4"/>
  <c r="AB124" i="4"/>
  <c r="T124" i="4"/>
  <c r="L124" i="4"/>
  <c r="AL123" i="4"/>
  <c r="AD123" i="4"/>
  <c r="V123" i="4"/>
  <c r="N123" i="4"/>
  <c r="F123" i="4"/>
  <c r="AF122" i="4"/>
  <c r="X122" i="4"/>
  <c r="P122" i="4"/>
  <c r="H122" i="4"/>
  <c r="AK135" i="4"/>
  <c r="AC135" i="4"/>
  <c r="U135" i="4"/>
  <c r="M135" i="4"/>
  <c r="E135" i="4"/>
  <c r="AE134" i="4"/>
  <c r="W134" i="4"/>
  <c r="O134" i="4"/>
  <c r="G134" i="4"/>
  <c r="AG133" i="4"/>
  <c r="Y133" i="4"/>
  <c r="Q133" i="4"/>
  <c r="I133" i="4"/>
  <c r="AI132" i="4"/>
  <c r="AA132" i="4"/>
  <c r="S132" i="4"/>
  <c r="K132" i="4"/>
  <c r="AK131" i="4"/>
  <c r="AC131" i="4"/>
  <c r="U131" i="4"/>
  <c r="M131" i="4"/>
  <c r="E131" i="4"/>
  <c r="AE130" i="4"/>
  <c r="W130" i="4"/>
  <c r="O130" i="4"/>
  <c r="G130" i="4"/>
  <c r="AG129" i="4"/>
  <c r="Y129" i="4"/>
  <c r="Q129" i="4"/>
  <c r="I129" i="4"/>
  <c r="AI128" i="4"/>
  <c r="AA128" i="4"/>
  <c r="S128" i="4"/>
  <c r="K128" i="4"/>
  <c r="AK127" i="4"/>
  <c r="AC127" i="4"/>
  <c r="U127" i="4"/>
  <c r="M127" i="4"/>
  <c r="E127" i="4"/>
  <c r="AE126" i="4"/>
  <c r="W126" i="4"/>
  <c r="O126" i="4"/>
  <c r="G126" i="4"/>
  <c r="AG125" i="4"/>
  <c r="Y125" i="4"/>
  <c r="Q125" i="4"/>
  <c r="I125" i="4"/>
  <c r="AI124" i="4"/>
  <c r="AA124" i="4"/>
  <c r="S124" i="4"/>
  <c r="K124" i="4"/>
  <c r="AK123" i="4"/>
  <c r="AC123" i="4"/>
  <c r="U123" i="4"/>
  <c r="M123" i="4"/>
  <c r="E123" i="4"/>
  <c r="AE122" i="4"/>
  <c r="W122" i="4"/>
  <c r="O122" i="4"/>
  <c r="G122" i="4"/>
  <c r="AJ135" i="4"/>
  <c r="AB135" i="4"/>
  <c r="T135" i="4"/>
  <c r="L135" i="4"/>
  <c r="AL134" i="4"/>
  <c r="AD134" i="4"/>
  <c r="V134" i="4"/>
  <c r="N134" i="4"/>
  <c r="F134" i="4"/>
  <c r="AF133" i="4"/>
  <c r="X133" i="4"/>
  <c r="P133" i="4"/>
  <c r="H133" i="4"/>
  <c r="AH132" i="4"/>
  <c r="Z132" i="4"/>
  <c r="R132" i="4"/>
  <c r="J132" i="4"/>
  <c r="AJ131" i="4"/>
  <c r="AB131" i="4"/>
  <c r="T131" i="4"/>
  <c r="L131" i="4"/>
  <c r="AL130" i="4"/>
  <c r="AD130" i="4"/>
  <c r="V130" i="4"/>
  <c r="N130" i="4"/>
  <c r="F130" i="4"/>
  <c r="AF129" i="4"/>
  <c r="X129" i="4"/>
  <c r="P129" i="4"/>
  <c r="H129" i="4"/>
  <c r="AH128" i="4"/>
  <c r="Z128" i="4"/>
  <c r="R128" i="4"/>
  <c r="J128" i="4"/>
  <c r="AJ127" i="4"/>
  <c r="AB127" i="4"/>
  <c r="T127" i="4"/>
  <c r="L127" i="4"/>
  <c r="AL126" i="4"/>
  <c r="AD126" i="4"/>
  <c r="V126" i="4"/>
  <c r="N126" i="4"/>
  <c r="F126" i="4"/>
  <c r="AF125" i="4"/>
  <c r="X125" i="4"/>
  <c r="P125" i="4"/>
  <c r="H125" i="4"/>
  <c r="AH124" i="4"/>
  <c r="Z124" i="4"/>
  <c r="R124" i="4"/>
  <c r="J124" i="4"/>
  <c r="AJ123" i="4"/>
  <c r="AB123" i="4"/>
  <c r="T123" i="4"/>
  <c r="L123" i="4"/>
  <c r="AL122" i="4"/>
  <c r="AD122" i="4"/>
  <c r="V122" i="4"/>
  <c r="N122" i="4"/>
  <c r="F122" i="4"/>
  <c r="AI135" i="4"/>
  <c r="AA135" i="4"/>
  <c r="S135" i="4"/>
  <c r="K135" i="4"/>
  <c r="AK134" i="4"/>
  <c r="AC134" i="4"/>
  <c r="U134" i="4"/>
  <c r="M134" i="4"/>
  <c r="E134" i="4"/>
  <c r="AE133" i="4"/>
  <c r="W133" i="4"/>
  <c r="O133" i="4"/>
  <c r="G133" i="4"/>
  <c r="AG132" i="4"/>
  <c r="Y132" i="4"/>
  <c r="Q132" i="4"/>
  <c r="I132" i="4"/>
  <c r="AI131" i="4"/>
  <c r="AA131" i="4"/>
  <c r="S131" i="4"/>
  <c r="K131" i="4"/>
  <c r="AK130" i="4"/>
  <c r="AC130" i="4"/>
  <c r="U130" i="4"/>
  <c r="M130" i="4"/>
  <c r="E130" i="4"/>
  <c r="AE129" i="4"/>
  <c r="W129" i="4"/>
  <c r="O129" i="4"/>
  <c r="G129" i="4"/>
  <c r="AG128" i="4"/>
  <c r="Y128" i="4"/>
  <c r="Q128" i="4"/>
  <c r="I128" i="4"/>
  <c r="AI127" i="4"/>
  <c r="AA127" i="4"/>
  <c r="S127" i="4"/>
  <c r="K127" i="4"/>
  <c r="AK126" i="4"/>
  <c r="AC126" i="4"/>
  <c r="U126" i="4"/>
  <c r="M126" i="4"/>
  <c r="E126" i="4"/>
  <c r="AE125" i="4"/>
  <c r="W125" i="4"/>
  <c r="O125" i="4"/>
  <c r="G125" i="4"/>
  <c r="AG124" i="4"/>
  <c r="Y124" i="4"/>
  <c r="Q124" i="4"/>
  <c r="I124" i="4"/>
  <c r="AI123" i="4"/>
  <c r="AA123" i="4"/>
  <c r="S123" i="4"/>
  <c r="K123" i="4"/>
  <c r="AK122" i="4"/>
  <c r="AC122" i="4"/>
  <c r="U122" i="4"/>
  <c r="M122" i="4"/>
  <c r="A2" i="12"/>
  <c r="A114" i="12" s="1"/>
  <c r="A115" i="12" s="1"/>
  <c r="A49" i="8"/>
  <c r="A58" i="8"/>
  <c r="A57" i="8"/>
  <c r="AC36" i="12"/>
  <c r="A50" i="8"/>
  <c r="A42" i="8"/>
  <c r="BA3" i="12"/>
  <c r="E41" i="12"/>
  <c r="C78" i="12" s="1"/>
  <c r="AA108" i="12" s="1"/>
  <c r="A41" i="8"/>
  <c r="M37" i="12"/>
  <c r="A64" i="8"/>
  <c r="A56" i="8"/>
  <c r="A48" i="8"/>
  <c r="A40" i="8"/>
  <c r="N34" i="12"/>
  <c r="AC37" i="12"/>
  <c r="A63" i="8"/>
  <c r="A55" i="8"/>
  <c r="A47" i="8"/>
  <c r="A39" i="8"/>
  <c r="AA34" i="12"/>
  <c r="A62" i="8"/>
  <c r="A54" i="8"/>
  <c r="A46" i="8"/>
  <c r="A38" i="8"/>
  <c r="A61" i="8"/>
  <c r="A53" i="8"/>
  <c r="A45" i="8"/>
  <c r="A37" i="8"/>
  <c r="A60" i="8"/>
  <c r="A52" i="8"/>
  <c r="A44" i="8"/>
  <c r="A36" i="8"/>
  <c r="I36" i="12"/>
  <c r="A59" i="8"/>
  <c r="A51" i="8"/>
  <c r="A43" i="8"/>
  <c r="A35" i="8"/>
  <c r="E41" i="11"/>
  <c r="C78" i="11" s="1"/>
  <c r="BA4" i="11"/>
  <c r="A25" i="8"/>
  <c r="A17" i="8"/>
  <c r="A9" i="8"/>
  <c r="BA3" i="11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R34" i="12"/>
  <c r="AD34" i="12"/>
  <c r="E36" i="12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AF92" i="12"/>
  <c r="S82" i="12"/>
  <c r="I97" i="12"/>
  <c r="Y80" i="12"/>
  <c r="AG87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U108" i="11"/>
  <c r="Q106" i="11"/>
  <c r="U104" i="11"/>
  <c r="Q102" i="11"/>
  <c r="U100" i="11"/>
  <c r="T108" i="11"/>
  <c r="P106" i="11"/>
  <c r="AB104" i="11"/>
  <c r="X102" i="11"/>
  <c r="AJ100" i="11"/>
  <c r="AF98" i="11"/>
  <c r="I107" i="11"/>
  <c r="M105" i="11"/>
  <c r="I103" i="11"/>
  <c r="M101" i="11"/>
  <c r="I99" i="11"/>
  <c r="AG108" i="11"/>
  <c r="AK102" i="11"/>
  <c r="M102" i="11"/>
  <c r="AG100" i="11"/>
  <c r="I100" i="11"/>
  <c r="AK98" i="11"/>
  <c r="M98" i="11"/>
  <c r="AF108" i="11"/>
  <c r="H108" i="11"/>
  <c r="F107" i="11"/>
  <c r="T106" i="11"/>
  <c r="J105" i="11"/>
  <c r="P104" i="11"/>
  <c r="N103" i="11"/>
  <c r="R101" i="11"/>
  <c r="X100" i="11"/>
  <c r="V99" i="11"/>
  <c r="AJ98" i="11"/>
  <c r="O108" i="11"/>
  <c r="AC107" i="11"/>
  <c r="S106" i="11"/>
  <c r="O104" i="11"/>
  <c r="AC103" i="11"/>
  <c r="S102" i="11"/>
  <c r="Y101" i="11"/>
  <c r="O100" i="11"/>
  <c r="AC99" i="11"/>
  <c r="S98" i="11"/>
  <c r="O96" i="11"/>
  <c r="AC95" i="11"/>
  <c r="AJ105" i="11"/>
  <c r="V102" i="11"/>
  <c r="X97" i="11"/>
  <c r="N96" i="11"/>
  <c r="S94" i="11"/>
  <c r="O92" i="11"/>
  <c r="AC91" i="11"/>
  <c r="S90" i="11"/>
  <c r="Y89" i="11"/>
  <c r="O88" i="11"/>
  <c r="AC87" i="11"/>
  <c r="S86" i="11"/>
  <c r="O84" i="11"/>
  <c r="T107" i="11"/>
  <c r="L103" i="11"/>
  <c r="AD100" i="11"/>
  <c r="AA96" i="11"/>
  <c r="Q95" i="11"/>
  <c r="AF93" i="11"/>
  <c r="N102" i="11"/>
  <c r="AF99" i="11"/>
  <c r="Z96" i="11"/>
  <c r="P95" i="11"/>
  <c r="AE93" i="11"/>
  <c r="G93" i="11"/>
  <c r="AI91" i="11"/>
  <c r="AE89" i="11"/>
  <c r="G89" i="11"/>
  <c r="AI87" i="11"/>
  <c r="K87" i="11"/>
  <c r="AE85" i="11"/>
  <c r="G85" i="11"/>
  <c r="AI83" i="11"/>
  <c r="K83" i="11"/>
  <c r="AE81" i="11"/>
  <c r="AD108" i="11"/>
  <c r="AJ103" i="11"/>
  <c r="V100" i="11"/>
  <c r="R97" i="11"/>
  <c r="AD95" i="11"/>
  <c r="H94" i="11"/>
  <c r="V108" i="11"/>
  <c r="AF103" i="11"/>
  <c r="L101" i="11"/>
  <c r="AF97" i="11"/>
  <c r="V96" i="11"/>
  <c r="W94" i="11"/>
  <c r="AK93" i="11"/>
  <c r="AA92" i="11"/>
  <c r="AG91" i="11"/>
  <c r="W90" i="11"/>
  <c r="AK89" i="11"/>
  <c r="AA88" i="11"/>
  <c r="AG87" i="11"/>
  <c r="W86" i="11"/>
  <c r="AK85" i="11"/>
  <c r="AA84" i="11"/>
  <c r="AG83" i="11"/>
  <c r="AB103" i="11"/>
  <c r="H101" i="11"/>
  <c r="N100" i="11"/>
  <c r="M97" i="11"/>
  <c r="S96" i="11"/>
  <c r="Y95" i="11"/>
  <c r="N94" i="11"/>
  <c r="AJ93" i="11"/>
  <c r="AB93" i="11"/>
  <c r="R92" i="11"/>
  <c r="AF91" i="11"/>
  <c r="X91" i="11"/>
  <c r="V90" i="11"/>
  <c r="F90" i="11"/>
  <c r="AJ89" i="11"/>
  <c r="Z88" i="11"/>
  <c r="J88" i="11"/>
  <c r="AF87" i="11"/>
  <c r="AD86" i="11"/>
  <c r="N86" i="11"/>
  <c r="F86" i="11"/>
  <c r="AJ85" i="11"/>
  <c r="AH84" i="11"/>
  <c r="R84" i="11"/>
  <c r="J84" i="11"/>
  <c r="AF83" i="11"/>
  <c r="AL82" i="11"/>
  <c r="V82" i="11"/>
  <c r="N82" i="11"/>
  <c r="F82" i="11"/>
  <c r="F108" i="11"/>
  <c r="F106" i="11"/>
  <c r="L105" i="11"/>
  <c r="R104" i="11"/>
  <c r="J100" i="11"/>
  <c r="W98" i="11"/>
  <c r="F98" i="11"/>
  <c r="AB97" i="11"/>
  <c r="X95" i="11"/>
  <c r="AK94" i="11"/>
  <c r="AC94" i="11"/>
  <c r="U94" i="11"/>
  <c r="S93" i="11"/>
  <c r="AG92" i="11"/>
  <c r="Y92" i="11"/>
  <c r="Q92" i="11"/>
  <c r="AE91" i="11"/>
  <c r="O91" i="11"/>
  <c r="AK90" i="11"/>
  <c r="AC90" i="11"/>
  <c r="U90" i="11"/>
  <c r="AI89" i="11"/>
  <c r="AA89" i="11"/>
  <c r="S89" i="11"/>
  <c r="K89" i="11"/>
  <c r="AG88" i="11"/>
  <c r="Y88" i="11"/>
  <c r="Q88" i="11"/>
  <c r="I88" i="11"/>
  <c r="AE87" i="11"/>
  <c r="W87" i="11"/>
  <c r="O87" i="11"/>
  <c r="G87" i="11"/>
  <c r="AK86" i="11"/>
  <c r="AC86" i="11"/>
  <c r="U86" i="11"/>
  <c r="M86" i="11"/>
  <c r="AI85" i="11"/>
  <c r="AA85" i="11"/>
  <c r="S85" i="11"/>
  <c r="K85" i="11"/>
  <c r="AG84" i="11"/>
  <c r="Y84" i="11"/>
  <c r="Q84" i="11"/>
  <c r="I84" i="11"/>
  <c r="AE83" i="11"/>
  <c r="W83" i="11"/>
  <c r="O83" i="11"/>
  <c r="G83" i="11"/>
  <c r="AK82" i="11"/>
  <c r="AC82" i="11"/>
  <c r="U82" i="11"/>
  <c r="M82" i="11"/>
  <c r="AI81" i="11"/>
  <c r="AA81" i="11"/>
  <c r="S81" i="11"/>
  <c r="AJ107" i="11"/>
  <c r="AH106" i="11"/>
  <c r="H105" i="11"/>
  <c r="N104" i="11"/>
  <c r="T103" i="11"/>
  <c r="Z102" i="11"/>
  <c r="AF101" i="11"/>
  <c r="AL100" i="11"/>
  <c r="F100" i="11"/>
  <c r="L99" i="11"/>
  <c r="V98" i="11"/>
  <c r="Z97" i="11"/>
  <c r="J97" i="11"/>
  <c r="AF96" i="11"/>
  <c r="P96" i="11"/>
  <c r="AL95" i="11"/>
  <c r="V95" i="11"/>
  <c r="F95" i="11"/>
  <c r="AJ94" i="11"/>
  <c r="AB94" i="11"/>
  <c r="T94" i="11"/>
  <c r="L94" i="11"/>
  <c r="AH93" i="11"/>
  <c r="Z93" i="11"/>
  <c r="R93" i="11"/>
  <c r="J93" i="11"/>
  <c r="AF92" i="11"/>
  <c r="X92" i="11"/>
  <c r="P92" i="11"/>
  <c r="H92" i="11"/>
  <c r="AL91" i="11"/>
  <c r="AD91" i="11"/>
  <c r="V91" i="11"/>
  <c r="N91" i="11"/>
  <c r="F91" i="11"/>
  <c r="AJ90" i="11"/>
  <c r="AB90" i="11"/>
  <c r="T90" i="11"/>
  <c r="L90" i="11"/>
  <c r="AH89" i="11"/>
  <c r="Z89" i="11"/>
  <c r="R89" i="11"/>
  <c r="J89" i="11"/>
  <c r="AF88" i="11"/>
  <c r="X88" i="11"/>
  <c r="P88" i="11"/>
  <c r="H88" i="11"/>
  <c r="AL87" i="11"/>
  <c r="AD87" i="11"/>
  <c r="V87" i="11"/>
  <c r="N87" i="11"/>
  <c r="F87" i="11"/>
  <c r="AJ86" i="11"/>
  <c r="AB86" i="11"/>
  <c r="T86" i="11"/>
  <c r="L86" i="11"/>
  <c r="AH85" i="11"/>
  <c r="Z85" i="11"/>
  <c r="R85" i="11"/>
  <c r="J85" i="11"/>
  <c r="AF84" i="11"/>
  <c r="X84" i="11"/>
  <c r="P84" i="11"/>
  <c r="H84" i="11"/>
  <c r="AL83" i="11"/>
  <c r="AD83" i="11"/>
  <c r="V83" i="11"/>
  <c r="N83" i="11"/>
  <c r="F83" i="11"/>
  <c r="AJ82" i="11"/>
  <c r="AB82" i="11"/>
  <c r="T82" i="11"/>
  <c r="AJ92" i="11"/>
  <c r="J91" i="11"/>
  <c r="P90" i="11"/>
  <c r="V89" i="11"/>
  <c r="AB88" i="11"/>
  <c r="AH87" i="11"/>
  <c r="H86" i="11"/>
  <c r="N85" i="11"/>
  <c r="T84" i="11"/>
  <c r="AB83" i="11"/>
  <c r="L83" i="11"/>
  <c r="AH82" i="11"/>
  <c r="R82" i="11"/>
  <c r="AD81" i="11"/>
  <c r="Q81" i="11"/>
  <c r="H81" i="11"/>
  <c r="AL80" i="11"/>
  <c r="AD80" i="11"/>
  <c r="V80" i="11"/>
  <c r="N80" i="11"/>
  <c r="F80" i="11"/>
  <c r="AD92" i="11"/>
  <c r="AJ91" i="11"/>
  <c r="J90" i="11"/>
  <c r="P89" i="11"/>
  <c r="V88" i="11"/>
  <c r="AB87" i="11"/>
  <c r="AH86" i="11"/>
  <c r="H85" i="11"/>
  <c r="N84" i="11"/>
  <c r="Z83" i="11"/>
  <c r="J83" i="11"/>
  <c r="AF82" i="11"/>
  <c r="P82" i="11"/>
  <c r="AC81" i="11"/>
  <c r="P81" i="11"/>
  <c r="G81" i="11"/>
  <c r="AK80" i="11"/>
  <c r="AC80" i="11"/>
  <c r="U80" i="11"/>
  <c r="M80" i="11"/>
  <c r="V93" i="11"/>
  <c r="AB92" i="11"/>
  <c r="AH91" i="11"/>
  <c r="H90" i="11"/>
  <c r="N89" i="11"/>
  <c r="T88" i="11"/>
  <c r="Z87" i="11"/>
  <c r="AF86" i="11"/>
  <c r="AL85" i="11"/>
  <c r="F85" i="11"/>
  <c r="L84" i="11"/>
  <c r="Y83" i="11"/>
  <c r="I83" i="11"/>
  <c r="AE82" i="11"/>
  <c r="O82" i="11"/>
  <c r="Z81" i="11"/>
  <c r="N81" i="11"/>
  <c r="F81" i="11"/>
  <c r="AJ80" i="11"/>
  <c r="AB80" i="11"/>
  <c r="T80" i="11"/>
  <c r="L80" i="11"/>
  <c r="P93" i="11"/>
  <c r="V92" i="11"/>
  <c r="AB91" i="11"/>
  <c r="AH90" i="11"/>
  <c r="H89" i="11"/>
  <c r="N88" i="11"/>
  <c r="T87" i="11"/>
  <c r="Z86" i="11"/>
  <c r="AF85" i="11"/>
  <c r="AL84" i="11"/>
  <c r="F84" i="11"/>
  <c r="U83" i="11"/>
  <c r="AA82" i="11"/>
  <c r="L82" i="11"/>
  <c r="AL81" i="11"/>
  <c r="Y81" i="11"/>
  <c r="M81" i="11"/>
  <c r="AI80" i="11"/>
  <c r="AA80" i="11"/>
  <c r="S80" i="11"/>
  <c r="K80" i="11"/>
  <c r="N93" i="11"/>
  <c r="T92" i="11"/>
  <c r="Z91" i="11"/>
  <c r="AF90" i="11"/>
  <c r="AL89" i="11"/>
  <c r="F89" i="11"/>
  <c r="L88" i="11"/>
  <c r="R87" i="11"/>
  <c r="X86" i="11"/>
  <c r="AD85" i="11"/>
  <c r="AJ84" i="11"/>
  <c r="T83" i="11"/>
  <c r="Z82" i="11"/>
  <c r="K82" i="11"/>
  <c r="AK81" i="11"/>
  <c r="X81" i="11"/>
  <c r="L81" i="11"/>
  <c r="AH80" i="11"/>
  <c r="Z80" i="11"/>
  <c r="R80" i="11"/>
  <c r="J80" i="11"/>
  <c r="H93" i="11"/>
  <c r="N92" i="11"/>
  <c r="T91" i="11"/>
  <c r="Z90" i="11"/>
  <c r="AF89" i="11"/>
  <c r="AL88" i="11"/>
  <c r="F88" i="11"/>
  <c r="L87" i="11"/>
  <c r="R86" i="11"/>
  <c r="X85" i="11"/>
  <c r="AD84" i="11"/>
  <c r="AJ83" i="11"/>
  <c r="R83" i="11"/>
  <c r="X82" i="11"/>
  <c r="J82" i="11"/>
  <c r="AH81" i="11"/>
  <c r="V81" i="11"/>
  <c r="K81" i="11"/>
  <c r="AG80" i="11"/>
  <c r="Y80" i="11"/>
  <c r="Q80" i="11"/>
  <c r="I80" i="11"/>
  <c r="F93" i="11"/>
  <c r="L92" i="11"/>
  <c r="R91" i="11"/>
  <c r="X90" i="11"/>
  <c r="AD89" i="11"/>
  <c r="AJ88" i="11"/>
  <c r="J87" i="11"/>
  <c r="P86" i="11"/>
  <c r="V85" i="11"/>
  <c r="AB84" i="11"/>
  <c r="AH83" i="11"/>
  <c r="Q83" i="11"/>
  <c r="W82" i="11"/>
  <c r="H82" i="11"/>
  <c r="AG81" i="11"/>
  <c r="U81" i="11"/>
  <c r="J81" i="11"/>
  <c r="AF80" i="11"/>
  <c r="X80" i="11"/>
  <c r="P80" i="11"/>
  <c r="H80" i="11"/>
  <c r="AJ87" i="11"/>
  <c r="S82" i="11"/>
  <c r="O80" i="11"/>
  <c r="G82" i="11"/>
  <c r="G80" i="11"/>
  <c r="AL92" i="11"/>
  <c r="J86" i="11"/>
  <c r="AF81" i="11"/>
  <c r="F92" i="11"/>
  <c r="P85" i="11"/>
  <c r="R81" i="11"/>
  <c r="L91" i="11"/>
  <c r="V84" i="11"/>
  <c r="I81" i="11"/>
  <c r="R90" i="11"/>
  <c r="AC83" i="11"/>
  <c r="X89" i="11"/>
  <c r="M83" i="11"/>
  <c r="AE80" i="11"/>
  <c r="AD88" i="11"/>
  <c r="AI82" i="11"/>
  <c r="W80" i="11"/>
  <c r="A80" i="11"/>
  <c r="A89" i="11"/>
  <c r="A105" i="11"/>
  <c r="I34" i="11"/>
  <c r="Q34" i="11"/>
  <c r="Y34" i="11"/>
  <c r="AG34" i="11"/>
  <c r="F35" i="11"/>
  <c r="N35" i="11"/>
  <c r="V35" i="11"/>
  <c r="AD35" i="11"/>
  <c r="AL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M36" i="11"/>
  <c r="U36" i="11"/>
  <c r="AC36" i="11"/>
  <c r="AL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L37" i="11"/>
  <c r="AD37" i="11"/>
  <c r="V37" i="11"/>
  <c r="N37" i="11"/>
  <c r="F37" i="11"/>
  <c r="Q37" i="11"/>
  <c r="AC37" i="11"/>
  <c r="A91" i="11"/>
  <c r="A103" i="11"/>
  <c r="E34" i="1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S37" i="11"/>
  <c r="AF37" i="11"/>
  <c r="A81" i="11"/>
  <c r="A93" i="11"/>
  <c r="A101" i="11"/>
  <c r="F34" i="11"/>
  <c r="N34" i="11"/>
  <c r="V34" i="11"/>
  <c r="AD34" i="11"/>
  <c r="AL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98" i="8"/>
  <c r="A99" i="8" s="1"/>
  <c r="B98" i="8"/>
  <c r="W84" i="12" l="1"/>
  <c r="AD90" i="12"/>
  <c r="G82" i="12"/>
  <c r="I90" i="12"/>
  <c r="U87" i="12"/>
  <c r="AD83" i="12"/>
  <c r="W83" i="12"/>
  <c r="N90" i="12"/>
  <c r="Z86" i="12"/>
  <c r="W91" i="12"/>
  <c r="G80" i="12"/>
  <c r="U95" i="12"/>
  <c r="S97" i="12"/>
  <c r="AJ82" i="12"/>
  <c r="T81" i="12"/>
  <c r="K83" i="12"/>
  <c r="M85" i="12"/>
  <c r="Z85" i="12"/>
  <c r="Y96" i="12"/>
  <c r="X91" i="12"/>
  <c r="M105" i="12"/>
  <c r="AL86" i="12"/>
  <c r="F84" i="12"/>
  <c r="N94" i="12"/>
  <c r="X90" i="12"/>
  <c r="M108" i="11"/>
  <c r="I106" i="11"/>
  <c r="M104" i="11"/>
  <c r="I102" i="11"/>
  <c r="M100" i="11"/>
  <c r="I98" i="11"/>
  <c r="M96" i="11"/>
  <c r="L108" i="11"/>
  <c r="H106" i="11"/>
  <c r="T104" i="11"/>
  <c r="P102" i="11"/>
  <c r="AB100" i="11"/>
  <c r="X98" i="11"/>
  <c r="AJ96" i="11"/>
  <c r="AI108" i="11"/>
  <c r="AE106" i="11"/>
  <c r="AI104" i="11"/>
  <c r="AE102" i="11"/>
  <c r="AI100" i="11"/>
  <c r="AE98" i="11"/>
  <c r="Y108" i="11"/>
  <c r="AC106" i="11"/>
  <c r="Y104" i="11"/>
  <c r="AC102" i="11"/>
  <c r="Y100" i="11"/>
  <c r="AC98" i="11"/>
  <c r="Y96" i="11"/>
  <c r="X108" i="11"/>
  <c r="AJ106" i="11"/>
  <c r="AF104" i="11"/>
  <c r="F103" i="11"/>
  <c r="J101" i="11"/>
  <c r="N99" i="11"/>
  <c r="G108" i="11"/>
  <c r="K106" i="11"/>
  <c r="G104" i="11"/>
  <c r="K102" i="11"/>
  <c r="G100" i="11"/>
  <c r="K98" i="11"/>
  <c r="G96" i="11"/>
  <c r="J104" i="11"/>
  <c r="H97" i="11"/>
  <c r="K94" i="11"/>
  <c r="G92" i="11"/>
  <c r="K90" i="11"/>
  <c r="G88" i="11"/>
  <c r="K86" i="11"/>
  <c r="G84" i="11"/>
  <c r="R102" i="11"/>
  <c r="K96" i="11"/>
  <c r="X93" i="11"/>
  <c r="T101" i="11"/>
  <c r="J96" i="11"/>
  <c r="W93" i="11"/>
  <c r="AA91" i="11"/>
  <c r="W89" i="11"/>
  <c r="AA87" i="11"/>
  <c r="W85" i="11"/>
  <c r="AA83" i="11"/>
  <c r="W81" i="11"/>
  <c r="J102" i="11"/>
  <c r="X96" i="11"/>
  <c r="AL93" i="11"/>
  <c r="AL102" i="11"/>
  <c r="P97" i="11"/>
  <c r="O94" i="11"/>
  <c r="S92" i="11"/>
  <c r="O90" i="11"/>
  <c r="S88" i="11"/>
  <c r="O86" i="11"/>
  <c r="S84" i="11"/>
  <c r="AH102" i="11"/>
  <c r="AI96" i="11"/>
  <c r="F94" i="11"/>
  <c r="J92" i="11"/>
  <c r="N90" i="11"/>
  <c r="R88" i="11"/>
  <c r="V86" i="11"/>
  <c r="Z84" i="11"/>
  <c r="AD82" i="11"/>
  <c r="AL106" i="11"/>
  <c r="P99" i="11"/>
  <c r="H95" i="11"/>
  <c r="K93" i="11"/>
  <c r="G91" i="11"/>
  <c r="AI107" i="11"/>
  <c r="AE105" i="11"/>
  <c r="AI103" i="11"/>
  <c r="AE101" i="11"/>
  <c r="AI99" i="11"/>
  <c r="AE97" i="11"/>
  <c r="AI95" i="11"/>
  <c r="AH107" i="11"/>
  <c r="AL105" i="11"/>
  <c r="L104" i="11"/>
  <c r="H102" i="11"/>
  <c r="T100" i="11"/>
  <c r="P98" i="11"/>
  <c r="AB96" i="11"/>
  <c r="AA108" i="11"/>
  <c r="W106" i="11"/>
  <c r="AA104" i="11"/>
  <c r="W102" i="11"/>
  <c r="AA100" i="11"/>
  <c r="AH108" i="11"/>
  <c r="Q108" i="11"/>
  <c r="U106" i="11"/>
  <c r="Q104" i="11"/>
  <c r="U102" i="11"/>
  <c r="Q100" i="11"/>
  <c r="U98" i="11"/>
  <c r="Q96" i="11"/>
  <c r="P108" i="11"/>
  <c r="AB106" i="11"/>
  <c r="X104" i="11"/>
  <c r="AJ102" i="11"/>
  <c r="AF100" i="11"/>
  <c r="F99" i="11"/>
  <c r="AK107" i="11"/>
  <c r="AG105" i="11"/>
  <c r="AK103" i="11"/>
  <c r="AG101" i="11"/>
  <c r="AK99" i="11"/>
  <c r="AG97" i="11"/>
  <c r="AK95" i="11"/>
  <c r="P103" i="11"/>
  <c r="AD96" i="11"/>
  <c r="AG93" i="11"/>
  <c r="AK91" i="11"/>
  <c r="AG89" i="11"/>
  <c r="AK87" i="11"/>
  <c r="AG85" i="11"/>
  <c r="AK83" i="11"/>
  <c r="X101" i="11"/>
  <c r="AG95" i="11"/>
  <c r="AL108" i="11"/>
  <c r="Z100" i="11"/>
  <c r="AF95" i="11"/>
  <c r="O93" i="11"/>
  <c r="S91" i="11"/>
  <c r="O89" i="11"/>
  <c r="S87" i="11"/>
  <c r="O85" i="11"/>
  <c r="S83" i="11"/>
  <c r="O81" i="11"/>
  <c r="P101" i="11"/>
  <c r="H96" i="11"/>
  <c r="AD93" i="11"/>
  <c r="F102" i="11"/>
  <c r="AL96" i="11"/>
  <c r="G94" i="11"/>
  <c r="K92" i="11"/>
  <c r="G90" i="11"/>
  <c r="K88" i="11"/>
  <c r="G86" i="11"/>
  <c r="K84" i="11"/>
  <c r="AA107" i="11"/>
  <c r="W105" i="11"/>
  <c r="AA103" i="11"/>
  <c r="W101" i="11"/>
  <c r="AA99" i="11"/>
  <c r="W97" i="11"/>
  <c r="AA95" i="11"/>
  <c r="Z107" i="11"/>
  <c r="AD105" i="11"/>
  <c r="AH103" i="11"/>
  <c r="AL101" i="11"/>
  <c r="L100" i="11"/>
  <c r="H98" i="11"/>
  <c r="T96" i="11"/>
  <c r="S108" i="11"/>
  <c r="O106" i="11"/>
  <c r="S104" i="11"/>
  <c r="O102" i="11"/>
  <c r="S100" i="11"/>
  <c r="Z108" i="11"/>
  <c r="I108" i="11"/>
  <c r="M106" i="11"/>
  <c r="I104" i="11"/>
  <c r="S107" i="11"/>
  <c r="O105" i="11"/>
  <c r="S103" i="11"/>
  <c r="O101" i="11"/>
  <c r="S99" i="11"/>
  <c r="O97" i="11"/>
  <c r="S95" i="11"/>
  <c r="R107" i="11"/>
  <c r="V105" i="11"/>
  <c r="Z103" i="11"/>
  <c r="AD101" i="11"/>
  <c r="AH99" i="11"/>
  <c r="AL97" i="11"/>
  <c r="L96" i="11"/>
  <c r="K108" i="11"/>
  <c r="G106" i="11"/>
  <c r="K104" i="11"/>
  <c r="G102" i="11"/>
  <c r="K100" i="11"/>
  <c r="R108" i="11"/>
  <c r="AE107" i="11"/>
  <c r="AI105" i="11"/>
  <c r="AE103" i="11"/>
  <c r="AI101" i="11"/>
  <c r="AE99" i="11"/>
  <c r="AI97" i="11"/>
  <c r="AE95" i="11"/>
  <c r="AL107" i="11"/>
  <c r="L106" i="11"/>
  <c r="H104" i="11"/>
  <c r="T102" i="11"/>
  <c r="P100" i="11"/>
  <c r="AB98" i="11"/>
  <c r="U107" i="11"/>
  <c r="Q105" i="11"/>
  <c r="U103" i="11"/>
  <c r="Q101" i="11"/>
  <c r="U99" i="11"/>
  <c r="Q97" i="11"/>
  <c r="U95" i="11"/>
  <c r="AB101" i="11"/>
  <c r="AJ95" i="11"/>
  <c r="Q93" i="11"/>
  <c r="U91" i="11"/>
  <c r="Q89" i="11"/>
  <c r="U87" i="11"/>
  <c r="Q85" i="11"/>
  <c r="Z106" i="11"/>
  <c r="AJ99" i="11"/>
  <c r="AH94" i="11"/>
  <c r="V106" i="11"/>
  <c r="AL98" i="11"/>
  <c r="AG94" i="11"/>
  <c r="AK92" i="11"/>
  <c r="AG90" i="11"/>
  <c r="AK88" i="11"/>
  <c r="AG86" i="11"/>
  <c r="AK84" i="11"/>
  <c r="AG82" i="11"/>
  <c r="L107" i="11"/>
  <c r="AB99" i="11"/>
  <c r="N95" i="11"/>
  <c r="H107" i="11"/>
  <c r="R100" i="11"/>
  <c r="F96" i="11"/>
  <c r="AC93" i="11"/>
  <c r="Y91" i="11"/>
  <c r="AC89" i="11"/>
  <c r="Y87" i="11"/>
  <c r="AC85" i="11"/>
  <c r="N108" i="11"/>
  <c r="T99" i="11"/>
  <c r="I95" i="11"/>
  <c r="T93" i="11"/>
  <c r="P91" i="11"/>
  <c r="AB89" i="11"/>
  <c r="X87" i="11"/>
  <c r="K107" i="11"/>
  <c r="G105" i="11"/>
  <c r="K103" i="11"/>
  <c r="G101" i="11"/>
  <c r="K99" i="11"/>
  <c r="G97" i="11"/>
  <c r="K95" i="11"/>
  <c r="J107" i="11"/>
  <c r="N105" i="11"/>
  <c r="R103" i="11"/>
  <c r="V101" i="11"/>
  <c r="Z99" i="11"/>
  <c r="AD97" i="11"/>
  <c r="AH95" i="11"/>
  <c r="AG107" i="11"/>
  <c r="AK105" i="11"/>
  <c r="AG103" i="11"/>
  <c r="AK101" i="11"/>
  <c r="AG99" i="11"/>
  <c r="J108" i="11"/>
  <c r="W107" i="11"/>
  <c r="AA105" i="11"/>
  <c r="W103" i="11"/>
  <c r="AA101" i="11"/>
  <c r="W99" i="11"/>
  <c r="AA97" i="11"/>
  <c r="W95" i="11"/>
  <c r="AD107" i="11"/>
  <c r="AH105" i="11"/>
  <c r="AL103" i="11"/>
  <c r="L102" i="11"/>
  <c r="H100" i="11"/>
  <c r="T98" i="11"/>
  <c r="M107" i="11"/>
  <c r="I105" i="11"/>
  <c r="M103" i="11"/>
  <c r="I101" i="11"/>
  <c r="M99" i="11"/>
  <c r="I97" i="11"/>
  <c r="M95" i="11"/>
  <c r="AH100" i="11"/>
  <c r="T95" i="11"/>
  <c r="I93" i="11"/>
  <c r="M91" i="11"/>
  <c r="I89" i="11"/>
  <c r="M87" i="11"/>
  <c r="I85" i="11"/>
  <c r="AF105" i="11"/>
  <c r="O98" i="11"/>
  <c r="Z94" i="11"/>
  <c r="AB105" i="11"/>
  <c r="N98" i="11"/>
  <c r="Y94" i="11"/>
  <c r="AC92" i="11"/>
  <c r="Y90" i="11"/>
  <c r="AC88" i="11"/>
  <c r="Y86" i="11"/>
  <c r="AC84" i="11"/>
  <c r="Y82" i="11"/>
  <c r="R106" i="11"/>
  <c r="AH98" i="11"/>
  <c r="AF94" i="11"/>
  <c r="N106" i="11"/>
  <c r="X99" i="11"/>
  <c r="AB95" i="11"/>
  <c r="U93" i="11"/>
  <c r="Q91" i="11"/>
  <c r="U89" i="11"/>
  <c r="Q87" i="11"/>
  <c r="U85" i="11"/>
  <c r="J106" i="11"/>
  <c r="Z98" i="11"/>
  <c r="AL94" i="11"/>
  <c r="L93" i="11"/>
  <c r="H91" i="11"/>
  <c r="T89" i="11"/>
  <c r="P87" i="11"/>
  <c r="AB85" i="11"/>
  <c r="X83" i="11"/>
  <c r="AJ81" i="11"/>
  <c r="X103" i="11"/>
  <c r="L97" i="11"/>
  <c r="M94" i="11"/>
  <c r="I92" i="11"/>
  <c r="M90" i="11"/>
  <c r="AK108" i="11"/>
  <c r="AG106" i="11"/>
  <c r="AK104" i="11"/>
  <c r="AG102" i="11"/>
  <c r="AK100" i="11"/>
  <c r="AG98" i="11"/>
  <c r="AK96" i="11"/>
  <c r="AJ108" i="11"/>
  <c r="AF106" i="11"/>
  <c r="F105" i="11"/>
  <c r="J103" i="11"/>
  <c r="N101" i="11"/>
  <c r="R99" i="11"/>
  <c r="V97" i="11"/>
  <c r="Z95" i="11"/>
  <c r="Y107" i="11"/>
  <c r="AC105" i="11"/>
  <c r="Y103" i="11"/>
  <c r="AC101" i="11"/>
  <c r="Y99" i="11"/>
  <c r="AF107" i="11"/>
  <c r="O107" i="11"/>
  <c r="S105" i="11"/>
  <c r="O103" i="11"/>
  <c r="S101" i="11"/>
  <c r="O99" i="11"/>
  <c r="S97" i="11"/>
  <c r="O95" i="11"/>
  <c r="V107" i="11"/>
  <c r="Z105" i="11"/>
  <c r="AD103" i="11"/>
  <c r="AH101" i="11"/>
  <c r="AL99" i="11"/>
  <c r="AE108" i="11"/>
  <c r="AI106" i="11"/>
  <c r="AE104" i="11"/>
  <c r="AI102" i="11"/>
  <c r="AE100" i="11"/>
  <c r="AI98" i="11"/>
  <c r="AE96" i="11"/>
  <c r="AB107" i="11"/>
  <c r="H99" i="11"/>
  <c r="AI94" i="11"/>
  <c r="AE92" i="11"/>
  <c r="AI90" i="11"/>
  <c r="AE88" i="11"/>
  <c r="AI86" i="11"/>
  <c r="AE84" i="11"/>
  <c r="AL104" i="11"/>
  <c r="AK97" i="11"/>
  <c r="R94" i="11"/>
  <c r="AH104" i="11"/>
  <c r="AJ97" i="11"/>
  <c r="Q94" i="11"/>
  <c r="U92" i="11"/>
  <c r="Q90" i="11"/>
  <c r="U88" i="11"/>
  <c r="Q86" i="11"/>
  <c r="U84" i="11"/>
  <c r="Q82" i="11"/>
  <c r="X105" i="11"/>
  <c r="L98" i="11"/>
  <c r="X94" i="11"/>
  <c r="T105" i="11"/>
  <c r="AD98" i="11"/>
  <c r="L95" i="11"/>
  <c r="M93" i="11"/>
  <c r="I91" i="11"/>
  <c r="M89" i="11"/>
  <c r="I87" i="11"/>
  <c r="M85" i="11"/>
  <c r="P105" i="11"/>
  <c r="G98" i="11"/>
  <c r="AD94" i="11"/>
  <c r="AH92" i="11"/>
  <c r="AL90" i="11"/>
  <c r="L89" i="11"/>
  <c r="H87" i="11"/>
  <c r="T85" i="11"/>
  <c r="P83" i="11"/>
  <c r="AB81" i="11"/>
  <c r="AD102" i="11"/>
  <c r="AH96" i="11"/>
  <c r="AI93" i="11"/>
  <c r="AC108" i="11"/>
  <c r="Y106" i="11"/>
  <c r="AC104" i="11"/>
  <c r="Y102" i="11"/>
  <c r="AC100" i="11"/>
  <c r="Y98" i="11"/>
  <c r="AC96" i="11"/>
  <c r="AB108" i="11"/>
  <c r="X106" i="11"/>
  <c r="AJ104" i="11"/>
  <c r="AF102" i="11"/>
  <c r="F101" i="11"/>
  <c r="J99" i="11"/>
  <c r="N97" i="11"/>
  <c r="R95" i="11"/>
  <c r="Q107" i="11"/>
  <c r="U105" i="11"/>
  <c r="Q103" i="11"/>
  <c r="U101" i="11"/>
  <c r="Q99" i="11"/>
  <c r="X107" i="11"/>
  <c r="G107" i="11"/>
  <c r="K105" i="11"/>
  <c r="G103" i="11"/>
  <c r="K101" i="11"/>
  <c r="G99" i="11"/>
  <c r="K97" i="11"/>
  <c r="G95" i="11"/>
  <c r="N107" i="11"/>
  <c r="R105" i="11"/>
  <c r="V103" i="11"/>
  <c r="Z101" i="11"/>
  <c r="AD99" i="11"/>
  <c r="W108" i="11"/>
  <c r="AA106" i="11"/>
  <c r="W104" i="11"/>
  <c r="AA102" i="11"/>
  <c r="W100" i="11"/>
  <c r="AA98" i="11"/>
  <c r="W96" i="11"/>
  <c r="AD106" i="11"/>
  <c r="R98" i="11"/>
  <c r="AA94" i="11"/>
  <c r="W92" i="11"/>
  <c r="AA90" i="11"/>
  <c r="W88" i="11"/>
  <c r="AA86" i="11"/>
  <c r="W84" i="11"/>
  <c r="F104" i="11"/>
  <c r="U97" i="11"/>
  <c r="J94" i="11"/>
  <c r="H103" i="11"/>
  <c r="T97" i="11"/>
  <c r="I94" i="11"/>
  <c r="M92" i="11"/>
  <c r="I90" i="11"/>
  <c r="M88" i="11"/>
  <c r="I86" i="11"/>
  <c r="M84" i="11"/>
  <c r="I82" i="11"/>
  <c r="AD104" i="11"/>
  <c r="AH97" i="11"/>
  <c r="P94" i="11"/>
  <c r="Z104" i="11"/>
  <c r="J98" i="11"/>
  <c r="AE94" i="11"/>
  <c r="AI92" i="11"/>
  <c r="AE90" i="11"/>
  <c r="AI88" i="11"/>
  <c r="AE86" i="11"/>
  <c r="AI84" i="11"/>
  <c r="V104" i="11"/>
  <c r="AC97" i="11"/>
  <c r="V94" i="11"/>
  <c r="Z92" i="11"/>
  <c r="AD90" i="11"/>
  <c r="AH88" i="11"/>
  <c r="AL86" i="11"/>
  <c r="L85" i="11"/>
  <c r="H83" i="11"/>
  <c r="T81" i="11"/>
  <c r="AJ101" i="11"/>
  <c r="R96" i="11"/>
  <c r="AA93" i="11"/>
  <c r="W91" i="11"/>
  <c r="K91" i="11"/>
  <c r="P107" i="11"/>
  <c r="Y85" i="11"/>
  <c r="Y93" i="11"/>
  <c r="Y97" i="11"/>
  <c r="Y105" i="11"/>
  <c r="AB102" i="11"/>
  <c r="I96" i="11"/>
  <c r="AG104" i="11"/>
  <c r="J95" i="11"/>
  <c r="U96" i="11"/>
  <c r="AG96" i="11"/>
  <c r="AK106" i="11"/>
  <c r="F97" i="11"/>
  <c r="Q98" i="11"/>
  <c r="BA4" i="12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Y43" i="8" s="1"/>
  <c r="P74" i="11"/>
  <c r="K69" i="11"/>
  <c r="G26" i="8" s="1"/>
  <c r="I41" i="12"/>
  <c r="Y41" i="12"/>
  <c r="M41" i="12"/>
  <c r="AK62" i="12"/>
  <c r="AG51" i="8" s="1"/>
  <c r="AG67" i="12"/>
  <c r="AC56" i="8" s="1"/>
  <c r="AA56" i="12"/>
  <c r="AF74" i="11"/>
  <c r="K56" i="12"/>
  <c r="U61" i="12"/>
  <c r="Q50" i="8" s="1"/>
  <c r="AG71" i="12"/>
  <c r="AC60" i="8" s="1"/>
  <c r="X49" i="11"/>
  <c r="T6" i="8" s="1"/>
  <c r="AG49" i="12"/>
  <c r="AC38" i="8" s="1"/>
  <c r="Q41" i="12"/>
  <c r="X73" i="11"/>
  <c r="J74" i="12"/>
  <c r="F63" i="8" s="1"/>
  <c r="AG41" i="11"/>
  <c r="AA41" i="11"/>
  <c r="J41" i="11"/>
  <c r="N73" i="12"/>
  <c r="J62" i="8" s="1"/>
  <c r="AG59" i="12"/>
  <c r="AC48" i="8" s="1"/>
  <c r="AG69" i="12"/>
  <c r="AC58" i="8" s="1"/>
  <c r="AG57" i="12"/>
  <c r="AC46" i="8" s="1"/>
  <c r="AG73" i="12"/>
  <c r="AC62" i="8" s="1"/>
  <c r="AG65" i="12"/>
  <c r="AC54" i="8" s="1"/>
  <c r="AG61" i="12"/>
  <c r="AC50" i="8" s="1"/>
  <c r="AE57" i="12"/>
  <c r="AA46" i="8" s="1"/>
  <c r="Z73" i="12"/>
  <c r="V62" i="8" s="1"/>
  <c r="I66" i="12"/>
  <c r="E55" i="8" s="1"/>
  <c r="H59" i="12"/>
  <c r="D48" i="8" s="1"/>
  <c r="T59" i="12"/>
  <c r="P48" i="8" s="1"/>
  <c r="AB41" i="12"/>
  <c r="AG63" i="12"/>
  <c r="AC52" i="8" s="1"/>
  <c r="P64" i="11"/>
  <c r="L21" i="8" s="1"/>
  <c r="P63" i="11"/>
  <c r="L20" i="8" s="1"/>
  <c r="P53" i="11"/>
  <c r="L10" i="8" s="1"/>
  <c r="P57" i="11"/>
  <c r="L14" i="8" s="1"/>
  <c r="P62" i="11"/>
  <c r="L19" i="8" s="1"/>
  <c r="P58" i="11"/>
  <c r="L15" i="8" s="1"/>
  <c r="P69" i="11"/>
  <c r="L26" i="8" s="1"/>
  <c r="P70" i="11"/>
  <c r="L27" i="8" s="1"/>
  <c r="P67" i="11"/>
  <c r="L24" i="8" s="1"/>
  <c r="Y41" i="11"/>
  <c r="P59" i="11"/>
  <c r="L16" i="8" s="1"/>
  <c r="P47" i="11"/>
  <c r="L4" i="8" s="1"/>
  <c r="AL41" i="12"/>
  <c r="V61" i="12"/>
  <c r="R50" i="8" s="1"/>
  <c r="AJ41" i="12"/>
  <c r="H71" i="11"/>
  <c r="D28" i="8" s="1"/>
  <c r="AF69" i="12"/>
  <c r="AB58" i="8" s="1"/>
  <c r="AB73" i="12"/>
  <c r="X62" i="8" s="1"/>
  <c r="U56" i="12"/>
  <c r="W68" i="12"/>
  <c r="S57" i="8" s="1"/>
  <c r="AJ67" i="12"/>
  <c r="AF56" i="8" s="1"/>
  <c r="J60" i="12"/>
  <c r="F49" i="8" s="1"/>
  <c r="L41" i="12"/>
  <c r="F62" i="12"/>
  <c r="B51" i="8" s="1"/>
  <c r="AI57" i="11"/>
  <c r="AE14" i="8" s="1"/>
  <c r="F41" i="11"/>
  <c r="O65" i="12"/>
  <c r="K54" i="8" s="1"/>
  <c r="Q73" i="12"/>
  <c r="M62" i="8" s="1"/>
  <c r="R59" i="12"/>
  <c r="N48" i="8" s="1"/>
  <c r="AD57" i="11"/>
  <c r="Z14" i="8" s="1"/>
  <c r="X64" i="11"/>
  <c r="T21" i="8" s="1"/>
  <c r="AC60" i="12"/>
  <c r="Y49" i="8" s="1"/>
  <c r="AJ71" i="12"/>
  <c r="AF60" i="8" s="1"/>
  <c r="V66" i="12"/>
  <c r="R55" i="8" s="1"/>
  <c r="X41" i="11"/>
  <c r="M51" i="11"/>
  <c r="I8" i="8" s="1"/>
  <c r="AJ57" i="12"/>
  <c r="AF46" i="8" s="1"/>
  <c r="T41" i="12"/>
  <c r="AD65" i="12"/>
  <c r="Z54" i="8" s="1"/>
  <c r="H71" i="12"/>
  <c r="D60" i="8" s="1"/>
  <c r="AJ65" i="12"/>
  <c r="AF54" i="8" s="1"/>
  <c r="V59" i="12"/>
  <c r="R48" i="8" s="1"/>
  <c r="AJ61" i="12"/>
  <c r="AF50" i="8" s="1"/>
  <c r="AJ69" i="12"/>
  <c r="AF58" i="8" s="1"/>
  <c r="L70" i="12"/>
  <c r="H59" i="8" s="1"/>
  <c r="F56" i="11"/>
  <c r="AJ73" i="12"/>
  <c r="AF62" i="8" s="1"/>
  <c r="V63" i="12"/>
  <c r="R52" i="8" s="1"/>
  <c r="AJ59" i="12"/>
  <c r="AF48" i="8" s="1"/>
  <c r="Q74" i="12"/>
  <c r="M63" i="8" s="1"/>
  <c r="X69" i="11"/>
  <c r="T26" i="8" s="1"/>
  <c r="AI41" i="12"/>
  <c r="F56" i="12"/>
  <c r="G59" i="12"/>
  <c r="C48" i="8" s="1"/>
  <c r="M56" i="12"/>
  <c r="AJ68" i="12"/>
  <c r="AF57" i="8" s="1"/>
  <c r="AA41" i="12"/>
  <c r="AJ63" i="12"/>
  <c r="AF52" i="8" s="1"/>
  <c r="AB61" i="12"/>
  <c r="X50" i="8" s="1"/>
  <c r="AL71" i="12"/>
  <c r="AH60" i="8" s="1"/>
  <c r="J57" i="12"/>
  <c r="F46" i="8" s="1"/>
  <c r="Q49" i="11"/>
  <c r="M6" i="8" s="1"/>
  <c r="P70" i="12"/>
  <c r="L59" i="8" s="1"/>
  <c r="R69" i="12"/>
  <c r="N58" i="8" s="1"/>
  <c r="L67" i="12"/>
  <c r="H56" i="8" s="1"/>
  <c r="M65" i="12"/>
  <c r="I54" i="8" s="1"/>
  <c r="G63" i="12"/>
  <c r="C52" i="8" s="1"/>
  <c r="N57" i="12"/>
  <c r="J46" i="8" s="1"/>
  <c r="L53" i="12"/>
  <c r="X69" i="12"/>
  <c r="T58" i="8" s="1"/>
  <c r="AE59" i="12"/>
  <c r="AA48" i="8" s="1"/>
  <c r="H48" i="12"/>
  <c r="D37" i="8" s="1"/>
  <c r="U73" i="12"/>
  <c r="Q62" i="8" s="1"/>
  <c r="I71" i="12"/>
  <c r="E60" i="8" s="1"/>
  <c r="V69" i="12"/>
  <c r="R58" i="8" s="1"/>
  <c r="U67" i="12"/>
  <c r="Q56" i="8" s="1"/>
  <c r="AK65" i="12"/>
  <c r="AG54" i="8" s="1"/>
  <c r="I63" i="12"/>
  <c r="E52" i="8" s="1"/>
  <c r="K61" i="12"/>
  <c r="G50" i="8" s="1"/>
  <c r="AB59" i="12"/>
  <c r="X48" i="8" s="1"/>
  <c r="AG72" i="12"/>
  <c r="AC61" i="8" s="1"/>
  <c r="AG58" i="12"/>
  <c r="AC47" i="8" s="1"/>
  <c r="W73" i="12"/>
  <c r="S62" i="8" s="1"/>
  <c r="K73" i="12"/>
  <c r="G62" i="8" s="1"/>
  <c r="AK73" i="12"/>
  <c r="AG62" i="8" s="1"/>
  <c r="N67" i="12"/>
  <c r="J56" i="8" s="1"/>
  <c r="AL65" i="12"/>
  <c r="AH54" i="8" s="1"/>
  <c r="AI61" i="12"/>
  <c r="AE50" i="8" s="1"/>
  <c r="J59" i="12"/>
  <c r="F48" i="8" s="1"/>
  <c r="P41" i="12"/>
  <c r="AD57" i="12"/>
  <c r="Z46" i="8" s="1"/>
  <c r="W72" i="12"/>
  <c r="S61" i="8" s="1"/>
  <c r="H58" i="12"/>
  <c r="D47" i="8" s="1"/>
  <c r="K41" i="12"/>
  <c r="AD63" i="11"/>
  <c r="Z20" i="8" s="1"/>
  <c r="R67" i="11"/>
  <c r="N24" i="8" s="1"/>
  <c r="O55" i="12"/>
  <c r="K44" i="8" s="1"/>
  <c r="L71" i="12"/>
  <c r="H60" i="8" s="1"/>
  <c r="U69" i="12"/>
  <c r="Q58" i="8" s="1"/>
  <c r="H67" i="12"/>
  <c r="D56" i="8" s="1"/>
  <c r="I65" i="12"/>
  <c r="E54" i="8" s="1"/>
  <c r="W65" i="12"/>
  <c r="S54" i="8" s="1"/>
  <c r="R63" i="12"/>
  <c r="N52" i="8" s="1"/>
  <c r="F61" i="12"/>
  <c r="B50" i="8" s="1"/>
  <c r="L64" i="12"/>
  <c r="H53" i="8" s="1"/>
  <c r="AB60" i="12"/>
  <c r="X49" i="8" s="1"/>
  <c r="G61" i="12"/>
  <c r="C50" i="8" s="1"/>
  <c r="R73" i="12"/>
  <c r="N62" i="8" s="1"/>
  <c r="AC69" i="12"/>
  <c r="Y58" i="8" s="1"/>
  <c r="I67" i="12"/>
  <c r="E56" i="8" s="1"/>
  <c r="AF65" i="12"/>
  <c r="AB54" i="8" s="1"/>
  <c r="L63" i="12"/>
  <c r="H52" i="8" s="1"/>
  <c r="AF61" i="12"/>
  <c r="AB50" i="8" s="1"/>
  <c r="AE41" i="12"/>
  <c r="N68" i="12"/>
  <c r="J57" i="8" s="1"/>
  <c r="T66" i="12"/>
  <c r="P55" i="8" s="1"/>
  <c r="AC47" i="12"/>
  <c r="Y36" i="8" s="1"/>
  <c r="R67" i="12"/>
  <c r="N56" i="8" s="1"/>
  <c r="AB62" i="11"/>
  <c r="X19" i="8" s="1"/>
  <c r="Y74" i="12"/>
  <c r="U63" i="8" s="1"/>
  <c r="V73" i="12"/>
  <c r="R62" i="8" s="1"/>
  <c r="Z71" i="12"/>
  <c r="V60" i="8" s="1"/>
  <c r="U71" i="12"/>
  <c r="Q60" i="8" s="1"/>
  <c r="K65" i="12"/>
  <c r="G54" i="8" s="1"/>
  <c r="R70" i="12"/>
  <c r="N59" i="8" s="1"/>
  <c r="G52" i="12"/>
  <c r="C41" i="8" s="1"/>
  <c r="K69" i="12"/>
  <c r="G58" i="8" s="1"/>
  <c r="I61" i="12"/>
  <c r="E50" i="8" s="1"/>
  <c r="AC67" i="11"/>
  <c r="Y24" i="8" s="1"/>
  <c r="J47" i="11"/>
  <c r="F4" i="8" s="1"/>
  <c r="K59" i="12"/>
  <c r="G48" i="8" s="1"/>
  <c r="R71" i="12"/>
  <c r="N60" i="8" s="1"/>
  <c r="Y69" i="12"/>
  <c r="U58" i="8" s="1"/>
  <c r="J67" i="12"/>
  <c r="F56" i="8" s="1"/>
  <c r="AI65" i="12"/>
  <c r="AE54" i="8" s="1"/>
  <c r="U63" i="12"/>
  <c r="Q52" i="8" s="1"/>
  <c r="U59" i="12"/>
  <c r="Q48" i="8" s="1"/>
  <c r="L61" i="12"/>
  <c r="H50" i="8" s="1"/>
  <c r="AA59" i="12"/>
  <c r="W48" i="8" s="1"/>
  <c r="AK74" i="12"/>
  <c r="AG63" i="8" s="1"/>
  <c r="AH58" i="12"/>
  <c r="AD47" i="8" s="1"/>
  <c r="AH41" i="12"/>
  <c r="AH53" i="12"/>
  <c r="AH51" i="12"/>
  <c r="AD40" i="8" s="1"/>
  <c r="AH55" i="12"/>
  <c r="AD44" i="8" s="1"/>
  <c r="AH52" i="12"/>
  <c r="AD41" i="8" s="1"/>
  <c r="AH62" i="12"/>
  <c r="AD51" i="8" s="1"/>
  <c r="AH47" i="12"/>
  <c r="AD36" i="8" s="1"/>
  <c r="AH49" i="12"/>
  <c r="AD38" i="8" s="1"/>
  <c r="AH48" i="12"/>
  <c r="AD37" i="8" s="1"/>
  <c r="AH66" i="12"/>
  <c r="AD55" i="8" s="1"/>
  <c r="AH70" i="12"/>
  <c r="AD59" i="8" s="1"/>
  <c r="AH46" i="12"/>
  <c r="AD35" i="8" s="1"/>
  <c r="AH54" i="12"/>
  <c r="AD43" i="8" s="1"/>
  <c r="AD73" i="12"/>
  <c r="Z62" i="8" s="1"/>
  <c r="X73" i="12"/>
  <c r="T62" i="8" s="1"/>
  <c r="AH71" i="12"/>
  <c r="AD60" i="8" s="1"/>
  <c r="AD69" i="12"/>
  <c r="Z58" i="8" s="1"/>
  <c r="AD61" i="12"/>
  <c r="Z50" i="8" s="1"/>
  <c r="AH57" i="12"/>
  <c r="AD46" i="8" s="1"/>
  <c r="X59" i="12"/>
  <c r="T48" i="8" s="1"/>
  <c r="S47" i="12"/>
  <c r="O36" i="8" s="1"/>
  <c r="S51" i="12"/>
  <c r="O40" i="8" s="1"/>
  <c r="S62" i="12"/>
  <c r="O51" i="8" s="1"/>
  <c r="S49" i="12"/>
  <c r="O38" i="8" s="1"/>
  <c r="S48" i="12"/>
  <c r="O37" i="8" s="1"/>
  <c r="S64" i="12"/>
  <c r="O53" i="8" s="1"/>
  <c r="S52" i="12"/>
  <c r="O41" i="8" s="1"/>
  <c r="S55" i="12"/>
  <c r="O44" i="8" s="1"/>
  <c r="S46" i="12"/>
  <c r="O35" i="8" s="1"/>
  <c r="S60" i="12"/>
  <c r="O49" i="8" s="1"/>
  <c r="S50" i="12"/>
  <c r="O39" i="8" s="1"/>
  <c r="S58" i="12"/>
  <c r="O47" i="8" s="1"/>
  <c r="S72" i="12"/>
  <c r="O61" i="8" s="1"/>
  <c r="O74" i="12"/>
  <c r="K63" i="8" s="1"/>
  <c r="AE64" i="12"/>
  <c r="AA53" i="8" s="1"/>
  <c r="AA63" i="11"/>
  <c r="W20" i="8" s="1"/>
  <c r="V64" i="11"/>
  <c r="R21" i="8" s="1"/>
  <c r="X59" i="11"/>
  <c r="T16" i="8" s="1"/>
  <c r="X54" i="11"/>
  <c r="T11" i="8" s="1"/>
  <c r="G57" i="12"/>
  <c r="C46" i="8" s="1"/>
  <c r="AI59" i="12"/>
  <c r="AE48" i="8" s="1"/>
  <c r="Z50" i="12"/>
  <c r="V39" i="8" s="1"/>
  <c r="Z58" i="12"/>
  <c r="V47" i="8" s="1"/>
  <c r="Z41" i="12"/>
  <c r="Z53" i="12"/>
  <c r="Z68" i="12"/>
  <c r="V57" i="8" s="1"/>
  <c r="Z72" i="12"/>
  <c r="V61" i="8" s="1"/>
  <c r="Z51" i="12"/>
  <c r="V40" i="8" s="1"/>
  <c r="Z55" i="12"/>
  <c r="V44" i="8" s="1"/>
  <c r="Z74" i="12"/>
  <c r="V63" i="8" s="1"/>
  <c r="Z62" i="12"/>
  <c r="V51" i="8" s="1"/>
  <c r="Z47" i="12"/>
  <c r="V36" i="8" s="1"/>
  <c r="Z49" i="12"/>
  <c r="V38" i="8" s="1"/>
  <c r="Z48" i="12"/>
  <c r="V37" i="8" s="1"/>
  <c r="Z52" i="12"/>
  <c r="V41" i="8" s="1"/>
  <c r="Z64" i="12"/>
  <c r="V53" i="8" s="1"/>
  <c r="Z66" i="12"/>
  <c r="V55" i="8" s="1"/>
  <c r="Z70" i="12"/>
  <c r="V59" i="8" s="1"/>
  <c r="AF52" i="12"/>
  <c r="AB41" i="8" s="1"/>
  <c r="AF56" i="12"/>
  <c r="AF47" i="12"/>
  <c r="AB36" i="8" s="1"/>
  <c r="AF51" i="12"/>
  <c r="AB40" i="8" s="1"/>
  <c r="AF55" i="12"/>
  <c r="AB44" i="8" s="1"/>
  <c r="AF54" i="12"/>
  <c r="AB43" i="8" s="1"/>
  <c r="AF60" i="12"/>
  <c r="AB49" i="8" s="1"/>
  <c r="AF70" i="12"/>
  <c r="AB59" i="8" s="1"/>
  <c r="AF74" i="12"/>
  <c r="AB63" i="8" s="1"/>
  <c r="AF49" i="12"/>
  <c r="AB38" i="8" s="1"/>
  <c r="AF53" i="12"/>
  <c r="AF48" i="12"/>
  <c r="AB37" i="8" s="1"/>
  <c r="AF58" i="12"/>
  <c r="AB47" i="8" s="1"/>
  <c r="AF66" i="12"/>
  <c r="AB55" i="8" s="1"/>
  <c r="AF68" i="12"/>
  <c r="AB57" i="8" s="1"/>
  <c r="AF46" i="12"/>
  <c r="AB35" i="8" s="1"/>
  <c r="AF62" i="12"/>
  <c r="AB51" i="8" s="1"/>
  <c r="AF72" i="12"/>
  <c r="AB61" i="8" s="1"/>
  <c r="O73" i="12"/>
  <c r="K62" i="8" s="1"/>
  <c r="AL73" i="12"/>
  <c r="AH62" i="8" s="1"/>
  <c r="AF73" i="12"/>
  <c r="AB62" i="8" s="1"/>
  <c r="K71" i="12"/>
  <c r="G60" i="8" s="1"/>
  <c r="S71" i="12"/>
  <c r="O60" i="8" s="1"/>
  <c r="P71" i="12"/>
  <c r="L60" i="8" s="1"/>
  <c r="T71" i="12"/>
  <c r="P60" i="8" s="1"/>
  <c r="G69" i="12"/>
  <c r="C58" i="8" s="1"/>
  <c r="O69" i="12"/>
  <c r="K58" i="8" s="1"/>
  <c r="AL69" i="12"/>
  <c r="AH58" i="8" s="1"/>
  <c r="AK69" i="12"/>
  <c r="AG58" i="8" s="1"/>
  <c r="V67" i="12"/>
  <c r="R56" i="8" s="1"/>
  <c r="P67" i="12"/>
  <c r="L56" i="8" s="1"/>
  <c r="T67" i="12"/>
  <c r="P56" i="8" s="1"/>
  <c r="J65" i="12"/>
  <c r="F54" i="8" s="1"/>
  <c r="L65" i="12"/>
  <c r="H54" i="8" s="1"/>
  <c r="F65" i="12"/>
  <c r="B54" i="8" s="1"/>
  <c r="AE65" i="12"/>
  <c r="AA54" i="8" s="1"/>
  <c r="AC63" i="12"/>
  <c r="Y52" i="8" s="1"/>
  <c r="O63" i="12"/>
  <c r="K52" i="8" s="1"/>
  <c r="Q63" i="12"/>
  <c r="M52" i="8" s="1"/>
  <c r="T63" i="12"/>
  <c r="P52" i="8" s="1"/>
  <c r="J61" i="12"/>
  <c r="F50" i="8" s="1"/>
  <c r="M61" i="12"/>
  <c r="I50" i="8" s="1"/>
  <c r="AL61" i="12"/>
  <c r="AH50" i="8" s="1"/>
  <c r="AC59" i="12"/>
  <c r="Y48" i="8" s="1"/>
  <c r="O59" i="12"/>
  <c r="K48" i="8" s="1"/>
  <c r="I57" i="12"/>
  <c r="E46" i="8" s="1"/>
  <c r="K57" i="12"/>
  <c r="G46" i="8" s="1"/>
  <c r="V57" i="12"/>
  <c r="R46" i="8" s="1"/>
  <c r="Z60" i="12"/>
  <c r="V49" i="8" s="1"/>
  <c r="U60" i="12"/>
  <c r="Q49" i="8" s="1"/>
  <c r="H41" i="12"/>
  <c r="O57" i="12"/>
  <c r="K46" i="8" s="1"/>
  <c r="W41" i="12"/>
  <c r="M60" i="12"/>
  <c r="I49" i="8" s="1"/>
  <c r="K54" i="12"/>
  <c r="G43" i="8" s="1"/>
  <c r="K55" i="12"/>
  <c r="G44" i="8" s="1"/>
  <c r="K47" i="12"/>
  <c r="G36" i="8" s="1"/>
  <c r="K62" i="12"/>
  <c r="G51" i="8" s="1"/>
  <c r="K49" i="12"/>
  <c r="G38" i="8" s="1"/>
  <c r="K53" i="12"/>
  <c r="K48" i="12"/>
  <c r="G37" i="8" s="1"/>
  <c r="K64" i="12"/>
  <c r="G53" i="8" s="1"/>
  <c r="K68" i="12"/>
  <c r="G57" i="8" s="1"/>
  <c r="K46" i="12"/>
  <c r="G35" i="8" s="1"/>
  <c r="K60" i="12"/>
  <c r="G49" i="8" s="1"/>
  <c r="K66" i="12"/>
  <c r="G55" i="8" s="1"/>
  <c r="K50" i="12"/>
  <c r="G39" i="8" s="1"/>
  <c r="K52" i="12"/>
  <c r="G41" i="8" s="1"/>
  <c r="K51" i="12"/>
  <c r="G40" i="8" s="1"/>
  <c r="H74" i="12"/>
  <c r="D63" i="8" s="1"/>
  <c r="AG74" i="12"/>
  <c r="AC63" i="8" s="1"/>
  <c r="AE74" i="12"/>
  <c r="AA63" i="8" s="1"/>
  <c r="T72" i="12"/>
  <c r="P61" i="8" s="1"/>
  <c r="J72" i="12"/>
  <c r="F61" i="8" s="1"/>
  <c r="AE72" i="12"/>
  <c r="AA61" i="8" s="1"/>
  <c r="AC70" i="12"/>
  <c r="Y59" i="8" s="1"/>
  <c r="K70" i="12"/>
  <c r="G59" i="8" s="1"/>
  <c r="AK68" i="12"/>
  <c r="AG57" i="8" s="1"/>
  <c r="AE68" i="12"/>
  <c r="AA57" i="8" s="1"/>
  <c r="G66" i="12"/>
  <c r="C55" i="8" s="1"/>
  <c r="H64" i="12"/>
  <c r="D53" i="8" s="1"/>
  <c r="W60" i="12"/>
  <c r="S49" i="8" s="1"/>
  <c r="AF59" i="12"/>
  <c r="AB48" i="8" s="1"/>
  <c r="P53" i="12"/>
  <c r="F49" i="12"/>
  <c r="B38" i="8" s="1"/>
  <c r="O47" i="12"/>
  <c r="K36" i="8" s="1"/>
  <c r="AI62" i="12"/>
  <c r="AE51" i="8" s="1"/>
  <c r="AE52" i="12"/>
  <c r="AA41" i="8" s="1"/>
  <c r="T48" i="12"/>
  <c r="P37" i="8" s="1"/>
  <c r="N58" i="11"/>
  <c r="J15" i="8" s="1"/>
  <c r="AK67" i="11"/>
  <c r="AG24" i="8" s="1"/>
  <c r="AL41" i="11"/>
  <c r="X70" i="11"/>
  <c r="T27" i="8" s="1"/>
  <c r="X62" i="11"/>
  <c r="T19" i="8" s="1"/>
  <c r="AA63" i="12"/>
  <c r="W52" i="8" s="1"/>
  <c r="Z56" i="12"/>
  <c r="K63" i="12"/>
  <c r="G52" i="8" s="1"/>
  <c r="W57" i="12"/>
  <c r="S46" i="8" s="1"/>
  <c r="R46" i="12"/>
  <c r="N35" i="8" s="1"/>
  <c r="R54" i="12"/>
  <c r="N43" i="8" s="1"/>
  <c r="R50" i="12"/>
  <c r="N39" i="8" s="1"/>
  <c r="R58" i="12"/>
  <c r="N47" i="8" s="1"/>
  <c r="R41" i="12"/>
  <c r="R53" i="12"/>
  <c r="R68" i="12"/>
  <c r="N57" i="8" s="1"/>
  <c r="R72" i="12"/>
  <c r="N61" i="8" s="1"/>
  <c r="R51" i="12"/>
  <c r="N40" i="8" s="1"/>
  <c r="R55" i="12"/>
  <c r="N44" i="8" s="1"/>
  <c r="R62" i="12"/>
  <c r="N51" i="8" s="1"/>
  <c r="R47" i="12"/>
  <c r="N36" i="8" s="1"/>
  <c r="R49" i="12"/>
  <c r="N38" i="8" s="1"/>
  <c r="R48" i="12"/>
  <c r="N37" i="8" s="1"/>
  <c r="R52" i="12"/>
  <c r="N41" i="8" s="1"/>
  <c r="R64" i="12"/>
  <c r="N53" i="8" s="1"/>
  <c r="X50" i="12"/>
  <c r="T39" i="8" s="1"/>
  <c r="X52" i="12"/>
  <c r="T41" i="8" s="1"/>
  <c r="X56" i="12"/>
  <c r="X47" i="12"/>
  <c r="T36" i="8" s="1"/>
  <c r="X55" i="12"/>
  <c r="T44" i="8" s="1"/>
  <c r="X68" i="12"/>
  <c r="T57" i="8" s="1"/>
  <c r="X70" i="12"/>
  <c r="T59" i="8" s="1"/>
  <c r="X74" i="12"/>
  <c r="T63" i="8" s="1"/>
  <c r="X54" i="12"/>
  <c r="T43" i="8" s="1"/>
  <c r="X51" i="12"/>
  <c r="T40" i="8" s="1"/>
  <c r="X53" i="12"/>
  <c r="X60" i="12"/>
  <c r="T49" i="8" s="1"/>
  <c r="X49" i="12"/>
  <c r="T38" i="8" s="1"/>
  <c r="X48" i="12"/>
  <c r="T37" i="8" s="1"/>
  <c r="X58" i="12"/>
  <c r="T47" i="8" s="1"/>
  <c r="X64" i="12"/>
  <c r="T53" i="8" s="1"/>
  <c r="X66" i="12"/>
  <c r="T55" i="8" s="1"/>
  <c r="X72" i="12"/>
  <c r="T61" i="8" s="1"/>
  <c r="AE73" i="12"/>
  <c r="AA62" i="8" s="1"/>
  <c r="G73" i="12"/>
  <c r="C62" i="8" s="1"/>
  <c r="M73" i="12"/>
  <c r="I62" i="8" s="1"/>
  <c r="I73" i="12"/>
  <c r="E62" i="8" s="1"/>
  <c r="AA71" i="12"/>
  <c r="W60" i="8" s="1"/>
  <c r="AI71" i="12"/>
  <c r="AE60" i="8" s="1"/>
  <c r="X71" i="12"/>
  <c r="T60" i="8" s="1"/>
  <c r="AB71" i="12"/>
  <c r="X60" i="8" s="1"/>
  <c r="W69" i="12"/>
  <c r="S58" i="8" s="1"/>
  <c r="AE69" i="12"/>
  <c r="AA58" i="8" s="1"/>
  <c r="L69" i="12"/>
  <c r="H58" i="8" s="1"/>
  <c r="H69" i="12"/>
  <c r="D58" i="8" s="1"/>
  <c r="AD67" i="12"/>
  <c r="Z56" i="8" s="1"/>
  <c r="X67" i="12"/>
  <c r="T56" i="8" s="1"/>
  <c r="Z67" i="12"/>
  <c r="V56" i="8" s="1"/>
  <c r="AB67" i="12"/>
  <c r="X56" i="8" s="1"/>
  <c r="R65" i="12"/>
  <c r="N54" i="8" s="1"/>
  <c r="T65" i="12"/>
  <c r="P54" i="8" s="1"/>
  <c r="N65" i="12"/>
  <c r="J54" i="8" s="1"/>
  <c r="H65" i="12"/>
  <c r="D54" i="8" s="1"/>
  <c r="AK63" i="12"/>
  <c r="AG52" i="8" s="1"/>
  <c r="W63" i="12"/>
  <c r="S52" i="8" s="1"/>
  <c r="Y63" i="12"/>
  <c r="U52" i="8" s="1"/>
  <c r="AB63" i="12"/>
  <c r="X52" i="8" s="1"/>
  <c r="R61" i="12"/>
  <c r="N50" i="8" s="1"/>
  <c r="H61" i="12"/>
  <c r="D50" i="8" s="1"/>
  <c r="AK59" i="12"/>
  <c r="AG48" i="8" s="1"/>
  <c r="W59" i="12"/>
  <c r="S48" i="8" s="1"/>
  <c r="Z59" i="12"/>
  <c r="V48" i="8" s="1"/>
  <c r="Q57" i="12"/>
  <c r="M46" i="8" s="1"/>
  <c r="S57" i="12"/>
  <c r="O46" i="8" s="1"/>
  <c r="AK56" i="12"/>
  <c r="AH56" i="12"/>
  <c r="O41" i="12"/>
  <c r="S59" i="12"/>
  <c r="O48" i="8" s="1"/>
  <c r="AL52" i="12"/>
  <c r="AH41" i="8" s="1"/>
  <c r="I74" i="12"/>
  <c r="E63" i="8" s="1"/>
  <c r="T74" i="12"/>
  <c r="P63" i="8" s="1"/>
  <c r="AK72" i="12"/>
  <c r="AG61" i="8" s="1"/>
  <c r="AH72" i="12"/>
  <c r="AD61" i="8" s="1"/>
  <c r="S70" i="12"/>
  <c r="O59" i="8" s="1"/>
  <c r="Y68" i="12"/>
  <c r="U57" i="8" s="1"/>
  <c r="H66" i="12"/>
  <c r="D55" i="8" s="1"/>
  <c r="AF64" i="12"/>
  <c r="AB53" i="8" s="1"/>
  <c r="Y60" i="12"/>
  <c r="U49" i="8" s="1"/>
  <c r="AG55" i="12"/>
  <c r="AC44" i="8" s="1"/>
  <c r="F53" i="12"/>
  <c r="AE49" i="12"/>
  <c r="AA38" i="8" s="1"/>
  <c r="Q47" i="12"/>
  <c r="M36" i="8" s="1"/>
  <c r="AE54" i="12"/>
  <c r="AA43" i="8" s="1"/>
  <c r="L52" i="12"/>
  <c r="H41" i="8" s="1"/>
  <c r="N48" i="12"/>
  <c r="J37" i="8" s="1"/>
  <c r="X63" i="11"/>
  <c r="T20" i="8" s="1"/>
  <c r="X52" i="11"/>
  <c r="T9" i="8" s="1"/>
  <c r="AE61" i="12"/>
  <c r="AA50" i="8" s="1"/>
  <c r="W61" i="12"/>
  <c r="S50" i="8" s="1"/>
  <c r="S56" i="12"/>
  <c r="J46" i="12"/>
  <c r="F35" i="8" s="1"/>
  <c r="J52" i="12"/>
  <c r="F41" i="8" s="1"/>
  <c r="J54" i="12"/>
  <c r="F43" i="8" s="1"/>
  <c r="J51" i="12"/>
  <c r="F40" i="8" s="1"/>
  <c r="J50" i="12"/>
  <c r="F39" i="8" s="1"/>
  <c r="J58" i="12"/>
  <c r="F47" i="8" s="1"/>
  <c r="J41" i="12"/>
  <c r="J53" i="12"/>
  <c r="J55" i="12"/>
  <c r="F44" i="8" s="1"/>
  <c r="J62" i="12"/>
  <c r="F51" i="8" s="1"/>
  <c r="J47" i="12"/>
  <c r="F36" i="8" s="1"/>
  <c r="J49" i="12"/>
  <c r="F38" i="8" s="1"/>
  <c r="J68" i="12"/>
  <c r="F57" i="8" s="1"/>
  <c r="P46" i="12"/>
  <c r="L35" i="8" s="1"/>
  <c r="P62" i="12"/>
  <c r="L51" i="8" s="1"/>
  <c r="P50" i="12"/>
  <c r="L39" i="8" s="1"/>
  <c r="P52" i="12"/>
  <c r="L41" i="8" s="1"/>
  <c r="P56" i="12"/>
  <c r="P47" i="12"/>
  <c r="L36" i="8" s="1"/>
  <c r="P54" i="12"/>
  <c r="L43" i="8" s="1"/>
  <c r="P51" i="12"/>
  <c r="L40" i="8" s="1"/>
  <c r="P60" i="12"/>
  <c r="L49" i="8" s="1"/>
  <c r="P49" i="12"/>
  <c r="L38" i="8" s="1"/>
  <c r="P48" i="12"/>
  <c r="L37" i="8" s="1"/>
  <c r="P58" i="12"/>
  <c r="L47" i="8" s="1"/>
  <c r="P55" i="12"/>
  <c r="L44" i="8" s="1"/>
  <c r="P64" i="12"/>
  <c r="L53" i="8" s="1"/>
  <c r="P68" i="12"/>
  <c r="L57" i="8" s="1"/>
  <c r="N71" i="12"/>
  <c r="J60" i="8" s="1"/>
  <c r="F71" i="12"/>
  <c r="B60" i="8" s="1"/>
  <c r="AF71" i="12"/>
  <c r="AB60" i="8" s="1"/>
  <c r="J69" i="12"/>
  <c r="F58" i="8" s="1"/>
  <c r="T69" i="12"/>
  <c r="P58" i="8" s="1"/>
  <c r="P69" i="12"/>
  <c r="L58" i="8" s="1"/>
  <c r="M67" i="12"/>
  <c r="I56" i="8" s="1"/>
  <c r="AL67" i="12"/>
  <c r="AH56" i="8" s="1"/>
  <c r="AF67" i="12"/>
  <c r="AB56" i="8" s="1"/>
  <c r="AH67" i="12"/>
  <c r="AD56" i="8" s="1"/>
  <c r="Z65" i="12"/>
  <c r="V54" i="8" s="1"/>
  <c r="AB65" i="12"/>
  <c r="X54" i="8" s="1"/>
  <c r="V65" i="12"/>
  <c r="R54" i="8" s="1"/>
  <c r="P65" i="12"/>
  <c r="L54" i="8" s="1"/>
  <c r="F63" i="12"/>
  <c r="B52" i="8" s="1"/>
  <c r="AE63" i="12"/>
  <c r="AA52" i="8" s="1"/>
  <c r="Z61" i="12"/>
  <c r="V50" i="8" s="1"/>
  <c r="AC61" i="12"/>
  <c r="Y50" i="8" s="1"/>
  <c r="P61" i="12"/>
  <c r="L50" i="8" s="1"/>
  <c r="F59" i="12"/>
  <c r="B48" i="8" s="1"/>
  <c r="AH59" i="12"/>
  <c r="AD48" i="8" s="1"/>
  <c r="Y57" i="12"/>
  <c r="U46" i="8" s="1"/>
  <c r="AA57" i="12"/>
  <c r="W46" i="8" s="1"/>
  <c r="AL57" i="12"/>
  <c r="AH46" i="8" s="1"/>
  <c r="R56" i="12"/>
  <c r="T57" i="12"/>
  <c r="P46" i="8" s="1"/>
  <c r="G41" i="12"/>
  <c r="M57" i="12"/>
  <c r="I46" i="8" s="1"/>
  <c r="AD58" i="12"/>
  <c r="Z47" i="8" s="1"/>
  <c r="AD41" i="12"/>
  <c r="AD54" i="12"/>
  <c r="Z43" i="8" s="1"/>
  <c r="AD62" i="12"/>
  <c r="Z51" i="8" s="1"/>
  <c r="AD52" i="12"/>
  <c r="Z41" i="8" s="1"/>
  <c r="AD47" i="12"/>
  <c r="Z36" i="8" s="1"/>
  <c r="AD55" i="12"/>
  <c r="Z44" i="8" s="1"/>
  <c r="AD60" i="12"/>
  <c r="Z49" i="8" s="1"/>
  <c r="AD74" i="12"/>
  <c r="Z63" i="8" s="1"/>
  <c r="AD68" i="12"/>
  <c r="Z57" i="8" s="1"/>
  <c r="AD49" i="12"/>
  <c r="Z38" i="8" s="1"/>
  <c r="AD53" i="12"/>
  <c r="AD56" i="12"/>
  <c r="AD64" i="12"/>
  <c r="Z53" i="8" s="1"/>
  <c r="AD48" i="12"/>
  <c r="Z37" i="8" s="1"/>
  <c r="AD51" i="12"/>
  <c r="Z40" i="8" s="1"/>
  <c r="AD46" i="12"/>
  <c r="Z35" i="8" s="1"/>
  <c r="AD66" i="12"/>
  <c r="Z55" i="8" s="1"/>
  <c r="AD70" i="12"/>
  <c r="Z59" i="8" s="1"/>
  <c r="AJ58" i="12"/>
  <c r="AF47" i="8" s="1"/>
  <c r="AJ56" i="12"/>
  <c r="AJ54" i="12"/>
  <c r="AF43" i="8" s="1"/>
  <c r="AJ47" i="12"/>
  <c r="AF36" i="8" s="1"/>
  <c r="AJ72" i="12"/>
  <c r="AF61" i="8" s="1"/>
  <c r="AJ62" i="12"/>
  <c r="AF51" i="8" s="1"/>
  <c r="AJ49" i="12"/>
  <c r="AF38" i="8" s="1"/>
  <c r="AJ52" i="12"/>
  <c r="AF41" i="8" s="1"/>
  <c r="AJ64" i="12"/>
  <c r="AF53" i="8" s="1"/>
  <c r="AJ48" i="12"/>
  <c r="AF37" i="8" s="1"/>
  <c r="AJ53" i="12"/>
  <c r="AJ55" i="12"/>
  <c r="AF44" i="8" s="1"/>
  <c r="AJ46" i="12"/>
  <c r="AF35" i="8" s="1"/>
  <c r="AJ51" i="12"/>
  <c r="AF40" i="8" s="1"/>
  <c r="AJ60" i="12"/>
  <c r="AF49" i="8" s="1"/>
  <c r="AJ66" i="12"/>
  <c r="AF55" i="8" s="1"/>
  <c r="AJ70" i="12"/>
  <c r="AF59" i="8" s="1"/>
  <c r="AJ74" i="12"/>
  <c r="AF63" i="8" s="1"/>
  <c r="F74" i="12"/>
  <c r="B63" i="8" s="1"/>
  <c r="R74" i="12"/>
  <c r="N63" i="8" s="1"/>
  <c r="H72" i="12"/>
  <c r="D61" i="8" s="1"/>
  <c r="K72" i="12"/>
  <c r="G61" i="8" s="1"/>
  <c r="AG70" i="12"/>
  <c r="AC59" i="8" s="1"/>
  <c r="N70" i="12"/>
  <c r="J59" i="8" s="1"/>
  <c r="M68" i="12"/>
  <c r="I57" i="8" s="1"/>
  <c r="S66" i="12"/>
  <c r="O55" i="8" s="1"/>
  <c r="P66" i="12"/>
  <c r="L55" i="8" s="1"/>
  <c r="AG64" i="12"/>
  <c r="AC53" i="8" s="1"/>
  <c r="AC55" i="12"/>
  <c r="Y44" i="8" s="1"/>
  <c r="X62" i="12"/>
  <c r="T51" i="8" s="1"/>
  <c r="S54" i="12"/>
  <c r="O43" i="8" s="1"/>
  <c r="X46" i="12"/>
  <c r="T35" i="8" s="1"/>
  <c r="O74" i="11"/>
  <c r="X68" i="11"/>
  <c r="T25" i="8" s="1"/>
  <c r="AA66" i="11"/>
  <c r="W23" i="8" s="1"/>
  <c r="S63" i="12"/>
  <c r="O52" i="8" s="1"/>
  <c r="AH60" i="12"/>
  <c r="AD49" i="8" s="1"/>
  <c r="Y52" i="12"/>
  <c r="U41" i="8" s="1"/>
  <c r="Y58" i="12"/>
  <c r="U47" i="8" s="1"/>
  <c r="Y49" i="12"/>
  <c r="U38" i="8" s="1"/>
  <c r="Y48" i="12"/>
  <c r="U37" i="8" s="1"/>
  <c r="Y64" i="12"/>
  <c r="U53" i="8" s="1"/>
  <c r="Y62" i="12"/>
  <c r="U51" i="8" s="1"/>
  <c r="Y66" i="12"/>
  <c r="U55" i="8" s="1"/>
  <c r="Y46" i="12"/>
  <c r="U35" i="8" s="1"/>
  <c r="Y54" i="12"/>
  <c r="U43" i="8" s="1"/>
  <c r="Y50" i="12"/>
  <c r="U39" i="8" s="1"/>
  <c r="Y53" i="12"/>
  <c r="Y55" i="12"/>
  <c r="U44" i="8" s="1"/>
  <c r="Y56" i="12"/>
  <c r="Y47" i="12"/>
  <c r="U36" i="8" s="1"/>
  <c r="AE48" i="12"/>
  <c r="AA37" i="8" s="1"/>
  <c r="AE58" i="12"/>
  <c r="AA47" i="8" s="1"/>
  <c r="AE46" i="12"/>
  <c r="AA35" i="8" s="1"/>
  <c r="AE66" i="12"/>
  <c r="AA55" i="8" s="1"/>
  <c r="AE70" i="12"/>
  <c r="AA59" i="8" s="1"/>
  <c r="AE50" i="12"/>
  <c r="AA39" i="8" s="1"/>
  <c r="AE62" i="12"/>
  <c r="AA51" i="8" s="1"/>
  <c r="AE51" i="12"/>
  <c r="AA40" i="8" s="1"/>
  <c r="AE56" i="12"/>
  <c r="AE47" i="12"/>
  <c r="AA36" i="8" s="1"/>
  <c r="AE55" i="12"/>
  <c r="AA44" i="8" s="1"/>
  <c r="AE53" i="12"/>
  <c r="AE60" i="12"/>
  <c r="AA49" i="8" s="1"/>
  <c r="AK64" i="12"/>
  <c r="AG53" i="8" s="1"/>
  <c r="AK48" i="12"/>
  <c r="AG37" i="8" s="1"/>
  <c r="AK46" i="12"/>
  <c r="AG35" i="8" s="1"/>
  <c r="AK51" i="12"/>
  <c r="AG40" i="8" s="1"/>
  <c r="AK53" i="12"/>
  <c r="AK66" i="12"/>
  <c r="AG55" i="8" s="1"/>
  <c r="AK50" i="12"/>
  <c r="AG39" i="8" s="1"/>
  <c r="AK52" i="12"/>
  <c r="AG41" i="8" s="1"/>
  <c r="AK58" i="12"/>
  <c r="AG47" i="8" s="1"/>
  <c r="AK41" i="12"/>
  <c r="AK54" i="12"/>
  <c r="AG43" i="8" s="1"/>
  <c r="AK47" i="12"/>
  <c r="AG36" i="8" s="1"/>
  <c r="AK55" i="12"/>
  <c r="AG44" i="8" s="1"/>
  <c r="H53" i="12"/>
  <c r="H46" i="12"/>
  <c r="D35" i="8" s="1"/>
  <c r="H62" i="12"/>
  <c r="D51" i="8" s="1"/>
  <c r="H50" i="12"/>
  <c r="D39" i="8" s="1"/>
  <c r="H52" i="12"/>
  <c r="D41" i="8" s="1"/>
  <c r="H56" i="12"/>
  <c r="H47" i="12"/>
  <c r="D36" i="8" s="1"/>
  <c r="H55" i="12"/>
  <c r="D44" i="8" s="1"/>
  <c r="H54" i="12"/>
  <c r="D43" i="8" s="1"/>
  <c r="H51" i="12"/>
  <c r="D40" i="8" s="1"/>
  <c r="H60" i="12"/>
  <c r="D49" i="8" s="1"/>
  <c r="H49" i="12"/>
  <c r="D38" i="8" s="1"/>
  <c r="AH73" i="12"/>
  <c r="AD62" i="8" s="1"/>
  <c r="J73" i="12"/>
  <c r="F62" i="8" s="1"/>
  <c r="AC73" i="12"/>
  <c r="Y62" i="8" s="1"/>
  <c r="Y73" i="12"/>
  <c r="U62" i="8" s="1"/>
  <c r="AD71" i="12"/>
  <c r="Z60" i="8" s="1"/>
  <c r="V71" i="12"/>
  <c r="R60" i="8" s="1"/>
  <c r="M71" i="12"/>
  <c r="I60" i="8" s="1"/>
  <c r="Z69" i="12"/>
  <c r="V58" i="8" s="1"/>
  <c r="AH69" i="12"/>
  <c r="AD58" i="8" s="1"/>
  <c r="AB69" i="12"/>
  <c r="X58" i="8" s="1"/>
  <c r="G67" i="12"/>
  <c r="C56" i="8" s="1"/>
  <c r="K67" i="12"/>
  <c r="G56" i="8" s="1"/>
  <c r="AH65" i="12"/>
  <c r="AD54" i="8" s="1"/>
  <c r="X65" i="12"/>
  <c r="T54" i="8" s="1"/>
  <c r="N63" i="12"/>
  <c r="J52" i="8" s="1"/>
  <c r="H63" i="12"/>
  <c r="D52" i="8" s="1"/>
  <c r="J63" i="12"/>
  <c r="F52" i="8" s="1"/>
  <c r="AH61" i="12"/>
  <c r="AD50" i="8" s="1"/>
  <c r="AK61" i="12"/>
  <c r="AG50" i="8" s="1"/>
  <c r="X61" i="12"/>
  <c r="T50" i="8" s="1"/>
  <c r="N59" i="12"/>
  <c r="J48" i="8" s="1"/>
  <c r="I59" i="12"/>
  <c r="E48" i="8" s="1"/>
  <c r="L59" i="12"/>
  <c r="H48" i="8" s="1"/>
  <c r="AI57" i="12"/>
  <c r="AE46" i="8" s="1"/>
  <c r="H57" i="12"/>
  <c r="D46" i="8" s="1"/>
  <c r="AI56" i="12"/>
  <c r="AC56" i="12"/>
  <c r="V50" i="12"/>
  <c r="R39" i="8" s="1"/>
  <c r="V54" i="12"/>
  <c r="R43" i="8" s="1"/>
  <c r="V58" i="12"/>
  <c r="R47" i="8" s="1"/>
  <c r="V41" i="12"/>
  <c r="V72" i="12"/>
  <c r="R61" i="8" s="1"/>
  <c r="V62" i="12"/>
  <c r="R51" i="8" s="1"/>
  <c r="V47" i="12"/>
  <c r="R36" i="8" s="1"/>
  <c r="V55" i="12"/>
  <c r="R44" i="8" s="1"/>
  <c r="V60" i="12"/>
  <c r="R49" i="8" s="1"/>
  <c r="V52" i="12"/>
  <c r="R41" i="8" s="1"/>
  <c r="V49" i="12"/>
  <c r="R38" i="8" s="1"/>
  <c r="V53" i="12"/>
  <c r="V56" i="12"/>
  <c r="V64" i="12"/>
  <c r="R53" i="8" s="1"/>
  <c r="V48" i="12"/>
  <c r="R37" i="8" s="1"/>
  <c r="V51" i="12"/>
  <c r="R40" i="8" s="1"/>
  <c r="AB50" i="12"/>
  <c r="X39" i="8" s="1"/>
  <c r="AB58" i="12"/>
  <c r="X47" i="8" s="1"/>
  <c r="AB56" i="12"/>
  <c r="AB54" i="12"/>
  <c r="X43" i="8" s="1"/>
  <c r="AB72" i="12"/>
  <c r="X61" i="8" s="1"/>
  <c r="AB47" i="12"/>
  <c r="X36" i="8" s="1"/>
  <c r="AB62" i="12"/>
  <c r="X51" i="8" s="1"/>
  <c r="AB49" i="12"/>
  <c r="X38" i="8" s="1"/>
  <c r="AB52" i="12"/>
  <c r="X41" i="8" s="1"/>
  <c r="AB64" i="12"/>
  <c r="X53" i="8" s="1"/>
  <c r="AB48" i="12"/>
  <c r="X37" i="8" s="1"/>
  <c r="AB53" i="12"/>
  <c r="AB55" i="12"/>
  <c r="X44" i="8" s="1"/>
  <c r="AB68" i="12"/>
  <c r="X57" i="8" s="1"/>
  <c r="AB70" i="12"/>
  <c r="X59" i="8" s="1"/>
  <c r="AB74" i="12"/>
  <c r="X63" i="8" s="1"/>
  <c r="L74" i="12"/>
  <c r="H63" i="8" s="1"/>
  <c r="N74" i="12"/>
  <c r="J63" i="8" s="1"/>
  <c r="AH74" i="12"/>
  <c r="AD63" i="8" s="1"/>
  <c r="Y72" i="12"/>
  <c r="U61" i="8" s="1"/>
  <c r="AI72" i="12"/>
  <c r="AE61" i="8" s="1"/>
  <c r="T70" i="12"/>
  <c r="P59" i="8" s="1"/>
  <c r="V70" i="12"/>
  <c r="R59" i="8" s="1"/>
  <c r="G68" i="12"/>
  <c r="C57" i="8" s="1"/>
  <c r="J64" i="12"/>
  <c r="F53" i="8" s="1"/>
  <c r="AC51" i="12"/>
  <c r="Y40" i="8" s="1"/>
  <c r="AI49" i="12"/>
  <c r="AE38" i="8" s="1"/>
  <c r="AF50" i="12"/>
  <c r="AB39" i="8" s="1"/>
  <c r="J48" i="12"/>
  <c r="F37" i="8" s="1"/>
  <c r="Z46" i="12"/>
  <c r="V35" i="8" s="1"/>
  <c r="X67" i="11"/>
  <c r="T24" i="8" s="1"/>
  <c r="X65" i="11"/>
  <c r="T22" i="8" s="1"/>
  <c r="S41" i="11"/>
  <c r="Y59" i="11"/>
  <c r="U16" i="8" s="1"/>
  <c r="P59" i="12"/>
  <c r="L48" i="8" s="1"/>
  <c r="S41" i="12"/>
  <c r="Q51" i="12"/>
  <c r="M40" i="8" s="1"/>
  <c r="Q60" i="12"/>
  <c r="M49" i="8" s="1"/>
  <c r="Q49" i="12"/>
  <c r="M38" i="8" s="1"/>
  <c r="Q70" i="12"/>
  <c r="M59" i="8" s="1"/>
  <c r="Q48" i="12"/>
  <c r="M37" i="8" s="1"/>
  <c r="Q52" i="12"/>
  <c r="M41" i="8" s="1"/>
  <c r="Q54" i="12"/>
  <c r="M43" i="8" s="1"/>
  <c r="Q58" i="12"/>
  <c r="M47" i="8" s="1"/>
  <c r="Q53" i="12"/>
  <c r="Q64" i="12"/>
  <c r="M53" i="8" s="1"/>
  <c r="Q66" i="12"/>
  <c r="M55" i="8" s="1"/>
  <c r="Q46" i="12"/>
  <c r="M35" i="8" s="1"/>
  <c r="Q62" i="12"/>
  <c r="M51" i="8" s="1"/>
  <c r="Q55" i="12"/>
  <c r="M44" i="8" s="1"/>
  <c r="Q50" i="12"/>
  <c r="M39" i="8" s="1"/>
  <c r="Q72" i="12"/>
  <c r="M61" i="8" s="1"/>
  <c r="Q56" i="12"/>
  <c r="W49" i="12"/>
  <c r="S38" i="8" s="1"/>
  <c r="W48" i="12"/>
  <c r="S37" i="8" s="1"/>
  <c r="W58" i="12"/>
  <c r="S47" i="8" s="1"/>
  <c r="W64" i="12"/>
  <c r="S53" i="8" s="1"/>
  <c r="W46" i="12"/>
  <c r="S35" i="8" s="1"/>
  <c r="W66" i="12"/>
  <c r="S55" i="8" s="1"/>
  <c r="W70" i="12"/>
  <c r="S59" i="8" s="1"/>
  <c r="W50" i="12"/>
  <c r="S39" i="8" s="1"/>
  <c r="W52" i="12"/>
  <c r="S41" i="8" s="1"/>
  <c r="W62" i="12"/>
  <c r="S51" i="8" s="1"/>
  <c r="W54" i="12"/>
  <c r="S43" i="8" s="1"/>
  <c r="W56" i="12"/>
  <c r="W47" i="12"/>
  <c r="S36" i="8" s="1"/>
  <c r="W53" i="12"/>
  <c r="W55" i="12"/>
  <c r="S44" i="8" s="1"/>
  <c r="W74" i="12"/>
  <c r="S63" i="8" s="1"/>
  <c r="AC62" i="12"/>
  <c r="Y51" i="8" s="1"/>
  <c r="AC49" i="12"/>
  <c r="Y38" i="8" s="1"/>
  <c r="AC53" i="12"/>
  <c r="AC64" i="12"/>
  <c r="Y53" i="8" s="1"/>
  <c r="AC48" i="12"/>
  <c r="Y37" i="8" s="1"/>
  <c r="AC46" i="12"/>
  <c r="Y35" i="8" s="1"/>
  <c r="AC66" i="12"/>
  <c r="Y55" i="8" s="1"/>
  <c r="AC68" i="12"/>
  <c r="Y57" i="8" s="1"/>
  <c r="AC50" i="12"/>
  <c r="Y39" i="8" s="1"/>
  <c r="AC52" i="12"/>
  <c r="Y41" i="8" s="1"/>
  <c r="AC58" i="12"/>
  <c r="Y47" i="8" s="1"/>
  <c r="AC41" i="12"/>
  <c r="S73" i="12"/>
  <c r="O62" i="8" s="1"/>
  <c r="O71" i="12"/>
  <c r="K60" i="8" s="1"/>
  <c r="Q71" i="12"/>
  <c r="M60" i="8" s="1"/>
  <c r="S69" i="12"/>
  <c r="O58" i="8" s="1"/>
  <c r="AC67" i="12"/>
  <c r="Y56" i="8" s="1"/>
  <c r="O67" i="12"/>
  <c r="K56" i="8" s="1"/>
  <c r="Q67" i="12"/>
  <c r="M56" i="8" s="1"/>
  <c r="S67" i="12"/>
  <c r="O56" i="8" s="1"/>
  <c r="P63" i="12"/>
  <c r="L52" i="8" s="1"/>
  <c r="Q59" i="12"/>
  <c r="M48" i="8" s="1"/>
  <c r="AC57" i="12"/>
  <c r="Y46" i="8" s="1"/>
  <c r="P57" i="12"/>
  <c r="L46" i="8" s="1"/>
  <c r="J56" i="12"/>
  <c r="N46" i="12"/>
  <c r="J35" i="8" s="1"/>
  <c r="N50" i="12"/>
  <c r="J39" i="8" s="1"/>
  <c r="N52" i="12"/>
  <c r="J41" i="8" s="1"/>
  <c r="N41" i="12"/>
  <c r="N72" i="12"/>
  <c r="J61" i="8" s="1"/>
  <c r="N58" i="12"/>
  <c r="J47" i="8" s="1"/>
  <c r="N47" i="12"/>
  <c r="J36" i="8" s="1"/>
  <c r="N51" i="12"/>
  <c r="J40" i="8" s="1"/>
  <c r="N55" i="12"/>
  <c r="J44" i="8" s="1"/>
  <c r="N60" i="12"/>
  <c r="J49" i="8" s="1"/>
  <c r="N62" i="12"/>
  <c r="J51" i="8" s="1"/>
  <c r="N54" i="12"/>
  <c r="J43" i="8" s="1"/>
  <c r="N49" i="12"/>
  <c r="J38" i="8" s="1"/>
  <c r="N53" i="12"/>
  <c r="N56" i="12"/>
  <c r="N64" i="12"/>
  <c r="J53" i="8" s="1"/>
  <c r="T46" i="12"/>
  <c r="P35" i="8" s="1"/>
  <c r="T60" i="12"/>
  <c r="P49" i="8" s="1"/>
  <c r="T50" i="12"/>
  <c r="P39" i="8" s="1"/>
  <c r="T58" i="12"/>
  <c r="P47" i="8" s="1"/>
  <c r="T56" i="12"/>
  <c r="T54" i="12"/>
  <c r="P43" i="8" s="1"/>
  <c r="T47" i="12"/>
  <c r="P36" i="8" s="1"/>
  <c r="T53" i="12"/>
  <c r="T62" i="12"/>
  <c r="P51" i="8" s="1"/>
  <c r="T49" i="12"/>
  <c r="P38" i="8" s="1"/>
  <c r="T51" i="12"/>
  <c r="P40" i="8" s="1"/>
  <c r="T52" i="12"/>
  <c r="P41" i="8" s="1"/>
  <c r="T64" i="12"/>
  <c r="P53" i="8" s="1"/>
  <c r="M74" i="12"/>
  <c r="I63" i="8" s="1"/>
  <c r="V74" i="12"/>
  <c r="R63" i="8" s="1"/>
  <c r="K74" i="12"/>
  <c r="G63" i="8" s="1"/>
  <c r="L72" i="12"/>
  <c r="H61" i="8" s="1"/>
  <c r="F72" i="12"/>
  <c r="B61" i="8" s="1"/>
  <c r="AK70" i="12"/>
  <c r="AG59" i="8" s="1"/>
  <c r="G70" i="12"/>
  <c r="C59" i="8" s="1"/>
  <c r="H68" i="12"/>
  <c r="D57" i="8" s="1"/>
  <c r="AH68" i="12"/>
  <c r="AD57" i="8" s="1"/>
  <c r="AB66" i="12"/>
  <c r="X55" i="8" s="1"/>
  <c r="J66" i="12"/>
  <c r="F55" i="8" s="1"/>
  <c r="AH64" i="12"/>
  <c r="AD53" i="8" s="1"/>
  <c r="G56" i="12"/>
  <c r="T55" i="12"/>
  <c r="P44" i="8" s="1"/>
  <c r="W51" i="12"/>
  <c r="S40" i="8" s="1"/>
  <c r="AK49" i="12"/>
  <c r="AG38" i="8" s="1"/>
  <c r="Z54" i="12"/>
  <c r="V43" i="8" s="1"/>
  <c r="AH50" i="12"/>
  <c r="AD39" i="8" s="1"/>
  <c r="AB46" i="12"/>
  <c r="X35" i="8" s="1"/>
  <c r="X57" i="11"/>
  <c r="T14" i="8" s="1"/>
  <c r="X53" i="11"/>
  <c r="T10" i="8" s="1"/>
  <c r="X60" i="11"/>
  <c r="T17" i="8" s="1"/>
  <c r="X66" i="11"/>
  <c r="T23" i="8" s="1"/>
  <c r="X58" i="11"/>
  <c r="T15" i="8" s="1"/>
  <c r="AK60" i="12"/>
  <c r="AG49" i="8" s="1"/>
  <c r="AB57" i="12"/>
  <c r="X46" i="8" s="1"/>
  <c r="I47" i="12"/>
  <c r="E36" i="8" s="1"/>
  <c r="I51" i="12"/>
  <c r="E40" i="8" s="1"/>
  <c r="I60" i="12"/>
  <c r="E49" i="8" s="1"/>
  <c r="I68" i="12"/>
  <c r="E57" i="8" s="1"/>
  <c r="I70" i="12"/>
  <c r="E59" i="8" s="1"/>
  <c r="I54" i="12"/>
  <c r="E43" i="8" s="1"/>
  <c r="I49" i="12"/>
  <c r="E38" i="8" s="1"/>
  <c r="I55" i="12"/>
  <c r="E44" i="8" s="1"/>
  <c r="I48" i="12"/>
  <c r="E37" i="8" s="1"/>
  <c r="I64" i="12"/>
  <c r="E53" i="8" s="1"/>
  <c r="I52" i="12"/>
  <c r="E41" i="8" s="1"/>
  <c r="I58" i="12"/>
  <c r="E47" i="8" s="1"/>
  <c r="I46" i="12"/>
  <c r="E35" i="8" s="1"/>
  <c r="I53" i="12"/>
  <c r="I72" i="12"/>
  <c r="E61" i="8" s="1"/>
  <c r="I50" i="12"/>
  <c r="E39" i="8" s="1"/>
  <c r="I62" i="12"/>
  <c r="E51" i="8" s="1"/>
  <c r="O51" i="12"/>
  <c r="K40" i="8" s="1"/>
  <c r="O61" i="12"/>
  <c r="K50" i="8" s="1"/>
  <c r="O60" i="12"/>
  <c r="K49" i="8" s="1"/>
  <c r="O49" i="12"/>
  <c r="K38" i="8" s="1"/>
  <c r="O53" i="12"/>
  <c r="O68" i="12"/>
  <c r="K57" i="8" s="1"/>
  <c r="O48" i="12"/>
  <c r="K37" i="8" s="1"/>
  <c r="O58" i="12"/>
  <c r="K47" i="8" s="1"/>
  <c r="O64" i="12"/>
  <c r="K53" i="8" s="1"/>
  <c r="O46" i="12"/>
  <c r="K35" i="8" s="1"/>
  <c r="O66" i="12"/>
  <c r="K55" i="8" s="1"/>
  <c r="O50" i="12"/>
  <c r="K39" i="8" s="1"/>
  <c r="O54" i="12"/>
  <c r="K43" i="8" s="1"/>
  <c r="O62" i="12"/>
  <c r="K51" i="8" s="1"/>
  <c r="O72" i="12"/>
  <c r="K61" i="8" s="1"/>
  <c r="O52" i="12"/>
  <c r="K41" i="8" s="1"/>
  <c r="O56" i="12"/>
  <c r="U52" i="12"/>
  <c r="Q41" i="8" s="1"/>
  <c r="U54" i="12"/>
  <c r="Q43" i="8" s="1"/>
  <c r="U47" i="12"/>
  <c r="Q36" i="8" s="1"/>
  <c r="U55" i="12"/>
  <c r="Q44" i="8" s="1"/>
  <c r="U62" i="12"/>
  <c r="Q51" i="8" s="1"/>
  <c r="U49" i="12"/>
  <c r="Q38" i="8" s="1"/>
  <c r="U53" i="12"/>
  <c r="U72" i="12"/>
  <c r="Q61" i="8" s="1"/>
  <c r="U51" i="12"/>
  <c r="Q40" i="8" s="1"/>
  <c r="U64" i="12"/>
  <c r="Q53" i="8" s="1"/>
  <c r="U48" i="12"/>
  <c r="Q37" i="8" s="1"/>
  <c r="U46" i="12"/>
  <c r="Q35" i="8" s="1"/>
  <c r="U50" i="12"/>
  <c r="Q39" i="8" s="1"/>
  <c r="U68" i="12"/>
  <c r="Q57" i="8" s="1"/>
  <c r="U70" i="12"/>
  <c r="Q59" i="8" s="1"/>
  <c r="U58" i="12"/>
  <c r="Q47" i="8" s="1"/>
  <c r="U41" i="12"/>
  <c r="U57" i="12"/>
  <c r="Q46" i="8" s="1"/>
  <c r="AA73" i="12"/>
  <c r="W62" i="8" s="1"/>
  <c r="AI73" i="12"/>
  <c r="AE62" i="8" s="1"/>
  <c r="L73" i="12"/>
  <c r="H62" i="8" s="1"/>
  <c r="H73" i="12"/>
  <c r="D62" i="8" s="1"/>
  <c r="AE71" i="12"/>
  <c r="AA60" i="8" s="1"/>
  <c r="G71" i="12"/>
  <c r="C60" i="8" s="1"/>
  <c r="Y71" i="12"/>
  <c r="U60" i="8" s="1"/>
  <c r="AC71" i="12"/>
  <c r="Y60" i="8" s="1"/>
  <c r="AA69" i="12"/>
  <c r="W58" i="8" s="1"/>
  <c r="AI69" i="12"/>
  <c r="AE58" i="8" s="1"/>
  <c r="M69" i="12"/>
  <c r="I58" i="8" s="1"/>
  <c r="I69" i="12"/>
  <c r="E58" i="8" s="1"/>
  <c r="AK67" i="12"/>
  <c r="AG56" i="8" s="1"/>
  <c r="W67" i="12"/>
  <c r="S56" i="8" s="1"/>
  <c r="Y67" i="12"/>
  <c r="U56" i="8" s="1"/>
  <c r="AA67" i="12"/>
  <c r="W56" i="8" s="1"/>
  <c r="Q65" i="12"/>
  <c r="M54" i="8" s="1"/>
  <c r="S65" i="12"/>
  <c r="O54" i="8" s="1"/>
  <c r="U65" i="12"/>
  <c r="Q54" i="8" s="1"/>
  <c r="G65" i="12"/>
  <c r="C54" i="8" s="1"/>
  <c r="AD63" i="12"/>
  <c r="Z52" i="8" s="1"/>
  <c r="X63" i="12"/>
  <c r="T52" i="8" s="1"/>
  <c r="Z63" i="12"/>
  <c r="V52" i="8" s="1"/>
  <c r="Q61" i="12"/>
  <c r="M50" i="8" s="1"/>
  <c r="S61" i="12"/>
  <c r="O50" i="8" s="1"/>
  <c r="N61" i="12"/>
  <c r="J50" i="8" s="1"/>
  <c r="AD59" i="12"/>
  <c r="Z48" i="8" s="1"/>
  <c r="Y59" i="12"/>
  <c r="U48" i="8" s="1"/>
  <c r="R57" i="12"/>
  <c r="N46" i="8" s="1"/>
  <c r="AK57" i="12"/>
  <c r="AG46" i="8" s="1"/>
  <c r="X57" i="12"/>
  <c r="T46" i="8" s="1"/>
  <c r="AI48" i="12"/>
  <c r="AE37" i="8" s="1"/>
  <c r="F48" i="12"/>
  <c r="B37" i="8" s="1"/>
  <c r="L48" i="12"/>
  <c r="H37" i="8" s="1"/>
  <c r="AC74" i="12"/>
  <c r="Y63" i="8" s="1"/>
  <c r="AL74" i="12"/>
  <c r="AH63" i="8" s="1"/>
  <c r="S74" i="12"/>
  <c r="O63" i="8" s="1"/>
  <c r="AC72" i="12"/>
  <c r="Y61" i="8" s="1"/>
  <c r="AD72" i="12"/>
  <c r="Z61" i="8" s="1"/>
  <c r="H70" i="12"/>
  <c r="D59" i="8" s="1"/>
  <c r="O70" i="12"/>
  <c r="K59" i="8" s="1"/>
  <c r="Q68" i="12"/>
  <c r="M57" i="8" s="1"/>
  <c r="S68" i="12"/>
  <c r="O57" i="8" s="1"/>
  <c r="U66" i="12"/>
  <c r="Q55" i="8" s="1"/>
  <c r="R66" i="12"/>
  <c r="N55" i="8" s="1"/>
  <c r="I56" i="12"/>
  <c r="Y51" i="12"/>
  <c r="U40" i="8" s="1"/>
  <c r="K58" i="12"/>
  <c r="G47" i="8" s="1"/>
  <c r="AJ50" i="12"/>
  <c r="AF39" i="8" s="1"/>
  <c r="V46" i="12"/>
  <c r="R35" i="8" s="1"/>
  <c r="X74" i="11"/>
  <c r="X61" i="11"/>
  <c r="T18" i="8" s="1"/>
  <c r="L57" i="12"/>
  <c r="H46" i="8" s="1"/>
  <c r="T61" i="12"/>
  <c r="P50" i="8" s="1"/>
  <c r="G47" i="12"/>
  <c r="C36" i="8" s="1"/>
  <c r="G55" i="12"/>
  <c r="C44" i="8" s="1"/>
  <c r="G51" i="12"/>
  <c r="C40" i="8" s="1"/>
  <c r="G60" i="12"/>
  <c r="C49" i="8" s="1"/>
  <c r="G49" i="12"/>
  <c r="C38" i="8" s="1"/>
  <c r="G48" i="12"/>
  <c r="C37" i="8" s="1"/>
  <c r="G58" i="12"/>
  <c r="C47" i="8" s="1"/>
  <c r="G53" i="12"/>
  <c r="G64" i="12"/>
  <c r="C53" i="8" s="1"/>
  <c r="G46" i="12"/>
  <c r="C35" i="8" s="1"/>
  <c r="G54" i="12"/>
  <c r="C43" i="8" s="1"/>
  <c r="G50" i="12"/>
  <c r="C39" i="8" s="1"/>
  <c r="G62" i="12"/>
  <c r="C51" i="8" s="1"/>
  <c r="G72" i="12"/>
  <c r="C61" i="8" s="1"/>
  <c r="M54" i="12"/>
  <c r="I43" i="8" s="1"/>
  <c r="M51" i="12"/>
  <c r="I40" i="8" s="1"/>
  <c r="M47" i="12"/>
  <c r="I36" i="8" s="1"/>
  <c r="M55" i="12"/>
  <c r="I44" i="8" s="1"/>
  <c r="M72" i="12"/>
  <c r="I61" i="8" s="1"/>
  <c r="M62" i="12"/>
  <c r="I51" i="8" s="1"/>
  <c r="M49" i="12"/>
  <c r="I38" i="8" s="1"/>
  <c r="M64" i="12"/>
  <c r="I53" i="8" s="1"/>
  <c r="M48" i="12"/>
  <c r="I37" i="8" s="1"/>
  <c r="M52" i="12"/>
  <c r="I41" i="8" s="1"/>
  <c r="M53" i="12"/>
  <c r="M46" i="12"/>
  <c r="I35" i="8" s="1"/>
  <c r="M66" i="12"/>
  <c r="I55" i="8" s="1"/>
  <c r="M70" i="12"/>
  <c r="I59" i="8" s="1"/>
  <c r="M50" i="12"/>
  <c r="I39" i="8" s="1"/>
  <c r="F73" i="12"/>
  <c r="B62" i="8" s="1"/>
  <c r="T73" i="12"/>
  <c r="P62" i="8" s="1"/>
  <c r="P73" i="12"/>
  <c r="L62" i="8" s="1"/>
  <c r="J71" i="12"/>
  <c r="F60" i="8" s="1"/>
  <c r="W71" i="12"/>
  <c r="S60" i="8" s="1"/>
  <c r="AK71" i="12"/>
  <c r="AG60" i="8" s="1"/>
  <c r="N69" i="12"/>
  <c r="J58" i="8" s="1"/>
  <c r="F69" i="12"/>
  <c r="B58" i="8" s="1"/>
  <c r="Q69" i="12"/>
  <c r="M58" i="8" s="1"/>
  <c r="F67" i="12"/>
  <c r="B56" i="8" s="1"/>
  <c r="AE67" i="12"/>
  <c r="AA56" i="8" s="1"/>
  <c r="AI67" i="12"/>
  <c r="AE56" i="8" s="1"/>
  <c r="Y65" i="12"/>
  <c r="U54" i="8" s="1"/>
  <c r="AA65" i="12"/>
  <c r="W54" i="8" s="1"/>
  <c r="AC65" i="12"/>
  <c r="Y54" i="8" s="1"/>
  <c r="M63" i="12"/>
  <c r="I52" i="8" s="1"/>
  <c r="AL63" i="12"/>
  <c r="AH52" i="8" s="1"/>
  <c r="AF63" i="12"/>
  <c r="AB52" i="8" s="1"/>
  <c r="AH63" i="12"/>
  <c r="AD52" i="8" s="1"/>
  <c r="Y61" i="12"/>
  <c r="U50" i="8" s="1"/>
  <c r="AA61" i="12"/>
  <c r="W50" i="8" s="1"/>
  <c r="M59" i="12"/>
  <c r="I48" i="8" s="1"/>
  <c r="AL59" i="12"/>
  <c r="AH48" i="8" s="1"/>
  <c r="Z57" i="12"/>
  <c r="V46" i="8" s="1"/>
  <c r="F57" i="12"/>
  <c r="B46" i="8" s="1"/>
  <c r="AF57" i="12"/>
  <c r="AB46" i="8" s="1"/>
  <c r="X41" i="12"/>
  <c r="R60" i="12"/>
  <c r="N49" i="8" s="1"/>
  <c r="AA62" i="12"/>
  <c r="W51" i="8" s="1"/>
  <c r="AA49" i="12"/>
  <c r="W38" i="8" s="1"/>
  <c r="AA53" i="12"/>
  <c r="AA48" i="12"/>
  <c r="W37" i="8" s="1"/>
  <c r="AA52" i="12"/>
  <c r="W41" i="8" s="1"/>
  <c r="AA64" i="12"/>
  <c r="W53" i="8" s="1"/>
  <c r="AA70" i="12"/>
  <c r="W59" i="8" s="1"/>
  <c r="AA46" i="12"/>
  <c r="W35" i="8" s="1"/>
  <c r="AA51" i="12"/>
  <c r="W40" i="8" s="1"/>
  <c r="AA55" i="12"/>
  <c r="W44" i="8" s="1"/>
  <c r="AA60" i="12"/>
  <c r="W49" i="8" s="1"/>
  <c r="AA66" i="12"/>
  <c r="W55" i="8" s="1"/>
  <c r="AA50" i="12"/>
  <c r="W39" i="8" s="1"/>
  <c r="AA58" i="12"/>
  <c r="W47" i="8" s="1"/>
  <c r="AA72" i="12"/>
  <c r="W61" i="8" s="1"/>
  <c r="AA54" i="12"/>
  <c r="W43" i="8" s="1"/>
  <c r="AA68" i="12"/>
  <c r="W57" i="8" s="1"/>
  <c r="AA74" i="12"/>
  <c r="W63" i="8" s="1"/>
  <c r="AG48" i="12"/>
  <c r="AC37" i="8" s="1"/>
  <c r="AG62" i="12"/>
  <c r="AC51" i="8" s="1"/>
  <c r="AG66" i="12"/>
  <c r="AC55" i="8" s="1"/>
  <c r="AG46" i="12"/>
  <c r="AC35" i="8" s="1"/>
  <c r="AG68" i="12"/>
  <c r="AC57" i="8" s="1"/>
  <c r="AG50" i="12"/>
  <c r="AC39" i="8" s="1"/>
  <c r="AG52" i="12"/>
  <c r="AC41" i="8" s="1"/>
  <c r="AG41" i="12"/>
  <c r="AG53" i="12"/>
  <c r="AG56" i="12"/>
  <c r="AG54" i="12"/>
  <c r="AC43" i="8" s="1"/>
  <c r="AG47" i="12"/>
  <c r="AC36" i="8" s="1"/>
  <c r="AG51" i="12"/>
  <c r="AC40" i="8" s="1"/>
  <c r="AG60" i="12"/>
  <c r="AC49" i="8" s="1"/>
  <c r="U74" i="12"/>
  <c r="Q63" i="8" s="1"/>
  <c r="P74" i="12"/>
  <c r="L63" i="8" s="1"/>
  <c r="G74" i="12"/>
  <c r="C63" i="8" s="1"/>
  <c r="AI74" i="12"/>
  <c r="AE63" i="8" s="1"/>
  <c r="P72" i="12"/>
  <c r="L61" i="8" s="1"/>
  <c r="AL72" i="12"/>
  <c r="AH61" i="8" s="1"/>
  <c r="Y70" i="12"/>
  <c r="U59" i="8" s="1"/>
  <c r="J70" i="12"/>
  <c r="F59" i="8" s="1"/>
  <c r="T68" i="12"/>
  <c r="P57" i="8" s="1"/>
  <c r="V68" i="12"/>
  <c r="R57" i="8" s="1"/>
  <c r="N66" i="12"/>
  <c r="J55" i="8" s="1"/>
  <c r="F64" i="12"/>
  <c r="B53" i="8" s="1"/>
  <c r="S53" i="12"/>
  <c r="AB51" i="12"/>
  <c r="X40" i="8" s="1"/>
  <c r="AA47" i="12"/>
  <c r="W36" i="8" s="1"/>
  <c r="M58" i="12"/>
  <c r="I47" i="8" s="1"/>
  <c r="AI52" i="12"/>
  <c r="AE41" i="8" s="1"/>
  <c r="AD50" i="12"/>
  <c r="Z39" i="8" s="1"/>
  <c r="L49" i="12"/>
  <c r="H38" i="8" s="1"/>
  <c r="AI47" i="12"/>
  <c r="AE36" i="8" s="1"/>
  <c r="L62" i="12"/>
  <c r="H51" i="8" s="1"/>
  <c r="AL62" i="12"/>
  <c r="AH51" i="8" s="1"/>
  <c r="F58" i="12"/>
  <c r="B47" i="8" s="1"/>
  <c r="F54" i="12"/>
  <c r="B43" i="8" s="1"/>
  <c r="AL50" i="12"/>
  <c r="AH39" i="8" s="1"/>
  <c r="AL70" i="12"/>
  <c r="AH59" i="8" s="1"/>
  <c r="F68" i="12"/>
  <c r="B57" i="8" s="1"/>
  <c r="AI68" i="12"/>
  <c r="AE57" i="8" s="1"/>
  <c r="AL66" i="12"/>
  <c r="AH55" i="8" s="1"/>
  <c r="F60" i="12"/>
  <c r="B49" i="8" s="1"/>
  <c r="AI55" i="12"/>
  <c r="AE44" i="8" s="1"/>
  <c r="F55" i="12"/>
  <c r="B44" i="8" s="1"/>
  <c r="F51" i="12"/>
  <c r="B40" i="8" s="1"/>
  <c r="L47" i="12"/>
  <c r="H36" i="8" s="1"/>
  <c r="F47" i="12"/>
  <c r="B36" i="8" s="1"/>
  <c r="AL58" i="12"/>
  <c r="AH47" i="8" s="1"/>
  <c r="AI54" i="12"/>
  <c r="AE43" i="8" s="1"/>
  <c r="AL46" i="12"/>
  <c r="AH35" i="8" s="1"/>
  <c r="AL51" i="12"/>
  <c r="AH40" i="8" s="1"/>
  <c r="AI58" i="12"/>
  <c r="AE47" i="8" s="1"/>
  <c r="L54" i="12"/>
  <c r="H43" i="8" s="1"/>
  <c r="AL48" i="12"/>
  <c r="AH37" i="8" s="1"/>
  <c r="AL64" i="12"/>
  <c r="AH53" i="8" s="1"/>
  <c r="L56" i="12"/>
  <c r="AL56" i="12"/>
  <c r="AL53" i="12"/>
  <c r="L51" i="12"/>
  <c r="H40" i="8" s="1"/>
  <c r="AL49" i="12"/>
  <c r="AH38" i="8" s="1"/>
  <c r="F41" i="12"/>
  <c r="L58" i="12"/>
  <c r="H47" i="8" s="1"/>
  <c r="AL54" i="12"/>
  <c r="AH43" i="8" s="1"/>
  <c r="F52" i="12"/>
  <c r="B41" i="8" s="1"/>
  <c r="AI50" i="12"/>
  <c r="AE39" i="8" s="1"/>
  <c r="AL68" i="12"/>
  <c r="AH57" i="8" s="1"/>
  <c r="AI66" i="12"/>
  <c r="AE55" i="8" s="1"/>
  <c r="AI60" i="12"/>
  <c r="AE49" i="8" s="1"/>
  <c r="AI51" i="12"/>
  <c r="AE40" i="8" s="1"/>
  <c r="L50" i="12"/>
  <c r="H39" i="8" s="1"/>
  <c r="F50" i="12"/>
  <c r="B39" i="8" s="1"/>
  <c r="AI46" i="12"/>
  <c r="AE35" i="8" s="1"/>
  <c r="F70" i="12"/>
  <c r="B59" i="8" s="1"/>
  <c r="AI70" i="12"/>
  <c r="AE59" i="8" s="1"/>
  <c r="L68" i="12"/>
  <c r="H57" i="8" s="1"/>
  <c r="L66" i="12"/>
  <c r="H55" i="8" s="1"/>
  <c r="F66" i="12"/>
  <c r="B55" i="8" s="1"/>
  <c r="L60" i="12"/>
  <c r="H49" i="8" s="1"/>
  <c r="AL60" i="12"/>
  <c r="AH49" i="8" s="1"/>
  <c r="AI63" i="12"/>
  <c r="AE52" i="8" s="1"/>
  <c r="AL55" i="12"/>
  <c r="AH44" i="8" s="1"/>
  <c r="AL47" i="12"/>
  <c r="AH36" i="8" s="1"/>
  <c r="L46" i="12"/>
  <c r="H35" i="8" s="1"/>
  <c r="F46" i="12"/>
  <c r="B35" i="8" s="1"/>
  <c r="AI64" i="12"/>
  <c r="AE53" i="8" s="1"/>
  <c r="L55" i="12"/>
  <c r="H44" i="8" s="1"/>
  <c r="AI53" i="12"/>
  <c r="T41" i="11"/>
  <c r="V63" i="11"/>
  <c r="R20" i="8" s="1"/>
  <c r="L57" i="11"/>
  <c r="H14" i="8" s="1"/>
  <c r="J68" i="11"/>
  <c r="F25" i="8" s="1"/>
  <c r="AH70" i="11"/>
  <c r="AD27" i="8" s="1"/>
  <c r="Q41" i="11"/>
  <c r="AC41" i="11"/>
  <c r="F67" i="11"/>
  <c r="B24" i="8" s="1"/>
  <c r="N63" i="11"/>
  <c r="J20" i="8" s="1"/>
  <c r="Y73" i="11"/>
  <c r="AG74" i="11"/>
  <c r="G63" i="11"/>
  <c r="C20" i="8" s="1"/>
  <c r="AJ56" i="11"/>
  <c r="AI62" i="11"/>
  <c r="AE19" i="8" s="1"/>
  <c r="K53" i="11"/>
  <c r="G10" i="8" s="1"/>
  <c r="H49" i="11"/>
  <c r="D6" i="8" s="1"/>
  <c r="G67" i="11"/>
  <c r="C24" i="8" s="1"/>
  <c r="K67" i="11"/>
  <c r="G24" i="8" s="1"/>
  <c r="M69" i="11"/>
  <c r="I26" i="8" s="1"/>
  <c r="K68" i="11"/>
  <c r="G25" i="8" s="1"/>
  <c r="F54" i="11"/>
  <c r="B11" i="8" s="1"/>
  <c r="I49" i="11"/>
  <c r="E6" i="8" s="1"/>
  <c r="AH47" i="11"/>
  <c r="AD4" i="8" s="1"/>
  <c r="S58" i="11"/>
  <c r="O15" i="8" s="1"/>
  <c r="R63" i="11"/>
  <c r="N20" i="8" s="1"/>
  <c r="Q63" i="11"/>
  <c r="M20" i="8" s="1"/>
  <c r="T51" i="11"/>
  <c r="P8" i="8" s="1"/>
  <c r="M49" i="11"/>
  <c r="I6" i="8" s="1"/>
  <c r="AL74" i="11"/>
  <c r="J60" i="11"/>
  <c r="F17" i="8" s="1"/>
  <c r="J67" i="11"/>
  <c r="F24" i="8" s="1"/>
  <c r="M47" i="11"/>
  <c r="I4" i="8" s="1"/>
  <c r="AB55" i="11"/>
  <c r="X12" i="8" s="1"/>
  <c r="Z72" i="11"/>
  <c r="AH63" i="11"/>
  <c r="AD20" i="8" s="1"/>
  <c r="J57" i="11"/>
  <c r="F14" i="8" s="1"/>
  <c r="AH54" i="11"/>
  <c r="AD11" i="8" s="1"/>
  <c r="J63" i="11"/>
  <c r="F20" i="8" s="1"/>
  <c r="AH49" i="11"/>
  <c r="AD6" i="8" s="1"/>
  <c r="AH67" i="11"/>
  <c r="AD24" i="8" s="1"/>
  <c r="AA57" i="11"/>
  <c r="W14" i="8" s="1"/>
  <c r="S74" i="11"/>
  <c r="AJ70" i="11"/>
  <c r="AF27" i="8" s="1"/>
  <c r="Y69" i="11"/>
  <c r="U26" i="8" s="1"/>
  <c r="AG49" i="11"/>
  <c r="AC6" i="8" s="1"/>
  <c r="AG64" i="11"/>
  <c r="AC21" i="8" s="1"/>
  <c r="M67" i="11"/>
  <c r="I24" i="8" s="1"/>
  <c r="AK59" i="11"/>
  <c r="AG16" i="8" s="1"/>
  <c r="AK47" i="11"/>
  <c r="AG4" i="8" s="1"/>
  <c r="AK57" i="11"/>
  <c r="AG14" i="8" s="1"/>
  <c r="O70" i="11"/>
  <c r="K27" i="8" s="1"/>
  <c r="AB61" i="11"/>
  <c r="X18" i="8" s="1"/>
  <c r="AJ74" i="11"/>
  <c r="Z66" i="11"/>
  <c r="V23" i="8" s="1"/>
  <c r="S62" i="11"/>
  <c r="O19" i="8" s="1"/>
  <c r="S61" i="11"/>
  <c r="O18" i="8" s="1"/>
  <c r="S53" i="11"/>
  <c r="O10" i="8" s="1"/>
  <c r="M53" i="11"/>
  <c r="I10" i="8" s="1"/>
  <c r="K57" i="11"/>
  <c r="G14" i="8" s="1"/>
  <c r="Q70" i="11"/>
  <c r="M27" i="8" s="1"/>
  <c r="S46" i="11"/>
  <c r="O67" i="11"/>
  <c r="K24" i="8" s="1"/>
  <c r="AA59" i="11"/>
  <c r="W16" i="8" s="1"/>
  <c r="M61" i="11"/>
  <c r="I18" i="8" s="1"/>
  <c r="O46" i="11"/>
  <c r="S66" i="11"/>
  <c r="O23" i="8" s="1"/>
  <c r="O59" i="11"/>
  <c r="K16" i="8" s="1"/>
  <c r="AI70" i="11"/>
  <c r="AE27" i="8" s="1"/>
  <c r="I41" i="11"/>
  <c r="K63" i="11"/>
  <c r="G20" i="8" s="1"/>
  <c r="T49" i="11"/>
  <c r="P6" i="8" s="1"/>
  <c r="AB41" i="11"/>
  <c r="S67" i="11"/>
  <c r="O24" i="8" s="1"/>
  <c r="N67" i="11"/>
  <c r="J24" i="8" s="1"/>
  <c r="G59" i="11"/>
  <c r="C16" i="8" s="1"/>
  <c r="Y47" i="11"/>
  <c r="U4" i="8" s="1"/>
  <c r="W41" i="11"/>
  <c r="AF69" i="11"/>
  <c r="AB26" i="8" s="1"/>
  <c r="AJ57" i="11"/>
  <c r="AF14" i="8" s="1"/>
  <c r="AE66" i="11"/>
  <c r="AA23" i="8" s="1"/>
  <c r="L74" i="11"/>
  <c r="S70" i="11"/>
  <c r="O27" i="8" s="1"/>
  <c r="Y64" i="11"/>
  <c r="U21" i="8" s="1"/>
  <c r="AF41" i="11"/>
  <c r="AK64" i="11"/>
  <c r="AG21" i="8" s="1"/>
  <c r="AD41" i="11"/>
  <c r="S59" i="11"/>
  <c r="O16" i="8" s="1"/>
  <c r="F50" i="11"/>
  <c r="B7" i="8" s="1"/>
  <c r="M41" i="11"/>
  <c r="AK63" i="11"/>
  <c r="AG20" i="8" s="1"/>
  <c r="Y63" i="11"/>
  <c r="U20" i="8" s="1"/>
  <c r="AJ49" i="11"/>
  <c r="AF6" i="8" s="1"/>
  <c r="Z54" i="11"/>
  <c r="V11" i="8" s="1"/>
  <c r="J71" i="11"/>
  <c r="F28" i="8" s="1"/>
  <c r="AK74" i="11"/>
  <c r="K70" i="11"/>
  <c r="G27" i="8" s="1"/>
  <c r="AH64" i="11"/>
  <c r="AD21" i="8" s="1"/>
  <c r="AA62" i="11"/>
  <c r="W19" i="8" s="1"/>
  <c r="AH51" i="11"/>
  <c r="AD8" i="8" s="1"/>
  <c r="J50" i="11"/>
  <c r="F7" i="8" s="1"/>
  <c r="K71" i="11"/>
  <c r="G28" i="8" s="1"/>
  <c r="Z63" i="11"/>
  <c r="V20" i="8" s="1"/>
  <c r="AB63" i="11"/>
  <c r="X20" i="8" s="1"/>
  <c r="S47" i="11"/>
  <c r="O4" i="8" s="1"/>
  <c r="AA67" i="11"/>
  <c r="W24" i="8" s="1"/>
  <c r="K59" i="11"/>
  <c r="G16" i="8" s="1"/>
  <c r="G41" i="11"/>
  <c r="M64" i="11"/>
  <c r="I21" i="8" s="1"/>
  <c r="Y57" i="11"/>
  <c r="U14" i="8" s="1"/>
  <c r="M60" i="11"/>
  <c r="I17" i="8" s="1"/>
  <c r="V59" i="11"/>
  <c r="R16" i="8" s="1"/>
  <c r="F70" i="11"/>
  <c r="B27" i="8" s="1"/>
  <c r="AJ64" i="11"/>
  <c r="AF21" i="8" s="1"/>
  <c r="G62" i="11"/>
  <c r="C19" i="8" s="1"/>
  <c r="AH56" i="11"/>
  <c r="S65" i="11"/>
  <c r="O22" i="8" s="1"/>
  <c r="S51" i="11"/>
  <c r="O8" i="8" s="1"/>
  <c r="S73" i="11"/>
  <c r="X71" i="11"/>
  <c r="T28" i="8" s="1"/>
  <c r="U59" i="11"/>
  <c r="Q16" i="8" s="1"/>
  <c r="S63" i="11"/>
  <c r="O20" i="8" s="1"/>
  <c r="AL63" i="11"/>
  <c r="AH20" i="8" s="1"/>
  <c r="AK49" i="11"/>
  <c r="AG6" i="8" s="1"/>
  <c r="T70" i="11"/>
  <c r="P27" i="8" s="1"/>
  <c r="AG67" i="11"/>
  <c r="AC24" i="8" s="1"/>
  <c r="AG59" i="11"/>
  <c r="AC16" i="8" s="1"/>
  <c r="AJ59" i="11"/>
  <c r="AF16" i="8" s="1"/>
  <c r="AH41" i="11"/>
  <c r="AG57" i="11"/>
  <c r="AC14" i="8" s="1"/>
  <c r="AG66" i="11"/>
  <c r="AC23" i="8" s="1"/>
  <c r="N64" i="11"/>
  <c r="J21" i="8" s="1"/>
  <c r="Z62" i="11"/>
  <c r="V19" i="8" s="1"/>
  <c r="S56" i="11"/>
  <c r="AG65" i="11"/>
  <c r="AC22" i="8" s="1"/>
  <c r="P73" i="11"/>
  <c r="I74" i="11"/>
  <c r="W63" i="11"/>
  <c r="S20" i="8" s="1"/>
  <c r="Z52" i="11"/>
  <c r="V9" i="8" s="1"/>
  <c r="AK66" i="11"/>
  <c r="AG23" i="8" s="1"/>
  <c r="AA73" i="11"/>
  <c r="S55" i="11"/>
  <c r="O12" i="8" s="1"/>
  <c r="V49" i="11"/>
  <c r="R6" i="8" s="1"/>
  <c r="AC68" i="11"/>
  <c r="Y25" i="8" s="1"/>
  <c r="AC71" i="11"/>
  <c r="Y28" i="8" s="1"/>
  <c r="AC65" i="11"/>
  <c r="Y22" i="8" s="1"/>
  <c r="AC50" i="11"/>
  <c r="Y7" i="8" s="1"/>
  <c r="AC63" i="11"/>
  <c r="Y20" i="8" s="1"/>
  <c r="AC61" i="11"/>
  <c r="Y18" i="8" s="1"/>
  <c r="AC52" i="11"/>
  <c r="Y9" i="8" s="1"/>
  <c r="AC60" i="11"/>
  <c r="Y17" i="8" s="1"/>
  <c r="AC64" i="11"/>
  <c r="Y21" i="8" s="1"/>
  <c r="AC66" i="11"/>
  <c r="Y23" i="8" s="1"/>
  <c r="AC56" i="11"/>
  <c r="W69" i="11"/>
  <c r="S26" i="8" s="1"/>
  <c r="AC69" i="11"/>
  <c r="Y26" i="8" s="1"/>
  <c r="W57" i="11"/>
  <c r="S14" i="8" s="1"/>
  <c r="R52" i="11"/>
  <c r="N9" i="8" s="1"/>
  <c r="R60" i="11"/>
  <c r="N17" i="8" s="1"/>
  <c r="R59" i="11"/>
  <c r="N16" i="8" s="1"/>
  <c r="R56" i="11"/>
  <c r="R65" i="11"/>
  <c r="N22" i="8" s="1"/>
  <c r="R58" i="11"/>
  <c r="N15" i="8" s="1"/>
  <c r="R57" i="11"/>
  <c r="N14" i="8" s="1"/>
  <c r="R47" i="11"/>
  <c r="N4" i="8" s="1"/>
  <c r="H74" i="11"/>
  <c r="R74" i="11"/>
  <c r="I68" i="11"/>
  <c r="E25" i="8" s="1"/>
  <c r="W58" i="11"/>
  <c r="S15" i="8" s="1"/>
  <c r="L51" i="11"/>
  <c r="H8" i="8" s="1"/>
  <c r="AF73" i="11"/>
  <c r="AL53" i="11"/>
  <c r="AH10" i="8" s="1"/>
  <c r="AC55" i="11"/>
  <c r="Y12" i="8" s="1"/>
  <c r="AC72" i="11"/>
  <c r="I59" i="11"/>
  <c r="E16" i="8" s="1"/>
  <c r="T47" i="11"/>
  <c r="P4" i="8" s="1"/>
  <c r="O50" i="11"/>
  <c r="K7" i="8" s="1"/>
  <c r="O72" i="11"/>
  <c r="O63" i="11"/>
  <c r="K20" i="8" s="1"/>
  <c r="O64" i="11"/>
  <c r="K21" i="8" s="1"/>
  <c r="O57" i="11"/>
  <c r="K14" i="8" s="1"/>
  <c r="O48" i="11"/>
  <c r="K5" i="8" s="1"/>
  <c r="O71" i="11"/>
  <c r="K28" i="8" s="1"/>
  <c r="O47" i="11"/>
  <c r="K4" i="8" s="1"/>
  <c r="O73" i="11"/>
  <c r="O52" i="11"/>
  <c r="K9" i="8" s="1"/>
  <c r="O58" i="11"/>
  <c r="K15" i="8" s="1"/>
  <c r="O49" i="11"/>
  <c r="K6" i="8" s="1"/>
  <c r="O60" i="11"/>
  <c r="K17" i="8" s="1"/>
  <c r="O62" i="11"/>
  <c r="K19" i="8" s="1"/>
  <c r="O66" i="11"/>
  <c r="K23" i="8" s="1"/>
  <c r="F63" i="11"/>
  <c r="B20" i="8" s="1"/>
  <c r="AI63" i="11"/>
  <c r="AE20" i="8" s="1"/>
  <c r="AG63" i="11"/>
  <c r="AC20" i="8" s="1"/>
  <c r="Y49" i="11"/>
  <c r="U6" i="8" s="1"/>
  <c r="AB49" i="11"/>
  <c r="X6" i="8" s="1"/>
  <c r="M70" i="11"/>
  <c r="I27" i="8" s="1"/>
  <c r="AJ51" i="11"/>
  <c r="AF8" i="8" s="1"/>
  <c r="K41" i="11"/>
  <c r="AD59" i="11"/>
  <c r="Z16" i="8" s="1"/>
  <c r="AD53" i="11"/>
  <c r="Z10" i="8" s="1"/>
  <c r="AD56" i="11"/>
  <c r="AD51" i="11"/>
  <c r="Z8" i="8" s="1"/>
  <c r="AD60" i="11"/>
  <c r="Z17" i="8" s="1"/>
  <c r="AD70" i="11"/>
  <c r="Z27" i="8" s="1"/>
  <c r="AD74" i="11"/>
  <c r="AD65" i="11"/>
  <c r="Z22" i="8" s="1"/>
  <c r="AD64" i="11"/>
  <c r="Z21" i="8" s="1"/>
  <c r="AD48" i="11"/>
  <c r="Z5" i="8" s="1"/>
  <c r="AD50" i="11"/>
  <c r="Z7" i="8" s="1"/>
  <c r="AD52" i="11"/>
  <c r="Z9" i="8" s="1"/>
  <c r="AD46" i="11"/>
  <c r="AD55" i="11"/>
  <c r="Z12" i="8" s="1"/>
  <c r="AD73" i="11"/>
  <c r="AD54" i="11"/>
  <c r="Z11" i="8" s="1"/>
  <c r="AD71" i="11"/>
  <c r="Z28" i="8" s="1"/>
  <c r="AD49" i="11"/>
  <c r="Z6" i="8" s="1"/>
  <c r="AD61" i="11"/>
  <c r="Z18" i="8" s="1"/>
  <c r="AD68" i="11"/>
  <c r="Z25" i="8" s="1"/>
  <c r="AD69" i="11"/>
  <c r="Z26" i="8" s="1"/>
  <c r="AE67" i="11"/>
  <c r="AA24" i="8" s="1"/>
  <c r="Z67" i="11"/>
  <c r="V24" i="8" s="1"/>
  <c r="AD67" i="11"/>
  <c r="Z24" i="8" s="1"/>
  <c r="M59" i="11"/>
  <c r="I16" i="8" s="1"/>
  <c r="F59" i="11"/>
  <c r="B16" i="8" s="1"/>
  <c r="AF59" i="11"/>
  <c r="AB16" i="8" s="1"/>
  <c r="F47" i="11"/>
  <c r="B4" i="8" s="1"/>
  <c r="F49" i="11"/>
  <c r="B6" i="8" s="1"/>
  <c r="F69" i="11"/>
  <c r="B26" i="8" s="1"/>
  <c r="J69" i="11"/>
  <c r="F26" i="8" s="1"/>
  <c r="Z57" i="11"/>
  <c r="V14" i="8" s="1"/>
  <c r="M57" i="11"/>
  <c r="I14" i="8" s="1"/>
  <c r="AE57" i="11"/>
  <c r="AA14" i="8" s="1"/>
  <c r="AI49" i="11"/>
  <c r="AE6" i="8" s="1"/>
  <c r="Z61" i="11"/>
  <c r="V18" i="8" s="1"/>
  <c r="F74" i="11"/>
  <c r="B31" i="8" s="1"/>
  <c r="AH74" i="11"/>
  <c r="N70" i="11"/>
  <c r="J27" i="8" s="1"/>
  <c r="AF70" i="11"/>
  <c r="AB27" i="8" s="1"/>
  <c r="M68" i="11"/>
  <c r="I25" i="8" s="1"/>
  <c r="AA68" i="11"/>
  <c r="W25" i="8" s="1"/>
  <c r="AF68" i="11"/>
  <c r="AB25" i="8" s="1"/>
  <c r="F66" i="11"/>
  <c r="B23" i="8" s="1"/>
  <c r="AH66" i="11"/>
  <c r="AD23" i="8" s="1"/>
  <c r="Z60" i="11"/>
  <c r="V17" i="8" s="1"/>
  <c r="O54" i="11"/>
  <c r="K11" i="8" s="1"/>
  <c r="J52" i="11"/>
  <c r="F9" i="8" s="1"/>
  <c r="U65" i="11"/>
  <c r="Q22" i="8" s="1"/>
  <c r="O61" i="11"/>
  <c r="K18" i="8" s="1"/>
  <c r="R41" i="11"/>
  <c r="AC51" i="11"/>
  <c r="Y8" i="8" s="1"/>
  <c r="L55" i="11"/>
  <c r="H12" i="8" s="1"/>
  <c r="O53" i="11"/>
  <c r="K10" i="8" s="1"/>
  <c r="F55" i="11"/>
  <c r="B12" i="8" s="1"/>
  <c r="Z46" i="11"/>
  <c r="U72" i="11"/>
  <c r="AE50" i="11"/>
  <c r="AA7" i="8" s="1"/>
  <c r="H48" i="11"/>
  <c r="D5" i="8" s="1"/>
  <c r="H73" i="11"/>
  <c r="H62" i="11"/>
  <c r="D19" i="8" s="1"/>
  <c r="H64" i="11"/>
  <c r="D21" i="8" s="1"/>
  <c r="H66" i="11"/>
  <c r="D23" i="8" s="1"/>
  <c r="H51" i="11"/>
  <c r="D8" i="8" s="1"/>
  <c r="H56" i="11"/>
  <c r="H72" i="11"/>
  <c r="H50" i="11"/>
  <c r="D7" i="8" s="1"/>
  <c r="H46" i="11"/>
  <c r="H55" i="11"/>
  <c r="D12" i="8" s="1"/>
  <c r="H61" i="11"/>
  <c r="D18" i="8" s="1"/>
  <c r="H54" i="11"/>
  <c r="D11" i="8" s="1"/>
  <c r="H67" i="11"/>
  <c r="D24" i="8" s="1"/>
  <c r="H47" i="11"/>
  <c r="D4" i="8" s="1"/>
  <c r="Y55" i="11"/>
  <c r="U12" i="8" s="1"/>
  <c r="Y54" i="11"/>
  <c r="U11" i="8" s="1"/>
  <c r="Y62" i="11"/>
  <c r="U19" i="8" s="1"/>
  <c r="Y71" i="11"/>
  <c r="U28" i="8" s="1"/>
  <c r="Y61" i="11"/>
  <c r="U18" i="8" s="1"/>
  <c r="Y52" i="11"/>
  <c r="U9" i="8" s="1"/>
  <c r="Y46" i="11"/>
  <c r="Y65" i="11"/>
  <c r="U22" i="8" s="1"/>
  <c r="Y51" i="11"/>
  <c r="U8" i="8" s="1"/>
  <c r="Y56" i="11"/>
  <c r="Y66" i="11"/>
  <c r="U23" i="8" s="1"/>
  <c r="Y68" i="11"/>
  <c r="U25" i="8" s="1"/>
  <c r="Y74" i="11"/>
  <c r="Y67" i="11"/>
  <c r="U24" i="8" s="1"/>
  <c r="G68" i="11"/>
  <c r="C25" i="8" s="1"/>
  <c r="G72" i="11"/>
  <c r="G46" i="11"/>
  <c r="G53" i="11"/>
  <c r="C10" i="8" s="1"/>
  <c r="G51" i="11"/>
  <c r="C8" i="8" s="1"/>
  <c r="G56" i="11"/>
  <c r="G60" i="11"/>
  <c r="C17" i="8" s="1"/>
  <c r="G70" i="11"/>
  <c r="C27" i="8" s="1"/>
  <c r="G61" i="11"/>
  <c r="C18" i="8" s="1"/>
  <c r="G50" i="11"/>
  <c r="C7" i="8" s="1"/>
  <c r="G55" i="11"/>
  <c r="C12" i="8" s="1"/>
  <c r="G73" i="11"/>
  <c r="G54" i="11"/>
  <c r="C11" i="8" s="1"/>
  <c r="G48" i="11"/>
  <c r="C5" i="8" s="1"/>
  <c r="G65" i="11"/>
  <c r="C22" i="8" s="1"/>
  <c r="G58" i="11"/>
  <c r="C15" i="8" s="1"/>
  <c r="G52" i="11"/>
  <c r="C9" i="8" s="1"/>
  <c r="H63" i="11"/>
  <c r="D20" i="8" s="1"/>
  <c r="L63" i="11"/>
  <c r="H20" i="8" s="1"/>
  <c r="W67" i="11"/>
  <c r="S24" i="8" s="1"/>
  <c r="G49" i="11"/>
  <c r="C6" i="8" s="1"/>
  <c r="O41" i="11"/>
  <c r="V72" i="11"/>
  <c r="V56" i="11"/>
  <c r="V52" i="11"/>
  <c r="R9" i="8" s="1"/>
  <c r="V58" i="11"/>
  <c r="R15" i="8" s="1"/>
  <c r="V48" i="11"/>
  <c r="R5" i="8" s="1"/>
  <c r="V46" i="11"/>
  <c r="V62" i="11"/>
  <c r="R19" i="8" s="1"/>
  <c r="V66" i="11"/>
  <c r="R23" i="8" s="1"/>
  <c r="V53" i="11"/>
  <c r="R10" i="8" s="1"/>
  <c r="V51" i="11"/>
  <c r="R8" i="8" s="1"/>
  <c r="V60" i="11"/>
  <c r="R17" i="8" s="1"/>
  <c r="V65" i="11"/>
  <c r="R22" i="8" s="1"/>
  <c r="V50" i="11"/>
  <c r="R7" i="8" s="1"/>
  <c r="V55" i="11"/>
  <c r="R12" i="8" s="1"/>
  <c r="V73" i="11"/>
  <c r="V54" i="11"/>
  <c r="R11" i="8" s="1"/>
  <c r="AL67" i="11"/>
  <c r="AH24" i="8" s="1"/>
  <c r="W59" i="11"/>
  <c r="S16" i="8" s="1"/>
  <c r="L59" i="11"/>
  <c r="H16" i="8" s="1"/>
  <c r="V47" i="11"/>
  <c r="R4" i="8" s="1"/>
  <c r="V41" i="11"/>
  <c r="M56" i="11"/>
  <c r="M66" i="11"/>
  <c r="I23" i="8" s="1"/>
  <c r="M65" i="11"/>
  <c r="I22" i="8" s="1"/>
  <c r="M50" i="11"/>
  <c r="I7" i="8" s="1"/>
  <c r="M55" i="11"/>
  <c r="I12" i="8" s="1"/>
  <c r="M73" i="11"/>
  <c r="M54" i="11"/>
  <c r="I11" i="8" s="1"/>
  <c r="M72" i="11"/>
  <c r="M46" i="11"/>
  <c r="M71" i="11"/>
  <c r="I28" i="8" s="1"/>
  <c r="M52" i="11"/>
  <c r="I9" i="8" s="1"/>
  <c r="M58" i="11"/>
  <c r="I15" i="8" s="1"/>
  <c r="M48" i="11"/>
  <c r="I5" i="8" s="1"/>
  <c r="M62" i="11"/>
  <c r="I19" i="8" s="1"/>
  <c r="M74" i="11"/>
  <c r="G69" i="11"/>
  <c r="C26" i="8" s="1"/>
  <c r="N69" i="11"/>
  <c r="J26" i="8" s="1"/>
  <c r="R69" i="11"/>
  <c r="N26" i="8" s="1"/>
  <c r="AH57" i="11"/>
  <c r="AD14" i="8" s="1"/>
  <c r="AC57" i="11"/>
  <c r="Y14" i="8" s="1"/>
  <c r="AB47" i="11"/>
  <c r="X4" i="8" s="1"/>
  <c r="N74" i="11"/>
  <c r="K74" i="11"/>
  <c r="V70" i="11"/>
  <c r="R27" i="8" s="1"/>
  <c r="R70" i="11"/>
  <c r="N27" i="8" s="1"/>
  <c r="AG68" i="11"/>
  <c r="AC25" i="8" s="1"/>
  <c r="L68" i="11"/>
  <c r="H25" i="8" s="1"/>
  <c r="AD66" i="11"/>
  <c r="Z23" i="8" s="1"/>
  <c r="AB66" i="11"/>
  <c r="X23" i="8" s="1"/>
  <c r="AE64" i="11"/>
  <c r="AA21" i="8" s="1"/>
  <c r="L62" i="11"/>
  <c r="H19" i="8" s="1"/>
  <c r="Y60" i="11"/>
  <c r="U17" i="8" s="1"/>
  <c r="AL60" i="11"/>
  <c r="AH17" i="8" s="1"/>
  <c r="AE54" i="11"/>
  <c r="AA11" i="8" s="1"/>
  <c r="AK65" i="11"/>
  <c r="AG22" i="8" s="1"/>
  <c r="AL61" i="11"/>
  <c r="AH18" i="8" s="1"/>
  <c r="P46" i="11"/>
  <c r="P71" i="11"/>
  <c r="L28" i="8" s="1"/>
  <c r="P65" i="11"/>
  <c r="L22" i="8" s="1"/>
  <c r="P52" i="11"/>
  <c r="L9" i="8" s="1"/>
  <c r="P66" i="11"/>
  <c r="L23" i="8" s="1"/>
  <c r="P51" i="11"/>
  <c r="L8" i="8" s="1"/>
  <c r="P56" i="11"/>
  <c r="P60" i="11"/>
  <c r="L17" i="8" s="1"/>
  <c r="P68" i="11"/>
  <c r="L25" i="8" s="1"/>
  <c r="P72" i="11"/>
  <c r="P50" i="11"/>
  <c r="L7" i="8" s="1"/>
  <c r="P55" i="11"/>
  <c r="L12" i="8" s="1"/>
  <c r="P49" i="11"/>
  <c r="L6" i="8" s="1"/>
  <c r="P61" i="11"/>
  <c r="L18" i="8" s="1"/>
  <c r="P54" i="11"/>
  <c r="L11" i="8" s="1"/>
  <c r="P41" i="11"/>
  <c r="AL51" i="11"/>
  <c r="AH8" i="8" s="1"/>
  <c r="AE49" i="11"/>
  <c r="AA6" i="8" s="1"/>
  <c r="AE73" i="11"/>
  <c r="I53" i="11"/>
  <c r="E10" i="8" s="1"/>
  <c r="AG48" i="11"/>
  <c r="AC5" i="8" s="1"/>
  <c r="O55" i="11"/>
  <c r="K12" i="8" s="1"/>
  <c r="AC46" i="11"/>
  <c r="AI72" i="11"/>
  <c r="O65" i="11"/>
  <c r="K22" i="8" s="1"/>
  <c r="AE63" i="11"/>
  <c r="AA20" i="8" s="1"/>
  <c r="T63" i="11"/>
  <c r="P20" i="8" s="1"/>
  <c r="J49" i="11"/>
  <c r="F6" i="8" s="1"/>
  <c r="AF47" i="11"/>
  <c r="AB4" i="8" s="1"/>
  <c r="N56" i="11"/>
  <c r="N71" i="11"/>
  <c r="J28" i="8" s="1"/>
  <c r="N68" i="11"/>
  <c r="J25" i="8" s="1"/>
  <c r="N72" i="11"/>
  <c r="N46" i="11"/>
  <c r="N47" i="11"/>
  <c r="J4" i="8" s="1"/>
  <c r="N48" i="11"/>
  <c r="J5" i="8" s="1"/>
  <c r="N62" i="11"/>
  <c r="J19" i="8" s="1"/>
  <c r="N66" i="11"/>
  <c r="J23" i="8" s="1"/>
  <c r="N53" i="11"/>
  <c r="J10" i="8" s="1"/>
  <c r="N51" i="11"/>
  <c r="J8" i="8" s="1"/>
  <c r="N61" i="11"/>
  <c r="J18" i="8" s="1"/>
  <c r="N60" i="11"/>
  <c r="J17" i="8" s="1"/>
  <c r="N49" i="11"/>
  <c r="J6" i="8" s="1"/>
  <c r="N65" i="11"/>
  <c r="J22" i="8" s="1"/>
  <c r="N50" i="11"/>
  <c r="J7" i="8" s="1"/>
  <c r="N55" i="11"/>
  <c r="J12" i="8" s="1"/>
  <c r="N73" i="11"/>
  <c r="N54" i="11"/>
  <c r="J11" i="8" s="1"/>
  <c r="N57" i="11"/>
  <c r="J14" i="8" s="1"/>
  <c r="AI67" i="11"/>
  <c r="AE24" i="8" s="1"/>
  <c r="AF67" i="11"/>
  <c r="AB24" i="8" s="1"/>
  <c r="L67" i="11"/>
  <c r="H24" i="8" s="1"/>
  <c r="N59" i="11"/>
  <c r="J16" i="8" s="1"/>
  <c r="AL59" i="11"/>
  <c r="AH16" i="8" s="1"/>
  <c r="T59" i="11"/>
  <c r="P16" i="8" s="1"/>
  <c r="AD47" i="11"/>
  <c r="Z4" i="8" s="1"/>
  <c r="L69" i="11"/>
  <c r="H26" i="8" s="1"/>
  <c r="V69" i="11"/>
  <c r="R26" i="8" s="1"/>
  <c r="AH69" i="11"/>
  <c r="AD26" i="8" s="1"/>
  <c r="AL57" i="11"/>
  <c r="AH14" i="8" s="1"/>
  <c r="AJ61" i="11"/>
  <c r="AF18" i="8" s="1"/>
  <c r="AJ66" i="11"/>
  <c r="AF23" i="8" s="1"/>
  <c r="AJ71" i="11"/>
  <c r="AF28" i="8" s="1"/>
  <c r="AJ53" i="11"/>
  <c r="AF10" i="8" s="1"/>
  <c r="AJ62" i="11"/>
  <c r="AF19" i="8" s="1"/>
  <c r="AJ68" i="11"/>
  <c r="AF25" i="8" s="1"/>
  <c r="AJ48" i="11"/>
  <c r="AF5" i="8" s="1"/>
  <c r="AJ72" i="11"/>
  <c r="AJ65" i="11"/>
  <c r="AF22" i="8" s="1"/>
  <c r="AJ50" i="11"/>
  <c r="AF7" i="8" s="1"/>
  <c r="AJ47" i="11"/>
  <c r="AF4" i="8" s="1"/>
  <c r="AJ73" i="11"/>
  <c r="AJ54" i="11"/>
  <c r="AF11" i="8" s="1"/>
  <c r="AJ60" i="11"/>
  <c r="AF17" i="8" s="1"/>
  <c r="AJ52" i="11"/>
  <c r="AF9" i="8" s="1"/>
  <c r="AJ69" i="11"/>
  <c r="AF26" i="8" s="1"/>
  <c r="AJ58" i="11"/>
  <c r="AF15" i="8" s="1"/>
  <c r="V74" i="11"/>
  <c r="U70" i="11"/>
  <c r="Q27" i="8" s="1"/>
  <c r="AL70" i="11"/>
  <c r="AH27" i="8" s="1"/>
  <c r="O68" i="11"/>
  <c r="K25" i="8" s="1"/>
  <c r="T68" i="11"/>
  <c r="P25" i="8" s="1"/>
  <c r="U66" i="11"/>
  <c r="Q23" i="8" s="1"/>
  <c r="G66" i="11"/>
  <c r="C23" i="8" s="1"/>
  <c r="R64" i="11"/>
  <c r="N21" i="8" s="1"/>
  <c r="AK62" i="11"/>
  <c r="AG19" i="8" s="1"/>
  <c r="AK60" i="11"/>
  <c r="AG17" i="8" s="1"/>
  <c r="AD58" i="11"/>
  <c r="Z15" i="8" s="1"/>
  <c r="U56" i="11"/>
  <c r="L52" i="11"/>
  <c r="H9" i="8" s="1"/>
  <c r="H65" i="11"/>
  <c r="D22" i="8" s="1"/>
  <c r="H41" i="11"/>
  <c r="O51" i="11"/>
  <c r="K8" i="8" s="1"/>
  <c r="AA64" i="11"/>
  <c r="W21" i="8" s="1"/>
  <c r="AA70" i="11"/>
  <c r="W27" i="8" s="1"/>
  <c r="AA69" i="11"/>
  <c r="W26" i="8" s="1"/>
  <c r="AA65" i="11"/>
  <c r="W22" i="8" s="1"/>
  <c r="AA52" i="11"/>
  <c r="W9" i="8" s="1"/>
  <c r="AA47" i="11"/>
  <c r="W4" i="8" s="1"/>
  <c r="AA61" i="11"/>
  <c r="W18" i="8" s="1"/>
  <c r="AA74" i="11"/>
  <c r="Y53" i="11"/>
  <c r="U10" i="8" s="1"/>
  <c r="R61" i="11"/>
  <c r="N18" i="8" s="1"/>
  <c r="Y48" i="11"/>
  <c r="U5" i="8" s="1"/>
  <c r="AE55" i="11"/>
  <c r="AA12" i="8" s="1"/>
  <c r="R46" i="11"/>
  <c r="AD72" i="11"/>
  <c r="AK48" i="11"/>
  <c r="AG5" i="8" s="1"/>
  <c r="U67" i="11"/>
  <c r="Q24" i="8" s="1"/>
  <c r="W50" i="11"/>
  <c r="S7" i="8" s="1"/>
  <c r="W55" i="11"/>
  <c r="S12" i="8" s="1"/>
  <c r="W73" i="11"/>
  <c r="W54" i="11"/>
  <c r="S11" i="8" s="1"/>
  <c r="W48" i="11"/>
  <c r="S5" i="8" s="1"/>
  <c r="W72" i="11"/>
  <c r="W71" i="11"/>
  <c r="S28" i="8" s="1"/>
  <c r="W52" i="11"/>
  <c r="S9" i="8" s="1"/>
  <c r="W60" i="11"/>
  <c r="S17" i="8" s="1"/>
  <c r="W49" i="11"/>
  <c r="S6" i="8" s="1"/>
  <c r="W47" i="11"/>
  <c r="S4" i="8" s="1"/>
  <c r="W46" i="11"/>
  <c r="W53" i="11"/>
  <c r="S10" i="8" s="1"/>
  <c r="W51" i="11"/>
  <c r="S8" i="8" s="1"/>
  <c r="W61" i="11"/>
  <c r="S18" i="8" s="1"/>
  <c r="W65" i="11"/>
  <c r="S22" i="8" s="1"/>
  <c r="W56" i="11"/>
  <c r="W70" i="11"/>
  <c r="S27" i="8" s="1"/>
  <c r="W74" i="11"/>
  <c r="V67" i="11"/>
  <c r="R24" i="8" s="1"/>
  <c r="R49" i="11"/>
  <c r="N6" i="8" s="1"/>
  <c r="U49" i="11"/>
  <c r="Q6" i="8" s="1"/>
  <c r="AI41" i="11"/>
  <c r="AE41" i="11"/>
  <c r="F52" i="11"/>
  <c r="B9" i="8" s="1"/>
  <c r="F48" i="11"/>
  <c r="F72" i="11"/>
  <c r="B29" i="8" s="1"/>
  <c r="F46" i="11"/>
  <c r="F58" i="11"/>
  <c r="B15" i="8" s="1"/>
  <c r="F62" i="11"/>
  <c r="B19" i="8" s="1"/>
  <c r="F53" i="11"/>
  <c r="B10" i="8" s="1"/>
  <c r="F51" i="11"/>
  <c r="F60" i="11"/>
  <c r="B17" i="8" s="1"/>
  <c r="F61" i="11"/>
  <c r="B18" i="8" s="1"/>
  <c r="F65" i="11"/>
  <c r="F64" i="11"/>
  <c r="B21" i="8" s="1"/>
  <c r="I67" i="11"/>
  <c r="E24" i="8" s="1"/>
  <c r="T67" i="11"/>
  <c r="P24" i="8" s="1"/>
  <c r="AL47" i="11"/>
  <c r="AH4" i="8" s="1"/>
  <c r="H57" i="11"/>
  <c r="D14" i="8" s="1"/>
  <c r="AF46" i="11"/>
  <c r="AF64" i="11"/>
  <c r="AB21" i="8" s="1"/>
  <c r="AF66" i="11"/>
  <c r="AB23" i="8" s="1"/>
  <c r="AF72" i="11"/>
  <c r="AF50" i="11"/>
  <c r="AB7" i="8" s="1"/>
  <c r="AF55" i="11"/>
  <c r="AB12" i="8" s="1"/>
  <c r="AF61" i="11"/>
  <c r="AB18" i="8" s="1"/>
  <c r="AF54" i="11"/>
  <c r="AB11" i="8" s="1"/>
  <c r="AF62" i="11"/>
  <c r="AB19" i="8" s="1"/>
  <c r="AF48" i="11"/>
  <c r="AB5" i="8" s="1"/>
  <c r="AF60" i="11"/>
  <c r="AB17" i="8" s="1"/>
  <c r="AF53" i="11"/>
  <c r="AB10" i="8" s="1"/>
  <c r="AF71" i="11"/>
  <c r="AB28" i="8" s="1"/>
  <c r="AF49" i="11"/>
  <c r="AB6" i="8" s="1"/>
  <c r="AF65" i="11"/>
  <c r="AB22" i="8" s="1"/>
  <c r="AF52" i="11"/>
  <c r="AB9" i="8" s="1"/>
  <c r="Z74" i="11"/>
  <c r="Z58" i="11"/>
  <c r="V15" i="8" s="1"/>
  <c r="Z68" i="11"/>
  <c r="V25" i="8" s="1"/>
  <c r="Z41" i="11"/>
  <c r="Z69" i="11"/>
  <c r="V26" i="8" s="1"/>
  <c r="T69" i="11"/>
  <c r="P26" i="8" s="1"/>
  <c r="AL69" i="11"/>
  <c r="AH26" i="8" s="1"/>
  <c r="F57" i="11"/>
  <c r="B14" i="8" s="1"/>
  <c r="AB64" i="11"/>
  <c r="X21" i="8" s="1"/>
  <c r="AB48" i="11"/>
  <c r="X5" i="8" s="1"/>
  <c r="AB46" i="11"/>
  <c r="AB56" i="11"/>
  <c r="AB58" i="11"/>
  <c r="X15" i="8" s="1"/>
  <c r="AB70" i="11"/>
  <c r="X27" i="8" s="1"/>
  <c r="AB74" i="11"/>
  <c r="AB51" i="11"/>
  <c r="X8" i="8" s="1"/>
  <c r="AB59" i="11"/>
  <c r="X16" i="8" s="1"/>
  <c r="AB71" i="11"/>
  <c r="X28" i="8" s="1"/>
  <c r="AB53" i="11"/>
  <c r="X10" i="8" s="1"/>
  <c r="AB68" i="11"/>
  <c r="X25" i="8" s="1"/>
  <c r="AB72" i="11"/>
  <c r="AB65" i="11"/>
  <c r="X22" i="8" s="1"/>
  <c r="AB50" i="11"/>
  <c r="X7" i="8" s="1"/>
  <c r="AB73" i="11"/>
  <c r="AB54" i="11"/>
  <c r="X11" i="8" s="1"/>
  <c r="AB60" i="11"/>
  <c r="X17" i="8" s="1"/>
  <c r="AB67" i="11"/>
  <c r="X24" i="8" s="1"/>
  <c r="AI74" i="11"/>
  <c r="Y70" i="11"/>
  <c r="U27" i="8" s="1"/>
  <c r="L70" i="11"/>
  <c r="H27" i="8" s="1"/>
  <c r="Q68" i="11"/>
  <c r="M25" i="8" s="1"/>
  <c r="F68" i="11"/>
  <c r="B25" i="8" s="1"/>
  <c r="W66" i="11"/>
  <c r="S23" i="8" s="1"/>
  <c r="AC62" i="11"/>
  <c r="Y19" i="8" s="1"/>
  <c r="Q60" i="11"/>
  <c r="M17" i="8" s="1"/>
  <c r="Q54" i="11"/>
  <c r="M11" i="8" s="1"/>
  <c r="AB52" i="11"/>
  <c r="X9" i="8" s="1"/>
  <c r="AK61" i="11"/>
  <c r="AG18" i="8" s="1"/>
  <c r="AI50" i="11"/>
  <c r="AE7" i="8" s="1"/>
  <c r="AF51" i="11"/>
  <c r="AB8" i="8" s="1"/>
  <c r="L73" i="11"/>
  <c r="N52" i="11"/>
  <c r="J9" i="8" s="1"/>
  <c r="K51" i="11"/>
  <c r="G8" i="8" s="1"/>
  <c r="K65" i="11"/>
  <c r="G22" i="8" s="1"/>
  <c r="K56" i="11"/>
  <c r="K61" i="11"/>
  <c r="G18" i="8" s="1"/>
  <c r="K66" i="11"/>
  <c r="G23" i="8" s="1"/>
  <c r="K54" i="11"/>
  <c r="G11" i="8" s="1"/>
  <c r="K58" i="11"/>
  <c r="G15" i="8" s="1"/>
  <c r="K62" i="11"/>
  <c r="G19" i="8" s="1"/>
  <c r="K52" i="11"/>
  <c r="G9" i="8" s="1"/>
  <c r="Q48" i="11"/>
  <c r="M5" i="8" s="1"/>
  <c r="Q72" i="11"/>
  <c r="Q53" i="11"/>
  <c r="M10" i="8" s="1"/>
  <c r="Q65" i="11"/>
  <c r="M22" i="8" s="1"/>
  <c r="Q50" i="11"/>
  <c r="M7" i="8" s="1"/>
  <c r="Q73" i="11"/>
  <c r="Q57" i="11"/>
  <c r="M14" i="8" s="1"/>
  <c r="Q58" i="11"/>
  <c r="M15" i="8" s="1"/>
  <c r="Q71" i="11"/>
  <c r="M28" i="8" s="1"/>
  <c r="Q52" i="11"/>
  <c r="M9" i="8" s="1"/>
  <c r="Q46" i="11"/>
  <c r="Q61" i="11"/>
  <c r="M18" i="8" s="1"/>
  <c r="Q62" i="11"/>
  <c r="M19" i="8" s="1"/>
  <c r="Q64" i="11"/>
  <c r="M21" i="8" s="1"/>
  <c r="Q66" i="11"/>
  <c r="M23" i="8" s="1"/>
  <c r="Q59" i="11"/>
  <c r="M16" i="8" s="1"/>
  <c r="Z71" i="11"/>
  <c r="V28" i="8" s="1"/>
  <c r="Q55" i="11"/>
  <c r="M12" i="8" s="1"/>
  <c r="AK46" i="11"/>
  <c r="AC48" i="11"/>
  <c r="Y5" i="8" s="1"/>
  <c r="U68" i="11"/>
  <c r="Q25" i="8" s="1"/>
  <c r="U57" i="11"/>
  <c r="Q14" i="8" s="1"/>
  <c r="U47" i="11"/>
  <c r="Q4" i="8" s="1"/>
  <c r="I73" i="11"/>
  <c r="I51" i="11"/>
  <c r="E8" i="8" s="1"/>
  <c r="I61" i="11"/>
  <c r="E18" i="8" s="1"/>
  <c r="I56" i="11"/>
  <c r="I64" i="11"/>
  <c r="E21" i="8" s="1"/>
  <c r="I65" i="11"/>
  <c r="E22" i="8" s="1"/>
  <c r="I54" i="11"/>
  <c r="E11" i="8" s="1"/>
  <c r="I60" i="11"/>
  <c r="E17" i="8" s="1"/>
  <c r="I71" i="11"/>
  <c r="E28" i="8" s="1"/>
  <c r="I52" i="11"/>
  <c r="E9" i="8" s="1"/>
  <c r="I58" i="11"/>
  <c r="E15" i="8" s="1"/>
  <c r="H53" i="11"/>
  <c r="D10" i="8" s="1"/>
  <c r="AL62" i="11"/>
  <c r="AH19" i="8" s="1"/>
  <c r="AL66" i="11"/>
  <c r="AH23" i="8" s="1"/>
  <c r="AL65" i="11"/>
  <c r="AH22" i="8" s="1"/>
  <c r="AL64" i="11"/>
  <c r="AH21" i="8" s="1"/>
  <c r="AL50" i="11"/>
  <c r="AH7" i="8" s="1"/>
  <c r="AL46" i="11"/>
  <c r="AL55" i="11"/>
  <c r="AH12" i="8" s="1"/>
  <c r="AL73" i="11"/>
  <c r="AL54" i="11"/>
  <c r="AH11" i="8" s="1"/>
  <c r="AL48" i="11"/>
  <c r="AH5" i="8" s="1"/>
  <c r="AL56" i="11"/>
  <c r="AL71" i="11"/>
  <c r="AH28" i="8" s="1"/>
  <c r="AL72" i="11"/>
  <c r="AL58" i="11"/>
  <c r="AH15" i="8" s="1"/>
  <c r="K49" i="11"/>
  <c r="G6" i="8" s="1"/>
  <c r="U63" i="11"/>
  <c r="Q20" i="8" s="1"/>
  <c r="M63" i="11"/>
  <c r="I20" i="8" s="1"/>
  <c r="AF63" i="11"/>
  <c r="AB20" i="8" s="1"/>
  <c r="AJ63" i="11"/>
  <c r="AF20" i="8" s="1"/>
  <c r="Z49" i="11"/>
  <c r="V6" i="8" s="1"/>
  <c r="AC49" i="11"/>
  <c r="Y6" i="8" s="1"/>
  <c r="AI60" i="11"/>
  <c r="AE17" i="8" s="1"/>
  <c r="G47" i="11"/>
  <c r="C4" i="8" s="1"/>
  <c r="L41" i="11"/>
  <c r="AG61" i="11"/>
  <c r="AC18" i="8" s="1"/>
  <c r="AG62" i="11"/>
  <c r="AC19" i="8" s="1"/>
  <c r="AG60" i="11"/>
  <c r="AC17" i="8" s="1"/>
  <c r="AG69" i="11"/>
  <c r="AC26" i="8" s="1"/>
  <c r="AG47" i="11"/>
  <c r="AC4" i="8" s="1"/>
  <c r="AG73" i="11"/>
  <c r="AG51" i="11"/>
  <c r="AC8" i="8" s="1"/>
  <c r="AG56" i="11"/>
  <c r="AG58" i="11"/>
  <c r="AC15" i="8" s="1"/>
  <c r="AG70" i="11"/>
  <c r="AC27" i="8" s="1"/>
  <c r="Q67" i="11"/>
  <c r="M24" i="8" s="1"/>
  <c r="AJ67" i="11"/>
  <c r="AF24" i="8" s="1"/>
  <c r="AE59" i="11"/>
  <c r="AA16" i="8" s="1"/>
  <c r="AI59" i="11"/>
  <c r="AE16" i="8" s="1"/>
  <c r="AC59" i="11"/>
  <c r="Y16" i="8" s="1"/>
  <c r="AJ55" i="11"/>
  <c r="AF12" i="8" s="1"/>
  <c r="O69" i="11"/>
  <c r="K26" i="8" s="1"/>
  <c r="AB69" i="11"/>
  <c r="X26" i="8" s="1"/>
  <c r="H69" i="11"/>
  <c r="D26" i="8" s="1"/>
  <c r="I57" i="11"/>
  <c r="E14" i="8" s="1"/>
  <c r="V57" i="11"/>
  <c r="R14" i="8" s="1"/>
  <c r="Y58" i="11"/>
  <c r="U15" i="8" s="1"/>
  <c r="T55" i="11"/>
  <c r="P12" i="8" s="1"/>
  <c r="G74" i="11"/>
  <c r="Q74" i="11"/>
  <c r="I70" i="11"/>
  <c r="E27" i="8" s="1"/>
  <c r="AE70" i="11"/>
  <c r="AA27" i="8" s="1"/>
  <c r="W68" i="11"/>
  <c r="S25" i="8" s="1"/>
  <c r="V68" i="11"/>
  <c r="R25" i="8" s="1"/>
  <c r="I66" i="11"/>
  <c r="E23" i="8" s="1"/>
  <c r="G64" i="11"/>
  <c r="C21" i="8" s="1"/>
  <c r="K64" i="11"/>
  <c r="G21" i="8" s="1"/>
  <c r="AD62" i="11"/>
  <c r="Z19" i="8" s="1"/>
  <c r="H60" i="11"/>
  <c r="D17" i="8" s="1"/>
  <c r="H58" i="11"/>
  <c r="D15" i="8" s="1"/>
  <c r="O56" i="11"/>
  <c r="AA54" i="11"/>
  <c r="W11" i="8" s="1"/>
  <c r="AG54" i="11"/>
  <c r="AC11" i="8" s="1"/>
  <c r="AA72" i="11"/>
  <c r="Q51" i="11"/>
  <c r="M8" i="8" s="1"/>
  <c r="AH62" i="11"/>
  <c r="AD19" i="8" s="1"/>
  <c r="AH53" i="11"/>
  <c r="AD10" i="8" s="1"/>
  <c r="AH65" i="11"/>
  <c r="AD22" i="8" s="1"/>
  <c r="AH58" i="11"/>
  <c r="AD15" i="8" s="1"/>
  <c r="AH68" i="11"/>
  <c r="AD25" i="8" s="1"/>
  <c r="AH72" i="11"/>
  <c r="AH55" i="11"/>
  <c r="AD12" i="8" s="1"/>
  <c r="AH73" i="11"/>
  <c r="AH48" i="11"/>
  <c r="AD5" i="8" s="1"/>
  <c r="AH61" i="11"/>
  <c r="AD18" i="8" s="1"/>
  <c r="AH50" i="11"/>
  <c r="AD7" i="8" s="1"/>
  <c r="AH71" i="11"/>
  <c r="AD28" i="8" s="1"/>
  <c r="AH52" i="11"/>
  <c r="AD9" i="8" s="1"/>
  <c r="AH60" i="11"/>
  <c r="AD17" i="8" s="1"/>
  <c r="AH59" i="11"/>
  <c r="AD16" i="8" s="1"/>
  <c r="AC73" i="11"/>
  <c r="AA53" i="11"/>
  <c r="W10" i="8" s="1"/>
  <c r="I55" i="11"/>
  <c r="E12" i="8" s="1"/>
  <c r="F71" i="11"/>
  <c r="B28" i="8" s="1"/>
  <c r="AG55" i="11"/>
  <c r="AC12" i="8" s="1"/>
  <c r="AH46" i="11"/>
  <c r="I48" i="11"/>
  <c r="E5" i="8" s="1"/>
  <c r="L49" i="11"/>
  <c r="H6" i="8" s="1"/>
  <c r="AI58" i="11"/>
  <c r="AE15" i="8" s="1"/>
  <c r="AI56" i="11"/>
  <c r="I63" i="11"/>
  <c r="E20" i="8" s="1"/>
  <c r="T64" i="11"/>
  <c r="P21" i="8" s="1"/>
  <c r="T65" i="11"/>
  <c r="P22" i="8" s="1"/>
  <c r="T58" i="11"/>
  <c r="P15" i="8" s="1"/>
  <c r="H59" i="11"/>
  <c r="D16" i="8" s="1"/>
  <c r="I47" i="11"/>
  <c r="E4" i="8" s="1"/>
  <c r="R54" i="11"/>
  <c r="N11" i="8" s="1"/>
  <c r="AI69" i="11"/>
  <c r="AE26" i="8" s="1"/>
  <c r="AE60" i="11"/>
  <c r="AA17" i="8" s="1"/>
  <c r="AE48" i="11"/>
  <c r="AA5" i="8" s="1"/>
  <c r="AE52" i="11"/>
  <c r="AA9" i="8" s="1"/>
  <c r="AE61" i="11"/>
  <c r="AA18" i="8" s="1"/>
  <c r="AE47" i="11"/>
  <c r="AA4" i="8" s="1"/>
  <c r="AE69" i="11"/>
  <c r="AA26" i="8" s="1"/>
  <c r="AE58" i="11"/>
  <c r="AA15" i="8" s="1"/>
  <c r="AE62" i="11"/>
  <c r="AA19" i="8" s="1"/>
  <c r="AE72" i="11"/>
  <c r="AE46" i="11"/>
  <c r="AE53" i="11"/>
  <c r="AA10" i="8" s="1"/>
  <c r="AE51" i="11"/>
  <c r="AA8" i="8" s="1"/>
  <c r="AE56" i="11"/>
  <c r="AE71" i="11"/>
  <c r="AA28" i="8" s="1"/>
  <c r="AE68" i="11"/>
  <c r="AA25" i="8" s="1"/>
  <c r="L58" i="11"/>
  <c r="H15" i="8" s="1"/>
  <c r="L48" i="11"/>
  <c r="H5" i="8" s="1"/>
  <c r="L61" i="11"/>
  <c r="H18" i="8" s="1"/>
  <c r="L66" i="11"/>
  <c r="H23" i="8" s="1"/>
  <c r="L46" i="11"/>
  <c r="L47" i="11"/>
  <c r="H4" i="8" s="1"/>
  <c r="L56" i="11"/>
  <c r="L60" i="11"/>
  <c r="H17" i="8" s="1"/>
  <c r="L71" i="11"/>
  <c r="H28" i="8" s="1"/>
  <c r="L53" i="11"/>
  <c r="H10" i="8" s="1"/>
  <c r="L72" i="11"/>
  <c r="L65" i="11"/>
  <c r="H22" i="8" s="1"/>
  <c r="L64" i="11"/>
  <c r="H21" i="8" s="1"/>
  <c r="T74" i="11"/>
  <c r="AC70" i="11"/>
  <c r="Y27" i="8" s="1"/>
  <c r="H70" i="11"/>
  <c r="D27" i="8" s="1"/>
  <c r="AL68" i="11"/>
  <c r="AH25" i="8" s="1"/>
  <c r="U64" i="11"/>
  <c r="Q21" i="8" s="1"/>
  <c r="AI64" i="11"/>
  <c r="AE21" i="8" s="1"/>
  <c r="T62" i="11"/>
  <c r="P19" i="8" s="1"/>
  <c r="T60" i="11"/>
  <c r="P17" i="8" s="1"/>
  <c r="AC58" i="11"/>
  <c r="Y15" i="8" s="1"/>
  <c r="AF56" i="11"/>
  <c r="L54" i="11"/>
  <c r="H11" i="8" s="1"/>
  <c r="F73" i="11"/>
  <c r="B30" i="8" s="1"/>
  <c r="V71" i="11"/>
  <c r="R28" i="8" s="1"/>
  <c r="Y50" i="11"/>
  <c r="U7" i="8" s="1"/>
  <c r="P48" i="11"/>
  <c r="L5" i="8" s="1"/>
  <c r="Z59" i="11"/>
  <c r="V16" i="8" s="1"/>
  <c r="AC47" i="11"/>
  <c r="Y4" i="8" s="1"/>
  <c r="Q47" i="11"/>
  <c r="M4" i="8" s="1"/>
  <c r="AL49" i="11"/>
  <c r="AH6" i="8" s="1"/>
  <c r="AK50" i="11"/>
  <c r="AG7" i="8" s="1"/>
  <c r="AK55" i="11"/>
  <c r="AG12" i="8" s="1"/>
  <c r="AK73" i="11"/>
  <c r="AK54" i="11"/>
  <c r="AG11" i="8" s="1"/>
  <c r="AK72" i="11"/>
  <c r="AK71" i="11"/>
  <c r="AG28" i="8" s="1"/>
  <c r="AK52" i="11"/>
  <c r="AG9" i="8" s="1"/>
  <c r="AK68" i="11"/>
  <c r="AG25" i="8" s="1"/>
  <c r="AK69" i="11"/>
  <c r="AG26" i="8" s="1"/>
  <c r="AK56" i="11"/>
  <c r="AK58" i="11"/>
  <c r="AG15" i="8" s="1"/>
  <c r="AK53" i="11"/>
  <c r="AG10" i="8" s="1"/>
  <c r="AK51" i="11"/>
  <c r="AG8" i="8" s="1"/>
  <c r="AK70" i="11"/>
  <c r="AG27" i="8" s="1"/>
  <c r="Q69" i="11"/>
  <c r="M26" i="8" s="1"/>
  <c r="U69" i="11"/>
  <c r="Q26" i="8" s="1"/>
  <c r="AB57" i="11"/>
  <c r="X14" i="8" s="1"/>
  <c r="G57" i="11"/>
  <c r="C14" i="8" s="1"/>
  <c r="AL52" i="11"/>
  <c r="AH9" i="8" s="1"/>
  <c r="J64" i="11"/>
  <c r="F21" i="8" s="1"/>
  <c r="J70" i="11"/>
  <c r="F27" i="8" s="1"/>
  <c r="J54" i="11"/>
  <c r="F11" i="8" s="1"/>
  <c r="J62" i="11"/>
  <c r="F19" i="8" s="1"/>
  <c r="J51" i="11"/>
  <c r="F8" i="8" s="1"/>
  <c r="J56" i="11"/>
  <c r="J53" i="11"/>
  <c r="F10" i="8" s="1"/>
  <c r="J61" i="11"/>
  <c r="F18" i="8" s="1"/>
  <c r="J65" i="11"/>
  <c r="F22" i="8" s="1"/>
  <c r="J58" i="11"/>
  <c r="F15" i="8" s="1"/>
  <c r="J59" i="11"/>
  <c r="F16" i="8" s="1"/>
  <c r="AC74" i="11"/>
  <c r="AE74" i="11"/>
  <c r="J74" i="11"/>
  <c r="R68" i="11"/>
  <c r="N25" i="8" s="1"/>
  <c r="H68" i="11"/>
  <c r="D25" i="8" s="1"/>
  <c r="AI66" i="11"/>
  <c r="AE23" i="8" s="1"/>
  <c r="J66" i="11"/>
  <c r="F23" i="8" s="1"/>
  <c r="W64" i="11"/>
  <c r="S21" i="8" s="1"/>
  <c r="I62" i="11"/>
  <c r="E19" i="8" s="1"/>
  <c r="W62" i="11"/>
  <c r="S19" i="8" s="1"/>
  <c r="K60" i="11"/>
  <c r="G17" i="8" s="1"/>
  <c r="AF58" i="11"/>
  <c r="AB15" i="8" s="1"/>
  <c r="Q56" i="11"/>
  <c r="AC54" i="11"/>
  <c r="Y11" i="8" s="1"/>
  <c r="H52" i="11"/>
  <c r="D9" i="8" s="1"/>
  <c r="AE65" i="11"/>
  <c r="AA22" i="8" s="1"/>
  <c r="V61" i="11"/>
  <c r="R18" i="8" s="1"/>
  <c r="I69" i="11"/>
  <c r="E26" i="8" s="1"/>
  <c r="K46" i="11"/>
  <c r="R50" i="11"/>
  <c r="N7" i="8" s="1"/>
  <c r="AC53" i="11"/>
  <c r="Y10" i="8" s="1"/>
  <c r="G71" i="11"/>
  <c r="C28" i="8" s="1"/>
  <c r="AI55" i="11"/>
  <c r="AE12" i="8" s="1"/>
  <c r="AJ46" i="11"/>
  <c r="AF57" i="11"/>
  <c r="AB14" i="8" s="1"/>
  <c r="L50" i="11"/>
  <c r="H7" i="8" s="1"/>
  <c r="U74" i="11"/>
  <c r="S69" i="11"/>
  <c r="O26" i="8" s="1"/>
  <c r="T57" i="11"/>
  <c r="P14" i="8" s="1"/>
  <c r="S49" i="11"/>
  <c r="O6" i="8" s="1"/>
  <c r="Z70" i="11"/>
  <c r="V27" i="8" s="1"/>
  <c r="AI68" i="11"/>
  <c r="AE25" i="8" s="1"/>
  <c r="R66" i="11"/>
  <c r="N23" i="8" s="1"/>
  <c r="Z64" i="11"/>
  <c r="V21" i="8" s="1"/>
  <c r="U62" i="11"/>
  <c r="Q19" i="8" s="1"/>
  <c r="U60" i="11"/>
  <c r="Q17" i="8" s="1"/>
  <c r="AA58" i="11"/>
  <c r="W15" i="8" s="1"/>
  <c r="AA56" i="11"/>
  <c r="T54" i="11"/>
  <c r="P11" i="8" s="1"/>
  <c r="AA51" i="11"/>
  <c r="W8" i="8" s="1"/>
  <c r="K73" i="11"/>
  <c r="T73" i="11"/>
  <c r="J73" i="11"/>
  <c r="AG53" i="11"/>
  <c r="AC10" i="8" s="1"/>
  <c r="AI53" i="11"/>
  <c r="AE10" i="8" s="1"/>
  <c r="AA49" i="11"/>
  <c r="W6" i="8" s="1"/>
  <c r="J55" i="11"/>
  <c r="F12" i="8" s="1"/>
  <c r="X46" i="11"/>
  <c r="AA46" i="11"/>
  <c r="I72" i="11"/>
  <c r="J72" i="11"/>
  <c r="T50" i="11"/>
  <c r="P7" i="8" s="1"/>
  <c r="J48" i="11"/>
  <c r="F5" i="8" s="1"/>
  <c r="U48" i="11"/>
  <c r="Q5" i="8" s="1"/>
  <c r="X48" i="11"/>
  <c r="T5" i="8" s="1"/>
  <c r="AI51" i="11"/>
  <c r="AE8" i="8" s="1"/>
  <c r="Z47" i="11"/>
  <c r="V4" i="8" s="1"/>
  <c r="R73" i="11"/>
  <c r="N41" i="11"/>
  <c r="R55" i="11"/>
  <c r="N12" i="8" s="1"/>
  <c r="U46" i="11"/>
  <c r="AI46" i="11"/>
  <c r="R72" i="11"/>
  <c r="T72" i="11"/>
  <c r="Z50" i="11"/>
  <c r="V7" i="8" s="1"/>
  <c r="Z48" i="11"/>
  <c r="V5" i="8" s="1"/>
  <c r="R48" i="11"/>
  <c r="N5" i="8" s="1"/>
  <c r="S60" i="11"/>
  <c r="O17" i="8" s="1"/>
  <c r="S52" i="11"/>
  <c r="O9" i="8" s="1"/>
  <c r="U52" i="11"/>
  <c r="Q9" i="8" s="1"/>
  <c r="U61" i="11"/>
  <c r="Q18" i="8" s="1"/>
  <c r="U41" i="11"/>
  <c r="Z73" i="11"/>
  <c r="R53" i="11"/>
  <c r="N10" i="8" s="1"/>
  <c r="T53" i="11"/>
  <c r="P10" i="8" s="1"/>
  <c r="U71" i="11"/>
  <c r="Q28" i="8" s="1"/>
  <c r="AI71" i="11"/>
  <c r="AE28" i="8" s="1"/>
  <c r="T71" i="11"/>
  <c r="P28" i="8" s="1"/>
  <c r="X55" i="11"/>
  <c r="T12" i="8" s="1"/>
  <c r="Z55" i="11"/>
  <c r="V12" i="8" s="1"/>
  <c r="AG46" i="11"/>
  <c r="AG50" i="11"/>
  <c r="AC7" i="8" s="1"/>
  <c r="X50" i="11"/>
  <c r="T7" i="8" s="1"/>
  <c r="K48" i="11"/>
  <c r="G5" i="8" s="1"/>
  <c r="S64" i="11"/>
  <c r="O21" i="8" s="1"/>
  <c r="T56" i="11"/>
  <c r="Z65" i="11"/>
  <c r="V22" i="8" s="1"/>
  <c r="R51" i="11"/>
  <c r="N8" i="8" s="1"/>
  <c r="AI47" i="11"/>
  <c r="AE4" i="8" s="1"/>
  <c r="AI73" i="11"/>
  <c r="Z53" i="11"/>
  <c r="V10" i="8" s="1"/>
  <c r="S71" i="11"/>
  <c r="O28" i="8" s="1"/>
  <c r="X47" i="11"/>
  <c r="T4" i="8" s="1"/>
  <c r="J46" i="11"/>
  <c r="I46" i="11"/>
  <c r="T46" i="11"/>
  <c r="AI65" i="11"/>
  <c r="AE22" i="8" s="1"/>
  <c r="AG72" i="11"/>
  <c r="X72" i="11"/>
  <c r="I50" i="11"/>
  <c r="E7" i="8" s="1"/>
  <c r="K50" i="11"/>
  <c r="G7" i="8" s="1"/>
  <c r="S48" i="11"/>
  <c r="O5" i="8" s="1"/>
  <c r="S57" i="11"/>
  <c r="O14" i="8" s="1"/>
  <c r="T66" i="11"/>
  <c r="P23" i="8" s="1"/>
  <c r="R62" i="11"/>
  <c r="N19" i="8" s="1"/>
  <c r="AA60" i="11"/>
  <c r="W17" i="8" s="1"/>
  <c r="U58" i="11"/>
  <c r="Q15" i="8" s="1"/>
  <c r="X56" i="11"/>
  <c r="Z56" i="11"/>
  <c r="S54" i="11"/>
  <c r="O11" i="8" s="1"/>
  <c r="U54" i="11"/>
  <c r="Q11" i="8" s="1"/>
  <c r="AG52" i="11"/>
  <c r="AC9" i="8" s="1"/>
  <c r="AI52" i="11"/>
  <c r="AE9" i="8" s="1"/>
  <c r="AI61" i="11"/>
  <c r="AE18" i="8" s="1"/>
  <c r="T61" i="11"/>
  <c r="P18" i="8" s="1"/>
  <c r="X51" i="11"/>
  <c r="T8" i="8" s="1"/>
  <c r="Z51" i="11"/>
  <c r="V8" i="8" s="1"/>
  <c r="U73" i="11"/>
  <c r="K47" i="11"/>
  <c r="G4" i="8" s="1"/>
  <c r="AA71" i="11"/>
  <c r="W28" i="8" s="1"/>
  <c r="AG71" i="11"/>
  <c r="AC28" i="8" s="1"/>
  <c r="U55" i="11"/>
  <c r="Q12" i="8" s="1"/>
  <c r="K55" i="11"/>
  <c r="G12" i="8" s="1"/>
  <c r="K72" i="11"/>
  <c r="S50" i="11"/>
  <c r="O7" i="8" s="1"/>
  <c r="U50" i="11"/>
  <c r="Q7" i="8" s="1"/>
  <c r="AA48" i="11"/>
  <c r="W5" i="8" s="1"/>
  <c r="Y72" i="11"/>
  <c r="S72" i="11"/>
  <c r="AA50" i="11"/>
  <c r="W7" i="8" s="1"/>
  <c r="T48" i="11"/>
  <c r="P5" i="8" s="1"/>
  <c r="AI48" i="11"/>
  <c r="AE5" i="8" s="1"/>
  <c r="S68" i="11"/>
  <c r="O25" i="8" s="1"/>
  <c r="AI54" i="11"/>
  <c r="AE11" i="8" s="1"/>
  <c r="T52" i="11"/>
  <c r="P9" i="8" s="1"/>
  <c r="U51" i="11"/>
  <c r="Q8" i="8" s="1"/>
  <c r="U53" i="11"/>
  <c r="Q10" i="8" s="1"/>
  <c r="R71" i="11"/>
  <c r="N28" i="8" s="1"/>
  <c r="AA55" i="11"/>
  <c r="W12" i="8" s="1"/>
  <c r="D35" i="4"/>
  <c r="D36" i="4"/>
  <c r="D37" i="4"/>
  <c r="D34" i="4"/>
  <c r="AA13" i="8" l="1"/>
  <c r="AE114" i="11"/>
  <c r="AH3" i="8"/>
  <c r="AL115" i="11"/>
  <c r="Q13" i="8"/>
  <c r="U114" i="11"/>
  <c r="E3" i="8"/>
  <c r="I115" i="11"/>
  <c r="H3" i="8"/>
  <c r="L115" i="11"/>
  <c r="AD3" i="8"/>
  <c r="AH115" i="11"/>
  <c r="X3" i="8"/>
  <c r="AB115" i="11"/>
  <c r="P3" i="8"/>
  <c r="T115" i="11"/>
  <c r="X13" i="8"/>
  <c r="AB114" i="11"/>
  <c r="S3" i="8"/>
  <c r="W115" i="11"/>
  <c r="F3" i="8"/>
  <c r="J115" i="11"/>
  <c r="P13" i="8"/>
  <c r="T114" i="11"/>
  <c r="AE3" i="8"/>
  <c r="AI115" i="11"/>
  <c r="W13" i="8"/>
  <c r="AA114" i="11"/>
  <c r="K13" i="8"/>
  <c r="O114" i="11"/>
  <c r="Y3" i="8"/>
  <c r="AC115" i="11"/>
  <c r="L13" i="8"/>
  <c r="P114" i="11"/>
  <c r="C13" i="8"/>
  <c r="G114" i="11"/>
  <c r="Z3" i="8"/>
  <c r="AD115" i="11"/>
  <c r="AD13" i="8"/>
  <c r="AH114" i="11"/>
  <c r="V13" i="8"/>
  <c r="Z114" i="11"/>
  <c r="Q3" i="8"/>
  <c r="U115" i="11"/>
  <c r="M13" i="8"/>
  <c r="Q114" i="11"/>
  <c r="AA3" i="8"/>
  <c r="AE115" i="11"/>
  <c r="AH13" i="8"/>
  <c r="AL114" i="11"/>
  <c r="AB3" i="8"/>
  <c r="AF115" i="11"/>
  <c r="S13" i="8"/>
  <c r="W114" i="11"/>
  <c r="J13" i="8"/>
  <c r="N114" i="11"/>
  <c r="D3" i="8"/>
  <c r="H115" i="11"/>
  <c r="T3" i="8"/>
  <c r="X115" i="11"/>
  <c r="T13" i="8"/>
  <c r="X114" i="11"/>
  <c r="AG13" i="8"/>
  <c r="AK114" i="11"/>
  <c r="I3" i="8"/>
  <c r="M115" i="11"/>
  <c r="I13" i="8"/>
  <c r="M114" i="11"/>
  <c r="R3" i="8"/>
  <c r="V115" i="11"/>
  <c r="U13" i="8"/>
  <c r="Y114" i="11"/>
  <c r="Z13" i="8"/>
  <c r="AD114" i="11"/>
  <c r="Y13" i="8"/>
  <c r="AC114" i="11"/>
  <c r="K3" i="8"/>
  <c r="O115" i="11"/>
  <c r="AF3" i="8"/>
  <c r="AJ115" i="11"/>
  <c r="O3" i="8"/>
  <c r="S115" i="11"/>
  <c r="G3" i="8"/>
  <c r="K115" i="11"/>
  <c r="F13" i="8"/>
  <c r="J114" i="11"/>
  <c r="AE13" i="8"/>
  <c r="AI114" i="11"/>
  <c r="C3" i="8"/>
  <c r="G115" i="11"/>
  <c r="N13" i="8"/>
  <c r="R114" i="11"/>
  <c r="AF13" i="8"/>
  <c r="AJ114" i="11"/>
  <c r="AC13" i="8"/>
  <c r="AG114" i="11"/>
  <c r="E13" i="8"/>
  <c r="I114" i="11"/>
  <c r="AG3" i="8"/>
  <c r="AK115" i="11"/>
  <c r="M3" i="8"/>
  <c r="Q115" i="11"/>
  <c r="D13" i="8"/>
  <c r="H114" i="11"/>
  <c r="L3" i="8"/>
  <c r="P115" i="11"/>
  <c r="R13" i="8"/>
  <c r="V114" i="11"/>
  <c r="O13" i="8"/>
  <c r="S114" i="11"/>
  <c r="AC3" i="8"/>
  <c r="AG115" i="11"/>
  <c r="W3" i="8"/>
  <c r="AA115" i="11"/>
  <c r="AB13" i="8"/>
  <c r="AF114" i="11"/>
  <c r="H13" i="8"/>
  <c r="L114" i="11"/>
  <c r="G13" i="8"/>
  <c r="K114" i="11"/>
  <c r="N3" i="8"/>
  <c r="R115" i="11"/>
  <c r="J3" i="8"/>
  <c r="N115" i="11"/>
  <c r="U3" i="8"/>
  <c r="Y115" i="11"/>
  <c r="V3" i="8"/>
  <c r="Z115" i="11"/>
  <c r="I42" i="8"/>
  <c r="M115" i="12"/>
  <c r="M116" i="12"/>
  <c r="C45" i="8"/>
  <c r="G114" i="12"/>
  <c r="Y42" i="8"/>
  <c r="AC115" i="12"/>
  <c r="AC116" i="12"/>
  <c r="Y45" i="8"/>
  <c r="AC114" i="12"/>
  <c r="AA45" i="8"/>
  <c r="AE114" i="12"/>
  <c r="AG45" i="8"/>
  <c r="AK114" i="12"/>
  <c r="L42" i="8"/>
  <c r="P115" i="12"/>
  <c r="P116" i="12"/>
  <c r="G42" i="8"/>
  <c r="K115" i="12"/>
  <c r="K116" i="12"/>
  <c r="Q45" i="8"/>
  <c r="U114" i="12"/>
  <c r="C42" i="8"/>
  <c r="G115" i="12"/>
  <c r="G116" i="12"/>
  <c r="E45" i="8"/>
  <c r="I114" i="12"/>
  <c r="K45" i="8"/>
  <c r="O114" i="12"/>
  <c r="AE45" i="8"/>
  <c r="AI114" i="12"/>
  <c r="D45" i="8"/>
  <c r="H114" i="12"/>
  <c r="AF42" i="8"/>
  <c r="AJ115" i="12"/>
  <c r="AJ116" i="12"/>
  <c r="AB42" i="8"/>
  <c r="AF115" i="12"/>
  <c r="AF116" i="12"/>
  <c r="V42" i="8"/>
  <c r="Z115" i="12"/>
  <c r="Z116" i="12"/>
  <c r="AH42" i="8"/>
  <c r="AL115" i="12"/>
  <c r="AL116" i="12"/>
  <c r="Q42" i="8"/>
  <c r="U115" i="12"/>
  <c r="U116" i="12"/>
  <c r="P42" i="8"/>
  <c r="T116" i="12"/>
  <c r="T115" i="12"/>
  <c r="F45" i="8"/>
  <c r="J114" i="12"/>
  <c r="U45" i="8"/>
  <c r="Y114" i="12"/>
  <c r="AF45" i="8"/>
  <c r="AJ114" i="12"/>
  <c r="Z45" i="8"/>
  <c r="AD114" i="12"/>
  <c r="N45" i="8"/>
  <c r="R114" i="12"/>
  <c r="AB45" i="8"/>
  <c r="AF114" i="12"/>
  <c r="AH45" i="8"/>
  <c r="AL114" i="12"/>
  <c r="O42" i="8"/>
  <c r="S115" i="12"/>
  <c r="S116" i="12"/>
  <c r="J45" i="8"/>
  <c r="N114" i="12"/>
  <c r="M45" i="8"/>
  <c r="Q114" i="12"/>
  <c r="M42" i="8"/>
  <c r="Q115" i="12"/>
  <c r="Q116" i="12"/>
  <c r="R45" i="8"/>
  <c r="V114" i="12"/>
  <c r="Z42" i="8"/>
  <c r="AD115" i="12"/>
  <c r="AD116" i="12"/>
  <c r="G45" i="8"/>
  <c r="K114" i="12"/>
  <c r="H45" i="8"/>
  <c r="L114" i="12"/>
  <c r="AC45" i="8"/>
  <c r="AG114" i="12"/>
  <c r="J42" i="8"/>
  <c r="N115" i="12"/>
  <c r="N116" i="12"/>
  <c r="X42" i="8"/>
  <c r="AB116" i="12"/>
  <c r="AB115" i="12"/>
  <c r="R42" i="8"/>
  <c r="V115" i="12"/>
  <c r="V116" i="12"/>
  <c r="U42" i="8"/>
  <c r="Y115" i="12"/>
  <c r="Y116" i="12"/>
  <c r="N42" i="8"/>
  <c r="R115" i="12"/>
  <c r="R116" i="12"/>
  <c r="V45" i="8"/>
  <c r="Z114" i="12"/>
  <c r="AD42" i="8"/>
  <c r="AH115" i="12"/>
  <c r="AH116" i="12"/>
  <c r="I45" i="8"/>
  <c r="M114" i="12"/>
  <c r="AE42" i="8"/>
  <c r="AI115" i="12"/>
  <c r="AI116" i="12"/>
  <c r="AC42" i="8"/>
  <c r="AG115" i="12"/>
  <c r="AG116" i="12"/>
  <c r="W42" i="8"/>
  <c r="AA115" i="12"/>
  <c r="AA116" i="12"/>
  <c r="K42" i="8"/>
  <c r="O115" i="12"/>
  <c r="O116" i="12"/>
  <c r="E42" i="8"/>
  <c r="I115" i="12"/>
  <c r="I117" i="12" s="1"/>
  <c r="I116" i="12"/>
  <c r="P45" i="8"/>
  <c r="T114" i="12"/>
  <c r="S42" i="8"/>
  <c r="W115" i="12"/>
  <c r="W116" i="12"/>
  <c r="X45" i="8"/>
  <c r="AB114" i="12"/>
  <c r="AA42" i="8"/>
  <c r="AE115" i="12"/>
  <c r="AE117" i="12" s="1"/>
  <c r="AE116" i="12"/>
  <c r="L45" i="8"/>
  <c r="P114" i="12"/>
  <c r="W45" i="8"/>
  <c r="AA114" i="12"/>
  <c r="D42" i="8"/>
  <c r="H115" i="12"/>
  <c r="H116" i="12"/>
  <c r="H42" i="8"/>
  <c r="L115" i="12"/>
  <c r="L116" i="12"/>
  <c r="S45" i="8"/>
  <c r="W114" i="12"/>
  <c r="AG42" i="8"/>
  <c r="AK115" i="12"/>
  <c r="AK116" i="12"/>
  <c r="F42" i="8"/>
  <c r="J115" i="12"/>
  <c r="J117" i="12" s="1"/>
  <c r="J116" i="12"/>
  <c r="O45" i="8"/>
  <c r="S114" i="12"/>
  <c r="AD45" i="8"/>
  <c r="AH114" i="12"/>
  <c r="T42" i="8"/>
  <c r="X115" i="12"/>
  <c r="X116" i="12"/>
  <c r="T45" i="8"/>
  <c r="X114" i="12"/>
  <c r="F116" i="12"/>
  <c r="F115" i="12"/>
  <c r="F114" i="12"/>
  <c r="B42" i="8"/>
  <c r="B45" i="8"/>
  <c r="F115" i="11"/>
  <c r="F114" i="11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N35" i="4"/>
  <c r="V35" i="4"/>
  <c r="AD35" i="4"/>
  <c r="AL35" i="4"/>
  <c r="AC35" i="4"/>
  <c r="G35" i="4"/>
  <c r="O35" i="4"/>
  <c r="W35" i="4"/>
  <c r="AE35" i="4"/>
  <c r="M35" i="4"/>
  <c r="H35" i="4"/>
  <c r="P35" i="4"/>
  <c r="X35" i="4"/>
  <c r="AF35" i="4"/>
  <c r="U35" i="4"/>
  <c r="AK35" i="4"/>
  <c r="I35" i="4"/>
  <c r="Q35" i="4"/>
  <c r="Y35" i="4"/>
  <c r="AG35" i="4"/>
  <c r="J35" i="4"/>
  <c r="R35" i="4"/>
  <c r="Z35" i="4"/>
  <c r="AH35" i="4"/>
  <c r="K35" i="4"/>
  <c r="S35" i="4"/>
  <c r="AA35" i="4"/>
  <c r="AI35" i="4"/>
  <c r="L35" i="4"/>
  <c r="T35" i="4"/>
  <c r="AB35" i="4"/>
  <c r="AJ35" i="4"/>
  <c r="N36" i="4"/>
  <c r="V36" i="4"/>
  <c r="AD36" i="4"/>
  <c r="AL36" i="4"/>
  <c r="M36" i="4"/>
  <c r="AC36" i="4"/>
  <c r="AK36" i="4"/>
  <c r="G36" i="4"/>
  <c r="O36" i="4"/>
  <c r="W36" i="4"/>
  <c r="AE36" i="4"/>
  <c r="H36" i="4"/>
  <c r="P36" i="4"/>
  <c r="X36" i="4"/>
  <c r="AF36" i="4"/>
  <c r="U36" i="4"/>
  <c r="I36" i="4"/>
  <c r="Q36" i="4"/>
  <c r="Y36" i="4"/>
  <c r="AG36" i="4"/>
  <c r="J36" i="4"/>
  <c r="R36" i="4"/>
  <c r="Z36" i="4"/>
  <c r="AH36" i="4"/>
  <c r="K36" i="4"/>
  <c r="S36" i="4"/>
  <c r="AA36" i="4"/>
  <c r="AI36" i="4"/>
  <c r="L36" i="4"/>
  <c r="T36" i="4"/>
  <c r="AB36" i="4"/>
  <c r="AJ36" i="4"/>
  <c r="N34" i="4"/>
  <c r="V34" i="4"/>
  <c r="AD34" i="4"/>
  <c r="AL34" i="4"/>
  <c r="G34" i="4"/>
  <c r="O34" i="4"/>
  <c r="W34" i="4"/>
  <c r="AE34" i="4"/>
  <c r="H34" i="4"/>
  <c r="P34" i="4"/>
  <c r="X34" i="4"/>
  <c r="AF34" i="4"/>
  <c r="I34" i="4"/>
  <c r="Q34" i="4"/>
  <c r="Y34" i="4"/>
  <c r="AG34" i="4"/>
  <c r="AK34" i="4"/>
  <c r="J34" i="4"/>
  <c r="R34" i="4"/>
  <c r="Z34" i="4"/>
  <c r="AH34" i="4"/>
  <c r="AC34" i="4"/>
  <c r="K34" i="4"/>
  <c r="S34" i="4"/>
  <c r="AA34" i="4"/>
  <c r="AI34" i="4"/>
  <c r="U34" i="4"/>
  <c r="L34" i="4"/>
  <c r="T34" i="4"/>
  <c r="AB34" i="4"/>
  <c r="AJ34" i="4"/>
  <c r="M34" i="4"/>
  <c r="V117" i="12" l="1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F37" i="4"/>
  <c r="E37" i="4"/>
  <c r="E34" i="4"/>
  <c r="F35" i="4"/>
  <c r="E35" i="4"/>
  <c r="F36" i="4"/>
  <c r="E36" i="4"/>
  <c r="F34" i="4"/>
  <c r="B114" i="12" l="1"/>
  <c r="B115" i="12"/>
  <c r="E122" i="12" a="1"/>
  <c r="AL135" i="12" s="1"/>
  <c r="V29" i="8"/>
  <c r="AC30" i="8"/>
  <c r="N30" i="8"/>
  <c r="U29" i="8"/>
  <c r="AA30" i="8"/>
  <c r="Q30" i="8"/>
  <c r="J31" i="8"/>
  <c r="AD30" i="8"/>
  <c r="I30" i="8"/>
  <c r="AF30" i="8"/>
  <c r="P29" i="8"/>
  <c r="W30" i="8"/>
  <c r="L31" i="8"/>
  <c r="AB30" i="8"/>
  <c r="O31" i="8"/>
  <c r="AA29" i="8"/>
  <c r="AA31" i="8"/>
  <c r="Z31" i="8"/>
  <c r="Y30" i="8"/>
  <c r="L30" i="8"/>
  <c r="P30" i="8"/>
  <c r="N31" i="8"/>
  <c r="AG29" i="8"/>
  <c r="S31" i="8"/>
  <c r="R31" i="8"/>
  <c r="R29" i="8"/>
  <c r="Z30" i="8"/>
  <c r="T30" i="8"/>
  <c r="V30" i="8"/>
  <c r="X30" i="8"/>
  <c r="AD29" i="8"/>
  <c r="AD31" i="8"/>
  <c r="AB31" i="8"/>
  <c r="Z29" i="8"/>
  <c r="U31" i="8"/>
  <c r="J29" i="8"/>
  <c r="AG30" i="8"/>
  <c r="V31" i="8"/>
  <c r="AC29" i="8"/>
  <c r="AF29" i="8"/>
  <c r="AF31" i="8"/>
  <c r="W31" i="8"/>
  <c r="AH30" i="8"/>
  <c r="AE31" i="8"/>
  <c r="O29" i="8"/>
  <c r="AB29" i="8"/>
  <c r="G30" i="8"/>
  <c r="N29" i="8"/>
  <c r="K31" i="8"/>
  <c r="H31" i="8"/>
  <c r="K29" i="8"/>
  <c r="T31" i="8"/>
  <c r="K30" i="8"/>
  <c r="M30" i="8"/>
  <c r="O30" i="8"/>
  <c r="F29" i="8"/>
  <c r="G31" i="8"/>
  <c r="P31" i="8"/>
  <c r="W29" i="8"/>
  <c r="S29" i="8"/>
  <c r="L29" i="8"/>
  <c r="J30" i="8"/>
  <c r="S30" i="8"/>
  <c r="U30" i="8"/>
  <c r="H29" i="8"/>
  <c r="M31" i="8"/>
  <c r="Q31" i="8"/>
  <c r="G29" i="8"/>
  <c r="T29" i="8"/>
  <c r="AE30" i="8"/>
  <c r="AC31" i="8"/>
  <c r="AG31" i="8"/>
  <c r="Q29" i="8"/>
  <c r="AH29" i="8"/>
  <c r="AH31" i="8"/>
  <c r="R30" i="8"/>
  <c r="F30" i="8"/>
  <c r="H30" i="8"/>
  <c r="Y31" i="8"/>
  <c r="F31" i="8"/>
  <c r="Y29" i="8"/>
  <c r="M29" i="8"/>
  <c r="AE29" i="8"/>
  <c r="I31" i="8"/>
  <c r="I29" i="8"/>
  <c r="X31" i="8"/>
  <c r="X29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BA4" i="4" s="1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T46" i="4"/>
  <c r="Z46" i="4"/>
  <c r="U46" i="4"/>
  <c r="Q46" i="4"/>
  <c r="S46" i="4"/>
  <c r="X46" i="4"/>
  <c r="AF46" i="4"/>
  <c r="AJ46" i="4"/>
  <c r="Y46" i="4"/>
  <c r="N46" i="4"/>
  <c r="P46" i="4"/>
  <c r="AG46" i="4"/>
  <c r="AH46" i="4"/>
  <c r="AA46" i="4"/>
  <c r="AC46" i="4"/>
  <c r="H46" i="4"/>
  <c r="AB46" i="4"/>
  <c r="R46" i="4"/>
  <c r="J46" i="4"/>
  <c r="AI46" i="4"/>
  <c r="V46" i="4"/>
  <c r="AE46" i="4"/>
  <c r="AD46" i="4"/>
  <c r="AK46" i="4"/>
  <c r="AL46" i="4"/>
  <c r="O46" i="4"/>
  <c r="L46" i="4"/>
  <c r="K46" i="4"/>
  <c r="I46" i="4"/>
  <c r="M46" i="4"/>
  <c r="W46" i="4"/>
  <c r="AG48" i="4"/>
  <c r="AG116" i="4" s="1"/>
  <c r="AH48" i="4"/>
  <c r="AH116" i="4" s="1"/>
  <c r="AA48" i="4"/>
  <c r="AA116" i="4" s="1"/>
  <c r="V48" i="4"/>
  <c r="V116" i="4" s="1"/>
  <c r="AC48" i="4"/>
  <c r="AC116" i="4" s="1"/>
  <c r="H48" i="4"/>
  <c r="H116" i="4" s="1"/>
  <c r="AK48" i="4"/>
  <c r="AK116" i="4" s="1"/>
  <c r="G48" i="4"/>
  <c r="G116" i="4" s="1"/>
  <c r="T48" i="4"/>
  <c r="T116" i="4" s="1"/>
  <c r="Z48" i="4"/>
  <c r="Z116" i="4" s="1"/>
  <c r="K48" i="4"/>
  <c r="K116" i="4" s="1"/>
  <c r="U48" i="4"/>
  <c r="U116" i="4" s="1"/>
  <c r="Q48" i="4"/>
  <c r="Q116" i="4" s="1"/>
  <c r="X48" i="4"/>
  <c r="X116" i="4" s="1"/>
  <c r="N48" i="4"/>
  <c r="N116" i="4" s="1"/>
  <c r="AJ48" i="4"/>
  <c r="AJ116" i="4" s="1"/>
  <c r="Y48" i="4"/>
  <c r="Y116" i="4" s="1"/>
  <c r="AB48" i="4"/>
  <c r="AB116" i="4" s="1"/>
  <c r="I48" i="4"/>
  <c r="I116" i="4" s="1"/>
  <c r="M48" i="4"/>
  <c r="M116" i="4" s="1"/>
  <c r="W48" i="4"/>
  <c r="W116" i="4" s="1"/>
  <c r="R48" i="4"/>
  <c r="R116" i="4" s="1"/>
  <c r="AL48" i="4"/>
  <c r="AL116" i="4" s="1"/>
  <c r="J48" i="4"/>
  <c r="J116" i="4" s="1"/>
  <c r="AI48" i="4"/>
  <c r="AI116" i="4" s="1"/>
  <c r="AD48" i="4"/>
  <c r="AD116" i="4" s="1"/>
  <c r="AE48" i="4"/>
  <c r="AE116" i="4" s="1"/>
  <c r="P48" i="4"/>
  <c r="P116" i="4" s="1"/>
  <c r="L48" i="4"/>
  <c r="L116" i="4" s="1"/>
  <c r="O48" i="4"/>
  <c r="O116" i="4" s="1"/>
  <c r="AF48" i="4"/>
  <c r="AF116" i="4" s="1"/>
  <c r="S48" i="4"/>
  <c r="S116" i="4" s="1"/>
  <c r="AJ50" i="4"/>
  <c r="Y50" i="4"/>
  <c r="P50" i="4"/>
  <c r="V50" i="4"/>
  <c r="AG50" i="4"/>
  <c r="AH50" i="4"/>
  <c r="AA50" i="4"/>
  <c r="AC50" i="4"/>
  <c r="H50" i="4"/>
  <c r="AK50" i="4"/>
  <c r="G50" i="4"/>
  <c r="T50" i="4"/>
  <c r="Z50" i="4"/>
  <c r="U50" i="4"/>
  <c r="K50" i="4"/>
  <c r="Q50" i="4"/>
  <c r="N50" i="4"/>
  <c r="S50" i="4"/>
  <c r="AD50" i="4"/>
  <c r="AF50" i="4"/>
  <c r="O50" i="4"/>
  <c r="I50" i="4"/>
  <c r="M50" i="4"/>
  <c r="W50" i="4"/>
  <c r="X50" i="4"/>
  <c r="AB50" i="4"/>
  <c r="R50" i="4"/>
  <c r="AL50" i="4"/>
  <c r="J50" i="4"/>
  <c r="AI50" i="4"/>
  <c r="AE50" i="4"/>
  <c r="L50" i="4"/>
  <c r="Q52" i="4"/>
  <c r="M73" i="8" s="1"/>
  <c r="X52" i="4"/>
  <c r="T73" i="8" s="1"/>
  <c r="AF52" i="4"/>
  <c r="AB73" i="8" s="1"/>
  <c r="AJ52" i="4"/>
  <c r="AF73" i="8" s="1"/>
  <c r="Y52" i="4"/>
  <c r="U73" i="8" s="1"/>
  <c r="V52" i="4"/>
  <c r="R73" i="8" s="1"/>
  <c r="AB52" i="4"/>
  <c r="X73" i="8" s="1"/>
  <c r="P52" i="4"/>
  <c r="L73" i="8" s="1"/>
  <c r="AG52" i="4"/>
  <c r="AC73" i="8" s="1"/>
  <c r="AH52" i="4"/>
  <c r="AD73" i="8" s="1"/>
  <c r="AA52" i="4"/>
  <c r="W73" i="8" s="1"/>
  <c r="AC52" i="4"/>
  <c r="Y73" i="8" s="1"/>
  <c r="H52" i="4"/>
  <c r="D73" i="8" s="1"/>
  <c r="AK52" i="4"/>
  <c r="AG73" i="8" s="1"/>
  <c r="G52" i="4"/>
  <c r="C73" i="8" s="1"/>
  <c r="L52" i="4"/>
  <c r="H73" i="8" s="1"/>
  <c r="AE52" i="4"/>
  <c r="AA73" i="8" s="1"/>
  <c r="K52" i="4"/>
  <c r="T52" i="4"/>
  <c r="P73" i="8" s="1"/>
  <c r="S52" i="4"/>
  <c r="O73" i="8" s="1"/>
  <c r="O52" i="4"/>
  <c r="K73" i="8" s="1"/>
  <c r="U52" i="4"/>
  <c r="Q73" i="8" s="1"/>
  <c r="I52" i="4"/>
  <c r="E73" i="8" s="1"/>
  <c r="M52" i="4"/>
  <c r="I73" i="8" s="1"/>
  <c r="AL52" i="4"/>
  <c r="AH73" i="8" s="1"/>
  <c r="Z52" i="4"/>
  <c r="N52" i="4"/>
  <c r="J73" i="8" s="1"/>
  <c r="AD52" i="4"/>
  <c r="Z73" i="8" s="1"/>
  <c r="W52" i="4"/>
  <c r="S73" i="8" s="1"/>
  <c r="R52" i="4"/>
  <c r="N73" i="8" s="1"/>
  <c r="J52" i="4"/>
  <c r="F73" i="8" s="1"/>
  <c r="AI52" i="4"/>
  <c r="AE73" i="8" s="1"/>
  <c r="N54" i="4"/>
  <c r="G54" i="4"/>
  <c r="T54" i="4"/>
  <c r="Z54" i="4"/>
  <c r="U54" i="4"/>
  <c r="Q54" i="4"/>
  <c r="S54" i="4"/>
  <c r="X54" i="4"/>
  <c r="V54" i="4"/>
  <c r="AF54" i="4"/>
  <c r="AJ54" i="4"/>
  <c r="Y54" i="4"/>
  <c r="P54" i="4"/>
  <c r="AG54" i="4"/>
  <c r="AH54" i="4"/>
  <c r="AA54" i="4"/>
  <c r="AC54" i="4"/>
  <c r="K54" i="4"/>
  <c r="L54" i="4"/>
  <c r="R54" i="4"/>
  <c r="J54" i="4"/>
  <c r="AI54" i="4"/>
  <c r="H54" i="4"/>
  <c r="AE54" i="4"/>
  <c r="O54" i="4"/>
  <c r="AK54" i="4"/>
  <c r="AL54" i="4"/>
  <c r="AD54" i="4"/>
  <c r="I54" i="4"/>
  <c r="M54" i="4"/>
  <c r="AB54" i="4"/>
  <c r="W54" i="4"/>
  <c r="AG56" i="4"/>
  <c r="AC77" i="8" s="1"/>
  <c r="AH56" i="4"/>
  <c r="AD77" i="8" s="1"/>
  <c r="AA56" i="4"/>
  <c r="W77" i="8" s="1"/>
  <c r="H56" i="4"/>
  <c r="D77" i="8" s="1"/>
  <c r="AK56" i="4"/>
  <c r="AG77" i="8" s="1"/>
  <c r="N56" i="4"/>
  <c r="J77" i="8" s="1"/>
  <c r="K56" i="4"/>
  <c r="G77" i="8" s="1"/>
  <c r="G56" i="4"/>
  <c r="C77" i="8" s="1"/>
  <c r="T56" i="4"/>
  <c r="P77" i="8" s="1"/>
  <c r="Z56" i="4"/>
  <c r="V77" i="8" s="1"/>
  <c r="Q56" i="4"/>
  <c r="M77" i="8" s="1"/>
  <c r="V56" i="4"/>
  <c r="R77" i="8" s="1"/>
  <c r="AC56" i="4"/>
  <c r="Y77" i="8" s="1"/>
  <c r="X56" i="4"/>
  <c r="T77" i="8" s="1"/>
  <c r="AJ56" i="4"/>
  <c r="AF77" i="8" s="1"/>
  <c r="Y56" i="4"/>
  <c r="U77" i="8" s="1"/>
  <c r="AB56" i="4"/>
  <c r="X77" i="8" s="1"/>
  <c r="I56" i="4"/>
  <c r="E77" i="8" s="1"/>
  <c r="M56" i="4"/>
  <c r="I77" i="8" s="1"/>
  <c r="AF56" i="4"/>
  <c r="AB77" i="8" s="1"/>
  <c r="W56" i="4"/>
  <c r="S77" i="8" s="1"/>
  <c r="L56" i="4"/>
  <c r="H77" i="8" s="1"/>
  <c r="AD56" i="4"/>
  <c r="Z77" i="8" s="1"/>
  <c r="R56" i="4"/>
  <c r="N77" i="8" s="1"/>
  <c r="J56" i="4"/>
  <c r="F77" i="8" s="1"/>
  <c r="AI56" i="4"/>
  <c r="AE77" i="8" s="1"/>
  <c r="AE56" i="4"/>
  <c r="AA77" i="8" s="1"/>
  <c r="S56" i="4"/>
  <c r="O77" i="8" s="1"/>
  <c r="P56" i="4"/>
  <c r="L77" i="8" s="1"/>
  <c r="U56" i="4"/>
  <c r="Q77" i="8" s="1"/>
  <c r="AL56" i="4"/>
  <c r="AH77" i="8" s="1"/>
  <c r="O56" i="4"/>
  <c r="K77" i="8" s="1"/>
  <c r="AJ58" i="4"/>
  <c r="AF79" i="8" s="1"/>
  <c r="Y58" i="4"/>
  <c r="U79" i="8" s="1"/>
  <c r="P58" i="4"/>
  <c r="L79" i="8" s="1"/>
  <c r="U58" i="4"/>
  <c r="Q79" i="8" s="1"/>
  <c r="AG58" i="4"/>
  <c r="AC79" i="8" s="1"/>
  <c r="AH58" i="4"/>
  <c r="AD79" i="8" s="1"/>
  <c r="AA58" i="4"/>
  <c r="W79" i="8" s="1"/>
  <c r="H58" i="4"/>
  <c r="D79" i="8" s="1"/>
  <c r="AK58" i="4"/>
  <c r="AG79" i="8" s="1"/>
  <c r="N58" i="4"/>
  <c r="J79" i="8" s="1"/>
  <c r="G58" i="4"/>
  <c r="C79" i="8" s="1"/>
  <c r="T58" i="4"/>
  <c r="P79" i="8" s="1"/>
  <c r="K58" i="4"/>
  <c r="G79" i="8" s="1"/>
  <c r="Z58" i="4"/>
  <c r="V79" i="8" s="1"/>
  <c r="AC58" i="4"/>
  <c r="Y79" i="8" s="1"/>
  <c r="Q58" i="4"/>
  <c r="M79" i="8" s="1"/>
  <c r="V58" i="4"/>
  <c r="R79" i="8" s="1"/>
  <c r="S58" i="4"/>
  <c r="AL58" i="4"/>
  <c r="AH79" i="8" s="1"/>
  <c r="O58" i="4"/>
  <c r="K79" i="8" s="1"/>
  <c r="AF58" i="4"/>
  <c r="AB79" i="8" s="1"/>
  <c r="AB58" i="4"/>
  <c r="X79" i="8" s="1"/>
  <c r="I58" i="4"/>
  <c r="E79" i="8" s="1"/>
  <c r="L58" i="4"/>
  <c r="H79" i="8" s="1"/>
  <c r="W58" i="4"/>
  <c r="S79" i="8" s="1"/>
  <c r="X58" i="4"/>
  <c r="T79" i="8" s="1"/>
  <c r="AD58" i="4"/>
  <c r="Z79" i="8" s="1"/>
  <c r="R58" i="4"/>
  <c r="N79" i="8" s="1"/>
  <c r="J58" i="4"/>
  <c r="F79" i="8" s="1"/>
  <c r="AI58" i="4"/>
  <c r="AE79" i="8" s="1"/>
  <c r="M58" i="4"/>
  <c r="I79" i="8" s="1"/>
  <c r="AE58" i="4"/>
  <c r="AA79" i="8" s="1"/>
  <c r="Q60" i="4"/>
  <c r="M81" i="8" s="1"/>
  <c r="V60" i="4"/>
  <c r="R81" i="8" s="1"/>
  <c r="X60" i="4"/>
  <c r="T81" i="8" s="1"/>
  <c r="AJ60" i="4"/>
  <c r="AF81" i="8" s="1"/>
  <c r="Y60" i="4"/>
  <c r="U81" i="8" s="1"/>
  <c r="AC60" i="4"/>
  <c r="Y81" i="8" s="1"/>
  <c r="AB60" i="4"/>
  <c r="X81" i="8" s="1"/>
  <c r="P60" i="4"/>
  <c r="L81" i="8" s="1"/>
  <c r="U60" i="4"/>
  <c r="AG60" i="4"/>
  <c r="AC81" i="8" s="1"/>
  <c r="AH60" i="4"/>
  <c r="AD81" i="8" s="1"/>
  <c r="AA60" i="4"/>
  <c r="W81" i="8" s="1"/>
  <c r="H60" i="4"/>
  <c r="D81" i="8" s="1"/>
  <c r="AK60" i="4"/>
  <c r="AG81" i="8" s="1"/>
  <c r="N60" i="4"/>
  <c r="J81" i="8" s="1"/>
  <c r="G60" i="4"/>
  <c r="C81" i="8" s="1"/>
  <c r="S60" i="4"/>
  <c r="O81" i="8" s="1"/>
  <c r="M60" i="4"/>
  <c r="I81" i="8" s="1"/>
  <c r="AE60" i="4"/>
  <c r="AA81" i="8" s="1"/>
  <c r="AL60" i="4"/>
  <c r="AH81" i="8" s="1"/>
  <c r="O60" i="4"/>
  <c r="K81" i="8" s="1"/>
  <c r="T60" i="4"/>
  <c r="P81" i="8" s="1"/>
  <c r="AF60" i="4"/>
  <c r="AB81" i="8" s="1"/>
  <c r="L60" i="4"/>
  <c r="H81" i="8" s="1"/>
  <c r="I60" i="4"/>
  <c r="E81" i="8" s="1"/>
  <c r="W60" i="4"/>
  <c r="S81" i="8" s="1"/>
  <c r="Z60" i="4"/>
  <c r="V81" i="8" s="1"/>
  <c r="AD60" i="4"/>
  <c r="Z81" i="8" s="1"/>
  <c r="R60" i="4"/>
  <c r="N81" i="8" s="1"/>
  <c r="J60" i="4"/>
  <c r="F81" i="8" s="1"/>
  <c r="K60" i="4"/>
  <c r="G81" i="8" s="1"/>
  <c r="AI60" i="4"/>
  <c r="AE81" i="8" s="1"/>
  <c r="N62" i="4"/>
  <c r="J83" i="8" s="1"/>
  <c r="G62" i="4"/>
  <c r="C83" i="8" s="1"/>
  <c r="T62" i="4"/>
  <c r="P83" i="8" s="1"/>
  <c r="Z62" i="4"/>
  <c r="V83" i="8" s="1"/>
  <c r="Q62" i="4"/>
  <c r="M83" i="8" s="1"/>
  <c r="S62" i="4"/>
  <c r="O83" i="8" s="1"/>
  <c r="AJ62" i="4"/>
  <c r="AF83" i="8" s="1"/>
  <c r="X62" i="4"/>
  <c r="T83" i="8" s="1"/>
  <c r="Y62" i="4"/>
  <c r="U83" i="8" s="1"/>
  <c r="P62" i="4"/>
  <c r="L83" i="8" s="1"/>
  <c r="AG62" i="4"/>
  <c r="AC83" i="8" s="1"/>
  <c r="AH62" i="4"/>
  <c r="AD83" i="8" s="1"/>
  <c r="AK62" i="4"/>
  <c r="AG83" i="8" s="1"/>
  <c r="AA62" i="4"/>
  <c r="W83" i="8" s="1"/>
  <c r="V62" i="4"/>
  <c r="R83" i="8" s="1"/>
  <c r="U62" i="4"/>
  <c r="Q83" i="8" s="1"/>
  <c r="AC62" i="4"/>
  <c r="Y83" i="8" s="1"/>
  <c r="AD62" i="4"/>
  <c r="Z83" i="8" s="1"/>
  <c r="R62" i="4"/>
  <c r="N83" i="8" s="1"/>
  <c r="M62" i="4"/>
  <c r="I83" i="8" s="1"/>
  <c r="J62" i="4"/>
  <c r="F83" i="8" s="1"/>
  <c r="AI62" i="4"/>
  <c r="AE83" i="8" s="1"/>
  <c r="AE62" i="4"/>
  <c r="AA83" i="8" s="1"/>
  <c r="H62" i="4"/>
  <c r="D83" i="8" s="1"/>
  <c r="AL62" i="4"/>
  <c r="AH83" i="8" s="1"/>
  <c r="AF62" i="4"/>
  <c r="AB83" i="8" s="1"/>
  <c r="O62" i="4"/>
  <c r="K83" i="8" s="1"/>
  <c r="K62" i="4"/>
  <c r="G83" i="8" s="1"/>
  <c r="L62" i="4"/>
  <c r="H83" i="8" s="1"/>
  <c r="AB62" i="4"/>
  <c r="X83" i="8" s="1"/>
  <c r="I62" i="4"/>
  <c r="E83" i="8" s="1"/>
  <c r="W62" i="4"/>
  <c r="S83" i="8" s="1"/>
  <c r="AH64" i="4"/>
  <c r="AD85" i="8" s="1"/>
  <c r="AK64" i="4"/>
  <c r="AG85" i="8" s="1"/>
  <c r="AA64" i="4"/>
  <c r="W85" i="8" s="1"/>
  <c r="H64" i="4"/>
  <c r="D85" i="8" s="1"/>
  <c r="K64" i="4"/>
  <c r="G85" i="8" s="1"/>
  <c r="N64" i="4"/>
  <c r="J85" i="8" s="1"/>
  <c r="G64" i="4"/>
  <c r="C85" i="8" s="1"/>
  <c r="Z64" i="4"/>
  <c r="V85" i="8" s="1"/>
  <c r="V64" i="4"/>
  <c r="R85" i="8" s="1"/>
  <c r="U64" i="4"/>
  <c r="Q85" i="8" s="1"/>
  <c r="Q64" i="4"/>
  <c r="M85" i="8" s="1"/>
  <c r="L64" i="4"/>
  <c r="H85" i="8" s="1"/>
  <c r="AJ64" i="4"/>
  <c r="AF85" i="8" s="1"/>
  <c r="T64" i="4"/>
  <c r="P85" i="8" s="1"/>
  <c r="X64" i="4"/>
  <c r="T85" i="8" s="1"/>
  <c r="Y64" i="4"/>
  <c r="U85" i="8" s="1"/>
  <c r="I64" i="4"/>
  <c r="E85" i="8" s="1"/>
  <c r="W64" i="4"/>
  <c r="S85" i="8" s="1"/>
  <c r="AC64" i="4"/>
  <c r="Y85" i="8" s="1"/>
  <c r="M64" i="4"/>
  <c r="I85" i="8" s="1"/>
  <c r="S64" i="4"/>
  <c r="O85" i="8" s="1"/>
  <c r="R64" i="4"/>
  <c r="N85" i="8" s="1"/>
  <c r="J64" i="4"/>
  <c r="F85" i="8" s="1"/>
  <c r="AI64" i="4"/>
  <c r="AE85" i="8" s="1"/>
  <c r="AL64" i="4"/>
  <c r="AH85" i="8" s="1"/>
  <c r="AE64" i="4"/>
  <c r="AA85" i="8" s="1"/>
  <c r="AF64" i="4"/>
  <c r="AB85" i="8" s="1"/>
  <c r="O64" i="4"/>
  <c r="K85" i="8" s="1"/>
  <c r="AG64" i="4"/>
  <c r="AC85" i="8" s="1"/>
  <c r="P64" i="4"/>
  <c r="L85" i="8" s="1"/>
  <c r="AD64" i="4"/>
  <c r="Z85" i="8" s="1"/>
  <c r="AB64" i="4"/>
  <c r="X85" i="8" s="1"/>
  <c r="Y66" i="4"/>
  <c r="U87" i="8" s="1"/>
  <c r="T66" i="4"/>
  <c r="P87" i="8" s="1"/>
  <c r="P66" i="4"/>
  <c r="L87" i="8" s="1"/>
  <c r="Z66" i="4"/>
  <c r="V87" i="8" s="1"/>
  <c r="AG66" i="4"/>
  <c r="AC87" i="8" s="1"/>
  <c r="AA66" i="4"/>
  <c r="W87" i="8" s="1"/>
  <c r="H66" i="4"/>
  <c r="D87" i="8" s="1"/>
  <c r="AC66" i="4"/>
  <c r="Y87" i="8" s="1"/>
  <c r="N66" i="4"/>
  <c r="J87" i="8" s="1"/>
  <c r="AJ66" i="4"/>
  <c r="AF87" i="8" s="1"/>
  <c r="K66" i="4"/>
  <c r="G87" i="8" s="1"/>
  <c r="G66" i="4"/>
  <c r="C87" i="8" s="1"/>
  <c r="V66" i="4"/>
  <c r="R87" i="8" s="1"/>
  <c r="U66" i="4"/>
  <c r="Q87" i="8" s="1"/>
  <c r="Q66" i="4"/>
  <c r="M87" i="8" s="1"/>
  <c r="AH66" i="4"/>
  <c r="AD87" i="8" s="1"/>
  <c r="L66" i="4"/>
  <c r="H87" i="8" s="1"/>
  <c r="S66" i="4"/>
  <c r="O87" i="8" s="1"/>
  <c r="O66" i="4"/>
  <c r="K87" i="8" s="1"/>
  <c r="R66" i="4"/>
  <c r="N87" i="8" s="1"/>
  <c r="I66" i="4"/>
  <c r="E87" i="8" s="1"/>
  <c r="AL66" i="4"/>
  <c r="AH87" i="8" s="1"/>
  <c r="W66" i="4"/>
  <c r="S87" i="8" s="1"/>
  <c r="AD66" i="4"/>
  <c r="Z87" i="8" s="1"/>
  <c r="M66" i="4"/>
  <c r="I87" i="8" s="1"/>
  <c r="J66" i="4"/>
  <c r="F87" i="8" s="1"/>
  <c r="AI66" i="4"/>
  <c r="AE87" i="8" s="1"/>
  <c r="AK66" i="4"/>
  <c r="AG87" i="8" s="1"/>
  <c r="X66" i="4"/>
  <c r="T87" i="8" s="1"/>
  <c r="AF66" i="4"/>
  <c r="AB87" i="8" s="1"/>
  <c r="AB66" i="4"/>
  <c r="X87" i="8" s="1"/>
  <c r="AE66" i="4"/>
  <c r="AA87" i="8" s="1"/>
  <c r="Q68" i="4"/>
  <c r="M89" i="8" s="1"/>
  <c r="AH68" i="4"/>
  <c r="AD89" i="8" s="1"/>
  <c r="L68" i="4"/>
  <c r="H89" i="8" s="1"/>
  <c r="AK68" i="4"/>
  <c r="AG89" i="8" s="1"/>
  <c r="X68" i="4"/>
  <c r="T89" i="8" s="1"/>
  <c r="Y68" i="4"/>
  <c r="U89" i="8" s="1"/>
  <c r="T68" i="4"/>
  <c r="P89" i="8" s="1"/>
  <c r="Z68" i="4"/>
  <c r="V89" i="8" s="1"/>
  <c r="H68" i="4"/>
  <c r="D89" i="8" s="1"/>
  <c r="P68" i="4"/>
  <c r="L89" i="8" s="1"/>
  <c r="AG68" i="4"/>
  <c r="AC89" i="8" s="1"/>
  <c r="AA68" i="4"/>
  <c r="W89" i="8" s="1"/>
  <c r="G68" i="4"/>
  <c r="C89" i="8" s="1"/>
  <c r="AC68" i="4"/>
  <c r="Y89" i="8" s="1"/>
  <c r="N68" i="4"/>
  <c r="J89" i="8" s="1"/>
  <c r="AJ68" i="4"/>
  <c r="AF89" i="8" s="1"/>
  <c r="AE68" i="4"/>
  <c r="AA89" i="8" s="1"/>
  <c r="V68" i="4"/>
  <c r="R89" i="8" s="1"/>
  <c r="R68" i="4"/>
  <c r="N89" i="8" s="1"/>
  <c r="O68" i="4"/>
  <c r="K89" i="8" s="1"/>
  <c r="J68" i="4"/>
  <c r="F89" i="8" s="1"/>
  <c r="I68" i="4"/>
  <c r="E89" i="8" s="1"/>
  <c r="U68" i="4"/>
  <c r="Q89" i="8" s="1"/>
  <c r="AL68" i="4"/>
  <c r="AH89" i="8" s="1"/>
  <c r="W68" i="4"/>
  <c r="S89" i="8" s="1"/>
  <c r="S68" i="4"/>
  <c r="O89" i="8" s="1"/>
  <c r="AD68" i="4"/>
  <c r="Z89" i="8" s="1"/>
  <c r="M68" i="4"/>
  <c r="I89" i="8" s="1"/>
  <c r="K68" i="4"/>
  <c r="G89" i="8" s="1"/>
  <c r="AF68" i="4"/>
  <c r="AB89" i="8" s="1"/>
  <c r="AB68" i="4"/>
  <c r="X89" i="8" s="1"/>
  <c r="AI68" i="4"/>
  <c r="AE89" i="8" s="1"/>
  <c r="AJ70" i="4"/>
  <c r="AF91" i="8" s="1"/>
  <c r="AH70" i="4"/>
  <c r="AD91" i="8" s="1"/>
  <c r="V70" i="4"/>
  <c r="R91" i="8" s="1"/>
  <c r="U70" i="4"/>
  <c r="Q91" i="8" s="1"/>
  <c r="Q70" i="4"/>
  <c r="M91" i="8" s="1"/>
  <c r="L70" i="4"/>
  <c r="H91" i="8" s="1"/>
  <c r="S70" i="4"/>
  <c r="O91" i="8" s="1"/>
  <c r="Z70" i="4"/>
  <c r="V91" i="8" s="1"/>
  <c r="AK70" i="4"/>
  <c r="AG91" i="8" s="1"/>
  <c r="X70" i="4"/>
  <c r="T91" i="8" s="1"/>
  <c r="Y70" i="4"/>
  <c r="U91" i="8" s="1"/>
  <c r="T70" i="4"/>
  <c r="P91" i="8" s="1"/>
  <c r="K70" i="4"/>
  <c r="G91" i="8" s="1"/>
  <c r="H70" i="4"/>
  <c r="D91" i="8" s="1"/>
  <c r="P70" i="4"/>
  <c r="L91" i="8" s="1"/>
  <c r="AG70" i="4"/>
  <c r="AC91" i="8" s="1"/>
  <c r="AA70" i="4"/>
  <c r="G70" i="4"/>
  <c r="C91" i="8" s="1"/>
  <c r="AF70" i="4"/>
  <c r="AB91" i="8" s="1"/>
  <c r="M70" i="4"/>
  <c r="I91" i="8" s="1"/>
  <c r="AC70" i="4"/>
  <c r="Y91" i="8" s="1"/>
  <c r="AB70" i="4"/>
  <c r="X91" i="8" s="1"/>
  <c r="AI70" i="4"/>
  <c r="AE91" i="8" s="1"/>
  <c r="AE70" i="4"/>
  <c r="AA91" i="8" s="1"/>
  <c r="R70" i="4"/>
  <c r="N91" i="8" s="1"/>
  <c r="J70" i="4"/>
  <c r="F91" i="8" s="1"/>
  <c r="N70" i="4"/>
  <c r="J91" i="8" s="1"/>
  <c r="O70" i="4"/>
  <c r="K91" i="8" s="1"/>
  <c r="I70" i="4"/>
  <c r="E91" i="8" s="1"/>
  <c r="AD70" i="4"/>
  <c r="Z91" i="8" s="1"/>
  <c r="AL70" i="4"/>
  <c r="AH91" i="8" s="1"/>
  <c r="W70" i="4"/>
  <c r="S91" i="8" s="1"/>
  <c r="AG72" i="4"/>
  <c r="AC93" i="8" s="1"/>
  <c r="AA72" i="4"/>
  <c r="W93" i="8" s="1"/>
  <c r="K72" i="4"/>
  <c r="G93" i="8" s="1"/>
  <c r="G72" i="4"/>
  <c r="C93" i="8" s="1"/>
  <c r="AC72" i="4"/>
  <c r="Y93" i="8" s="1"/>
  <c r="N72" i="4"/>
  <c r="J93" i="8" s="1"/>
  <c r="AJ72" i="4"/>
  <c r="AF93" i="8" s="1"/>
  <c r="V72" i="4"/>
  <c r="R93" i="8" s="1"/>
  <c r="U72" i="4"/>
  <c r="Q93" i="8" s="1"/>
  <c r="Q72" i="4"/>
  <c r="M93" i="8" s="1"/>
  <c r="Z72" i="4"/>
  <c r="V93" i="8" s="1"/>
  <c r="AK72" i="4"/>
  <c r="AG93" i="8" s="1"/>
  <c r="X72" i="4"/>
  <c r="T93" i="8" s="1"/>
  <c r="Y72" i="4"/>
  <c r="U93" i="8" s="1"/>
  <c r="T72" i="4"/>
  <c r="P93" i="8" s="1"/>
  <c r="P72" i="4"/>
  <c r="L93" i="8" s="1"/>
  <c r="I72" i="4"/>
  <c r="E93" i="8" s="1"/>
  <c r="AF72" i="4"/>
  <c r="AB93" i="8" s="1"/>
  <c r="L72" i="4"/>
  <c r="H93" i="8" s="1"/>
  <c r="S72" i="4"/>
  <c r="O93" i="8" s="1"/>
  <c r="AD72" i="4"/>
  <c r="Z93" i="8" s="1"/>
  <c r="AL72" i="4"/>
  <c r="AH93" i="8" s="1"/>
  <c r="W72" i="4"/>
  <c r="S93" i="8" s="1"/>
  <c r="M72" i="4"/>
  <c r="I93" i="8" s="1"/>
  <c r="AH72" i="4"/>
  <c r="AD93" i="8" s="1"/>
  <c r="AB72" i="4"/>
  <c r="X93" i="8" s="1"/>
  <c r="AI72" i="4"/>
  <c r="AE93" i="8" s="1"/>
  <c r="H72" i="4"/>
  <c r="D93" i="8" s="1"/>
  <c r="R72" i="4"/>
  <c r="N93" i="8" s="1"/>
  <c r="AE72" i="4"/>
  <c r="AA93" i="8" s="1"/>
  <c r="J72" i="4"/>
  <c r="F93" i="8" s="1"/>
  <c r="O72" i="4"/>
  <c r="K93" i="8" s="1"/>
  <c r="Y74" i="4"/>
  <c r="U95" i="8" s="1"/>
  <c r="T74" i="4"/>
  <c r="P95" i="8" s="1"/>
  <c r="H74" i="4"/>
  <c r="D95" i="8" s="1"/>
  <c r="P74" i="4"/>
  <c r="L95" i="8" s="1"/>
  <c r="AG74" i="4"/>
  <c r="AC95" i="8" s="1"/>
  <c r="AH74" i="4"/>
  <c r="AD95" i="8" s="1"/>
  <c r="AA74" i="4"/>
  <c r="W95" i="8" s="1"/>
  <c r="G74" i="4"/>
  <c r="C95" i="8" s="1"/>
  <c r="K74" i="4"/>
  <c r="G95" i="8" s="1"/>
  <c r="AC74" i="4"/>
  <c r="Y95" i="8" s="1"/>
  <c r="N74" i="4"/>
  <c r="J95" i="8" s="1"/>
  <c r="AJ74" i="4"/>
  <c r="AF95" i="8" s="1"/>
  <c r="Z74" i="4"/>
  <c r="V95" i="8" s="1"/>
  <c r="V74" i="4"/>
  <c r="R95" i="8" s="1"/>
  <c r="U74" i="4"/>
  <c r="Q95" i="8" s="1"/>
  <c r="Q74" i="4"/>
  <c r="M95" i="8" s="1"/>
  <c r="L74" i="4"/>
  <c r="H95" i="8" s="1"/>
  <c r="S74" i="4"/>
  <c r="O95" i="8" s="1"/>
  <c r="O74" i="4"/>
  <c r="K95" i="8" s="1"/>
  <c r="AF74" i="4"/>
  <c r="AB95" i="8" s="1"/>
  <c r="AD74" i="4"/>
  <c r="Z95" i="8" s="1"/>
  <c r="I74" i="4"/>
  <c r="E95" i="8" s="1"/>
  <c r="AL74" i="4"/>
  <c r="AH95" i="8" s="1"/>
  <c r="W74" i="4"/>
  <c r="S95" i="8" s="1"/>
  <c r="M74" i="4"/>
  <c r="I95" i="8" s="1"/>
  <c r="AB74" i="4"/>
  <c r="X95" i="8" s="1"/>
  <c r="R74" i="4"/>
  <c r="N95" i="8" s="1"/>
  <c r="J74" i="4"/>
  <c r="F95" i="8" s="1"/>
  <c r="AI74" i="4"/>
  <c r="AE95" i="8" s="1"/>
  <c r="AE74" i="4"/>
  <c r="AA95" i="8" s="1"/>
  <c r="AK74" i="4"/>
  <c r="AG95" i="8" s="1"/>
  <c r="X74" i="4"/>
  <c r="T95" i="8" s="1"/>
  <c r="H47" i="4"/>
  <c r="D68" i="8" s="1"/>
  <c r="AK47" i="4"/>
  <c r="AG68" i="8" s="1"/>
  <c r="T47" i="4"/>
  <c r="P68" i="8" s="1"/>
  <c r="Z47" i="4"/>
  <c r="V68" i="8" s="1"/>
  <c r="U47" i="4"/>
  <c r="Q68" i="8" s="1"/>
  <c r="Q47" i="4"/>
  <c r="M68" i="8" s="1"/>
  <c r="N47" i="4"/>
  <c r="J68" i="8" s="1"/>
  <c r="X47" i="4"/>
  <c r="T68" i="8" s="1"/>
  <c r="AF47" i="4"/>
  <c r="AB68" i="8" s="1"/>
  <c r="AJ47" i="4"/>
  <c r="AF68" i="8" s="1"/>
  <c r="Y47" i="4"/>
  <c r="U68" i="8" s="1"/>
  <c r="P47" i="4"/>
  <c r="L68" i="8" s="1"/>
  <c r="V47" i="4"/>
  <c r="R68" i="8" s="1"/>
  <c r="L47" i="4"/>
  <c r="H68" i="8" s="1"/>
  <c r="AH47" i="4"/>
  <c r="AD68" i="8" s="1"/>
  <c r="AA47" i="4"/>
  <c r="W68" i="8" s="1"/>
  <c r="W47" i="4"/>
  <c r="S68" i="8" s="1"/>
  <c r="AB47" i="4"/>
  <c r="X68" i="8" s="1"/>
  <c r="R47" i="4"/>
  <c r="N68" i="8" s="1"/>
  <c r="J47" i="4"/>
  <c r="F68" i="8" s="1"/>
  <c r="AI47" i="4"/>
  <c r="AE68" i="8" s="1"/>
  <c r="AE47" i="4"/>
  <c r="AA68" i="8" s="1"/>
  <c r="K47" i="4"/>
  <c r="G68" i="8" s="1"/>
  <c r="AG47" i="4"/>
  <c r="AC68" i="8" s="1"/>
  <c r="O47" i="4"/>
  <c r="K68" i="8" s="1"/>
  <c r="S47" i="4"/>
  <c r="O68" i="8" s="1"/>
  <c r="AL47" i="4"/>
  <c r="AH68" i="8" s="1"/>
  <c r="AC47" i="4"/>
  <c r="Y68" i="8" s="1"/>
  <c r="G47" i="4"/>
  <c r="C68" i="8" s="1"/>
  <c r="AD47" i="4"/>
  <c r="Z68" i="8" s="1"/>
  <c r="I47" i="4"/>
  <c r="E68" i="8" s="1"/>
  <c r="M47" i="4"/>
  <c r="I68" i="8" s="1"/>
  <c r="P49" i="4"/>
  <c r="L70" i="8" s="1"/>
  <c r="L49" i="4"/>
  <c r="H70" i="8" s="1"/>
  <c r="AG49" i="4"/>
  <c r="AC70" i="8" s="1"/>
  <c r="AH49" i="4"/>
  <c r="AD70" i="8" s="1"/>
  <c r="AA49" i="4"/>
  <c r="W70" i="8" s="1"/>
  <c r="AC49" i="4"/>
  <c r="Y70" i="8" s="1"/>
  <c r="H49" i="4"/>
  <c r="D70" i="8" s="1"/>
  <c r="AK49" i="4"/>
  <c r="AG70" i="8" s="1"/>
  <c r="T49" i="4"/>
  <c r="P70" i="8" s="1"/>
  <c r="Z49" i="4"/>
  <c r="V70" i="8" s="1"/>
  <c r="U49" i="4"/>
  <c r="Q70" i="8" s="1"/>
  <c r="N49" i="4"/>
  <c r="J70" i="8" s="1"/>
  <c r="Q49" i="4"/>
  <c r="M70" i="8" s="1"/>
  <c r="K49" i="4"/>
  <c r="G70" i="8" s="1"/>
  <c r="X49" i="4"/>
  <c r="T70" i="8" s="1"/>
  <c r="AF49" i="4"/>
  <c r="AB70" i="8" s="1"/>
  <c r="V49" i="4"/>
  <c r="R70" i="8" s="1"/>
  <c r="G49" i="4"/>
  <c r="C70" i="8" s="1"/>
  <c r="S49" i="4"/>
  <c r="O70" i="8" s="1"/>
  <c r="AD49" i="4"/>
  <c r="Z70" i="8" s="1"/>
  <c r="I49" i="4"/>
  <c r="E70" i="8" s="1"/>
  <c r="M49" i="4"/>
  <c r="I70" i="8" s="1"/>
  <c r="AJ49" i="4"/>
  <c r="AF70" i="8" s="1"/>
  <c r="W49" i="4"/>
  <c r="S70" i="8" s="1"/>
  <c r="AB49" i="4"/>
  <c r="X70" i="8" s="1"/>
  <c r="R49" i="4"/>
  <c r="N70" i="8" s="1"/>
  <c r="J49" i="4"/>
  <c r="F70" i="8" s="1"/>
  <c r="AI49" i="4"/>
  <c r="AE70" i="8" s="1"/>
  <c r="AE49" i="4"/>
  <c r="AA70" i="8" s="1"/>
  <c r="Y49" i="4"/>
  <c r="U70" i="8" s="1"/>
  <c r="AL49" i="4"/>
  <c r="AH70" i="8" s="1"/>
  <c r="O49" i="4"/>
  <c r="K70" i="8" s="1"/>
  <c r="K51" i="4"/>
  <c r="K114" i="4" s="1"/>
  <c r="K119" i="4" s="1"/>
  <c r="X51" i="4"/>
  <c r="X114" i="4" s="1"/>
  <c r="X119" i="4" s="1"/>
  <c r="V51" i="4"/>
  <c r="V114" i="4" s="1"/>
  <c r="V119" i="4" s="1"/>
  <c r="AF51" i="4"/>
  <c r="AF114" i="4" s="1"/>
  <c r="AF119" i="4" s="1"/>
  <c r="AJ51" i="4"/>
  <c r="AJ114" i="4" s="1"/>
  <c r="AJ119" i="4" s="1"/>
  <c r="Y51" i="4"/>
  <c r="Y114" i="4" s="1"/>
  <c r="Y119" i="4" s="1"/>
  <c r="P51" i="4"/>
  <c r="P114" i="4" s="1"/>
  <c r="P119" i="4" s="1"/>
  <c r="L51" i="4"/>
  <c r="L114" i="4" s="1"/>
  <c r="L119" i="4" s="1"/>
  <c r="AG51" i="4"/>
  <c r="AG114" i="4" s="1"/>
  <c r="AG119" i="4" s="1"/>
  <c r="AH51" i="4"/>
  <c r="AH114" i="4" s="1"/>
  <c r="AH119" i="4" s="1"/>
  <c r="AA51" i="4"/>
  <c r="AA114" i="4" s="1"/>
  <c r="AA119" i="4" s="1"/>
  <c r="AC51" i="4"/>
  <c r="AC114" i="4" s="1"/>
  <c r="AC119" i="4" s="1"/>
  <c r="H51" i="4"/>
  <c r="H114" i="4" s="1"/>
  <c r="H119" i="4" s="1"/>
  <c r="AK51" i="4"/>
  <c r="AK114" i="4" s="1"/>
  <c r="AK119" i="4" s="1"/>
  <c r="N51" i="4"/>
  <c r="N114" i="4" s="1"/>
  <c r="N119" i="4" s="1"/>
  <c r="T51" i="4"/>
  <c r="T114" i="4" s="1"/>
  <c r="T119" i="4" s="1"/>
  <c r="Z51" i="4"/>
  <c r="Z114" i="4" s="1"/>
  <c r="Z119" i="4" s="1"/>
  <c r="U51" i="4"/>
  <c r="U114" i="4" s="1"/>
  <c r="U119" i="4" s="1"/>
  <c r="AD51" i="4"/>
  <c r="AD114" i="4" s="1"/>
  <c r="AD119" i="4" s="1"/>
  <c r="AL51" i="4"/>
  <c r="AL114" i="4" s="1"/>
  <c r="AL119" i="4" s="1"/>
  <c r="Q51" i="4"/>
  <c r="Q114" i="4" s="1"/>
  <c r="Q119" i="4" s="1"/>
  <c r="G51" i="4"/>
  <c r="G114" i="4" s="1"/>
  <c r="G119" i="4" s="1"/>
  <c r="S51" i="4"/>
  <c r="S114" i="4" s="1"/>
  <c r="S119" i="4" s="1"/>
  <c r="O51" i="4"/>
  <c r="O114" i="4" s="1"/>
  <c r="O119" i="4" s="1"/>
  <c r="I51" i="4"/>
  <c r="I114" i="4" s="1"/>
  <c r="I119" i="4" s="1"/>
  <c r="M51" i="4"/>
  <c r="M114" i="4" s="1"/>
  <c r="M119" i="4" s="1"/>
  <c r="W51" i="4"/>
  <c r="W114" i="4" s="1"/>
  <c r="W119" i="4" s="1"/>
  <c r="AB51" i="4"/>
  <c r="AB114" i="4" s="1"/>
  <c r="AB119" i="4" s="1"/>
  <c r="R51" i="4"/>
  <c r="R114" i="4" s="1"/>
  <c r="R119" i="4" s="1"/>
  <c r="J51" i="4"/>
  <c r="J114" i="4" s="1"/>
  <c r="J119" i="4" s="1"/>
  <c r="AI51" i="4"/>
  <c r="AI114" i="4" s="1"/>
  <c r="AI119" i="4" s="1"/>
  <c r="AE51" i="4"/>
  <c r="AE114" i="4" s="1"/>
  <c r="AE119" i="4" s="1"/>
  <c r="T53" i="4"/>
  <c r="P74" i="8" s="1"/>
  <c r="Z53" i="4"/>
  <c r="V74" i="8" s="1"/>
  <c r="U53" i="4"/>
  <c r="Q74" i="8" s="1"/>
  <c r="Q53" i="4"/>
  <c r="M74" i="8" s="1"/>
  <c r="V53" i="4"/>
  <c r="R74" i="8" s="1"/>
  <c r="X53" i="4"/>
  <c r="T74" i="8" s="1"/>
  <c r="AF53" i="4"/>
  <c r="AB74" i="8" s="1"/>
  <c r="AJ53" i="4"/>
  <c r="AF74" i="8" s="1"/>
  <c r="Y53" i="4"/>
  <c r="U74" i="8" s="1"/>
  <c r="P53" i="4"/>
  <c r="L74" i="8" s="1"/>
  <c r="L53" i="4"/>
  <c r="H74" i="8" s="1"/>
  <c r="AG53" i="4"/>
  <c r="AC74" i="8" s="1"/>
  <c r="AH53" i="4"/>
  <c r="AD74" i="8" s="1"/>
  <c r="AA53" i="4"/>
  <c r="W74" i="8" s="1"/>
  <c r="AC53" i="4"/>
  <c r="Y74" i="8" s="1"/>
  <c r="H53" i="4"/>
  <c r="D74" i="8" s="1"/>
  <c r="AK53" i="4"/>
  <c r="AG74" i="8" s="1"/>
  <c r="N53" i="4"/>
  <c r="J74" i="8" s="1"/>
  <c r="R53" i="4"/>
  <c r="N74" i="8" s="1"/>
  <c r="J53" i="4"/>
  <c r="F74" i="8" s="1"/>
  <c r="AI53" i="4"/>
  <c r="AE74" i="8" s="1"/>
  <c r="AD53" i="4"/>
  <c r="Z74" i="8" s="1"/>
  <c r="AL53" i="4"/>
  <c r="AH74" i="8" s="1"/>
  <c r="AE53" i="4"/>
  <c r="AA74" i="8" s="1"/>
  <c r="G53" i="4"/>
  <c r="C74" i="8" s="1"/>
  <c r="S53" i="4"/>
  <c r="O74" i="8" s="1"/>
  <c r="O53" i="4"/>
  <c r="K74" i="8" s="1"/>
  <c r="I53" i="4"/>
  <c r="E74" i="8" s="1"/>
  <c r="K53" i="4"/>
  <c r="G74" i="8" s="1"/>
  <c r="M53" i="4"/>
  <c r="I74" i="8" s="1"/>
  <c r="AB53" i="4"/>
  <c r="X74" i="8" s="1"/>
  <c r="W53" i="4"/>
  <c r="S74" i="8" s="1"/>
  <c r="H55" i="4"/>
  <c r="D76" i="8" s="1"/>
  <c r="AK55" i="4"/>
  <c r="AG76" i="8" s="1"/>
  <c r="T55" i="4"/>
  <c r="P76" i="8" s="1"/>
  <c r="Z55" i="4"/>
  <c r="V76" i="8" s="1"/>
  <c r="V55" i="4"/>
  <c r="R76" i="8" s="1"/>
  <c r="U55" i="4"/>
  <c r="Q76" i="8" s="1"/>
  <c r="K55" i="4"/>
  <c r="G76" i="8" s="1"/>
  <c r="Q55" i="4"/>
  <c r="M76" i="8" s="1"/>
  <c r="X55" i="4"/>
  <c r="T76" i="8" s="1"/>
  <c r="AF55" i="4"/>
  <c r="AB76" i="8" s="1"/>
  <c r="AJ55" i="4"/>
  <c r="AF76" i="8" s="1"/>
  <c r="Y55" i="4"/>
  <c r="U76" i="8" s="1"/>
  <c r="P55" i="4"/>
  <c r="L76" i="8" s="1"/>
  <c r="L55" i="4"/>
  <c r="H76" i="8" s="1"/>
  <c r="AC55" i="4"/>
  <c r="Y76" i="8" s="1"/>
  <c r="AB55" i="4"/>
  <c r="X76" i="8" s="1"/>
  <c r="W55" i="4"/>
  <c r="S76" i="8" s="1"/>
  <c r="AH55" i="4"/>
  <c r="AD76" i="8" s="1"/>
  <c r="AA55" i="4"/>
  <c r="W76" i="8" s="1"/>
  <c r="AD55" i="4"/>
  <c r="Z76" i="8" s="1"/>
  <c r="R55" i="4"/>
  <c r="N76" i="8" s="1"/>
  <c r="AL55" i="4"/>
  <c r="AH76" i="8" s="1"/>
  <c r="J55" i="4"/>
  <c r="F76" i="8" s="1"/>
  <c r="AI55" i="4"/>
  <c r="AE76" i="8" s="1"/>
  <c r="N55" i="4"/>
  <c r="J76" i="8" s="1"/>
  <c r="G55" i="4"/>
  <c r="C76" i="8" s="1"/>
  <c r="AE55" i="4"/>
  <c r="AA76" i="8" s="1"/>
  <c r="S55" i="4"/>
  <c r="O76" i="8" s="1"/>
  <c r="O55" i="4"/>
  <c r="K76" i="8" s="1"/>
  <c r="AG55" i="4"/>
  <c r="AC76" i="8" s="1"/>
  <c r="I55" i="4"/>
  <c r="E76" i="8" s="1"/>
  <c r="M55" i="4"/>
  <c r="I76" i="8" s="1"/>
  <c r="P57" i="4"/>
  <c r="L78" i="8" s="1"/>
  <c r="U57" i="4"/>
  <c r="Q78" i="8" s="1"/>
  <c r="AC57" i="4"/>
  <c r="Y78" i="8" s="1"/>
  <c r="L57" i="4"/>
  <c r="H78" i="8" s="1"/>
  <c r="AG57" i="4"/>
  <c r="AC78" i="8" s="1"/>
  <c r="AH57" i="4"/>
  <c r="AD78" i="8" s="1"/>
  <c r="AA57" i="4"/>
  <c r="W78" i="8" s="1"/>
  <c r="H57" i="4"/>
  <c r="D78" i="8" s="1"/>
  <c r="AK57" i="4"/>
  <c r="AG78" i="8" s="1"/>
  <c r="N57" i="4"/>
  <c r="J78" i="8" s="1"/>
  <c r="T57" i="4"/>
  <c r="P78" i="8" s="1"/>
  <c r="Z57" i="4"/>
  <c r="V78" i="8" s="1"/>
  <c r="Q57" i="4"/>
  <c r="M78" i="8" s="1"/>
  <c r="K57" i="4"/>
  <c r="G78" i="8" s="1"/>
  <c r="V57" i="4"/>
  <c r="R78" i="8" s="1"/>
  <c r="X57" i="4"/>
  <c r="T78" i="8" s="1"/>
  <c r="AF57" i="4"/>
  <c r="AB78" i="8" s="1"/>
  <c r="AB57" i="4"/>
  <c r="X78" i="8" s="1"/>
  <c r="I57" i="4"/>
  <c r="E78" i="8" s="1"/>
  <c r="W57" i="4"/>
  <c r="S78" i="8" s="1"/>
  <c r="AJ57" i="4"/>
  <c r="AF78" i="8" s="1"/>
  <c r="G57" i="4"/>
  <c r="C78" i="8" s="1"/>
  <c r="AD57" i="4"/>
  <c r="Z78" i="8" s="1"/>
  <c r="R57" i="4"/>
  <c r="N78" i="8" s="1"/>
  <c r="J57" i="4"/>
  <c r="AI57" i="4"/>
  <c r="AE78" i="8" s="1"/>
  <c r="M57" i="4"/>
  <c r="I78" i="8" s="1"/>
  <c r="AE57" i="4"/>
  <c r="AA78" i="8" s="1"/>
  <c r="S57" i="4"/>
  <c r="O78" i="8" s="1"/>
  <c r="Y57" i="4"/>
  <c r="U78" i="8" s="1"/>
  <c r="AL57" i="4"/>
  <c r="AH78" i="8" s="1"/>
  <c r="O57" i="4"/>
  <c r="K78" i="8" s="1"/>
  <c r="X59" i="4"/>
  <c r="T80" i="8" s="1"/>
  <c r="AF59" i="4"/>
  <c r="AB80" i="8" s="1"/>
  <c r="AJ59" i="4"/>
  <c r="AF80" i="8" s="1"/>
  <c r="Y59" i="4"/>
  <c r="U80" i="8" s="1"/>
  <c r="AC59" i="4"/>
  <c r="Y80" i="8" s="1"/>
  <c r="P59" i="4"/>
  <c r="L80" i="8" s="1"/>
  <c r="U59" i="4"/>
  <c r="Q80" i="8" s="1"/>
  <c r="L59" i="4"/>
  <c r="H80" i="8" s="1"/>
  <c r="AD59" i="4"/>
  <c r="Z80" i="8" s="1"/>
  <c r="AG59" i="4"/>
  <c r="AC80" i="8" s="1"/>
  <c r="AH59" i="4"/>
  <c r="AD80" i="8" s="1"/>
  <c r="AA59" i="4"/>
  <c r="W80" i="8" s="1"/>
  <c r="H59" i="4"/>
  <c r="D80" i="8" s="1"/>
  <c r="AK59" i="4"/>
  <c r="AG80" i="8" s="1"/>
  <c r="N59" i="4"/>
  <c r="J80" i="8" s="1"/>
  <c r="T59" i="4"/>
  <c r="P80" i="8" s="1"/>
  <c r="Z59" i="4"/>
  <c r="V80" i="8" s="1"/>
  <c r="AL59" i="4"/>
  <c r="AH80" i="8" s="1"/>
  <c r="O59" i="4"/>
  <c r="K80" i="8" s="1"/>
  <c r="Q59" i="4"/>
  <c r="M80" i="8" s="1"/>
  <c r="V59" i="4"/>
  <c r="R80" i="8" s="1"/>
  <c r="AB59" i="4"/>
  <c r="X80" i="8" s="1"/>
  <c r="I59" i="4"/>
  <c r="E80" i="8" s="1"/>
  <c r="W59" i="4"/>
  <c r="S80" i="8" s="1"/>
  <c r="G59" i="4"/>
  <c r="C80" i="8" s="1"/>
  <c r="R59" i="4"/>
  <c r="N80" i="8" s="1"/>
  <c r="J59" i="4"/>
  <c r="F80" i="8" s="1"/>
  <c r="AI59" i="4"/>
  <c r="AE80" i="8" s="1"/>
  <c r="S59" i="4"/>
  <c r="O80" i="8" s="1"/>
  <c r="M59" i="4"/>
  <c r="I80" i="8" s="1"/>
  <c r="AE59" i="4"/>
  <c r="AA80" i="8" s="1"/>
  <c r="K59" i="4"/>
  <c r="G80" i="8" s="1"/>
  <c r="Z61" i="4"/>
  <c r="V82" i="8" s="1"/>
  <c r="Q61" i="4"/>
  <c r="M82" i="8" s="1"/>
  <c r="AC61" i="4"/>
  <c r="Y82" i="8" s="1"/>
  <c r="T61" i="4"/>
  <c r="P82" i="8" s="1"/>
  <c r="AK61" i="4"/>
  <c r="AG82" i="8" s="1"/>
  <c r="X61" i="4"/>
  <c r="T82" i="8" s="1"/>
  <c r="AF61" i="4"/>
  <c r="AB82" i="8" s="1"/>
  <c r="Y61" i="4"/>
  <c r="U82" i="8" s="1"/>
  <c r="P61" i="4"/>
  <c r="L82" i="8" s="1"/>
  <c r="V61" i="4"/>
  <c r="R82" i="8" s="1"/>
  <c r="U61" i="4"/>
  <c r="Q82" i="8" s="1"/>
  <c r="AG61" i="4"/>
  <c r="AC82" i="8" s="1"/>
  <c r="AH61" i="4"/>
  <c r="AD82" i="8" s="1"/>
  <c r="AA61" i="4"/>
  <c r="W82" i="8" s="1"/>
  <c r="H61" i="4"/>
  <c r="D82" i="8" s="1"/>
  <c r="N61" i="4"/>
  <c r="J82" i="8" s="1"/>
  <c r="R61" i="4"/>
  <c r="N82" i="8" s="1"/>
  <c r="J61" i="4"/>
  <c r="F82" i="8" s="1"/>
  <c r="AI61" i="4"/>
  <c r="AE82" i="8" s="1"/>
  <c r="S61" i="4"/>
  <c r="O82" i="8" s="1"/>
  <c r="M61" i="4"/>
  <c r="I82" i="8" s="1"/>
  <c r="AE61" i="4"/>
  <c r="AA82" i="8" s="1"/>
  <c r="L61" i="4"/>
  <c r="H82" i="8" s="1"/>
  <c r="AD61" i="4"/>
  <c r="Z82" i="8" s="1"/>
  <c r="O61" i="4"/>
  <c r="K82" i="8" s="1"/>
  <c r="AB61" i="4"/>
  <c r="X82" i="8" s="1"/>
  <c r="K61" i="4"/>
  <c r="G82" i="8" s="1"/>
  <c r="AJ61" i="4"/>
  <c r="AF82" i="8" s="1"/>
  <c r="I61" i="4"/>
  <c r="E82" i="8" s="1"/>
  <c r="G61" i="4"/>
  <c r="C82" i="8" s="1"/>
  <c r="AL61" i="4"/>
  <c r="AH82" i="8" s="1"/>
  <c r="W61" i="4"/>
  <c r="S82" i="8" s="1"/>
  <c r="AJ63" i="4"/>
  <c r="AF84" i="8" s="1"/>
  <c r="H63" i="4"/>
  <c r="D84" i="8" s="1"/>
  <c r="AG63" i="4"/>
  <c r="AC84" i="8" s="1"/>
  <c r="Z63" i="4"/>
  <c r="V84" i="8" s="1"/>
  <c r="AC63" i="4"/>
  <c r="Y84" i="8" s="1"/>
  <c r="AD63" i="4"/>
  <c r="Z84" i="8" s="1"/>
  <c r="T63" i="4"/>
  <c r="P84" i="8" s="1"/>
  <c r="Q63" i="4"/>
  <c r="M84" i="8" s="1"/>
  <c r="AK63" i="4"/>
  <c r="AG84" i="8" s="1"/>
  <c r="X63" i="4"/>
  <c r="T84" i="8" s="1"/>
  <c r="AF63" i="4"/>
  <c r="AB84" i="8" s="1"/>
  <c r="Y63" i="4"/>
  <c r="U84" i="8" s="1"/>
  <c r="V63" i="4"/>
  <c r="R84" i="8" s="1"/>
  <c r="U63" i="4"/>
  <c r="Q84" i="8" s="1"/>
  <c r="P63" i="4"/>
  <c r="L84" i="8" s="1"/>
  <c r="W63" i="4"/>
  <c r="S84" i="8" s="1"/>
  <c r="AH63" i="4"/>
  <c r="AD84" i="8" s="1"/>
  <c r="AA63" i="4"/>
  <c r="W84" i="8" s="1"/>
  <c r="S63" i="4"/>
  <c r="O84" i="8" s="1"/>
  <c r="R63" i="4"/>
  <c r="N84" i="8" s="1"/>
  <c r="M63" i="4"/>
  <c r="I84" i="8" s="1"/>
  <c r="J63" i="4"/>
  <c r="F84" i="8" s="1"/>
  <c r="AI63" i="4"/>
  <c r="AE84" i="8" s="1"/>
  <c r="K63" i="4"/>
  <c r="G84" i="8" s="1"/>
  <c r="AE63" i="4"/>
  <c r="AA84" i="8" s="1"/>
  <c r="L63" i="4"/>
  <c r="H84" i="8" s="1"/>
  <c r="AB63" i="4"/>
  <c r="X84" i="8" s="1"/>
  <c r="O63" i="4"/>
  <c r="K84" i="8" s="1"/>
  <c r="N63" i="4"/>
  <c r="J84" i="8" s="1"/>
  <c r="G63" i="4"/>
  <c r="C84" i="8" s="1"/>
  <c r="I63" i="4"/>
  <c r="E84" i="8" s="1"/>
  <c r="AL63" i="4"/>
  <c r="AH84" i="8" s="1"/>
  <c r="AG65" i="4"/>
  <c r="AG115" i="4" s="1"/>
  <c r="P65" i="4"/>
  <c r="P115" i="4" s="1"/>
  <c r="AC65" i="4"/>
  <c r="AC115" i="4" s="1"/>
  <c r="AH65" i="4"/>
  <c r="AH115" i="4" s="1"/>
  <c r="AK65" i="4"/>
  <c r="AK115" i="4" s="1"/>
  <c r="AA65" i="4"/>
  <c r="AA115" i="4" s="1"/>
  <c r="H65" i="4"/>
  <c r="H115" i="4" s="1"/>
  <c r="N65" i="4"/>
  <c r="N115" i="4" s="1"/>
  <c r="AD65" i="4"/>
  <c r="AD115" i="4" s="1"/>
  <c r="T65" i="4"/>
  <c r="T115" i="4" s="1"/>
  <c r="Z65" i="4"/>
  <c r="Z115" i="4" s="1"/>
  <c r="K65" i="4"/>
  <c r="K115" i="4" s="1"/>
  <c r="V65" i="4"/>
  <c r="V115" i="4" s="1"/>
  <c r="U65" i="4"/>
  <c r="U115" i="4" s="1"/>
  <c r="Q65" i="4"/>
  <c r="Q115" i="4" s="1"/>
  <c r="AJ65" i="4"/>
  <c r="AJ115" i="4" s="1"/>
  <c r="X65" i="4"/>
  <c r="X115" i="4" s="1"/>
  <c r="AF65" i="4"/>
  <c r="AF115" i="4" s="1"/>
  <c r="Y65" i="4"/>
  <c r="Y115" i="4" s="1"/>
  <c r="AB65" i="4"/>
  <c r="AB115" i="4" s="1"/>
  <c r="I65" i="4"/>
  <c r="I115" i="4" s="1"/>
  <c r="W65" i="4"/>
  <c r="W115" i="4" s="1"/>
  <c r="M65" i="4"/>
  <c r="M115" i="4" s="1"/>
  <c r="G65" i="4"/>
  <c r="G115" i="4" s="1"/>
  <c r="S65" i="4"/>
  <c r="S115" i="4" s="1"/>
  <c r="R65" i="4"/>
  <c r="R115" i="4" s="1"/>
  <c r="J65" i="4"/>
  <c r="J115" i="4" s="1"/>
  <c r="AI65" i="4"/>
  <c r="AI115" i="4" s="1"/>
  <c r="L65" i="4"/>
  <c r="L115" i="4" s="1"/>
  <c r="AL65" i="4"/>
  <c r="AL115" i="4" s="1"/>
  <c r="AE65" i="4"/>
  <c r="AE115" i="4" s="1"/>
  <c r="O65" i="4"/>
  <c r="O115" i="4" s="1"/>
  <c r="AK67" i="4"/>
  <c r="AG88" i="8" s="1"/>
  <c r="X67" i="4"/>
  <c r="T88" i="8" s="1"/>
  <c r="AF67" i="4"/>
  <c r="AB88" i="8" s="1"/>
  <c r="Y67" i="4"/>
  <c r="U88" i="8" s="1"/>
  <c r="T67" i="4"/>
  <c r="P88" i="8" s="1"/>
  <c r="H67" i="4"/>
  <c r="D88" i="8" s="1"/>
  <c r="P67" i="4"/>
  <c r="L88" i="8" s="1"/>
  <c r="AH67" i="4"/>
  <c r="AD88" i="8" s="1"/>
  <c r="AG67" i="4"/>
  <c r="AC88" i="8" s="1"/>
  <c r="AA67" i="4"/>
  <c r="W88" i="8" s="1"/>
  <c r="AC67" i="4"/>
  <c r="Y88" i="8" s="1"/>
  <c r="N67" i="4"/>
  <c r="J88" i="8" s="1"/>
  <c r="AJ67" i="4"/>
  <c r="AF88" i="8" s="1"/>
  <c r="Z67" i="4"/>
  <c r="V88" i="8" s="1"/>
  <c r="V67" i="4"/>
  <c r="R88" i="8" s="1"/>
  <c r="U67" i="4"/>
  <c r="Q88" i="8" s="1"/>
  <c r="AB67" i="4"/>
  <c r="X88" i="8" s="1"/>
  <c r="G67" i="4"/>
  <c r="C88" i="8" s="1"/>
  <c r="O67" i="4"/>
  <c r="K88" i="8" s="1"/>
  <c r="Q67" i="4"/>
  <c r="M88" i="8" s="1"/>
  <c r="I67" i="4"/>
  <c r="E88" i="8" s="1"/>
  <c r="AL67" i="4"/>
  <c r="AH88" i="8" s="1"/>
  <c r="W67" i="4"/>
  <c r="S88" i="8" s="1"/>
  <c r="S67" i="4"/>
  <c r="O88" i="8" s="1"/>
  <c r="AD67" i="4"/>
  <c r="Z88" i="8" s="1"/>
  <c r="R67" i="4"/>
  <c r="N88" i="8" s="1"/>
  <c r="M67" i="4"/>
  <c r="I88" i="8" s="1"/>
  <c r="L67" i="4"/>
  <c r="H88" i="8" s="1"/>
  <c r="J67" i="4"/>
  <c r="F88" i="8" s="1"/>
  <c r="AI67" i="4"/>
  <c r="AE88" i="8" s="1"/>
  <c r="K67" i="4"/>
  <c r="G88" i="8" s="1"/>
  <c r="AE67" i="4"/>
  <c r="AA88" i="8" s="1"/>
  <c r="V69" i="4"/>
  <c r="R90" i="8" s="1"/>
  <c r="U69" i="4"/>
  <c r="Q90" i="8" s="1"/>
  <c r="Q69" i="4"/>
  <c r="M90" i="8" s="1"/>
  <c r="AK69" i="4"/>
  <c r="AG90" i="8" s="1"/>
  <c r="X69" i="4"/>
  <c r="T90" i="8" s="1"/>
  <c r="AF69" i="4"/>
  <c r="AB90" i="8" s="1"/>
  <c r="Y69" i="4"/>
  <c r="U90" i="8" s="1"/>
  <c r="T69" i="4"/>
  <c r="P90" i="8" s="1"/>
  <c r="AH69" i="4"/>
  <c r="AD90" i="8" s="1"/>
  <c r="H69" i="4"/>
  <c r="D90" i="8" s="1"/>
  <c r="P69" i="4"/>
  <c r="L90" i="8" s="1"/>
  <c r="AG69" i="4"/>
  <c r="AC90" i="8" s="1"/>
  <c r="AA69" i="4"/>
  <c r="W90" i="8" s="1"/>
  <c r="Z69" i="4"/>
  <c r="V90" i="8" s="1"/>
  <c r="AC69" i="4"/>
  <c r="Y90" i="8" s="1"/>
  <c r="N69" i="4"/>
  <c r="J90" i="8" s="1"/>
  <c r="AD69" i="4"/>
  <c r="Z90" i="8" s="1"/>
  <c r="AB69" i="4"/>
  <c r="X90" i="8" s="1"/>
  <c r="AI69" i="4"/>
  <c r="AE90" i="8" s="1"/>
  <c r="G69" i="4"/>
  <c r="C90" i="8" s="1"/>
  <c r="AE69" i="4"/>
  <c r="AA90" i="8" s="1"/>
  <c r="K69" i="4"/>
  <c r="G90" i="8" s="1"/>
  <c r="O69" i="4"/>
  <c r="K90" i="8" s="1"/>
  <c r="AJ69" i="4"/>
  <c r="AF90" i="8" s="1"/>
  <c r="I69" i="4"/>
  <c r="E90" i="8" s="1"/>
  <c r="R69" i="4"/>
  <c r="N90" i="8" s="1"/>
  <c r="AL69" i="4"/>
  <c r="AH90" i="8" s="1"/>
  <c r="W69" i="4"/>
  <c r="S90" i="8" s="1"/>
  <c r="L69" i="4"/>
  <c r="H90" i="8" s="1"/>
  <c r="S69" i="4"/>
  <c r="O90" i="8" s="1"/>
  <c r="M69" i="4"/>
  <c r="I90" i="8" s="1"/>
  <c r="J69" i="4"/>
  <c r="F90" i="8" s="1"/>
  <c r="AC71" i="4"/>
  <c r="Y92" i="8" s="1"/>
  <c r="N71" i="4"/>
  <c r="J92" i="8" s="1"/>
  <c r="K71" i="4"/>
  <c r="G92" i="8" s="1"/>
  <c r="AJ71" i="4"/>
  <c r="AF92" i="8" s="1"/>
  <c r="V71" i="4"/>
  <c r="R92" i="8" s="1"/>
  <c r="U71" i="4"/>
  <c r="Q92" i="8" s="1"/>
  <c r="Q71" i="4"/>
  <c r="M92" i="8" s="1"/>
  <c r="AH71" i="4"/>
  <c r="AD92" i="8" s="1"/>
  <c r="AK71" i="4"/>
  <c r="AG92" i="8" s="1"/>
  <c r="X71" i="4"/>
  <c r="T92" i="8" s="1"/>
  <c r="AF71" i="4"/>
  <c r="AB92" i="8" s="1"/>
  <c r="Y71" i="4"/>
  <c r="U92" i="8" s="1"/>
  <c r="T71" i="4"/>
  <c r="P92" i="8" s="1"/>
  <c r="H71" i="4"/>
  <c r="D92" i="8" s="1"/>
  <c r="P71" i="4"/>
  <c r="L92" i="8" s="1"/>
  <c r="AG71" i="4"/>
  <c r="AC92" i="8" s="1"/>
  <c r="L71" i="4"/>
  <c r="H92" i="8" s="1"/>
  <c r="S71" i="4"/>
  <c r="O92" i="8" s="1"/>
  <c r="AD71" i="4"/>
  <c r="Z92" i="8" s="1"/>
  <c r="AL71" i="4"/>
  <c r="AH92" i="8" s="1"/>
  <c r="W71" i="4"/>
  <c r="S92" i="8" s="1"/>
  <c r="J71" i="4"/>
  <c r="F92" i="8" s="1"/>
  <c r="M71" i="4"/>
  <c r="I92" i="8" s="1"/>
  <c r="G71" i="4"/>
  <c r="C92" i="8" s="1"/>
  <c r="AB71" i="4"/>
  <c r="X92" i="8" s="1"/>
  <c r="AI71" i="4"/>
  <c r="AE92" i="8" s="1"/>
  <c r="AA71" i="4"/>
  <c r="W92" i="8" s="1"/>
  <c r="AE71" i="4"/>
  <c r="AA92" i="8" s="1"/>
  <c r="O71" i="4"/>
  <c r="K92" i="8" s="1"/>
  <c r="Z71" i="4"/>
  <c r="V92" i="8" s="1"/>
  <c r="R71" i="4"/>
  <c r="N92" i="8" s="1"/>
  <c r="I71" i="4"/>
  <c r="E92" i="8" s="1"/>
  <c r="H73" i="4"/>
  <c r="D94" i="8" s="1"/>
  <c r="P73" i="4"/>
  <c r="L94" i="8" s="1"/>
  <c r="Z73" i="4"/>
  <c r="V94" i="8" s="1"/>
  <c r="AG73" i="4"/>
  <c r="AC94" i="8" s="1"/>
  <c r="AA73" i="4"/>
  <c r="W94" i="8" s="1"/>
  <c r="AC73" i="4"/>
  <c r="Y94" i="8" s="1"/>
  <c r="N73" i="4"/>
  <c r="J94" i="8" s="1"/>
  <c r="AD73" i="4"/>
  <c r="Z94" i="8" s="1"/>
  <c r="AJ73" i="4"/>
  <c r="AF94" i="8" s="1"/>
  <c r="K73" i="4"/>
  <c r="G94" i="8" s="1"/>
  <c r="V73" i="4"/>
  <c r="R94" i="8" s="1"/>
  <c r="U73" i="4"/>
  <c r="Q94" i="8" s="1"/>
  <c r="Q73" i="4"/>
  <c r="M94" i="8" s="1"/>
  <c r="AH73" i="4"/>
  <c r="AD94" i="8" s="1"/>
  <c r="AK73" i="4"/>
  <c r="AG94" i="8" s="1"/>
  <c r="X73" i="4"/>
  <c r="T94" i="8" s="1"/>
  <c r="AF73" i="4"/>
  <c r="AB94" i="8" s="1"/>
  <c r="R73" i="4"/>
  <c r="N94" i="8" s="1"/>
  <c r="Y73" i="4"/>
  <c r="U94" i="8" s="1"/>
  <c r="I73" i="4"/>
  <c r="E94" i="8" s="1"/>
  <c r="J73" i="4"/>
  <c r="F94" i="8" s="1"/>
  <c r="L73" i="4"/>
  <c r="H94" i="8" s="1"/>
  <c r="S73" i="4"/>
  <c r="O94" i="8" s="1"/>
  <c r="AL73" i="4"/>
  <c r="AH94" i="8" s="1"/>
  <c r="W73" i="4"/>
  <c r="S94" i="8" s="1"/>
  <c r="G73" i="4"/>
  <c r="C94" i="8" s="1"/>
  <c r="M73" i="4"/>
  <c r="I94" i="8" s="1"/>
  <c r="T73" i="4"/>
  <c r="P94" i="8" s="1"/>
  <c r="AB73" i="4"/>
  <c r="X94" i="8" s="1"/>
  <c r="AI73" i="4"/>
  <c r="AE94" i="8" s="1"/>
  <c r="AE73" i="4"/>
  <c r="AA94" i="8" s="1"/>
  <c r="O73" i="4"/>
  <c r="K94" i="8" s="1"/>
  <c r="BA3" i="4"/>
  <c r="E108" i="4"/>
  <c r="A95" i="8"/>
  <c r="E85" i="4"/>
  <c r="A72" i="8"/>
  <c r="E93" i="4"/>
  <c r="A80" i="8"/>
  <c r="E101" i="4"/>
  <c r="A88" i="8"/>
  <c r="E109" i="4"/>
  <c r="A96" i="8"/>
  <c r="E92" i="4"/>
  <c r="A79" i="8"/>
  <c r="E79" i="4"/>
  <c r="E86" i="4"/>
  <c r="A73" i="8"/>
  <c r="E94" i="4"/>
  <c r="A81" i="8"/>
  <c r="E102" i="4"/>
  <c r="A89" i="8"/>
  <c r="E87" i="4"/>
  <c r="A74" i="8"/>
  <c r="E95" i="4"/>
  <c r="A82" i="8"/>
  <c r="E103" i="4"/>
  <c r="A90" i="8"/>
  <c r="E80" i="4"/>
  <c r="A67" i="8"/>
  <c r="E88" i="4"/>
  <c r="A75" i="8"/>
  <c r="E96" i="4"/>
  <c r="A83" i="8"/>
  <c r="E104" i="4"/>
  <c r="A91" i="8"/>
  <c r="E84" i="4"/>
  <c r="A71" i="8"/>
  <c r="E81" i="4"/>
  <c r="A68" i="8"/>
  <c r="E89" i="4"/>
  <c r="A76" i="8"/>
  <c r="E97" i="4"/>
  <c r="A84" i="8"/>
  <c r="E105" i="4"/>
  <c r="A92" i="8"/>
  <c r="E100" i="4"/>
  <c r="A87" i="8"/>
  <c r="E82" i="4"/>
  <c r="A69" i="8"/>
  <c r="E90" i="4"/>
  <c r="A77" i="8"/>
  <c r="E98" i="4"/>
  <c r="A85" i="8"/>
  <c r="E106" i="4"/>
  <c r="A93" i="8"/>
  <c r="E83" i="4"/>
  <c r="A70" i="8"/>
  <c r="E91" i="4"/>
  <c r="A78" i="8"/>
  <c r="E99" i="4"/>
  <c r="A86" i="8"/>
  <c r="E107" i="4"/>
  <c r="A94" i="8"/>
  <c r="A114" i="4"/>
  <c r="A115" i="4" s="1"/>
  <c r="A83" i="4"/>
  <c r="F49" i="4"/>
  <c r="B70" i="8" s="1"/>
  <c r="A87" i="4"/>
  <c r="F53" i="4"/>
  <c r="B74" i="8" s="1"/>
  <c r="A80" i="4"/>
  <c r="F46" i="4"/>
  <c r="A84" i="4"/>
  <c r="F50" i="4"/>
  <c r="A88" i="4"/>
  <c r="F54" i="4"/>
  <c r="A90" i="4"/>
  <c r="F56" i="4"/>
  <c r="A94" i="4"/>
  <c r="F60" i="4"/>
  <c r="B81" i="8" s="1"/>
  <c r="Q81" i="8"/>
  <c r="A82" i="4"/>
  <c r="F48" i="4"/>
  <c r="A86" i="4"/>
  <c r="G73" i="8"/>
  <c r="V73" i="8"/>
  <c r="F52" i="4"/>
  <c r="B73" i="8" s="1"/>
  <c r="A92" i="4"/>
  <c r="F58" i="4"/>
  <c r="B79" i="8" s="1"/>
  <c r="O79" i="8"/>
  <c r="A91" i="4"/>
  <c r="F78" i="8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W91" i="8"/>
  <c r="F70" i="4"/>
  <c r="B91" i="8" s="1"/>
  <c r="A106" i="4"/>
  <c r="F72" i="4"/>
  <c r="B93" i="8" s="1"/>
  <c r="A108" i="4"/>
  <c r="F74" i="4"/>
  <c r="B95" i="8" s="1"/>
  <c r="F59" i="4"/>
  <c r="B80" i="8" s="1"/>
  <c r="F51" i="4"/>
  <c r="A81" i="4"/>
  <c r="A85" i="4"/>
  <c r="A89" i="4"/>
  <c r="A93" i="4"/>
  <c r="A95" i="4"/>
  <c r="F61" i="4"/>
  <c r="B82" i="8" s="1"/>
  <c r="A97" i="4"/>
  <c r="F63" i="4"/>
  <c r="B84" i="8" s="1"/>
  <c r="A99" i="4"/>
  <c r="F65" i="4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S117" i="4" l="1"/>
  <c r="S118" i="4"/>
  <c r="J117" i="4"/>
  <c r="J118" i="4"/>
  <c r="AJ117" i="4"/>
  <c r="AJ118" i="4"/>
  <c r="G117" i="4"/>
  <c r="G118" i="4"/>
  <c r="AF117" i="4"/>
  <c r="AF118" i="4"/>
  <c r="AL117" i="4"/>
  <c r="AL118" i="4"/>
  <c r="N117" i="4"/>
  <c r="N118" i="4"/>
  <c r="AK117" i="4"/>
  <c r="AK118" i="4"/>
  <c r="O117" i="4"/>
  <c r="O118" i="4"/>
  <c r="R117" i="4"/>
  <c r="R118" i="4"/>
  <c r="X117" i="4"/>
  <c r="X118" i="4"/>
  <c r="H117" i="4"/>
  <c r="H118" i="4"/>
  <c r="L118" i="4"/>
  <c r="L117" i="4"/>
  <c r="W117" i="4"/>
  <c r="W118" i="4"/>
  <c r="Q117" i="4"/>
  <c r="Q118" i="4"/>
  <c r="AC117" i="4"/>
  <c r="AC118" i="4"/>
  <c r="P117" i="4"/>
  <c r="P118" i="4"/>
  <c r="M117" i="4"/>
  <c r="M118" i="4"/>
  <c r="U117" i="4"/>
  <c r="U118" i="4"/>
  <c r="V117" i="4"/>
  <c r="V118" i="4"/>
  <c r="AE117" i="4"/>
  <c r="AE118" i="4"/>
  <c r="I117" i="4"/>
  <c r="I118" i="4"/>
  <c r="K117" i="4"/>
  <c r="K118" i="4"/>
  <c r="AA117" i="4"/>
  <c r="AA118" i="4"/>
  <c r="AD117" i="4"/>
  <c r="AD118" i="4"/>
  <c r="AB118" i="4"/>
  <c r="AB117" i="4"/>
  <c r="Z117" i="4"/>
  <c r="Z118" i="4"/>
  <c r="AH117" i="4"/>
  <c r="AH118" i="4"/>
  <c r="AI117" i="4"/>
  <c r="AI118" i="4"/>
  <c r="Y117" i="4"/>
  <c r="Y118" i="4"/>
  <c r="T118" i="4"/>
  <c r="T117" i="4"/>
  <c r="AG117" i="4"/>
  <c r="AG118" i="4"/>
  <c r="I41" i="4"/>
  <c r="AL41" i="4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O41" i="4"/>
  <c r="P41" i="4" l="1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F41" i="4"/>
  <c r="E41" i="4"/>
  <c r="C78" i="4" s="1"/>
  <c r="G80" i="4" l="1"/>
  <c r="O80" i="4"/>
  <c r="W80" i="4"/>
  <c r="AE80" i="4"/>
  <c r="G81" i="4"/>
  <c r="O81" i="4"/>
  <c r="W81" i="4"/>
  <c r="AE81" i="4"/>
  <c r="G82" i="4"/>
  <c r="O82" i="4"/>
  <c r="W82" i="4"/>
  <c r="AE82" i="4"/>
  <c r="G83" i="4"/>
  <c r="O83" i="4"/>
  <c r="W83" i="4"/>
  <c r="AE83" i="4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P82" i="4"/>
  <c r="X82" i="4"/>
  <c r="AF82" i="4"/>
  <c r="H83" i="4"/>
  <c r="P83" i="4"/>
  <c r="X83" i="4"/>
  <c r="AF83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I80" i="4"/>
  <c r="Q80" i="4"/>
  <c r="Y80" i="4"/>
  <c r="AG80" i="4"/>
  <c r="I81" i="4"/>
  <c r="Q81" i="4"/>
  <c r="Y81" i="4"/>
  <c r="AG81" i="4"/>
  <c r="I82" i="4"/>
  <c r="Q82" i="4"/>
  <c r="Y82" i="4"/>
  <c r="AG82" i="4"/>
  <c r="I83" i="4"/>
  <c r="Q83" i="4"/>
  <c r="Y83" i="4"/>
  <c r="AG83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R82" i="4"/>
  <c r="Z82" i="4"/>
  <c r="AH82" i="4"/>
  <c r="J83" i="4"/>
  <c r="R83" i="4"/>
  <c r="Z83" i="4"/>
  <c r="AH83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S82" i="4"/>
  <c r="AA82" i="4"/>
  <c r="AI82" i="4"/>
  <c r="K83" i="4"/>
  <c r="S83" i="4"/>
  <c r="AA83" i="4"/>
  <c r="AI83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L80" i="4"/>
  <c r="T80" i="4"/>
  <c r="AB80" i="4"/>
  <c r="AJ80" i="4"/>
  <c r="L81" i="4"/>
  <c r="T81" i="4"/>
  <c r="AB81" i="4"/>
  <c r="AJ81" i="4"/>
  <c r="L82" i="4"/>
  <c r="T82" i="4"/>
  <c r="AB82" i="4"/>
  <c r="AJ82" i="4"/>
  <c r="L83" i="4"/>
  <c r="T83" i="4"/>
  <c r="AB83" i="4"/>
  <c r="AJ83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M80" i="4"/>
  <c r="M81" i="4"/>
  <c r="M82" i="4"/>
  <c r="M83" i="4"/>
  <c r="M84" i="4"/>
  <c r="M85" i="4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AD100" i="4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83" i="4"/>
  <c r="N84" i="4"/>
  <c r="N85" i="4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AE100" i="4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83" i="4"/>
  <c r="U84" i="4"/>
  <c r="U85" i="4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U100" i="4"/>
  <c r="AG100" i="4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83" i="4"/>
  <c r="V84" i="4"/>
  <c r="V85" i="4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V100" i="4"/>
  <c r="AH100" i="4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Q98" i="4"/>
  <c r="AK98" i="4"/>
  <c r="Q99" i="4"/>
  <c r="AD99" i="4"/>
  <c r="J100" i="4"/>
  <c r="W100" i="4"/>
  <c r="AI100" i="4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84" i="4"/>
  <c r="AL86" i="4"/>
  <c r="AL87" i="4"/>
  <c r="AL90" i="4"/>
  <c r="Y92" i="4"/>
  <c r="AK93" i="4"/>
  <c r="Y94" i="4"/>
  <c r="N97" i="4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AD97" i="4"/>
  <c r="U98" i="4"/>
  <c r="AL98" i="4"/>
  <c r="R99" i="4"/>
  <c r="AE99" i="4"/>
  <c r="M100" i="4"/>
  <c r="Y100" i="4"/>
  <c r="AK100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85" i="4"/>
  <c r="AL88" i="4"/>
  <c r="AK91" i="4"/>
  <c r="N93" i="4"/>
  <c r="N95" i="4"/>
  <c r="AK97" i="4"/>
  <c r="V99" i="4"/>
  <c r="O100" i="4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83" i="4"/>
  <c r="AK84" i="4"/>
  <c r="AK85" i="4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AG97" i="4"/>
  <c r="V98" i="4"/>
  <c r="G99" i="4"/>
  <c r="U99" i="4"/>
  <c r="AG99" i="4"/>
  <c r="N100" i="4"/>
  <c r="Z100" i="4"/>
  <c r="AL100" i="4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F115" i="4" l="1"/>
  <c r="F116" i="4"/>
  <c r="F114" i="4"/>
  <c r="B114" i="4" l="1"/>
  <c r="F117" i="4"/>
  <c r="F118" i="4"/>
  <c r="B115" i="4"/>
  <c r="E122" i="11" l="1" a="1"/>
  <c r="AD127" i="11" s="1"/>
  <c r="B115" i="11"/>
  <c r="B114" i="11"/>
  <c r="F129" i="11" l="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<sst xmlns="http://schemas.openxmlformats.org/spreadsheetml/2006/main" count="122" uniqueCount="44">
  <si>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</si>
  <si>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</si>
  <si>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</si>
  <si>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</si>
  <si>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</si>
  <si>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</si>
  <si>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</si>
  <si>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</si>
  <si>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</si>
  <si>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</si>
  <si>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</si>
  <si>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</si>
  <si>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</si>
  <si>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</si>
  <si>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</si>
  <si>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</si>
  <si>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</si>
  <si>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</si>
  <si>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</si>
  <si>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</si>
  <si>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</si>
  <si>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</si>
  <si>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</si>
  <si>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</si>
  <si>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</si>
  <si>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</si>
  <si>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</si>
  <si>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</si>
  <si>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</si>
  <si>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</si>
  <si>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</si>
  <si>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</si>
  <si>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</si>
  <si>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</si>
  <si>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</si>
  <si>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</si>
  <si>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</si>
  <si>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</si>
  <si>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t>Темп1 Графики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</si>
  <si>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</si>
  <si>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</si>
  <si>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end1</t>
  </si>
  <si>
    <t>start</t>
  </si>
  <si>
    <t>End2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</si>
</sst>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28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</cellStyleXfs>
  <cellXfs count="99">
    <xf numFmtId="0" fontId="0" fillId="0" borderId="0" xfId="0"/>
    <xf numFmtId="0" fontId="8" fillId="7" borderId="33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17" xfId="5" applyBorder="1">
      <alignment horizontal="center" vertical="center"/>
    </xf>
    <xf numFmtId="0" fontId="2" fillId="4" borderId="19" xfId="5" applyBorder="1">
      <alignment horizontal="center" vertical="center"/>
    </xf>
    <xf numFmtId="0" fontId="2" fillId="4" borderId="8" xfId="5" applyBorder="1">
      <alignment horizontal="center" vertical="center"/>
    </xf>
    <xf numFmtId="0" fontId="2" fillId="4" borderId="21" xfId="5" applyBorder="1">
      <alignment horizontal="center" vertical="center"/>
    </xf>
    <xf numFmtId="0" fontId="2" fillId="4" borderId="22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4" xfId="0" applyBorder="1"/>
    <xf numFmtId="0" fontId="0" fillId="0" borderId="0" xfId="0" applyBorder="1"/>
    <xf numFmtId="0" fontId="0" fillId="0" borderId="25" xfId="0" applyBorder="1"/>
    <xf numFmtId="0" fontId="0" fillId="0" borderId="13" xfId="0" applyBorder="1"/>
    <xf numFmtId="0" fontId="0" fillId="0" borderId="26" xfId="0" applyBorder="1"/>
    <xf numFmtId="0" fontId="0" fillId="0" borderId="27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65" fontId="10" fillId="0" borderId="0" xfId="7"/>
    <xf numFmtId="1" fontId="2" fillId="4" borderId="18" xfId="5" applyNumberFormat="1" applyBorder="1">
      <alignment horizontal="center" vertical="center"/>
    </xf>
    <xf numFmtId="1" fontId="2" fillId="4" borderId="20" xfId="5" applyNumberFormat="1" applyBorder="1">
      <alignment horizontal="center" vertical="center"/>
    </xf>
    <xf numFmtId="11" fontId="12" fillId="10" borderId="0" xfId="4" applyNumberFormat="1">
      <alignment vertical="top"/>
    </xf>
    <xf numFmtId="1" fontId="22" fillId="4" borderId="18" xfId="5" applyNumberFormat="1" applyFont="1" applyBorder="1">
      <alignment horizontal="center" vertical="center"/>
    </xf>
    <xf numFmtId="1" fontId="22" fillId="4" borderId="20" xfId="5" applyNumberFormat="1" applyFont="1" applyBorder="1">
      <alignment horizontal="center" vertical="center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1" fontId="0" fillId="0" borderId="27" xfId="0" applyNumberFormat="1" applyBorder="1"/>
    <xf numFmtId="0" fontId="8" fillId="7" borderId="4" xfId="2" applyNumberFormat="1" applyBorder="1">
      <alignment horizontal="left" vertical="center"/>
    </xf>
    <xf numFmtId="0" fontId="8" fillId="7" borderId="31" xfId="2" applyNumberFormat="1" applyBorder="1">
      <alignment horizontal="left" vertical="center"/>
    </xf>
    <xf numFmtId="1" fontId="8" fillId="7" borderId="31" xfId="2" applyBorder="1">
      <alignment horizontal="left" vertical="center"/>
    </xf>
    <xf numFmtId="0" fontId="8" fillId="7" borderId="32" xfId="2" applyNumberFormat="1" applyBorder="1">
      <alignment horizontal="left" vertical="center"/>
    </xf>
    <xf numFmtId="0" fontId="8" fillId="7" borderId="2" xfId="2" applyNumberFormat="1" applyBorder="1">
      <alignment horizontal="left" vertical="center"/>
    </xf>
    <xf numFmtId="1" fontId="8" fillId="7" borderId="32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30" xfId="0" applyBorder="1"/>
    <xf numFmtId="1" fontId="8" fillId="7" borderId="33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4" xfId="0" applyFont="1" applyFill="1" applyBorder="1"/>
    <xf numFmtId="0" fontId="6" fillId="9" borderId="0" xfId="0" applyFont="1" applyFill="1" applyBorder="1"/>
    <xf numFmtId="0" fontId="6" fillId="9" borderId="30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23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4" xfId="3" applyBorder="1" applyAlignment="1">
      <alignment horizontal="right" vertical="center"/>
    </xf>
    <xf numFmtId="11" fontId="0" fillId="0" borderId="0" xfId="0" applyNumberFormat="1"/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2" fillId="4" borderId="15" xfId="5" applyBorder="1">
      <alignment horizontal="center" vertical="center"/>
    </xf>
    <xf numFmtId="0" fontId="2" fillId="4" borderId="16" xfId="5" applyBorder="1">
      <alignment horizontal="center" vertical="center"/>
    </xf>
    <xf numFmtId="0" fontId="1" fillId="13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8">
    <cellStyle name="Ввод" xfId="6" xr:uid="{A9A7DDE3-643E-4013-945F-2DCD94967680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4" xr:uid="{810E17FE-2F7B-4E62-B173-29B9F2A26C86}"/>
  </cellStyles>
  <dxfs count="10"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ALL!$F$126:$AL$126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ALL!$B$114:$B$115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74B-47E8-A19D-44B695C09DB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FLUID!$F$4:$AL$4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F8F-421C-B882-6FC6CED20D0E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FLUID!$B$114:$B$115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FLUID!$F$14:$AL$14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3-4D01-BEA3-739B2EC62692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306868728779E-2"/>
          <c:y val="9.1025205494441E-2"/>
          <c:w val="0.91684723746973973"/>
          <c:h val="0.80534181504717084"/>
        </c:manualLayout>
      </c:layout>
      <c:scatterChart>
        <c:scatterStyle val="lineMarker"/>
        <c:varyColors val="0"/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29"/>
          <c:order val="29"/>
          <c:tx>
            <c:v>temp</c:v>
          </c:tx>
          <c:spPr>
            <a:ln w="19050" cap="rnd" cmpd="sng" algn="ctr">
              <a:solidFill>
                <a:sysClr val="windowText" lastClr="000000">
                  <a:lumMod val="95000"/>
                  <a:lumOff val="5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 cmpd="sng" algn="ctr">
                <a:solidFill>
                  <a:sysClr val="windowText" lastClr="000000">
                    <a:lumMod val="95000"/>
                    <a:lumOff val="5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E1-40A6-A933-2A862B83ED7D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2E1-40A6-A933-2A862B83ED7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E1-40A6-A933-2A862B83ED7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E1-40A6-A933-2A862B83ED7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D2E1-40A6-A933-2A862B83ED7D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E1-40A6-A933-2A862B83ED7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2E1-40A6-A933-2A862B83ED7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2E1-40A6-A933-2A862B83ED7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2E1-40A6-A933-2A862B83ED7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2E1-40A6-A933-2A862B83ED7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2E1-40A6-A933-2A862B83ED7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2E1-40A6-A933-2A862B83ED7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2E1-40A6-A933-2A862B83ED7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2E1-40A6-A933-2A862B83ED7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2E1-40A6-A933-2A862B83ED7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2E1-40A6-A933-2A862B83ED7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2E1-40A6-A933-2A862B83ED7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2E1-40A6-A933-2A862B83ED7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2E1-40A6-A933-2A862B83ED7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2E1-40A6-A933-2A862B83ED7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2E1-40A6-A933-2A862B83ED7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2E1-40A6-A933-2A862B83ED7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2E1-40A6-A933-2A862B83ED7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2E1-40A6-A933-2A862B83ED7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2E1-40A6-A933-2A862B83ED7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2E1-40A6-A933-2A862B83ED7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2E1-40A6-A933-2A862B83ED7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2E1-40A6-A933-2A862B83ED7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SOLID!$B$114:$B$115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B8-4099-89EB-409D78398715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7C9-4F8E-93A1-524E66C52F6C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7C9-4F8E-93A1-524E66C52F6C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7C9-4F8E-93A1-524E66C52F6C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7C9-4F8E-93A1-524E66C52F6C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4-A7C9-4F8E-93A1-524E66C52F6C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7C9-4F8E-93A1-524E66C52F6C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SOLID!$F$11:$AL$11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7C9-4F8E-93A1-524E66C52F6C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7C9-4F8E-93A1-524E66C52F6C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7C9-4F8E-93A1-524E66C52F6C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SOLID!$F$14:$AL$14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7C9-4F8E-93A1-524E66C52F6C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SOLID!$F$15:$AL$15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7C9-4F8E-93A1-524E66C52F6C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SOLID!$F$16:$AL$16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7C9-4F8E-93A1-524E66C52F6C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SOLID!$F$17:$AL$17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7C9-4F8E-93A1-524E66C52F6C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SOLID!$F$18:$AL$18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7C9-4F8E-93A1-524E66C52F6C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7C9-4F8E-93A1-524E66C52F6C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7C9-4F8E-93A1-524E66C5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1-A7C9-4F8E-93A1-524E66C52F6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7C9-4F8E-93A1-524E66C52F6C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7C9-4F8E-93A1-524E66C52F6C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7C9-4F8E-93A1-524E66C52F6C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7C9-4F8E-93A1-524E66C52F6C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7C9-4F8E-93A1-524E66C52F6C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7C9-4F8E-93A1-524E66C52F6C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7C9-4F8E-93A1-524E66C52F6C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7C9-4F8E-93A1-524E66C52F6C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7C9-4F8E-93A1-524E66C52F6C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7C9-4F8E-93A1-524E66C52F6C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7C9-4F8E-93A1-524E66C52F6C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7C9-4F8E-93A1-524E66C52F6C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7C9-4F8E-93A1-524E66C52F6C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7C9-4F8E-93A1-524E66C52F6C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7C9-4F8E-93A1-524E66C52F6C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EVALUATION!$A$101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EVALUATION!$B$101:$AH$101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9"/>
          <c:order val="1"/>
          <c:tx>
            <c:strRef>
              <c:f>EVALUATION!$A$102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EVALUATION!$B$102:$AH$102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1EF-44BA-AAAA-9AD66152902A}"/>
            </c:ext>
          </c:extLst>
        </c:ser>
        <c:ser>
          <c:idx val="54"/>
          <c:order val="2"/>
          <c:tx>
            <c:strRef>
              <c:f>EVALUATION!$A$103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11EF-44BA-AAAA-9AD66152902A}"/>
              </c:ext>
            </c:extLst>
          </c:dPt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EVALUATION!$B$103:$AH$103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1EF-44BA-AAAA-9AD66152902A}"/>
            </c:ext>
          </c:extLst>
        </c:ser>
        <c:ser>
          <c:idx val="1"/>
          <c:order val="3"/>
          <c:tx>
            <c:strRef>
              <c:f>EVALUATION!$A$104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EVALUATION!$B$104:$AH$104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1EF-44BA-AAAA-9AD66152902A}"/>
            </c:ext>
          </c:extLst>
        </c:ser>
        <c:ser>
          <c:idx val="2"/>
          <c:order val="4"/>
          <c:tx>
            <c:strRef>
              <c:f>EVALUATION!$A$105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EVALUATION!$B$105:$AH$105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1EF-44BA-AAAA-9AD66152902A}"/>
            </c:ext>
          </c:extLst>
        </c:ser>
        <c:ser>
          <c:idx val="3"/>
          <c:order val="5"/>
          <c:tx>
            <c:strRef>
              <c:f>EVALUATION!$A$106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EVALUATION!$B$106:$AH$106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1EF-44BA-AAAA-9AD66152902A}"/>
            </c:ext>
          </c:extLst>
        </c:ser>
        <c:ser>
          <c:idx val="4"/>
          <c:order val="6"/>
          <c:tx>
            <c:strRef>
              <c:f>EVALUATION!$A$107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EVALUATION!$B$107:$AH$107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1EF-44BA-AAAA-9AD66152902A}"/>
            </c:ext>
          </c:extLst>
        </c:ser>
        <c:ser>
          <c:idx val="5"/>
          <c:order val="7"/>
          <c:tx>
            <c:strRef>
              <c:f>EVALUATION!$A$108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EVALUATION!$B$108:$AH$108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1EF-44BA-AAAA-9AD66152902A}"/>
            </c:ext>
          </c:extLst>
        </c:ser>
        <c:ser>
          <c:idx val="6"/>
          <c:order val="8"/>
          <c:tx>
            <c:strRef>
              <c:f>EVALUATION!$A$109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EVALUATION!$B$109:$AH$109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1EF-44BA-AAAA-9AD66152902A}"/>
            </c:ext>
          </c:extLst>
        </c:ser>
        <c:ser>
          <c:idx val="7"/>
          <c:order val="9"/>
          <c:tx>
            <c:strRef>
              <c:f>EVALUATION!$A$110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EVALUATION!$B$110:$AH$110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1EF-44BA-AAAA-9AD66152902A}"/>
            </c:ext>
          </c:extLst>
        </c:ser>
        <c:ser>
          <c:idx val="8"/>
          <c:order val="10"/>
          <c:tx>
            <c:strRef>
              <c:f>EVALUATION!$A$111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EVALUATION!$B$111:$AH$111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1EF-44BA-AAAA-9AD66152902A}"/>
            </c:ext>
          </c:extLst>
        </c:ser>
        <c:ser>
          <c:idx val="9"/>
          <c:order val="11"/>
          <c:tx>
            <c:strRef>
              <c:f>EVALUATION!$A$112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EVALUATION!$B$112:$AH$112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1EF-44BA-AAAA-9AD66152902A}"/>
            </c:ext>
          </c:extLst>
        </c:ser>
        <c:ser>
          <c:idx val="10"/>
          <c:order val="12"/>
          <c:tx>
            <c:strRef>
              <c:f>EVALUATION!$A$113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EVALUATION!$B$113:$AH$113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1EF-44BA-AAAA-9AD66152902A}"/>
            </c:ext>
          </c:extLst>
        </c:ser>
        <c:ser>
          <c:idx val="11"/>
          <c:order val="13"/>
          <c:tx>
            <c:strRef>
              <c:f>EVALUATION!$A$114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EVALUATION!$B$114:$AH$114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1EF-44BA-AAAA-9AD66152902A}"/>
            </c:ext>
          </c:extLst>
        </c:ser>
        <c:ser>
          <c:idx val="12"/>
          <c:order val="14"/>
          <c:tx>
            <c:strRef>
              <c:f>EVALUATION!$A$115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EVALUATION!$B$115:$AH$115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1EF-44BA-AAAA-9AD66152902A}"/>
            </c:ext>
          </c:extLst>
        </c:ser>
        <c:ser>
          <c:idx val="13"/>
          <c:order val="15"/>
          <c:tx>
            <c:strRef>
              <c:f>EVALUATION!$A$116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EVALUATION!$B$116:$AH$116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1EF-44BA-AAAA-9AD66152902A}"/>
            </c:ext>
          </c:extLst>
        </c:ser>
        <c:ser>
          <c:idx val="14"/>
          <c:order val="16"/>
          <c:tx>
            <c:strRef>
              <c:f>EVALUATION!$A$117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EVALUATION!$B$117:$AH$117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1EF-44BA-AAAA-9AD66152902A}"/>
            </c:ext>
          </c:extLst>
        </c:ser>
        <c:ser>
          <c:idx val="15"/>
          <c:order val="17"/>
          <c:tx>
            <c:strRef>
              <c:f>EVALUATION!$A$118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EVALUATION!$B$118:$AH$118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1EF-44BA-AAAA-9AD66152902A}"/>
            </c:ext>
          </c:extLst>
        </c:ser>
        <c:ser>
          <c:idx val="16"/>
          <c:order val="18"/>
          <c:tx>
            <c:strRef>
              <c:f>EVALUATION!$A$119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EVALUATION!$B$119:$AH$119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1EF-44BA-AAAA-9AD66152902A}"/>
            </c:ext>
          </c:extLst>
        </c:ser>
        <c:ser>
          <c:idx val="17"/>
          <c:order val="19"/>
          <c:tx>
            <c:strRef>
              <c:f>EVALUATION!$A$120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EVALUATION!$B$120:$AH$120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1EF-44BA-AAAA-9AD66152902A}"/>
            </c:ext>
          </c:extLst>
        </c:ser>
        <c:ser>
          <c:idx val="18"/>
          <c:order val="20"/>
          <c:tx>
            <c:strRef>
              <c:f>EVALUATION!$A$121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EVALUATION!$B$121:$AH$121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1EF-44BA-AAAA-9AD66152902A}"/>
            </c:ext>
          </c:extLst>
        </c:ser>
        <c:ser>
          <c:idx val="19"/>
          <c:order val="21"/>
          <c:tx>
            <c:strRef>
              <c:f>EVALUATION!$A$122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EVALUATION!$B$122:$AH$122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1EF-44BA-AAAA-9AD66152902A}"/>
            </c:ext>
          </c:extLst>
        </c:ser>
        <c:ser>
          <c:idx val="20"/>
          <c:order val="22"/>
          <c:tx>
            <c:strRef>
              <c:f>EVALUATION!$A$123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EVALUATION!$B$123:$AH$123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1EF-44BA-AAAA-9AD66152902A}"/>
            </c:ext>
          </c:extLst>
        </c:ser>
        <c:ser>
          <c:idx val="21"/>
          <c:order val="23"/>
          <c:tx>
            <c:strRef>
              <c:f>EVALUATION!$A$124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EVALUATION!$B$124:$AH$124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1EF-44BA-AAAA-9AD66152902A}"/>
            </c:ext>
          </c:extLst>
        </c:ser>
        <c:ser>
          <c:idx val="22"/>
          <c:order val="24"/>
          <c:tx>
            <c:strRef>
              <c:f>EVALUATION!$A$125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EVALUATION!$B$125:$AH$125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1EF-44BA-AAAA-9AD66152902A}"/>
            </c:ext>
          </c:extLst>
        </c:ser>
        <c:ser>
          <c:idx val="23"/>
          <c:order val="25"/>
          <c:tx>
            <c:strRef>
              <c:f>EVALUATION!$A$126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EVALUATION!$B$126:$AH$126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1EF-44BA-AAAA-9AD66152902A}"/>
            </c:ext>
          </c:extLst>
        </c:ser>
        <c:ser>
          <c:idx val="24"/>
          <c:order val="26"/>
          <c:tx>
            <c:strRef>
              <c:f>EVALUATION!$A$127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EVALUATION!$B$127:$AH$127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1EF-44BA-AAAA-9AD66152902A}"/>
            </c:ext>
          </c:extLst>
        </c:ser>
        <c:ser>
          <c:idx val="25"/>
          <c:order val="27"/>
          <c:tx>
            <c:strRef>
              <c:f>EVALUATION!$A$128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EVALUATION!$B$128:$AH$128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1EF-44BA-AAAA-9AD66152902A}"/>
            </c:ext>
          </c:extLst>
        </c:ser>
        <c:ser>
          <c:idx val="26"/>
          <c:order val="28"/>
          <c:tx>
            <c:strRef>
              <c:f>EVALUATION!$A$129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EVALUATION!$B$129:$AH$129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1EF-44BA-AAAA-9AD66152902A}"/>
            </c:ext>
          </c:extLst>
        </c:ser>
        <c:ser>
          <c:idx val="27"/>
          <c:order val="29"/>
          <c:tx>
            <c:strRef>
              <c:f>EVALUATION!$A$130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EVALUATION!$B$130:$AH$130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32" formatCode="General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1EF-44BA-AAAA-9AD66152902A}"/>
            </c:ext>
          </c:extLst>
        </c:ser>
        <c:ser>
          <c:idx val="28"/>
          <c:order val="30"/>
          <c:tx>
            <c:strRef>
              <c:f>EVALUATION!$A$131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EVALUATION!$B$131:$AH$131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1EF-44BA-AAAA-9AD66152902A}"/>
            </c:ext>
          </c:extLst>
        </c:ser>
        <c:ser>
          <c:idx val="29"/>
          <c:order val="31"/>
          <c:tx>
            <c:strRef>
              <c:f>EVALUATION!$A$132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EVALUATION!$B$132:$AH$132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1EF-44BA-AAAA-9AD66152902A}"/>
            </c:ext>
          </c:extLst>
        </c:ser>
        <c:ser>
          <c:idx val="30"/>
          <c:order val="32"/>
          <c:tx>
            <c:strRef>
              <c:f>EVALUATION!$A$133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EVALUATION!$B$133:$AH$133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1EF-44BA-AAAA-9AD66152902A}"/>
            </c:ext>
          </c:extLst>
        </c:ser>
        <c:ser>
          <c:idx val="31"/>
          <c:order val="33"/>
          <c:tx>
            <c:strRef>
              <c:f>EVALUATION!$A$134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EVALUATION!$B$134:$AH$134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1EF-44BA-AAAA-9AD66152902A}"/>
            </c:ext>
          </c:extLst>
        </c:ser>
        <c:ser>
          <c:idx val="32"/>
          <c:order val="34"/>
          <c:tx>
            <c:strRef>
              <c:f>EVALUATION!$A$135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EVALUATION!$B$135:$AH$135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1EF-44BA-AAAA-9AD66152902A}"/>
            </c:ext>
          </c:extLst>
        </c:ser>
        <c:ser>
          <c:idx val="33"/>
          <c:order val="35"/>
          <c:tx>
            <c:strRef>
              <c:f>EVALUATION!$A$136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EVALUATION!$B$136:$AH$136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1EF-44BA-AAAA-9AD66152902A}"/>
            </c:ext>
          </c:extLst>
        </c:ser>
        <c:ser>
          <c:idx val="34"/>
          <c:order val="36"/>
          <c:tx>
            <c:strRef>
              <c:f>EVALUATION!$A$137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EVALUATION!$B$137:$AH$137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11EF-44BA-AAAA-9AD66152902A}"/>
            </c:ext>
          </c:extLst>
        </c:ser>
        <c:ser>
          <c:idx val="35"/>
          <c:order val="37"/>
          <c:tx>
            <c:strRef>
              <c:f>EVALUATION!$A$138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EVALUATION!$B$138:$AH$138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1EF-44BA-AAAA-9AD66152902A}"/>
            </c:ext>
          </c:extLst>
        </c:ser>
        <c:ser>
          <c:idx val="36"/>
          <c:order val="38"/>
          <c:tx>
            <c:strRef>
              <c:f>EVALUATION!$A$139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EVALUATION!$B$139:$AH$139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1EF-44BA-AAAA-9AD66152902A}"/>
            </c:ext>
          </c:extLst>
        </c:ser>
        <c:ser>
          <c:idx val="37"/>
          <c:order val="39"/>
          <c:tx>
            <c:strRef>
              <c:f>EVALUATION!$A$140</c:f>
              <c:strCache>
                <c:ptCount val="1"/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EVALUATION!$B$140:$AH$140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38"/>
          <c:order val="40"/>
          <c:tx>
            <c:strRef>
              <c:f>EVALUATION!$A$141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EVALUATION!$B$141:$AH$141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1EF-44BA-AAAA-9AD66152902A}"/>
            </c:ext>
          </c:extLst>
        </c:ser>
        <c:ser>
          <c:idx val="40"/>
          <c:order val="41"/>
          <c:tx>
            <c:strRef>
              <c:f>EVALUATION!$A$142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EVALUATION!$B$142:$AH$142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1EF-44BA-AAAA-9AD66152902A}"/>
            </c:ext>
          </c:extLst>
        </c:ser>
        <c:ser>
          <c:idx val="41"/>
          <c:order val="42"/>
          <c:tx>
            <c:strRef>
              <c:f>EVALUATION!$A$143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EVALUATION!$B$143:$AH$143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1EF-44BA-AAAA-9AD66152902A}"/>
            </c:ext>
          </c:extLst>
        </c:ser>
        <c:ser>
          <c:idx val="42"/>
          <c:order val="43"/>
          <c:tx>
            <c:strRef>
              <c:f>EVALUATION!$A$144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EVALUATION!$B$144:$AH$144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1EF-44BA-AAAA-9AD66152902A}"/>
            </c:ext>
          </c:extLst>
        </c:ser>
        <c:ser>
          <c:idx val="43"/>
          <c:order val="44"/>
          <c:tx>
            <c:strRef>
              <c:f>EVALUATION!$A$145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EVALUATION!$B$145:$AH$145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1EF-44BA-AAAA-9AD66152902A}"/>
            </c:ext>
          </c:extLst>
        </c:ser>
        <c:ser>
          <c:idx val="44"/>
          <c:order val="45"/>
          <c:tx>
            <c:strRef>
              <c:f>EVALUATION!$A$146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EVALUATION!$B$146:$AH$146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1EF-44BA-AAAA-9AD66152902A}"/>
            </c:ext>
          </c:extLst>
        </c:ser>
        <c:ser>
          <c:idx val="45"/>
          <c:order val="46"/>
          <c:tx>
            <c:strRef>
              <c:f>EVALUATION!$A$147</c:f>
              <c:strCache>
                <c:ptCount val="1"/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EVALUATION!$B$147:$AH$147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1EF-44BA-AAAA-9AD66152902A}"/>
            </c:ext>
          </c:extLst>
        </c:ser>
        <c:ser>
          <c:idx val="46"/>
          <c:order val="47"/>
          <c:tx>
            <c:strRef>
              <c:f>EVALUATION!$A$148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EVALUATION!$B$148:$AH$148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1EF-44BA-AAAA-9AD66152902A}"/>
            </c:ext>
          </c:extLst>
        </c:ser>
        <c:ser>
          <c:idx val="47"/>
          <c:order val="48"/>
          <c:tx>
            <c:strRef>
              <c:f>EVALUATION!$A$149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EVALUATION!$B$149:$AH$149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1EF-44BA-AAAA-9AD66152902A}"/>
            </c:ext>
          </c:extLst>
        </c:ser>
        <c:ser>
          <c:idx val="48"/>
          <c:order val="49"/>
          <c:tx>
            <c:strRef>
              <c:f>EVALUATION!$A$150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EVALUATION!$B$150:$AH$150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1EF-44BA-AAAA-9AD66152902A}"/>
            </c:ext>
          </c:extLst>
        </c:ser>
        <c:ser>
          <c:idx val="49"/>
          <c:order val="50"/>
          <c:tx>
            <c:strRef>
              <c:f>EVALUATION!$A$151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EVALUATION!$B$151:$AH$151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1EF-44BA-AAAA-9AD66152902A}"/>
            </c:ext>
          </c:extLst>
        </c:ser>
        <c:ser>
          <c:idx val="50"/>
          <c:order val="51"/>
          <c:tx>
            <c:strRef>
              <c:f>EVALUATION!$A$152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EVALUATION!$B$152:$AH$152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11EF-44BA-AAAA-9AD66152902A}"/>
            </c:ext>
          </c:extLst>
        </c:ser>
        <c:ser>
          <c:idx val="51"/>
          <c:order val="52"/>
          <c:tx>
            <c:strRef>
              <c:f>EVALUATION!$A$153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EVALUATION!$B$153:$AH$153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11EF-44BA-AAAA-9AD66152902A}"/>
            </c:ext>
          </c:extLst>
        </c:ser>
        <c:ser>
          <c:idx val="52"/>
          <c:order val="53"/>
          <c:tx>
            <c:strRef>
              <c:f>EVALUATION!$A$154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EVALUATION!$B$154:$AH$154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11EF-44BA-AAAA-9AD66152902A}"/>
            </c:ext>
          </c:extLst>
        </c:ser>
        <c:ser>
          <c:idx val="53"/>
          <c:order val="54"/>
          <c:tx>
            <c:strRef>
              <c:f>EVALUATION!$A$155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EVALUATION!$B$155:$AH$155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ser>
          <c:idx val="55"/>
          <c:order val="55"/>
          <c:tx>
            <c:strRef>
              <c:f>EVALUATION!$A$156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EVALUATION!$B$156:$AH$156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EC-4FB3-B49F-FC7DFD03B3C7}"/>
            </c:ext>
          </c:extLst>
        </c:ser>
        <c:ser>
          <c:idx val="56"/>
          <c:order val="56"/>
          <c:tx>
            <c:strRef>
              <c:f>EVALUATION!$A$157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EVALUATION!$B$157:$AH$157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EC-4FB3-B49F-FC7DFD03B3C7}"/>
            </c:ext>
          </c:extLst>
        </c:ser>
        <c:ser>
          <c:idx val="57"/>
          <c:order val="57"/>
          <c:tx>
            <c:strRef>
              <c:f>EVALUATION!$A$158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EVALUATION!$B$158:$AH$158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EC-4FB3-B49F-FC7DFD03B3C7}"/>
            </c:ext>
          </c:extLst>
        </c:ser>
        <c:ser>
          <c:idx val="58"/>
          <c:order val="58"/>
          <c:tx>
            <c:strRef>
              <c:f>EVALUATION!$A$159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EVALUATION!$B$159:$AH$159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9EC-4FB3-B49F-FC7DFD03B3C7}"/>
            </c:ext>
          </c:extLst>
        </c:ser>
        <c:ser>
          <c:idx val="59"/>
          <c:order val="59"/>
          <c:tx>
            <c:strRef>
              <c:f>EVALUATION!$A$160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EVALUATION!$B$160:$AH$160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9EC-4FB3-B49F-FC7DFD03B3C7}"/>
            </c:ext>
          </c:extLst>
        </c:ser>
        <c:ser>
          <c:idx val="60"/>
          <c:order val="60"/>
          <c:tx>
            <c:strRef>
              <c:f>EVALUATION!$A$161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EVALUATION!$B$161:$AH$161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9EC-4FB3-B49F-FC7DFD03B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EVALUATION!$A$101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EVALUATION!$B$101:$AH$101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5EF-46D6-A94F-2517E60135C4}"/>
            </c:ext>
          </c:extLst>
        </c:ser>
        <c:ser>
          <c:idx val="39"/>
          <c:order val="1"/>
          <c:tx>
            <c:strRef>
              <c:f>EVALUATION!$A$102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EVALUATION!$B$102:$AH$102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5EF-46D6-A94F-2517E60135C4}"/>
            </c:ext>
          </c:extLst>
        </c:ser>
        <c:ser>
          <c:idx val="54"/>
          <c:order val="2"/>
          <c:tx>
            <c:strRef>
              <c:f>EVALUATION!$A$103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5EF-46D6-A94F-2517E60135C4}"/>
              </c:ext>
            </c:extLst>
          </c:dPt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EVALUATION!$B$103:$AH$103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5EF-46D6-A94F-2517E60135C4}"/>
            </c:ext>
          </c:extLst>
        </c:ser>
        <c:ser>
          <c:idx val="1"/>
          <c:order val="3"/>
          <c:tx>
            <c:strRef>
              <c:f>EVALUATION!$A$104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EVALUATION!$B$104:$AH$104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2"/>
          <c:order val="4"/>
          <c:tx>
            <c:strRef>
              <c:f>EVALUATION!$A$105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EVALUATION!$B$105:$AH$105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5EF-46D6-A94F-2517E60135C4}"/>
            </c:ext>
          </c:extLst>
        </c:ser>
        <c:ser>
          <c:idx val="3"/>
          <c:order val="5"/>
          <c:tx>
            <c:strRef>
              <c:f>EVALUATION!$A$106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EVALUATION!$B$106:$AH$106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5EF-46D6-A94F-2517E60135C4}"/>
            </c:ext>
          </c:extLst>
        </c:ser>
        <c:ser>
          <c:idx val="4"/>
          <c:order val="6"/>
          <c:tx>
            <c:strRef>
              <c:f>EVALUATION!$A$107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EVALUATION!$B$107:$AH$107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5EF-46D6-A94F-2517E60135C4}"/>
            </c:ext>
          </c:extLst>
        </c:ser>
        <c:ser>
          <c:idx val="5"/>
          <c:order val="7"/>
          <c:tx>
            <c:strRef>
              <c:f>EVALUATION!$A$108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EVALUATION!$B$108:$AH$108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5EF-46D6-A94F-2517E60135C4}"/>
            </c:ext>
          </c:extLst>
        </c:ser>
        <c:ser>
          <c:idx val="6"/>
          <c:order val="8"/>
          <c:tx>
            <c:strRef>
              <c:f>EVALUATION!$A$109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EVALUATION!$B$109:$AH$109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5EF-46D6-A94F-2517E60135C4}"/>
            </c:ext>
          </c:extLst>
        </c:ser>
        <c:ser>
          <c:idx val="7"/>
          <c:order val="9"/>
          <c:tx>
            <c:strRef>
              <c:f>EVALUATION!$A$110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EVALUATION!$B$110:$AH$110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5EF-46D6-A94F-2517E60135C4}"/>
            </c:ext>
          </c:extLst>
        </c:ser>
        <c:ser>
          <c:idx val="8"/>
          <c:order val="10"/>
          <c:tx>
            <c:strRef>
              <c:f>EVALUATION!$A$111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EVALUATION!$B$111:$AH$111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5EF-46D6-A94F-2517E60135C4}"/>
            </c:ext>
          </c:extLst>
        </c:ser>
        <c:ser>
          <c:idx val="9"/>
          <c:order val="11"/>
          <c:tx>
            <c:strRef>
              <c:f>EVALUATION!$A$112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EVALUATION!$B$112:$AH$112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5EF-46D6-A94F-2517E60135C4}"/>
            </c:ext>
          </c:extLst>
        </c:ser>
        <c:ser>
          <c:idx val="10"/>
          <c:order val="12"/>
          <c:tx>
            <c:strRef>
              <c:f>EVALUATION!$A$113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EVALUATION!$B$113:$AH$113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5EF-46D6-A94F-2517E60135C4}"/>
            </c:ext>
          </c:extLst>
        </c:ser>
        <c:ser>
          <c:idx val="11"/>
          <c:order val="13"/>
          <c:tx>
            <c:strRef>
              <c:f>EVALUATION!$A$114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EVALUATION!$B$114:$AH$114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5EF-46D6-A94F-2517E60135C4}"/>
            </c:ext>
          </c:extLst>
        </c:ser>
        <c:ser>
          <c:idx val="12"/>
          <c:order val="14"/>
          <c:tx>
            <c:strRef>
              <c:f>EVALUATION!$A$115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EVALUATION!$B$115:$AH$115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5EF-46D6-A94F-2517E60135C4}"/>
            </c:ext>
          </c:extLst>
        </c:ser>
        <c:ser>
          <c:idx val="13"/>
          <c:order val="15"/>
          <c:tx>
            <c:strRef>
              <c:f>EVALUATION!$A$116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EVALUATION!$B$116:$AH$116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5EF-46D6-A94F-2517E60135C4}"/>
            </c:ext>
          </c:extLst>
        </c:ser>
        <c:ser>
          <c:idx val="14"/>
          <c:order val="16"/>
          <c:tx>
            <c:strRef>
              <c:f>EVALUATION!$A$117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EVALUATION!$B$117:$AH$117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5EF-46D6-A94F-2517E60135C4}"/>
            </c:ext>
          </c:extLst>
        </c:ser>
        <c:ser>
          <c:idx val="15"/>
          <c:order val="17"/>
          <c:tx>
            <c:strRef>
              <c:f>EVALUATION!$A$118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EVALUATION!$B$118:$AH$118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5EF-46D6-A94F-2517E60135C4}"/>
            </c:ext>
          </c:extLst>
        </c:ser>
        <c:ser>
          <c:idx val="16"/>
          <c:order val="18"/>
          <c:tx>
            <c:strRef>
              <c:f>EVALUATION!$A$119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EVALUATION!$B$119:$AH$119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5EF-46D6-A94F-2517E60135C4}"/>
            </c:ext>
          </c:extLst>
        </c:ser>
        <c:ser>
          <c:idx val="17"/>
          <c:order val="19"/>
          <c:tx>
            <c:strRef>
              <c:f>EVALUATION!$A$120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EVALUATION!$B$120:$AH$120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5EF-46D6-A94F-2517E60135C4}"/>
            </c:ext>
          </c:extLst>
        </c:ser>
        <c:ser>
          <c:idx val="18"/>
          <c:order val="20"/>
          <c:tx>
            <c:strRef>
              <c:f>EVALUATION!$A$121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EVALUATION!$B$121:$AH$121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5EF-46D6-A94F-2517E60135C4}"/>
            </c:ext>
          </c:extLst>
        </c:ser>
        <c:ser>
          <c:idx val="19"/>
          <c:order val="21"/>
          <c:tx>
            <c:strRef>
              <c:f>EVALUATION!$A$122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EVALUATION!$B$122:$AH$122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5EF-46D6-A94F-2517E60135C4}"/>
            </c:ext>
          </c:extLst>
        </c:ser>
        <c:ser>
          <c:idx val="20"/>
          <c:order val="22"/>
          <c:tx>
            <c:strRef>
              <c:f>EVALUATION!$A$123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EVALUATION!$B$123:$AH$123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5EF-46D6-A94F-2517E60135C4}"/>
            </c:ext>
          </c:extLst>
        </c:ser>
        <c:ser>
          <c:idx val="21"/>
          <c:order val="23"/>
          <c:tx>
            <c:strRef>
              <c:f>EVALUATION!$A$124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EVALUATION!$B$124:$AH$124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5EF-46D6-A94F-2517E60135C4}"/>
            </c:ext>
          </c:extLst>
        </c:ser>
        <c:ser>
          <c:idx val="22"/>
          <c:order val="24"/>
          <c:tx>
            <c:strRef>
              <c:f>EVALUATION!$A$125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EVALUATION!$B$125:$AH$125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5EF-46D6-A94F-2517E60135C4}"/>
            </c:ext>
          </c:extLst>
        </c:ser>
        <c:ser>
          <c:idx val="23"/>
          <c:order val="25"/>
          <c:tx>
            <c:strRef>
              <c:f>EVALUATION!$A$126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EVALUATION!$B$126:$AH$126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5EF-46D6-A94F-2517E60135C4}"/>
            </c:ext>
          </c:extLst>
        </c:ser>
        <c:ser>
          <c:idx val="24"/>
          <c:order val="26"/>
          <c:tx>
            <c:strRef>
              <c:f>EVALUATION!$A$127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EVALUATION!$B$127:$AH$127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5EF-46D6-A94F-2517E60135C4}"/>
            </c:ext>
          </c:extLst>
        </c:ser>
        <c:ser>
          <c:idx val="25"/>
          <c:order val="27"/>
          <c:tx>
            <c:strRef>
              <c:f>EVALUATION!$A$128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EVALUATION!$B$128:$AH$128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5EF-46D6-A94F-2517E60135C4}"/>
            </c:ext>
          </c:extLst>
        </c:ser>
        <c:ser>
          <c:idx val="26"/>
          <c:order val="28"/>
          <c:tx>
            <c:strRef>
              <c:f>EVALUATION!$A$129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EVALUATION!$B$129:$AH$129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5EF-46D6-A94F-2517E60135C4}"/>
            </c:ext>
          </c:extLst>
        </c:ser>
        <c:ser>
          <c:idx val="27"/>
          <c:order val="29"/>
          <c:tx>
            <c:strRef>
              <c:f>EVALUATION!$A$130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EVALUATION!$B$130:$AH$130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32" formatCode="General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5EF-46D6-A94F-2517E60135C4}"/>
            </c:ext>
          </c:extLst>
        </c:ser>
        <c:ser>
          <c:idx val="28"/>
          <c:order val="30"/>
          <c:tx>
            <c:strRef>
              <c:f>EVALUATION!$A$131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EVALUATION!$B$131:$AH$131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5EF-46D6-A94F-2517E60135C4}"/>
            </c:ext>
          </c:extLst>
        </c:ser>
        <c:ser>
          <c:idx val="29"/>
          <c:order val="31"/>
          <c:tx>
            <c:strRef>
              <c:f>EVALUATION!$A$132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EVALUATION!$B$132:$AH$132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5EF-46D6-A94F-2517E60135C4}"/>
            </c:ext>
          </c:extLst>
        </c:ser>
        <c:ser>
          <c:idx val="30"/>
          <c:order val="32"/>
          <c:tx>
            <c:strRef>
              <c:f>EVALUATION!$A$133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EVALUATION!$B$133:$AH$133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5EF-46D6-A94F-2517E60135C4}"/>
            </c:ext>
          </c:extLst>
        </c:ser>
        <c:ser>
          <c:idx val="31"/>
          <c:order val="33"/>
          <c:tx>
            <c:strRef>
              <c:f>EVALUATION!$A$134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EVALUATION!$B$134:$AH$134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5EF-46D6-A94F-2517E60135C4}"/>
            </c:ext>
          </c:extLst>
        </c:ser>
        <c:ser>
          <c:idx val="32"/>
          <c:order val="34"/>
          <c:tx>
            <c:strRef>
              <c:f>EVALUATION!$A$135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EVALUATION!$B$135:$AH$135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5EF-46D6-A94F-2517E60135C4}"/>
            </c:ext>
          </c:extLst>
        </c:ser>
        <c:ser>
          <c:idx val="33"/>
          <c:order val="35"/>
          <c:tx>
            <c:strRef>
              <c:f>EVALUATION!$A$136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EVALUATION!$B$136:$AH$136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5EF-46D6-A94F-2517E60135C4}"/>
            </c:ext>
          </c:extLst>
        </c:ser>
        <c:ser>
          <c:idx val="34"/>
          <c:order val="36"/>
          <c:tx>
            <c:strRef>
              <c:f>EVALUATION!$A$137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EVALUATION!$B$137:$AH$137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5EF-46D6-A94F-2517E60135C4}"/>
            </c:ext>
          </c:extLst>
        </c:ser>
        <c:ser>
          <c:idx val="35"/>
          <c:order val="37"/>
          <c:tx>
            <c:strRef>
              <c:f>EVALUATION!$A$138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EVALUATION!$B$138:$AH$138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5EF-46D6-A94F-2517E60135C4}"/>
            </c:ext>
          </c:extLst>
        </c:ser>
        <c:ser>
          <c:idx val="36"/>
          <c:order val="38"/>
          <c:tx>
            <c:strRef>
              <c:f>EVALUATION!$A$139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EVALUATION!$B$139:$AH$139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5EF-46D6-A94F-2517E60135C4}"/>
            </c:ext>
          </c:extLst>
        </c:ser>
        <c:ser>
          <c:idx val="37"/>
          <c:order val="39"/>
          <c:tx>
            <c:strRef>
              <c:f>EVALUATION!$A$140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EVALUATION!$B$140:$AH$140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5EF-46D6-A94F-2517E60135C4}"/>
            </c:ext>
          </c:extLst>
        </c:ser>
        <c:ser>
          <c:idx val="38"/>
          <c:order val="40"/>
          <c:tx>
            <c:strRef>
              <c:f>EVALUATION!$A$141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EVALUATION!$B$141:$AH$141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EF-46D6-A94F-2517E60135C4}"/>
            </c:ext>
          </c:extLst>
        </c:ser>
        <c:ser>
          <c:idx val="40"/>
          <c:order val="41"/>
          <c:tx>
            <c:strRef>
              <c:f>EVALUATION!$A$142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EVALUATION!$B$142:$AH$142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5EF-46D6-A94F-2517E60135C4}"/>
            </c:ext>
          </c:extLst>
        </c:ser>
        <c:ser>
          <c:idx val="41"/>
          <c:order val="42"/>
          <c:tx>
            <c:strRef>
              <c:f>EVALUATION!$A$143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EVALUATION!$B$143:$AH$143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5EF-46D6-A94F-2517E60135C4}"/>
            </c:ext>
          </c:extLst>
        </c:ser>
        <c:ser>
          <c:idx val="42"/>
          <c:order val="43"/>
          <c:tx>
            <c:strRef>
              <c:f>EVALUATION!$A$144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EVALUATION!$B$144:$AH$144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5EF-46D6-A94F-2517E60135C4}"/>
            </c:ext>
          </c:extLst>
        </c:ser>
        <c:ser>
          <c:idx val="43"/>
          <c:order val="44"/>
          <c:tx>
            <c:strRef>
              <c:f>EVALUATION!$A$145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EVALUATION!$B$145:$AH$145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5EF-46D6-A94F-2517E60135C4}"/>
            </c:ext>
          </c:extLst>
        </c:ser>
        <c:ser>
          <c:idx val="44"/>
          <c:order val="45"/>
          <c:tx>
            <c:strRef>
              <c:f>EVALUATION!$A$146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EVALUATION!$B$146:$AH$146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5EF-46D6-A94F-2517E60135C4}"/>
            </c:ext>
          </c:extLst>
        </c:ser>
        <c:ser>
          <c:idx val="45"/>
          <c:order val="46"/>
          <c:tx>
            <c:strRef>
              <c:f>EVALUATION!$A$147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EVALUATION!$B$147:$AH$147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5EF-46D6-A94F-2517E60135C4}"/>
            </c:ext>
          </c:extLst>
        </c:ser>
        <c:ser>
          <c:idx val="46"/>
          <c:order val="47"/>
          <c:tx>
            <c:strRef>
              <c:f>EVALUATION!$A$148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EVALUATION!$B$148:$AH$148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5EF-46D6-A94F-2517E60135C4}"/>
            </c:ext>
          </c:extLst>
        </c:ser>
        <c:ser>
          <c:idx val="47"/>
          <c:order val="48"/>
          <c:tx>
            <c:strRef>
              <c:f>EVALUATION!$A$149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EVALUATION!$B$149:$AH$149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5EF-46D6-A94F-2517E60135C4}"/>
            </c:ext>
          </c:extLst>
        </c:ser>
        <c:ser>
          <c:idx val="48"/>
          <c:order val="49"/>
          <c:tx>
            <c:strRef>
              <c:f>EVALUATION!$A$150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EVALUATION!$B$150:$AH$150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5EF-46D6-A94F-2517E60135C4}"/>
            </c:ext>
          </c:extLst>
        </c:ser>
        <c:ser>
          <c:idx val="49"/>
          <c:order val="50"/>
          <c:tx>
            <c:strRef>
              <c:f>EVALUATION!$A$151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EVALUATION!$B$151:$AH$151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5EF-46D6-A94F-2517E60135C4}"/>
            </c:ext>
          </c:extLst>
        </c:ser>
        <c:ser>
          <c:idx val="50"/>
          <c:order val="51"/>
          <c:tx>
            <c:strRef>
              <c:f>EVALUATION!$A$152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EVALUATION!$B$152:$AH$152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5EF-46D6-A94F-2517E60135C4}"/>
            </c:ext>
          </c:extLst>
        </c:ser>
        <c:ser>
          <c:idx val="51"/>
          <c:order val="52"/>
          <c:tx>
            <c:strRef>
              <c:f>EVALUATION!$A$153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EVALUATION!$B$153:$AH$153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5EF-46D6-A94F-2517E60135C4}"/>
            </c:ext>
          </c:extLst>
        </c:ser>
        <c:ser>
          <c:idx val="52"/>
          <c:order val="53"/>
          <c:tx>
            <c:strRef>
              <c:f>EVALUATION!$A$154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EVALUATION!$B$154:$AH$154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5EF-46D6-A94F-2517E60135C4}"/>
            </c:ext>
          </c:extLst>
        </c:ser>
        <c:ser>
          <c:idx val="53"/>
          <c:order val="54"/>
          <c:tx>
            <c:strRef>
              <c:f>EVALUATION!$A$155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EVALUATION!$B$155:$AH$155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ser>
          <c:idx val="55"/>
          <c:order val="55"/>
          <c:tx>
            <c:strRef>
              <c:f>EVALUATION!$A$156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EVALUATION!$B$156:$AH$156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12C-44BE-9FB4-FFBBBE0F6189}"/>
            </c:ext>
          </c:extLst>
        </c:ser>
        <c:ser>
          <c:idx val="56"/>
          <c:order val="56"/>
          <c:tx>
            <c:strRef>
              <c:f>EVALUATION!$A$157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EVALUATION!$B$157:$AH$157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12C-44BE-9FB4-FFBBBE0F6189}"/>
            </c:ext>
          </c:extLst>
        </c:ser>
        <c:ser>
          <c:idx val="57"/>
          <c:order val="57"/>
          <c:tx>
            <c:strRef>
              <c:f>EVALUATION!$A$158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EVALUATION!$B$158:$AH$158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12C-44BE-9FB4-FFBBBE0F6189}"/>
            </c:ext>
          </c:extLst>
        </c:ser>
        <c:ser>
          <c:idx val="58"/>
          <c:order val="58"/>
          <c:tx>
            <c:strRef>
              <c:f>EVALUATION!$A$159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EVALUATION!$B$159:$AH$159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12C-44BE-9FB4-FFBBBE0F6189}"/>
            </c:ext>
          </c:extLst>
        </c:ser>
        <c:ser>
          <c:idx val="59"/>
          <c:order val="59"/>
          <c:tx>
            <c:strRef>
              <c:f>EVALUATION!$A$160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EVALUATION!$B$160:$AH$160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12C-44BE-9FB4-FFBBBE0F6189}"/>
            </c:ext>
          </c:extLst>
        </c:ser>
        <c:ser>
          <c:idx val="60"/>
          <c:order val="60"/>
          <c:tx>
            <c:strRef>
              <c:f>EVALUATION!$A$161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EVALUATION!$B$161:$AH$161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12C-44BE-9FB4-FFBBBE0F6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EVALUATION!$A$101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EVALUATION!$B$101:$AH$101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E43-435B-B057-21EAE1F9E5D7}"/>
            </c:ext>
          </c:extLst>
        </c:ser>
        <c:ser>
          <c:idx val="39"/>
          <c:order val="1"/>
          <c:tx>
            <c:strRef>
              <c:f>EVALUATION!$A$102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EVALUATION!$B$102:$AH$102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E43-435B-B057-21EAE1F9E5D7}"/>
            </c:ext>
          </c:extLst>
        </c:ser>
        <c:ser>
          <c:idx val="54"/>
          <c:order val="2"/>
          <c:tx>
            <c:strRef>
              <c:f>EVALUATION!$A$103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4E43-435B-B057-21EAE1F9E5D7}"/>
              </c:ext>
            </c:extLst>
          </c:dPt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EVALUATION!$B$103:$AH$103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E43-435B-B057-21EAE1F9E5D7}"/>
            </c:ext>
          </c:extLst>
        </c:ser>
        <c:ser>
          <c:idx val="1"/>
          <c:order val="3"/>
          <c:tx>
            <c:strRef>
              <c:f>EVALUATION!$A$104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EVALUATION!$B$104:$AH$104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E43-435B-B057-21EAE1F9E5D7}"/>
            </c:ext>
          </c:extLst>
        </c:ser>
        <c:ser>
          <c:idx val="2"/>
          <c:order val="4"/>
          <c:tx>
            <c:strRef>
              <c:f>EVALUATION!$A$105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EVALUATION!$B$105:$AH$105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E43-435B-B057-21EAE1F9E5D7}"/>
            </c:ext>
          </c:extLst>
        </c:ser>
        <c:ser>
          <c:idx val="3"/>
          <c:order val="5"/>
          <c:tx>
            <c:strRef>
              <c:f>EVALUATION!$A$106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EVALUATION!$B$106:$AH$106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43-435B-B057-21EAE1F9E5D7}"/>
            </c:ext>
          </c:extLst>
        </c:ser>
        <c:ser>
          <c:idx val="4"/>
          <c:order val="6"/>
          <c:tx>
            <c:strRef>
              <c:f>EVALUATION!$A$107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EVALUATION!$B$107:$AH$107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E43-435B-B057-21EAE1F9E5D7}"/>
            </c:ext>
          </c:extLst>
        </c:ser>
        <c:ser>
          <c:idx val="5"/>
          <c:order val="7"/>
          <c:tx>
            <c:strRef>
              <c:f>EVALUATION!$A$108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EVALUATION!$B$108:$AH$108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E43-435B-B057-21EAE1F9E5D7}"/>
            </c:ext>
          </c:extLst>
        </c:ser>
        <c:ser>
          <c:idx val="6"/>
          <c:order val="8"/>
          <c:tx>
            <c:strRef>
              <c:f>EVALUATION!$A$109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EVALUATION!$B$109:$AH$109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E43-435B-B057-21EAE1F9E5D7}"/>
            </c:ext>
          </c:extLst>
        </c:ser>
        <c:ser>
          <c:idx val="7"/>
          <c:order val="9"/>
          <c:tx>
            <c:strRef>
              <c:f>EVALUATION!$A$110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EVALUATION!$B$110:$AH$110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E43-435B-B057-21EAE1F9E5D7}"/>
            </c:ext>
          </c:extLst>
        </c:ser>
        <c:ser>
          <c:idx val="8"/>
          <c:order val="10"/>
          <c:tx>
            <c:strRef>
              <c:f>EVALUATION!$A$111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EVALUATION!$B$111:$AH$111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E43-435B-B057-21EAE1F9E5D7}"/>
            </c:ext>
          </c:extLst>
        </c:ser>
        <c:ser>
          <c:idx val="9"/>
          <c:order val="11"/>
          <c:tx>
            <c:strRef>
              <c:f>EVALUATION!$A$112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EVALUATION!$B$112:$AH$112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E43-435B-B057-21EAE1F9E5D7}"/>
            </c:ext>
          </c:extLst>
        </c:ser>
        <c:ser>
          <c:idx val="10"/>
          <c:order val="12"/>
          <c:tx>
            <c:strRef>
              <c:f>EVALUATION!$A$113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EVALUATION!$B$113:$AH$113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E43-435B-B057-21EAE1F9E5D7}"/>
            </c:ext>
          </c:extLst>
        </c:ser>
        <c:ser>
          <c:idx val="11"/>
          <c:order val="13"/>
          <c:tx>
            <c:strRef>
              <c:f>EVALUATION!$A$114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EVALUATION!$B$114:$AH$114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E43-435B-B057-21EAE1F9E5D7}"/>
            </c:ext>
          </c:extLst>
        </c:ser>
        <c:ser>
          <c:idx val="12"/>
          <c:order val="14"/>
          <c:tx>
            <c:strRef>
              <c:f>EVALUATION!$A$115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EVALUATION!$B$115:$AH$115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E43-435B-B057-21EAE1F9E5D7}"/>
            </c:ext>
          </c:extLst>
        </c:ser>
        <c:ser>
          <c:idx val="13"/>
          <c:order val="15"/>
          <c:tx>
            <c:strRef>
              <c:f>EVALUATION!$A$116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EVALUATION!$B$116:$AH$116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E43-435B-B057-21EAE1F9E5D7}"/>
            </c:ext>
          </c:extLst>
        </c:ser>
        <c:ser>
          <c:idx val="14"/>
          <c:order val="16"/>
          <c:tx>
            <c:strRef>
              <c:f>EVALUATION!$A$117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EVALUATION!$B$117:$AH$117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E43-435B-B057-21EAE1F9E5D7}"/>
            </c:ext>
          </c:extLst>
        </c:ser>
        <c:ser>
          <c:idx val="15"/>
          <c:order val="17"/>
          <c:tx>
            <c:strRef>
              <c:f>EVALUATION!$A$118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EVALUATION!$B$118:$AH$118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E43-435B-B057-21EAE1F9E5D7}"/>
            </c:ext>
          </c:extLst>
        </c:ser>
        <c:ser>
          <c:idx val="16"/>
          <c:order val="18"/>
          <c:tx>
            <c:strRef>
              <c:f>EVALUATION!$A$119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EVALUATION!$B$119:$AH$119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E43-435B-B057-21EAE1F9E5D7}"/>
            </c:ext>
          </c:extLst>
        </c:ser>
        <c:ser>
          <c:idx val="17"/>
          <c:order val="19"/>
          <c:tx>
            <c:strRef>
              <c:f>EVALUATION!$A$120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EVALUATION!$B$120:$AH$120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E43-435B-B057-21EAE1F9E5D7}"/>
            </c:ext>
          </c:extLst>
        </c:ser>
        <c:ser>
          <c:idx val="18"/>
          <c:order val="20"/>
          <c:tx>
            <c:strRef>
              <c:f>EVALUATION!$A$121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EVALUATION!$B$121:$AH$121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E43-435B-B057-21EAE1F9E5D7}"/>
            </c:ext>
          </c:extLst>
        </c:ser>
        <c:ser>
          <c:idx val="19"/>
          <c:order val="21"/>
          <c:tx>
            <c:strRef>
              <c:f>EVALUATION!$A$122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EVALUATION!$B$122:$AH$122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E43-435B-B057-21EAE1F9E5D7}"/>
            </c:ext>
          </c:extLst>
        </c:ser>
        <c:ser>
          <c:idx val="20"/>
          <c:order val="22"/>
          <c:tx>
            <c:strRef>
              <c:f>EVALUATION!$A$123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EVALUATION!$B$123:$AH$123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E43-435B-B057-21EAE1F9E5D7}"/>
            </c:ext>
          </c:extLst>
        </c:ser>
        <c:ser>
          <c:idx val="21"/>
          <c:order val="23"/>
          <c:tx>
            <c:strRef>
              <c:f>EVALUATION!$A$124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EVALUATION!$B$124:$AH$124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E43-435B-B057-21EAE1F9E5D7}"/>
            </c:ext>
          </c:extLst>
        </c:ser>
        <c:ser>
          <c:idx val="22"/>
          <c:order val="24"/>
          <c:tx>
            <c:strRef>
              <c:f>EVALUATION!$A$125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EVALUATION!$B$125:$AH$125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E43-435B-B057-21EAE1F9E5D7}"/>
            </c:ext>
          </c:extLst>
        </c:ser>
        <c:ser>
          <c:idx val="23"/>
          <c:order val="25"/>
          <c:tx>
            <c:strRef>
              <c:f>EVALUATION!$A$126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EVALUATION!$B$126:$AH$126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E43-435B-B057-21EAE1F9E5D7}"/>
            </c:ext>
          </c:extLst>
        </c:ser>
        <c:ser>
          <c:idx val="24"/>
          <c:order val="26"/>
          <c:tx>
            <c:strRef>
              <c:f>EVALUATION!$A$127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EVALUATION!$B$127:$AH$127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E43-435B-B057-21EAE1F9E5D7}"/>
            </c:ext>
          </c:extLst>
        </c:ser>
        <c:ser>
          <c:idx val="25"/>
          <c:order val="27"/>
          <c:tx>
            <c:strRef>
              <c:f>EVALUATION!$A$128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EVALUATION!$B$128:$AH$128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E43-435B-B057-21EAE1F9E5D7}"/>
            </c:ext>
          </c:extLst>
        </c:ser>
        <c:ser>
          <c:idx val="26"/>
          <c:order val="28"/>
          <c:tx>
            <c:strRef>
              <c:f>EVALUATION!$A$129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EVALUATION!$B$129:$AH$129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E43-435B-B057-21EAE1F9E5D7}"/>
            </c:ext>
          </c:extLst>
        </c:ser>
        <c:ser>
          <c:idx val="27"/>
          <c:order val="29"/>
          <c:tx>
            <c:strRef>
              <c:f>EVALUATION!$A$130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EVALUATION!$B$130:$AH$130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32" formatCode="General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E43-435B-B057-21EAE1F9E5D7}"/>
            </c:ext>
          </c:extLst>
        </c:ser>
        <c:ser>
          <c:idx val="28"/>
          <c:order val="30"/>
          <c:tx>
            <c:strRef>
              <c:f>EVALUATION!$A$131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EVALUATION!$B$131:$AH$131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E43-435B-B057-21EAE1F9E5D7}"/>
            </c:ext>
          </c:extLst>
        </c:ser>
        <c:ser>
          <c:idx val="29"/>
          <c:order val="31"/>
          <c:tx>
            <c:strRef>
              <c:f>EVALUATION!$A$132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EVALUATION!$B$132:$AH$132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E43-435B-B057-21EAE1F9E5D7}"/>
            </c:ext>
          </c:extLst>
        </c:ser>
        <c:ser>
          <c:idx val="30"/>
          <c:order val="32"/>
          <c:tx>
            <c:strRef>
              <c:f>EVALUATION!$A$133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EVALUATION!$B$133:$AH$133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E43-435B-B057-21EAE1F9E5D7}"/>
            </c:ext>
          </c:extLst>
        </c:ser>
        <c:ser>
          <c:idx val="31"/>
          <c:order val="33"/>
          <c:tx>
            <c:strRef>
              <c:f>EVALUATION!$A$134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EVALUATION!$B$134:$AH$134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E43-435B-B057-21EAE1F9E5D7}"/>
            </c:ext>
          </c:extLst>
        </c:ser>
        <c:ser>
          <c:idx val="32"/>
          <c:order val="34"/>
          <c:tx>
            <c:strRef>
              <c:f>EVALUATION!$A$135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EVALUATION!$B$135:$AH$135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4E43-435B-B057-21EAE1F9E5D7}"/>
            </c:ext>
          </c:extLst>
        </c:ser>
        <c:ser>
          <c:idx val="33"/>
          <c:order val="35"/>
          <c:tx>
            <c:strRef>
              <c:f>EVALUATION!$A$136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EVALUATION!$B$136:$AH$136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E43-435B-B057-21EAE1F9E5D7}"/>
            </c:ext>
          </c:extLst>
        </c:ser>
        <c:ser>
          <c:idx val="34"/>
          <c:order val="36"/>
          <c:tx>
            <c:strRef>
              <c:f>EVALUATION!$A$137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EVALUATION!$B$137:$AH$137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E43-435B-B057-21EAE1F9E5D7}"/>
            </c:ext>
          </c:extLst>
        </c:ser>
        <c:ser>
          <c:idx val="35"/>
          <c:order val="37"/>
          <c:tx>
            <c:strRef>
              <c:f>EVALUATION!$A$138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EVALUATION!$B$138:$AH$138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E43-435B-B057-21EAE1F9E5D7}"/>
            </c:ext>
          </c:extLst>
        </c:ser>
        <c:ser>
          <c:idx val="36"/>
          <c:order val="38"/>
          <c:tx>
            <c:strRef>
              <c:f>EVALUATION!$A$139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EVALUATION!$B$139:$AH$139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E43-435B-B057-21EAE1F9E5D7}"/>
            </c:ext>
          </c:extLst>
        </c:ser>
        <c:ser>
          <c:idx val="37"/>
          <c:order val="39"/>
          <c:tx>
            <c:strRef>
              <c:f>EVALUATION!$A$140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EVALUATION!$B$140:$AH$140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E43-435B-B057-21EAE1F9E5D7}"/>
            </c:ext>
          </c:extLst>
        </c:ser>
        <c:ser>
          <c:idx val="38"/>
          <c:order val="40"/>
          <c:tx>
            <c:strRef>
              <c:f>EVALUATION!$A$141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EVALUATION!$B$141:$AH$141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E43-435B-B057-21EAE1F9E5D7}"/>
            </c:ext>
          </c:extLst>
        </c:ser>
        <c:ser>
          <c:idx val="40"/>
          <c:order val="41"/>
          <c:tx>
            <c:strRef>
              <c:f>EVALUATION!$A$142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EVALUATION!$B$142:$AH$142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43-435B-B057-21EAE1F9E5D7}"/>
            </c:ext>
          </c:extLst>
        </c:ser>
        <c:ser>
          <c:idx val="41"/>
          <c:order val="42"/>
          <c:tx>
            <c:strRef>
              <c:f>EVALUATION!$A$143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EVALUATION!$B$143:$AH$143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E43-435B-B057-21EAE1F9E5D7}"/>
            </c:ext>
          </c:extLst>
        </c:ser>
        <c:ser>
          <c:idx val="42"/>
          <c:order val="43"/>
          <c:tx>
            <c:strRef>
              <c:f>EVALUATION!$A$144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EVALUATION!$B$144:$AH$144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E43-435B-B057-21EAE1F9E5D7}"/>
            </c:ext>
          </c:extLst>
        </c:ser>
        <c:ser>
          <c:idx val="43"/>
          <c:order val="44"/>
          <c:tx>
            <c:strRef>
              <c:f>EVALUATION!$A$145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EVALUATION!$B$145:$AH$145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E43-435B-B057-21EAE1F9E5D7}"/>
            </c:ext>
          </c:extLst>
        </c:ser>
        <c:ser>
          <c:idx val="44"/>
          <c:order val="45"/>
          <c:tx>
            <c:strRef>
              <c:f>EVALUATION!$A$146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EVALUATION!$B$146:$AH$146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E43-435B-B057-21EAE1F9E5D7}"/>
            </c:ext>
          </c:extLst>
        </c:ser>
        <c:ser>
          <c:idx val="45"/>
          <c:order val="46"/>
          <c:tx>
            <c:strRef>
              <c:f>EVALUATION!$A$147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EVALUATION!$B$147:$AH$147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E43-435B-B057-21EAE1F9E5D7}"/>
            </c:ext>
          </c:extLst>
        </c:ser>
        <c:ser>
          <c:idx val="46"/>
          <c:order val="47"/>
          <c:tx>
            <c:strRef>
              <c:f>EVALUATION!$A$148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EVALUATION!$B$148:$AH$148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E43-435B-B057-21EAE1F9E5D7}"/>
            </c:ext>
          </c:extLst>
        </c:ser>
        <c:ser>
          <c:idx val="47"/>
          <c:order val="48"/>
          <c:tx>
            <c:strRef>
              <c:f>EVALUATION!$A$149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EVALUATION!$B$149:$AH$149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E43-435B-B057-21EAE1F9E5D7}"/>
            </c:ext>
          </c:extLst>
        </c:ser>
        <c:ser>
          <c:idx val="48"/>
          <c:order val="49"/>
          <c:tx>
            <c:strRef>
              <c:f>EVALUATION!$A$150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EVALUATION!$B$150:$AH$150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E43-435B-B057-21EAE1F9E5D7}"/>
            </c:ext>
          </c:extLst>
        </c:ser>
        <c:ser>
          <c:idx val="49"/>
          <c:order val="50"/>
          <c:tx>
            <c:strRef>
              <c:f>EVALUATION!$A$151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EVALUATION!$B$151:$AH$151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E43-435B-B057-21EAE1F9E5D7}"/>
            </c:ext>
          </c:extLst>
        </c:ser>
        <c:ser>
          <c:idx val="50"/>
          <c:order val="51"/>
          <c:tx>
            <c:strRef>
              <c:f>EVALUATION!$A$152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EVALUATION!$B$152:$AH$152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4E43-435B-B057-21EAE1F9E5D7}"/>
            </c:ext>
          </c:extLst>
        </c:ser>
        <c:ser>
          <c:idx val="51"/>
          <c:order val="52"/>
          <c:tx>
            <c:strRef>
              <c:f>EVALUATION!$A$153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EVALUATION!$B$153:$AH$153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4E43-435B-B057-21EAE1F9E5D7}"/>
            </c:ext>
          </c:extLst>
        </c:ser>
        <c:ser>
          <c:idx val="52"/>
          <c:order val="53"/>
          <c:tx>
            <c:strRef>
              <c:f>EVALUATION!$A$154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EVALUATION!$B$154:$AH$154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4E43-435B-B057-21EAE1F9E5D7}"/>
            </c:ext>
          </c:extLst>
        </c:ser>
        <c:ser>
          <c:idx val="53"/>
          <c:order val="54"/>
          <c:tx>
            <c:strRef>
              <c:f>EVALUATION!$A$155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EVALUATION!$B$155:$AH$155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E43-435B-B057-21EAE1F9E5D7}"/>
            </c:ext>
          </c:extLst>
        </c:ser>
        <c:ser>
          <c:idx val="55"/>
          <c:order val="55"/>
          <c:tx>
            <c:strRef>
              <c:f>EVALUATION!$A$156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EVALUATION!$B$156:$AH$156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E43-435B-B057-21EAE1F9E5D7}"/>
            </c:ext>
          </c:extLst>
        </c:ser>
        <c:ser>
          <c:idx val="56"/>
          <c:order val="56"/>
          <c:tx>
            <c:strRef>
              <c:f>EVALUATION!$A$157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EVALUATION!$B$157:$AH$157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E43-435B-B057-21EAE1F9E5D7}"/>
            </c:ext>
          </c:extLst>
        </c:ser>
        <c:ser>
          <c:idx val="57"/>
          <c:order val="57"/>
          <c:tx>
            <c:strRef>
              <c:f>EVALUATION!$A$158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EVALUATION!$B$158:$AH$158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E43-435B-B057-21EAE1F9E5D7}"/>
            </c:ext>
          </c:extLst>
        </c:ser>
        <c:ser>
          <c:idx val="58"/>
          <c:order val="58"/>
          <c:tx>
            <c:strRef>
              <c:f>EVALUATION!$A$159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EVALUATION!$B$159:$AH$159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4E43-435B-B057-21EAE1F9E5D7}"/>
            </c:ext>
          </c:extLst>
        </c:ser>
        <c:ser>
          <c:idx val="59"/>
          <c:order val="59"/>
          <c:tx>
            <c:strRef>
              <c:f>EVALUATION!$A$160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EVALUATION!$B$160:$AH$160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4E43-435B-B057-21EAE1F9E5D7}"/>
            </c:ext>
          </c:extLst>
        </c:ser>
        <c:ser>
          <c:idx val="60"/>
          <c:order val="60"/>
          <c:tx>
            <c:strRef>
              <c:f>EVALUATION!$A$161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EVALUATION!$B$161:$AH$161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4E43-435B-B057-21EAE1F9E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EVALUATION!$A$101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EVALUATION!$B$101:$AH$101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16-4E7F-975B-C1DF40B91386}"/>
            </c:ext>
          </c:extLst>
        </c:ser>
        <c:ser>
          <c:idx val="39"/>
          <c:order val="1"/>
          <c:tx>
            <c:strRef>
              <c:f>EVALUATION!$A$102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EVALUATION!$B$102:$AH$102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D16-4E7F-975B-C1DF40B91386}"/>
            </c:ext>
          </c:extLst>
        </c:ser>
        <c:ser>
          <c:idx val="54"/>
          <c:order val="2"/>
          <c:tx>
            <c:strRef>
              <c:f>EVALUATION!$A$103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CD16-4E7F-975B-C1DF40B91386}"/>
              </c:ext>
            </c:extLst>
          </c:dPt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EVALUATION!$B$103:$AH$103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16-4E7F-975B-C1DF40B91386}"/>
            </c:ext>
          </c:extLst>
        </c:ser>
        <c:ser>
          <c:idx val="1"/>
          <c:order val="3"/>
          <c:tx>
            <c:strRef>
              <c:f>EVALUATION!$A$104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EVALUATION!$B$104:$AH$104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D16-4E7F-975B-C1DF40B91386}"/>
            </c:ext>
          </c:extLst>
        </c:ser>
        <c:ser>
          <c:idx val="2"/>
          <c:order val="4"/>
          <c:tx>
            <c:strRef>
              <c:f>EVALUATION!$A$105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EVALUATION!$B$105:$AH$105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D16-4E7F-975B-C1DF40B91386}"/>
            </c:ext>
          </c:extLst>
        </c:ser>
        <c:ser>
          <c:idx val="3"/>
          <c:order val="5"/>
          <c:tx>
            <c:strRef>
              <c:f>EVALUATION!$A$106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EVALUATION!$B$106:$AH$106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D16-4E7F-975B-C1DF40B91386}"/>
            </c:ext>
          </c:extLst>
        </c:ser>
        <c:ser>
          <c:idx val="4"/>
          <c:order val="6"/>
          <c:tx>
            <c:strRef>
              <c:f>EVALUATION!$A$107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EVALUATION!$B$107:$AH$107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D16-4E7F-975B-C1DF40B91386}"/>
            </c:ext>
          </c:extLst>
        </c:ser>
        <c:ser>
          <c:idx val="5"/>
          <c:order val="7"/>
          <c:tx>
            <c:strRef>
              <c:f>EVALUATION!$A$108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EVALUATION!$B$108:$AH$108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D16-4E7F-975B-C1DF40B91386}"/>
            </c:ext>
          </c:extLst>
        </c:ser>
        <c:ser>
          <c:idx val="6"/>
          <c:order val="8"/>
          <c:tx>
            <c:strRef>
              <c:f>EVALUATION!$A$109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EVALUATION!$B$109:$AH$109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D16-4E7F-975B-C1DF40B91386}"/>
            </c:ext>
          </c:extLst>
        </c:ser>
        <c:ser>
          <c:idx val="7"/>
          <c:order val="9"/>
          <c:tx>
            <c:strRef>
              <c:f>EVALUATION!$A$110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EVALUATION!$B$110:$AH$110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D16-4E7F-975B-C1DF40B91386}"/>
            </c:ext>
          </c:extLst>
        </c:ser>
        <c:ser>
          <c:idx val="8"/>
          <c:order val="10"/>
          <c:tx>
            <c:strRef>
              <c:f>EVALUATION!$A$111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EVALUATION!$B$111:$AH$111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D16-4E7F-975B-C1DF40B91386}"/>
            </c:ext>
          </c:extLst>
        </c:ser>
        <c:ser>
          <c:idx val="9"/>
          <c:order val="11"/>
          <c:tx>
            <c:strRef>
              <c:f>EVALUATION!$A$112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EVALUATION!$B$112:$AH$112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D16-4E7F-975B-C1DF40B91386}"/>
            </c:ext>
          </c:extLst>
        </c:ser>
        <c:ser>
          <c:idx val="10"/>
          <c:order val="12"/>
          <c:tx>
            <c:strRef>
              <c:f>EVALUATION!$A$113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EVALUATION!$B$113:$AH$113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D16-4E7F-975B-C1DF40B91386}"/>
            </c:ext>
          </c:extLst>
        </c:ser>
        <c:ser>
          <c:idx val="11"/>
          <c:order val="13"/>
          <c:tx>
            <c:strRef>
              <c:f>EVALUATION!$A$114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EVALUATION!$B$114:$AH$114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D16-4E7F-975B-C1DF40B91386}"/>
            </c:ext>
          </c:extLst>
        </c:ser>
        <c:ser>
          <c:idx val="12"/>
          <c:order val="14"/>
          <c:tx>
            <c:strRef>
              <c:f>EVALUATION!$A$115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EVALUATION!$B$115:$AH$115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D16-4E7F-975B-C1DF40B91386}"/>
            </c:ext>
          </c:extLst>
        </c:ser>
        <c:ser>
          <c:idx val="13"/>
          <c:order val="15"/>
          <c:tx>
            <c:strRef>
              <c:f>EVALUATION!$A$116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EVALUATION!$B$116:$AH$116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D16-4E7F-975B-C1DF40B91386}"/>
            </c:ext>
          </c:extLst>
        </c:ser>
        <c:ser>
          <c:idx val="14"/>
          <c:order val="16"/>
          <c:tx>
            <c:strRef>
              <c:f>EVALUATION!$A$117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EVALUATION!$B$117:$AH$117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D16-4E7F-975B-C1DF40B91386}"/>
            </c:ext>
          </c:extLst>
        </c:ser>
        <c:ser>
          <c:idx val="15"/>
          <c:order val="17"/>
          <c:tx>
            <c:strRef>
              <c:f>EVALUATION!$A$118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EVALUATION!$B$118:$AH$118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D16-4E7F-975B-C1DF40B91386}"/>
            </c:ext>
          </c:extLst>
        </c:ser>
        <c:ser>
          <c:idx val="16"/>
          <c:order val="18"/>
          <c:tx>
            <c:strRef>
              <c:f>EVALUATION!$A$119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EVALUATION!$B$119:$AH$119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D16-4E7F-975B-C1DF40B91386}"/>
            </c:ext>
          </c:extLst>
        </c:ser>
        <c:ser>
          <c:idx val="17"/>
          <c:order val="19"/>
          <c:tx>
            <c:strRef>
              <c:f>EVALUATION!$A$120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EVALUATION!$B$120:$AH$120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D16-4E7F-975B-C1DF40B91386}"/>
            </c:ext>
          </c:extLst>
        </c:ser>
        <c:ser>
          <c:idx val="18"/>
          <c:order val="20"/>
          <c:tx>
            <c:strRef>
              <c:f>EVALUATION!$A$121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EVALUATION!$B$121:$AH$121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D16-4E7F-975B-C1DF40B91386}"/>
            </c:ext>
          </c:extLst>
        </c:ser>
        <c:ser>
          <c:idx val="19"/>
          <c:order val="21"/>
          <c:tx>
            <c:strRef>
              <c:f>EVALUATION!$A$122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EVALUATION!$B$122:$AH$122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D16-4E7F-975B-C1DF40B91386}"/>
            </c:ext>
          </c:extLst>
        </c:ser>
        <c:ser>
          <c:idx val="20"/>
          <c:order val="22"/>
          <c:tx>
            <c:strRef>
              <c:f>EVALUATION!$A$123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EVALUATION!$B$123:$AH$123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D16-4E7F-975B-C1DF40B91386}"/>
            </c:ext>
          </c:extLst>
        </c:ser>
        <c:ser>
          <c:idx val="21"/>
          <c:order val="23"/>
          <c:tx>
            <c:strRef>
              <c:f>EVALUATION!$A$124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EVALUATION!$B$124:$AH$124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D16-4E7F-975B-C1DF40B91386}"/>
            </c:ext>
          </c:extLst>
        </c:ser>
        <c:ser>
          <c:idx val="22"/>
          <c:order val="24"/>
          <c:tx>
            <c:strRef>
              <c:f>EVALUATION!$A$125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EVALUATION!$B$125:$AH$125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D16-4E7F-975B-C1DF40B91386}"/>
            </c:ext>
          </c:extLst>
        </c:ser>
        <c:ser>
          <c:idx val="23"/>
          <c:order val="25"/>
          <c:tx>
            <c:strRef>
              <c:f>EVALUATION!$A$126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EVALUATION!$B$126:$AH$126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D16-4E7F-975B-C1DF40B91386}"/>
            </c:ext>
          </c:extLst>
        </c:ser>
        <c:ser>
          <c:idx val="24"/>
          <c:order val="26"/>
          <c:tx>
            <c:strRef>
              <c:f>EVALUATION!$A$127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EVALUATION!$B$127:$AH$127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D16-4E7F-975B-C1DF40B91386}"/>
            </c:ext>
          </c:extLst>
        </c:ser>
        <c:ser>
          <c:idx val="25"/>
          <c:order val="27"/>
          <c:tx>
            <c:strRef>
              <c:f>EVALUATION!$A$128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EVALUATION!$B$128:$AH$128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D16-4E7F-975B-C1DF40B91386}"/>
            </c:ext>
          </c:extLst>
        </c:ser>
        <c:ser>
          <c:idx val="26"/>
          <c:order val="28"/>
          <c:tx>
            <c:strRef>
              <c:f>EVALUATION!$A$129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EVALUATION!$B$129:$AH$129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D16-4E7F-975B-C1DF40B91386}"/>
            </c:ext>
          </c:extLst>
        </c:ser>
        <c:ser>
          <c:idx val="27"/>
          <c:order val="29"/>
          <c:tx>
            <c:strRef>
              <c:f>EVALUATION!$A$130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EVALUATION!$B$130:$AH$130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32" formatCode="General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D16-4E7F-975B-C1DF40B91386}"/>
            </c:ext>
          </c:extLst>
        </c:ser>
        <c:ser>
          <c:idx val="28"/>
          <c:order val="30"/>
          <c:tx>
            <c:strRef>
              <c:f>EVALUATION!$A$131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EVALUATION!$B$131:$AH$131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D16-4E7F-975B-C1DF40B91386}"/>
            </c:ext>
          </c:extLst>
        </c:ser>
        <c:ser>
          <c:idx val="29"/>
          <c:order val="31"/>
          <c:tx>
            <c:strRef>
              <c:f>EVALUATION!$A$132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EVALUATION!$B$132:$AH$132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D16-4E7F-975B-C1DF40B91386}"/>
            </c:ext>
          </c:extLst>
        </c:ser>
        <c:ser>
          <c:idx val="30"/>
          <c:order val="32"/>
          <c:tx>
            <c:strRef>
              <c:f>EVALUATION!$A$133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EVALUATION!$B$133:$AH$133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D16-4E7F-975B-C1DF40B91386}"/>
            </c:ext>
          </c:extLst>
        </c:ser>
        <c:ser>
          <c:idx val="31"/>
          <c:order val="33"/>
          <c:tx>
            <c:strRef>
              <c:f>EVALUATION!$A$134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EVALUATION!$B$134:$AH$134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D16-4E7F-975B-C1DF40B91386}"/>
            </c:ext>
          </c:extLst>
        </c:ser>
        <c:ser>
          <c:idx val="32"/>
          <c:order val="34"/>
          <c:tx>
            <c:strRef>
              <c:f>EVALUATION!$A$135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EVALUATION!$B$135:$AH$135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D16-4E7F-975B-C1DF40B91386}"/>
            </c:ext>
          </c:extLst>
        </c:ser>
        <c:ser>
          <c:idx val="33"/>
          <c:order val="35"/>
          <c:tx>
            <c:strRef>
              <c:f>EVALUATION!$A$136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EVALUATION!$B$136:$AH$136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D16-4E7F-975B-C1DF40B91386}"/>
            </c:ext>
          </c:extLst>
        </c:ser>
        <c:ser>
          <c:idx val="34"/>
          <c:order val="36"/>
          <c:tx>
            <c:strRef>
              <c:f>EVALUATION!$A$137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EVALUATION!$B$137:$AH$137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D16-4E7F-975B-C1DF40B91386}"/>
            </c:ext>
          </c:extLst>
        </c:ser>
        <c:ser>
          <c:idx val="35"/>
          <c:order val="37"/>
          <c:tx>
            <c:strRef>
              <c:f>EVALUATION!$A$138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EVALUATION!$B$138:$AH$138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16-4E7F-975B-C1DF40B91386}"/>
            </c:ext>
          </c:extLst>
        </c:ser>
        <c:ser>
          <c:idx val="36"/>
          <c:order val="38"/>
          <c:tx>
            <c:strRef>
              <c:f>EVALUATION!$A$139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EVALUATION!$B$139:$AH$139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D16-4E7F-975B-C1DF40B91386}"/>
            </c:ext>
          </c:extLst>
        </c:ser>
        <c:ser>
          <c:idx val="37"/>
          <c:order val="39"/>
          <c:tx>
            <c:strRef>
              <c:f>EVALUATION!$A$140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EVALUATION!$B$140:$AH$140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D16-4E7F-975B-C1DF40B91386}"/>
            </c:ext>
          </c:extLst>
        </c:ser>
        <c:ser>
          <c:idx val="38"/>
          <c:order val="40"/>
          <c:tx>
            <c:strRef>
              <c:f>EVALUATION!$A$141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EVALUATION!$B$141:$AH$141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D16-4E7F-975B-C1DF40B91386}"/>
            </c:ext>
          </c:extLst>
        </c:ser>
        <c:ser>
          <c:idx val="40"/>
          <c:order val="41"/>
          <c:tx>
            <c:strRef>
              <c:f>EVALUATION!$A$142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EVALUATION!$B$142:$AH$142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D16-4E7F-975B-C1DF40B91386}"/>
            </c:ext>
          </c:extLst>
        </c:ser>
        <c:ser>
          <c:idx val="41"/>
          <c:order val="42"/>
          <c:tx>
            <c:strRef>
              <c:f>EVALUATION!$A$143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EVALUATION!$B$143:$AH$143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D16-4E7F-975B-C1DF40B91386}"/>
            </c:ext>
          </c:extLst>
        </c:ser>
        <c:ser>
          <c:idx val="42"/>
          <c:order val="43"/>
          <c:tx>
            <c:strRef>
              <c:f>EVALUATION!$A$144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EVALUATION!$B$144:$AH$144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D16-4E7F-975B-C1DF40B91386}"/>
            </c:ext>
          </c:extLst>
        </c:ser>
        <c:ser>
          <c:idx val="43"/>
          <c:order val="44"/>
          <c:tx>
            <c:strRef>
              <c:f>EVALUATION!$A$145</c:f>
              <c:strCache>
                <c:ptCount val="1"/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EVALUATION!$B$145:$AH$145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D16-4E7F-975B-C1DF40B91386}"/>
            </c:ext>
          </c:extLst>
        </c:ser>
        <c:ser>
          <c:idx val="44"/>
          <c:order val="45"/>
          <c:tx>
            <c:strRef>
              <c:f>EVALUATION!$A$146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EVALUATION!$B$146:$AH$146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D16-4E7F-975B-C1DF40B91386}"/>
            </c:ext>
          </c:extLst>
        </c:ser>
        <c:ser>
          <c:idx val="45"/>
          <c:order val="46"/>
          <c:tx>
            <c:strRef>
              <c:f>EVALUATION!$A$147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EVALUATION!$B$147:$AH$147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D16-4E7F-975B-C1DF40B91386}"/>
            </c:ext>
          </c:extLst>
        </c:ser>
        <c:ser>
          <c:idx val="46"/>
          <c:order val="47"/>
          <c:tx>
            <c:strRef>
              <c:f>EVALUATION!$A$148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EVALUATION!$B$148:$AH$148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D16-4E7F-975B-C1DF40B91386}"/>
            </c:ext>
          </c:extLst>
        </c:ser>
        <c:ser>
          <c:idx val="47"/>
          <c:order val="48"/>
          <c:tx>
            <c:strRef>
              <c:f>EVALUATION!$A$149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EVALUATION!$B$149:$AH$149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D16-4E7F-975B-C1DF40B91386}"/>
            </c:ext>
          </c:extLst>
        </c:ser>
        <c:ser>
          <c:idx val="48"/>
          <c:order val="49"/>
          <c:tx>
            <c:strRef>
              <c:f>EVALUATION!$A$150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EVALUATION!$B$150:$AH$150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D16-4E7F-975B-C1DF40B91386}"/>
            </c:ext>
          </c:extLst>
        </c:ser>
        <c:ser>
          <c:idx val="49"/>
          <c:order val="50"/>
          <c:tx>
            <c:strRef>
              <c:f>EVALUATION!$A$151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EVALUATION!$B$151:$AH$151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D16-4E7F-975B-C1DF40B91386}"/>
            </c:ext>
          </c:extLst>
        </c:ser>
        <c:ser>
          <c:idx val="50"/>
          <c:order val="51"/>
          <c:tx>
            <c:strRef>
              <c:f>EVALUATION!$A$152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EVALUATION!$B$152:$AH$152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D16-4E7F-975B-C1DF40B91386}"/>
            </c:ext>
          </c:extLst>
        </c:ser>
        <c:ser>
          <c:idx val="51"/>
          <c:order val="52"/>
          <c:tx>
            <c:strRef>
              <c:f>EVALUATION!$A$153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EVALUATION!$B$153:$AH$153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D16-4E7F-975B-C1DF40B91386}"/>
            </c:ext>
          </c:extLst>
        </c:ser>
        <c:ser>
          <c:idx val="52"/>
          <c:order val="53"/>
          <c:tx>
            <c:strRef>
              <c:f>EVALUATION!$A$154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EVALUATION!$B$154:$AH$154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D16-4E7F-975B-C1DF40B91386}"/>
            </c:ext>
          </c:extLst>
        </c:ser>
        <c:ser>
          <c:idx val="53"/>
          <c:order val="54"/>
          <c:tx>
            <c:strRef>
              <c:f>EVALUATION!$A$155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EVALUATION!$B$155:$AH$155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16-4E7F-975B-C1DF40B91386}"/>
            </c:ext>
          </c:extLst>
        </c:ser>
        <c:ser>
          <c:idx val="55"/>
          <c:order val="55"/>
          <c:tx>
            <c:strRef>
              <c:f>EVALUATION!$A$156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EVALUATION!$B$156:$AH$156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D16-4E7F-975B-C1DF40B91386}"/>
            </c:ext>
          </c:extLst>
        </c:ser>
        <c:ser>
          <c:idx val="56"/>
          <c:order val="56"/>
          <c:tx>
            <c:strRef>
              <c:f>EVALUATION!$A$157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EVALUATION!$B$157:$AH$157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D16-4E7F-975B-C1DF40B91386}"/>
            </c:ext>
          </c:extLst>
        </c:ser>
        <c:ser>
          <c:idx val="57"/>
          <c:order val="57"/>
          <c:tx>
            <c:strRef>
              <c:f>EVALUATION!$A$158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EVALUATION!$B$158:$AH$158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D16-4E7F-975B-C1DF40B91386}"/>
            </c:ext>
          </c:extLst>
        </c:ser>
        <c:ser>
          <c:idx val="58"/>
          <c:order val="58"/>
          <c:tx>
            <c:strRef>
              <c:f>EVALUATION!$A$159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EVALUATION!$B$159:$AH$159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D16-4E7F-975B-C1DF40B91386}"/>
            </c:ext>
          </c:extLst>
        </c:ser>
        <c:ser>
          <c:idx val="59"/>
          <c:order val="59"/>
          <c:tx>
            <c:strRef>
              <c:f>EVALUATION!$A$160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EVALUATION!$B$160:$AH$160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D16-4E7F-975B-C1DF40B91386}"/>
            </c:ext>
          </c:extLst>
        </c:ser>
        <c:ser>
          <c:idx val="60"/>
          <c:order val="60"/>
          <c:tx>
            <c:strRef>
              <c:f>EVALUATION!$A$161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EVALUATION!$B$161:$AH$161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D16-4E7F-975B-C1DF40B9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EVALUATION!$A$101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EVALUATION!$B$101:$AH$101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F45-444A-B599-5B97018058CE}"/>
            </c:ext>
          </c:extLst>
        </c:ser>
        <c:ser>
          <c:idx val="39"/>
          <c:order val="1"/>
          <c:tx>
            <c:strRef>
              <c:f>EVALUATION!$A$102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EVALUATION!$B$102:$AH$102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F45-444A-B599-5B97018058CE}"/>
            </c:ext>
          </c:extLst>
        </c:ser>
        <c:ser>
          <c:idx val="54"/>
          <c:order val="2"/>
          <c:tx>
            <c:strRef>
              <c:f>EVALUATION!$A$103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F45-444A-B599-5B97018058CE}"/>
              </c:ext>
            </c:extLst>
          </c:dPt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EVALUATION!$B$103:$AH$103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F45-444A-B599-5B97018058CE}"/>
            </c:ext>
          </c:extLst>
        </c:ser>
        <c:ser>
          <c:idx val="1"/>
          <c:order val="3"/>
          <c:tx>
            <c:strRef>
              <c:f>EVALUATION!$A$104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EVALUATION!$B$104:$AH$104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F45-444A-B599-5B97018058CE}"/>
            </c:ext>
          </c:extLst>
        </c:ser>
        <c:ser>
          <c:idx val="2"/>
          <c:order val="4"/>
          <c:tx>
            <c:strRef>
              <c:f>EVALUATION!$A$105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EVALUATION!$B$105:$AH$105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F45-444A-B599-5B97018058CE}"/>
            </c:ext>
          </c:extLst>
        </c:ser>
        <c:ser>
          <c:idx val="3"/>
          <c:order val="5"/>
          <c:tx>
            <c:strRef>
              <c:f>EVALUATION!$A$106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EVALUATION!$B$106:$AH$106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F45-444A-B599-5B97018058CE}"/>
            </c:ext>
          </c:extLst>
        </c:ser>
        <c:ser>
          <c:idx val="4"/>
          <c:order val="6"/>
          <c:tx>
            <c:strRef>
              <c:f>EVALUATION!$A$107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EVALUATION!$B$107:$AH$107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5-444A-B599-5B97018058CE}"/>
            </c:ext>
          </c:extLst>
        </c:ser>
        <c:ser>
          <c:idx val="5"/>
          <c:order val="7"/>
          <c:tx>
            <c:strRef>
              <c:f>EVALUATION!$A$108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EVALUATION!$B$108:$AH$108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F45-444A-B599-5B97018058CE}"/>
            </c:ext>
          </c:extLst>
        </c:ser>
        <c:ser>
          <c:idx val="6"/>
          <c:order val="8"/>
          <c:tx>
            <c:strRef>
              <c:f>EVALUATION!$A$109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EVALUATION!$B$109:$AH$109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F45-444A-B599-5B97018058CE}"/>
            </c:ext>
          </c:extLst>
        </c:ser>
        <c:ser>
          <c:idx val="7"/>
          <c:order val="9"/>
          <c:tx>
            <c:strRef>
              <c:f>EVALUATION!$A$110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EVALUATION!$B$110:$AH$110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F45-444A-B599-5B97018058CE}"/>
            </c:ext>
          </c:extLst>
        </c:ser>
        <c:ser>
          <c:idx val="8"/>
          <c:order val="10"/>
          <c:tx>
            <c:strRef>
              <c:f>EVALUATION!$A$111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EVALUATION!$B$111:$AH$111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F45-444A-B599-5B97018058CE}"/>
            </c:ext>
          </c:extLst>
        </c:ser>
        <c:ser>
          <c:idx val="9"/>
          <c:order val="11"/>
          <c:tx>
            <c:strRef>
              <c:f>EVALUATION!$A$112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EVALUATION!$B$112:$AH$112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F45-444A-B599-5B97018058CE}"/>
            </c:ext>
          </c:extLst>
        </c:ser>
        <c:ser>
          <c:idx val="10"/>
          <c:order val="12"/>
          <c:tx>
            <c:strRef>
              <c:f>EVALUATION!$A$113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EVALUATION!$B$113:$AH$113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F45-444A-B599-5B97018058CE}"/>
            </c:ext>
          </c:extLst>
        </c:ser>
        <c:ser>
          <c:idx val="11"/>
          <c:order val="13"/>
          <c:tx>
            <c:strRef>
              <c:f>EVALUATION!$A$114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EVALUATION!$B$114:$AH$114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F45-444A-B599-5B97018058CE}"/>
            </c:ext>
          </c:extLst>
        </c:ser>
        <c:ser>
          <c:idx val="12"/>
          <c:order val="14"/>
          <c:tx>
            <c:strRef>
              <c:f>EVALUATION!$A$115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EVALUATION!$B$115:$AH$115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F45-444A-B599-5B97018058CE}"/>
            </c:ext>
          </c:extLst>
        </c:ser>
        <c:ser>
          <c:idx val="13"/>
          <c:order val="15"/>
          <c:tx>
            <c:strRef>
              <c:f>EVALUATION!$A$116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EVALUATION!$B$116:$AH$116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F45-444A-B599-5B97018058CE}"/>
            </c:ext>
          </c:extLst>
        </c:ser>
        <c:ser>
          <c:idx val="14"/>
          <c:order val="16"/>
          <c:tx>
            <c:strRef>
              <c:f>EVALUATION!$A$117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EVALUATION!$B$117:$AH$117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F45-444A-B599-5B97018058CE}"/>
            </c:ext>
          </c:extLst>
        </c:ser>
        <c:ser>
          <c:idx val="15"/>
          <c:order val="17"/>
          <c:tx>
            <c:strRef>
              <c:f>EVALUATION!$A$118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EVALUATION!$B$118:$AH$118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F45-444A-B599-5B97018058CE}"/>
            </c:ext>
          </c:extLst>
        </c:ser>
        <c:ser>
          <c:idx val="16"/>
          <c:order val="18"/>
          <c:tx>
            <c:strRef>
              <c:f>EVALUATION!$A$119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EVALUATION!$B$119:$AH$119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F45-444A-B599-5B97018058CE}"/>
            </c:ext>
          </c:extLst>
        </c:ser>
        <c:ser>
          <c:idx val="17"/>
          <c:order val="19"/>
          <c:tx>
            <c:strRef>
              <c:f>EVALUATION!$A$120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EVALUATION!$B$120:$AH$120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F45-444A-B599-5B97018058CE}"/>
            </c:ext>
          </c:extLst>
        </c:ser>
        <c:ser>
          <c:idx val="18"/>
          <c:order val="20"/>
          <c:tx>
            <c:strRef>
              <c:f>EVALUATION!$A$121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EVALUATION!$B$121:$AH$121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F45-444A-B599-5B97018058CE}"/>
            </c:ext>
          </c:extLst>
        </c:ser>
        <c:ser>
          <c:idx val="19"/>
          <c:order val="21"/>
          <c:tx>
            <c:strRef>
              <c:f>EVALUATION!$A$122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EVALUATION!$B$122:$AH$122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F45-444A-B599-5B97018058CE}"/>
            </c:ext>
          </c:extLst>
        </c:ser>
        <c:ser>
          <c:idx val="20"/>
          <c:order val="22"/>
          <c:tx>
            <c:strRef>
              <c:f>EVALUATION!$A$123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EVALUATION!$B$123:$AH$123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F45-444A-B599-5B97018058CE}"/>
            </c:ext>
          </c:extLst>
        </c:ser>
        <c:ser>
          <c:idx val="21"/>
          <c:order val="23"/>
          <c:tx>
            <c:strRef>
              <c:f>EVALUATION!$A$124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EVALUATION!$B$124:$AH$124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F45-444A-B599-5B97018058CE}"/>
            </c:ext>
          </c:extLst>
        </c:ser>
        <c:ser>
          <c:idx val="22"/>
          <c:order val="24"/>
          <c:tx>
            <c:strRef>
              <c:f>EVALUATION!$A$125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EVALUATION!$B$125:$AH$125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F45-444A-B599-5B97018058CE}"/>
            </c:ext>
          </c:extLst>
        </c:ser>
        <c:ser>
          <c:idx val="23"/>
          <c:order val="25"/>
          <c:tx>
            <c:strRef>
              <c:f>EVALUATION!$A$126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EVALUATION!$B$126:$AH$126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F45-444A-B599-5B97018058CE}"/>
            </c:ext>
          </c:extLst>
        </c:ser>
        <c:ser>
          <c:idx val="24"/>
          <c:order val="26"/>
          <c:tx>
            <c:strRef>
              <c:f>EVALUATION!$A$127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EVALUATION!$B$127:$AH$127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F45-444A-B599-5B97018058CE}"/>
            </c:ext>
          </c:extLst>
        </c:ser>
        <c:ser>
          <c:idx val="25"/>
          <c:order val="27"/>
          <c:tx>
            <c:strRef>
              <c:f>EVALUATION!$A$128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EVALUATION!$B$128:$AH$128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F45-444A-B599-5B97018058CE}"/>
            </c:ext>
          </c:extLst>
        </c:ser>
        <c:ser>
          <c:idx val="26"/>
          <c:order val="28"/>
          <c:tx>
            <c:strRef>
              <c:f>EVALUATION!$A$129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EVALUATION!$B$129:$AH$129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F45-444A-B599-5B97018058CE}"/>
            </c:ext>
          </c:extLst>
        </c:ser>
        <c:ser>
          <c:idx val="27"/>
          <c:order val="29"/>
          <c:tx>
            <c:strRef>
              <c:f>EVALUATION!$A$130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EVALUATION!$B$130:$AH$130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32" formatCode="General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F45-444A-B599-5B97018058CE}"/>
            </c:ext>
          </c:extLst>
        </c:ser>
        <c:ser>
          <c:idx val="28"/>
          <c:order val="30"/>
          <c:tx>
            <c:strRef>
              <c:f>EVALUATION!$A$131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EVALUATION!$B$131:$AH$131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F45-444A-B599-5B97018058CE}"/>
            </c:ext>
          </c:extLst>
        </c:ser>
        <c:ser>
          <c:idx val="29"/>
          <c:order val="31"/>
          <c:tx>
            <c:strRef>
              <c:f>EVALUATION!$A$132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EVALUATION!$B$132:$AH$132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F45-444A-B599-5B97018058CE}"/>
            </c:ext>
          </c:extLst>
        </c:ser>
        <c:ser>
          <c:idx val="30"/>
          <c:order val="32"/>
          <c:tx>
            <c:strRef>
              <c:f>EVALUATION!$A$133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EVALUATION!$B$133:$AH$133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F45-444A-B599-5B97018058CE}"/>
            </c:ext>
          </c:extLst>
        </c:ser>
        <c:ser>
          <c:idx val="31"/>
          <c:order val="33"/>
          <c:tx>
            <c:strRef>
              <c:f>EVALUATION!$A$134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EVALUATION!$B$134:$AH$134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F45-444A-B599-5B97018058CE}"/>
            </c:ext>
          </c:extLst>
        </c:ser>
        <c:ser>
          <c:idx val="32"/>
          <c:order val="34"/>
          <c:tx>
            <c:strRef>
              <c:f>EVALUATION!$A$135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EVALUATION!$B$135:$AH$135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F45-444A-B599-5B97018058CE}"/>
            </c:ext>
          </c:extLst>
        </c:ser>
        <c:ser>
          <c:idx val="33"/>
          <c:order val="35"/>
          <c:tx>
            <c:strRef>
              <c:f>EVALUATION!$A$136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EVALUATION!$B$136:$AH$136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F45-444A-B599-5B97018058CE}"/>
            </c:ext>
          </c:extLst>
        </c:ser>
        <c:ser>
          <c:idx val="34"/>
          <c:order val="36"/>
          <c:tx>
            <c:strRef>
              <c:f>EVALUATION!$A$137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EVALUATION!$B$137:$AH$137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45-444A-B599-5B97018058CE}"/>
            </c:ext>
          </c:extLst>
        </c:ser>
        <c:ser>
          <c:idx val="35"/>
          <c:order val="37"/>
          <c:tx>
            <c:strRef>
              <c:f>EVALUATION!$A$138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EVALUATION!$B$138:$AH$138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F45-444A-B599-5B97018058CE}"/>
            </c:ext>
          </c:extLst>
        </c:ser>
        <c:ser>
          <c:idx val="36"/>
          <c:order val="38"/>
          <c:tx>
            <c:strRef>
              <c:f>EVALUATION!$A$139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EVALUATION!$B$139:$AH$139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F45-444A-B599-5B97018058CE}"/>
            </c:ext>
          </c:extLst>
        </c:ser>
        <c:ser>
          <c:idx val="37"/>
          <c:order val="39"/>
          <c:tx>
            <c:strRef>
              <c:f>EVALUATION!$A$140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EVALUATION!$B$140:$AH$140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F45-444A-B599-5B97018058CE}"/>
            </c:ext>
          </c:extLst>
        </c:ser>
        <c:ser>
          <c:idx val="38"/>
          <c:order val="40"/>
          <c:tx>
            <c:strRef>
              <c:f>EVALUATION!$A$141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EVALUATION!$B$141:$AH$141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F45-444A-B599-5B97018058CE}"/>
            </c:ext>
          </c:extLst>
        </c:ser>
        <c:ser>
          <c:idx val="40"/>
          <c:order val="41"/>
          <c:tx>
            <c:strRef>
              <c:f>EVALUATION!$A$142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EVALUATION!$B$142:$AH$142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F45-444A-B599-5B97018058CE}"/>
            </c:ext>
          </c:extLst>
        </c:ser>
        <c:ser>
          <c:idx val="41"/>
          <c:order val="42"/>
          <c:tx>
            <c:strRef>
              <c:f>EVALUATION!$A$143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EVALUATION!$B$143:$AH$143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F45-444A-B599-5B97018058CE}"/>
            </c:ext>
          </c:extLst>
        </c:ser>
        <c:ser>
          <c:idx val="42"/>
          <c:order val="43"/>
          <c:tx>
            <c:strRef>
              <c:f>EVALUATION!$A$144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EVALUATION!$B$144:$AH$144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F45-444A-B599-5B97018058CE}"/>
            </c:ext>
          </c:extLst>
        </c:ser>
        <c:ser>
          <c:idx val="43"/>
          <c:order val="44"/>
          <c:tx>
            <c:strRef>
              <c:f>EVALUATION!$A$145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EVALUATION!$B$145:$AH$145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F45-444A-B599-5B97018058CE}"/>
            </c:ext>
          </c:extLst>
        </c:ser>
        <c:ser>
          <c:idx val="44"/>
          <c:order val="45"/>
          <c:tx>
            <c:strRef>
              <c:f>EVALUATION!$A$146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EVALUATION!$B$146:$AH$146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F45-444A-B599-5B97018058CE}"/>
            </c:ext>
          </c:extLst>
        </c:ser>
        <c:ser>
          <c:idx val="45"/>
          <c:order val="46"/>
          <c:tx>
            <c:strRef>
              <c:f>EVALUATION!$A$147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EVALUATION!$B$147:$AH$147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F45-444A-B599-5B97018058CE}"/>
            </c:ext>
          </c:extLst>
        </c:ser>
        <c:ser>
          <c:idx val="46"/>
          <c:order val="47"/>
          <c:tx>
            <c:strRef>
              <c:f>EVALUATION!$A$148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EVALUATION!$B$148:$AH$148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F45-444A-B599-5B97018058CE}"/>
            </c:ext>
          </c:extLst>
        </c:ser>
        <c:ser>
          <c:idx val="47"/>
          <c:order val="48"/>
          <c:tx>
            <c:strRef>
              <c:f>EVALUATION!$A$149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EVALUATION!$B$149:$AH$149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F45-444A-B599-5B97018058CE}"/>
            </c:ext>
          </c:extLst>
        </c:ser>
        <c:ser>
          <c:idx val="48"/>
          <c:order val="49"/>
          <c:tx>
            <c:strRef>
              <c:f>EVALUATION!$A$150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EVALUATION!$B$150:$AH$150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F45-444A-B599-5B97018058CE}"/>
            </c:ext>
          </c:extLst>
        </c:ser>
        <c:ser>
          <c:idx val="49"/>
          <c:order val="50"/>
          <c:tx>
            <c:strRef>
              <c:f>EVALUATION!$A$151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EVALUATION!$B$151:$AH$151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F45-444A-B599-5B97018058CE}"/>
            </c:ext>
          </c:extLst>
        </c:ser>
        <c:ser>
          <c:idx val="50"/>
          <c:order val="51"/>
          <c:tx>
            <c:strRef>
              <c:f>EVALUATION!$A$152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EVALUATION!$B$152:$AH$152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F45-444A-B599-5B97018058CE}"/>
            </c:ext>
          </c:extLst>
        </c:ser>
        <c:ser>
          <c:idx val="51"/>
          <c:order val="52"/>
          <c:tx>
            <c:strRef>
              <c:f>EVALUATION!$A$153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EVALUATION!$B$153:$AH$153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F45-444A-B599-5B97018058CE}"/>
            </c:ext>
          </c:extLst>
        </c:ser>
        <c:ser>
          <c:idx val="52"/>
          <c:order val="53"/>
          <c:tx>
            <c:strRef>
              <c:f>EVALUATION!$A$154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EVALUATION!$B$154:$AH$154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F45-444A-B599-5B97018058CE}"/>
            </c:ext>
          </c:extLst>
        </c:ser>
        <c:ser>
          <c:idx val="53"/>
          <c:order val="54"/>
          <c:tx>
            <c:strRef>
              <c:f>EVALUATION!$A$155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EVALUATION!$B$155:$AH$155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45-444A-B599-5B97018058CE}"/>
            </c:ext>
          </c:extLst>
        </c:ser>
        <c:ser>
          <c:idx val="55"/>
          <c:order val="55"/>
          <c:tx>
            <c:strRef>
              <c:f>EVALUATION!$A$156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EVALUATION!$B$156:$AH$156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45-444A-B599-5B97018058CE}"/>
            </c:ext>
          </c:extLst>
        </c:ser>
        <c:ser>
          <c:idx val="56"/>
          <c:order val="56"/>
          <c:tx>
            <c:strRef>
              <c:f>EVALUATION!$A$157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EVALUATION!$B$157:$AH$157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45-444A-B599-5B97018058CE}"/>
            </c:ext>
          </c:extLst>
        </c:ser>
        <c:ser>
          <c:idx val="57"/>
          <c:order val="57"/>
          <c:tx>
            <c:strRef>
              <c:f>EVALUATION!$A$158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EVALUATION!$B$158:$AH$158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45-444A-B599-5B97018058CE}"/>
            </c:ext>
          </c:extLst>
        </c:ser>
        <c:ser>
          <c:idx val="58"/>
          <c:order val="58"/>
          <c:tx>
            <c:strRef>
              <c:f>EVALUATION!$A$159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EVALUATION!$B$159:$AH$159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45-444A-B599-5B97018058CE}"/>
            </c:ext>
          </c:extLst>
        </c:ser>
        <c:ser>
          <c:idx val="59"/>
          <c:order val="59"/>
          <c:tx>
            <c:strRef>
              <c:f>EVALUATION!$A$160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EVALUATION!$B$160:$AH$160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45-444A-B599-5B97018058CE}"/>
            </c:ext>
          </c:extLst>
        </c:ser>
        <c:ser>
          <c:idx val="60"/>
          <c:order val="60"/>
          <c:tx>
            <c:strRef>
              <c:f>EVALUATION!$A$161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EVALUATION!$B$161:$AH$161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45-444A-B599-5B970180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EVALUATION!$A$101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EVALUATION!$B$101:$AH$101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E28-4420-B8DD-7D9C02A58C4F}"/>
            </c:ext>
          </c:extLst>
        </c:ser>
        <c:ser>
          <c:idx val="39"/>
          <c:order val="1"/>
          <c:tx>
            <c:strRef>
              <c:f>EVALUATION!$A$102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EVALUATION!$B$102:$AH$102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28-4420-B8DD-7D9C02A58C4F}"/>
            </c:ext>
          </c:extLst>
        </c:ser>
        <c:ser>
          <c:idx val="54"/>
          <c:order val="2"/>
          <c:tx>
            <c:strRef>
              <c:f>EVALUATION!$A$103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E28-4420-B8DD-7D9C02A58C4F}"/>
              </c:ext>
            </c:extLst>
          </c:dPt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EVALUATION!$B$103:$AH$103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E28-4420-B8DD-7D9C02A58C4F}"/>
            </c:ext>
          </c:extLst>
        </c:ser>
        <c:ser>
          <c:idx val="1"/>
          <c:order val="3"/>
          <c:tx>
            <c:strRef>
              <c:f>EVALUATION!$A$104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EVALUATION!$B$104:$AH$104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28-4420-B8DD-7D9C02A58C4F}"/>
            </c:ext>
          </c:extLst>
        </c:ser>
        <c:ser>
          <c:idx val="2"/>
          <c:order val="4"/>
          <c:tx>
            <c:strRef>
              <c:f>EVALUATION!$A$105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EVALUATION!$B$105:$AH$105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28-4420-B8DD-7D9C02A58C4F}"/>
            </c:ext>
          </c:extLst>
        </c:ser>
        <c:ser>
          <c:idx val="3"/>
          <c:order val="5"/>
          <c:tx>
            <c:strRef>
              <c:f>EVALUATION!$A$106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EVALUATION!$B$106:$AH$106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28-4420-B8DD-7D9C02A58C4F}"/>
            </c:ext>
          </c:extLst>
        </c:ser>
        <c:ser>
          <c:idx val="4"/>
          <c:order val="6"/>
          <c:tx>
            <c:strRef>
              <c:f>EVALUATION!$A$107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EVALUATION!$B$107:$AH$107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28-4420-B8DD-7D9C02A58C4F}"/>
            </c:ext>
          </c:extLst>
        </c:ser>
        <c:ser>
          <c:idx val="5"/>
          <c:order val="7"/>
          <c:tx>
            <c:strRef>
              <c:f>EVALUATION!$A$108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EVALUATION!$B$108:$AH$108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28-4420-B8DD-7D9C02A58C4F}"/>
            </c:ext>
          </c:extLst>
        </c:ser>
        <c:ser>
          <c:idx val="6"/>
          <c:order val="8"/>
          <c:tx>
            <c:strRef>
              <c:f>EVALUATION!$A$109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EVALUATION!$B$109:$AH$109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28-4420-B8DD-7D9C02A58C4F}"/>
            </c:ext>
          </c:extLst>
        </c:ser>
        <c:ser>
          <c:idx val="7"/>
          <c:order val="9"/>
          <c:tx>
            <c:strRef>
              <c:f>EVALUATION!$A$110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EVALUATION!$B$110:$AH$110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28-4420-B8DD-7D9C02A58C4F}"/>
            </c:ext>
          </c:extLst>
        </c:ser>
        <c:ser>
          <c:idx val="8"/>
          <c:order val="10"/>
          <c:tx>
            <c:strRef>
              <c:f>EVALUATION!$A$111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EVALUATION!$B$111:$AH$111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E28-4420-B8DD-7D9C02A58C4F}"/>
            </c:ext>
          </c:extLst>
        </c:ser>
        <c:ser>
          <c:idx val="9"/>
          <c:order val="11"/>
          <c:tx>
            <c:strRef>
              <c:f>EVALUATION!$A$112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EVALUATION!$B$112:$AH$112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E28-4420-B8DD-7D9C02A58C4F}"/>
            </c:ext>
          </c:extLst>
        </c:ser>
        <c:ser>
          <c:idx val="10"/>
          <c:order val="12"/>
          <c:tx>
            <c:strRef>
              <c:f>EVALUATION!$A$113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EVALUATION!$B$113:$AH$113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E28-4420-B8DD-7D9C02A58C4F}"/>
            </c:ext>
          </c:extLst>
        </c:ser>
        <c:ser>
          <c:idx val="11"/>
          <c:order val="13"/>
          <c:tx>
            <c:strRef>
              <c:f>EVALUATION!$A$114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EVALUATION!$B$114:$AH$114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E28-4420-B8DD-7D9C02A58C4F}"/>
            </c:ext>
          </c:extLst>
        </c:ser>
        <c:ser>
          <c:idx val="12"/>
          <c:order val="14"/>
          <c:tx>
            <c:strRef>
              <c:f>EVALUATION!$A$115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EVALUATION!$B$115:$AH$115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E28-4420-B8DD-7D9C02A58C4F}"/>
            </c:ext>
          </c:extLst>
        </c:ser>
        <c:ser>
          <c:idx val="13"/>
          <c:order val="15"/>
          <c:tx>
            <c:strRef>
              <c:f>EVALUATION!$A$116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EVALUATION!$B$116:$AH$116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E28-4420-B8DD-7D9C02A58C4F}"/>
            </c:ext>
          </c:extLst>
        </c:ser>
        <c:ser>
          <c:idx val="14"/>
          <c:order val="16"/>
          <c:tx>
            <c:strRef>
              <c:f>EVALUATION!$A$117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EVALUATION!$B$117:$AH$117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E28-4420-B8DD-7D9C02A58C4F}"/>
            </c:ext>
          </c:extLst>
        </c:ser>
        <c:ser>
          <c:idx val="15"/>
          <c:order val="17"/>
          <c:tx>
            <c:strRef>
              <c:f>EVALUATION!$A$118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EVALUATION!$B$118:$AH$118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E28-4420-B8DD-7D9C02A58C4F}"/>
            </c:ext>
          </c:extLst>
        </c:ser>
        <c:ser>
          <c:idx val="16"/>
          <c:order val="18"/>
          <c:tx>
            <c:strRef>
              <c:f>EVALUATION!$A$119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EVALUATION!$B$119:$AH$119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E28-4420-B8DD-7D9C02A58C4F}"/>
            </c:ext>
          </c:extLst>
        </c:ser>
        <c:ser>
          <c:idx val="17"/>
          <c:order val="19"/>
          <c:tx>
            <c:strRef>
              <c:f>EVALUATION!$A$120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EVALUATION!$B$120:$AH$120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E28-4420-B8DD-7D9C02A58C4F}"/>
            </c:ext>
          </c:extLst>
        </c:ser>
        <c:ser>
          <c:idx val="18"/>
          <c:order val="20"/>
          <c:tx>
            <c:strRef>
              <c:f>EVALUATION!$A$121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EVALUATION!$B$121:$AH$121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E28-4420-B8DD-7D9C02A58C4F}"/>
            </c:ext>
          </c:extLst>
        </c:ser>
        <c:ser>
          <c:idx val="19"/>
          <c:order val="21"/>
          <c:tx>
            <c:strRef>
              <c:f>EVALUATION!$A$122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EVALUATION!$B$122:$AH$122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E28-4420-B8DD-7D9C02A58C4F}"/>
            </c:ext>
          </c:extLst>
        </c:ser>
        <c:ser>
          <c:idx val="20"/>
          <c:order val="22"/>
          <c:tx>
            <c:strRef>
              <c:f>EVALUATION!$A$123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EVALUATION!$B$123:$AH$123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E28-4420-B8DD-7D9C02A58C4F}"/>
            </c:ext>
          </c:extLst>
        </c:ser>
        <c:ser>
          <c:idx val="21"/>
          <c:order val="23"/>
          <c:tx>
            <c:strRef>
              <c:f>EVALUATION!$A$124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EVALUATION!$B$124:$AH$124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E28-4420-B8DD-7D9C02A58C4F}"/>
            </c:ext>
          </c:extLst>
        </c:ser>
        <c:ser>
          <c:idx val="22"/>
          <c:order val="24"/>
          <c:tx>
            <c:strRef>
              <c:f>EVALUATION!$A$125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EVALUATION!$B$125:$AH$125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E28-4420-B8DD-7D9C02A58C4F}"/>
            </c:ext>
          </c:extLst>
        </c:ser>
        <c:ser>
          <c:idx val="23"/>
          <c:order val="25"/>
          <c:tx>
            <c:strRef>
              <c:f>EVALUATION!$A$126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EVALUATION!$B$126:$AH$126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E28-4420-B8DD-7D9C02A58C4F}"/>
            </c:ext>
          </c:extLst>
        </c:ser>
        <c:ser>
          <c:idx val="24"/>
          <c:order val="26"/>
          <c:tx>
            <c:strRef>
              <c:f>EVALUATION!$A$127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EVALUATION!$B$127:$AH$127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E28-4420-B8DD-7D9C02A58C4F}"/>
            </c:ext>
          </c:extLst>
        </c:ser>
        <c:ser>
          <c:idx val="25"/>
          <c:order val="27"/>
          <c:tx>
            <c:strRef>
              <c:f>EVALUATION!$A$128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EVALUATION!$B$128:$AH$128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E28-4420-B8DD-7D9C02A58C4F}"/>
            </c:ext>
          </c:extLst>
        </c:ser>
        <c:ser>
          <c:idx val="26"/>
          <c:order val="28"/>
          <c:tx>
            <c:strRef>
              <c:f>EVALUATION!$A$129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EVALUATION!$B$129:$AH$129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E28-4420-B8DD-7D9C02A58C4F}"/>
            </c:ext>
          </c:extLst>
        </c:ser>
        <c:ser>
          <c:idx val="27"/>
          <c:order val="29"/>
          <c:tx>
            <c:strRef>
              <c:f>EVALUATION!$A$130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EVALUATION!$B$130:$AH$130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32" formatCode="General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E28-4420-B8DD-7D9C02A58C4F}"/>
            </c:ext>
          </c:extLst>
        </c:ser>
        <c:ser>
          <c:idx val="28"/>
          <c:order val="30"/>
          <c:tx>
            <c:strRef>
              <c:f>EVALUATION!$A$131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EVALUATION!$B$131:$AH$131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E28-4420-B8DD-7D9C02A58C4F}"/>
            </c:ext>
          </c:extLst>
        </c:ser>
        <c:ser>
          <c:idx val="29"/>
          <c:order val="31"/>
          <c:tx>
            <c:strRef>
              <c:f>EVALUATION!$A$132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EVALUATION!$B$132:$AH$132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E28-4420-B8DD-7D9C02A58C4F}"/>
            </c:ext>
          </c:extLst>
        </c:ser>
        <c:ser>
          <c:idx val="30"/>
          <c:order val="32"/>
          <c:tx>
            <c:strRef>
              <c:f>EVALUATION!$A$133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EVALUATION!$B$133:$AH$133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E28-4420-B8DD-7D9C02A58C4F}"/>
            </c:ext>
          </c:extLst>
        </c:ser>
        <c:ser>
          <c:idx val="31"/>
          <c:order val="33"/>
          <c:tx>
            <c:strRef>
              <c:f>EVALUATION!$A$134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EVALUATION!$B$134:$AH$134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E28-4420-B8DD-7D9C02A58C4F}"/>
            </c:ext>
          </c:extLst>
        </c:ser>
        <c:ser>
          <c:idx val="32"/>
          <c:order val="34"/>
          <c:tx>
            <c:strRef>
              <c:f>EVALUATION!$A$135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EVALUATION!$B$135:$AH$135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E28-4420-B8DD-7D9C02A58C4F}"/>
            </c:ext>
          </c:extLst>
        </c:ser>
        <c:ser>
          <c:idx val="33"/>
          <c:order val="35"/>
          <c:tx>
            <c:strRef>
              <c:f>EVALUATION!$A$136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EVALUATION!$B$136:$AH$136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E28-4420-B8DD-7D9C02A58C4F}"/>
            </c:ext>
          </c:extLst>
        </c:ser>
        <c:ser>
          <c:idx val="34"/>
          <c:order val="36"/>
          <c:tx>
            <c:strRef>
              <c:f>EVALUATION!$A$137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EVALUATION!$B$137:$AH$137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E28-4420-B8DD-7D9C02A58C4F}"/>
            </c:ext>
          </c:extLst>
        </c:ser>
        <c:ser>
          <c:idx val="35"/>
          <c:order val="37"/>
          <c:tx>
            <c:strRef>
              <c:f>EVALUATION!$A$138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EVALUATION!$B$138:$AH$138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E28-4420-B8DD-7D9C02A58C4F}"/>
            </c:ext>
          </c:extLst>
        </c:ser>
        <c:ser>
          <c:idx val="36"/>
          <c:order val="38"/>
          <c:tx>
            <c:strRef>
              <c:f>EVALUATION!$A$139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EVALUATION!$B$139:$AH$139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E28-4420-B8DD-7D9C02A58C4F}"/>
            </c:ext>
          </c:extLst>
        </c:ser>
        <c:ser>
          <c:idx val="37"/>
          <c:order val="39"/>
          <c:tx>
            <c:strRef>
              <c:f>EVALUATION!$A$140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EVALUATION!$B$140:$AH$140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E28-4420-B8DD-7D9C02A58C4F}"/>
            </c:ext>
          </c:extLst>
        </c:ser>
        <c:ser>
          <c:idx val="38"/>
          <c:order val="40"/>
          <c:tx>
            <c:strRef>
              <c:f>EVALUATION!$A$141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EVALUATION!$B$141:$AH$141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E28-4420-B8DD-7D9C02A58C4F}"/>
            </c:ext>
          </c:extLst>
        </c:ser>
        <c:ser>
          <c:idx val="40"/>
          <c:order val="41"/>
          <c:tx>
            <c:strRef>
              <c:f>EVALUATION!$A$142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EVALUATION!$B$142:$AH$142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E28-4420-B8DD-7D9C02A58C4F}"/>
            </c:ext>
          </c:extLst>
        </c:ser>
        <c:ser>
          <c:idx val="41"/>
          <c:order val="42"/>
          <c:tx>
            <c:strRef>
              <c:f>EVALUATION!$A$143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EVALUATION!$B$143:$AH$143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E28-4420-B8DD-7D9C02A58C4F}"/>
            </c:ext>
          </c:extLst>
        </c:ser>
        <c:ser>
          <c:idx val="42"/>
          <c:order val="43"/>
          <c:tx>
            <c:strRef>
              <c:f>EVALUATION!$A$144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EVALUATION!$B$144:$AH$144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E28-4420-B8DD-7D9C02A58C4F}"/>
            </c:ext>
          </c:extLst>
        </c:ser>
        <c:ser>
          <c:idx val="43"/>
          <c:order val="44"/>
          <c:tx>
            <c:strRef>
              <c:f>EVALUATION!$A$145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EVALUATION!$B$145:$AH$145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E28-4420-B8DD-7D9C02A58C4F}"/>
            </c:ext>
          </c:extLst>
        </c:ser>
        <c:ser>
          <c:idx val="44"/>
          <c:order val="45"/>
          <c:tx>
            <c:strRef>
              <c:f>EVALUATION!$A$146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EVALUATION!$B$146:$AH$146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E28-4420-B8DD-7D9C02A58C4F}"/>
            </c:ext>
          </c:extLst>
        </c:ser>
        <c:ser>
          <c:idx val="45"/>
          <c:order val="46"/>
          <c:tx>
            <c:strRef>
              <c:f>EVALUATION!$A$147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EVALUATION!$B$147:$AH$147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E28-4420-B8DD-7D9C02A58C4F}"/>
            </c:ext>
          </c:extLst>
        </c:ser>
        <c:ser>
          <c:idx val="46"/>
          <c:order val="47"/>
          <c:tx>
            <c:strRef>
              <c:f>EVALUATION!$A$148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EVALUATION!$B$148:$AH$148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E28-4420-B8DD-7D9C02A58C4F}"/>
            </c:ext>
          </c:extLst>
        </c:ser>
        <c:ser>
          <c:idx val="47"/>
          <c:order val="48"/>
          <c:tx>
            <c:strRef>
              <c:f>EVALUATION!$A$149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EVALUATION!$B$149:$AH$149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E28-4420-B8DD-7D9C02A58C4F}"/>
            </c:ext>
          </c:extLst>
        </c:ser>
        <c:ser>
          <c:idx val="48"/>
          <c:order val="49"/>
          <c:tx>
            <c:strRef>
              <c:f>EVALUATION!$A$150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EVALUATION!$B$150:$AH$150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E28-4420-B8DD-7D9C02A58C4F}"/>
            </c:ext>
          </c:extLst>
        </c:ser>
        <c:ser>
          <c:idx val="49"/>
          <c:order val="50"/>
          <c:tx>
            <c:strRef>
              <c:f>EVALUATION!$A$151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EVALUATION!$B$151:$AH$151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E28-4420-B8DD-7D9C02A58C4F}"/>
            </c:ext>
          </c:extLst>
        </c:ser>
        <c:ser>
          <c:idx val="50"/>
          <c:order val="51"/>
          <c:tx>
            <c:strRef>
              <c:f>EVALUATION!$A$152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EVALUATION!$B$152:$AH$152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E28-4420-B8DD-7D9C02A58C4F}"/>
            </c:ext>
          </c:extLst>
        </c:ser>
        <c:ser>
          <c:idx val="51"/>
          <c:order val="52"/>
          <c:tx>
            <c:strRef>
              <c:f>EVALUATION!$A$153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EVALUATION!$B$153:$AH$153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E28-4420-B8DD-7D9C02A58C4F}"/>
            </c:ext>
          </c:extLst>
        </c:ser>
        <c:ser>
          <c:idx val="52"/>
          <c:order val="53"/>
          <c:tx>
            <c:strRef>
              <c:f>EVALUATION!$A$154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EVALUATION!$B$154:$AH$154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E28-4420-B8DD-7D9C02A58C4F}"/>
            </c:ext>
          </c:extLst>
        </c:ser>
        <c:ser>
          <c:idx val="53"/>
          <c:order val="54"/>
          <c:tx>
            <c:strRef>
              <c:f>EVALUATION!$A$155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EVALUATION!$B$155:$AH$155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E28-4420-B8DD-7D9C02A58C4F}"/>
            </c:ext>
          </c:extLst>
        </c:ser>
        <c:ser>
          <c:idx val="55"/>
          <c:order val="55"/>
          <c:tx>
            <c:strRef>
              <c:f>EVALUATION!$A$156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EVALUATION!$B$156:$AH$156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E28-4420-B8DD-7D9C02A58C4F}"/>
            </c:ext>
          </c:extLst>
        </c:ser>
        <c:ser>
          <c:idx val="56"/>
          <c:order val="56"/>
          <c:tx>
            <c:strRef>
              <c:f>EVALUATION!$A$157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EVALUATION!$B$157:$AH$157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E28-4420-B8DD-7D9C02A58C4F}"/>
            </c:ext>
          </c:extLst>
        </c:ser>
        <c:ser>
          <c:idx val="57"/>
          <c:order val="57"/>
          <c:tx>
            <c:strRef>
              <c:f>EVALUATION!$A$158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EVALUATION!$B$158:$AH$158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E28-4420-B8DD-7D9C02A58C4F}"/>
            </c:ext>
          </c:extLst>
        </c:ser>
        <c:ser>
          <c:idx val="58"/>
          <c:order val="58"/>
          <c:tx>
            <c:strRef>
              <c:f>EVALUATION!$A$159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EVALUATION!$B$159:$AH$159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E28-4420-B8DD-7D9C02A58C4F}"/>
            </c:ext>
          </c:extLst>
        </c:ser>
        <c:ser>
          <c:idx val="59"/>
          <c:order val="59"/>
          <c:tx>
            <c:strRef>
              <c:f>EVALUATION!$A$160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EVALUATION!$B$160:$AH$160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E28-4420-B8DD-7D9C02A58C4F}"/>
            </c:ext>
          </c:extLst>
        </c:ser>
        <c:ser>
          <c:idx val="60"/>
          <c:order val="60"/>
          <c:tx>
            <c:strRef>
              <c:f>EVALUATION!$A$161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EVALUATION!$B$161:$AH$161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E28-4420-B8DD-7D9C02A5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EVALUATION!$A$101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EVALUATION!$B$101:$AH$101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52-48C1-879E-D295987745E2}"/>
            </c:ext>
          </c:extLst>
        </c:ser>
        <c:ser>
          <c:idx val="39"/>
          <c:order val="1"/>
          <c:tx>
            <c:strRef>
              <c:f>EVALUATION!$A$102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EVALUATION!$B$102:$AH$102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A52-48C1-879E-D295987745E2}"/>
            </c:ext>
          </c:extLst>
        </c:ser>
        <c:ser>
          <c:idx val="54"/>
          <c:order val="2"/>
          <c:tx>
            <c:strRef>
              <c:f>EVALUATION!$A$103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A52-48C1-879E-D295987745E2}"/>
              </c:ext>
            </c:extLst>
          </c:dPt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EVALUATION!$B$103:$AH$103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A52-48C1-879E-D295987745E2}"/>
            </c:ext>
          </c:extLst>
        </c:ser>
        <c:ser>
          <c:idx val="1"/>
          <c:order val="3"/>
          <c:tx>
            <c:strRef>
              <c:f>EVALUATION!$A$104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EVALUATION!$B$104:$AH$104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A52-48C1-879E-D295987745E2}"/>
            </c:ext>
          </c:extLst>
        </c:ser>
        <c:ser>
          <c:idx val="2"/>
          <c:order val="4"/>
          <c:tx>
            <c:strRef>
              <c:f>EVALUATION!$A$105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EVALUATION!$B$105:$AH$105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A52-48C1-879E-D295987745E2}"/>
            </c:ext>
          </c:extLst>
        </c:ser>
        <c:ser>
          <c:idx val="3"/>
          <c:order val="5"/>
          <c:tx>
            <c:strRef>
              <c:f>EVALUATION!$A$106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EVALUATION!$B$106:$AH$106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4A52-48C1-879E-D295987745E2}"/>
            </c:ext>
          </c:extLst>
        </c:ser>
        <c:ser>
          <c:idx val="4"/>
          <c:order val="6"/>
          <c:tx>
            <c:strRef>
              <c:f>EVALUATION!$A$107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EVALUATION!$B$107:$AH$107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A52-48C1-879E-D295987745E2}"/>
            </c:ext>
          </c:extLst>
        </c:ser>
        <c:ser>
          <c:idx val="5"/>
          <c:order val="7"/>
          <c:tx>
            <c:strRef>
              <c:f>EVALUATION!$A$108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EVALUATION!$B$108:$AH$108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52-48C1-879E-D295987745E2}"/>
            </c:ext>
          </c:extLst>
        </c:ser>
        <c:ser>
          <c:idx val="6"/>
          <c:order val="8"/>
          <c:tx>
            <c:strRef>
              <c:f>EVALUATION!$A$109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EVALUATION!$B$109:$AH$109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A52-48C1-879E-D295987745E2}"/>
            </c:ext>
          </c:extLst>
        </c:ser>
        <c:ser>
          <c:idx val="7"/>
          <c:order val="9"/>
          <c:tx>
            <c:strRef>
              <c:f>EVALUATION!$A$110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EVALUATION!$B$110:$AH$110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A52-48C1-879E-D295987745E2}"/>
            </c:ext>
          </c:extLst>
        </c:ser>
        <c:ser>
          <c:idx val="8"/>
          <c:order val="10"/>
          <c:tx>
            <c:strRef>
              <c:f>EVALUATION!$A$111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EVALUATION!$B$111:$AH$111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A52-48C1-879E-D295987745E2}"/>
            </c:ext>
          </c:extLst>
        </c:ser>
        <c:ser>
          <c:idx val="9"/>
          <c:order val="11"/>
          <c:tx>
            <c:strRef>
              <c:f>EVALUATION!$A$112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EVALUATION!$B$112:$AH$112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A52-48C1-879E-D295987745E2}"/>
            </c:ext>
          </c:extLst>
        </c:ser>
        <c:ser>
          <c:idx val="10"/>
          <c:order val="12"/>
          <c:tx>
            <c:strRef>
              <c:f>EVALUATION!$A$113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EVALUATION!$B$113:$AH$113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A52-48C1-879E-D295987745E2}"/>
            </c:ext>
          </c:extLst>
        </c:ser>
        <c:ser>
          <c:idx val="11"/>
          <c:order val="13"/>
          <c:tx>
            <c:strRef>
              <c:f>EVALUATION!$A$114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EVALUATION!$B$114:$AH$114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A52-48C1-879E-D295987745E2}"/>
            </c:ext>
          </c:extLst>
        </c:ser>
        <c:ser>
          <c:idx val="12"/>
          <c:order val="14"/>
          <c:tx>
            <c:strRef>
              <c:f>EVALUATION!$A$115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EVALUATION!$B$115:$AH$115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A52-48C1-879E-D295987745E2}"/>
            </c:ext>
          </c:extLst>
        </c:ser>
        <c:ser>
          <c:idx val="13"/>
          <c:order val="15"/>
          <c:tx>
            <c:strRef>
              <c:f>EVALUATION!$A$116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EVALUATION!$B$116:$AH$116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A52-48C1-879E-D295987745E2}"/>
            </c:ext>
          </c:extLst>
        </c:ser>
        <c:ser>
          <c:idx val="14"/>
          <c:order val="16"/>
          <c:tx>
            <c:strRef>
              <c:f>EVALUATION!$A$117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EVALUATION!$B$117:$AH$117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A52-48C1-879E-D295987745E2}"/>
            </c:ext>
          </c:extLst>
        </c:ser>
        <c:ser>
          <c:idx val="15"/>
          <c:order val="17"/>
          <c:tx>
            <c:strRef>
              <c:f>EVALUATION!$A$118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EVALUATION!$B$118:$AH$118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A52-48C1-879E-D295987745E2}"/>
            </c:ext>
          </c:extLst>
        </c:ser>
        <c:ser>
          <c:idx val="16"/>
          <c:order val="18"/>
          <c:tx>
            <c:strRef>
              <c:f>EVALUATION!$A$119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EVALUATION!$B$119:$AH$119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A52-48C1-879E-D295987745E2}"/>
            </c:ext>
          </c:extLst>
        </c:ser>
        <c:ser>
          <c:idx val="17"/>
          <c:order val="19"/>
          <c:tx>
            <c:strRef>
              <c:f>EVALUATION!$A$120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EVALUATION!$B$120:$AH$120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A52-48C1-879E-D295987745E2}"/>
            </c:ext>
          </c:extLst>
        </c:ser>
        <c:ser>
          <c:idx val="18"/>
          <c:order val="20"/>
          <c:tx>
            <c:strRef>
              <c:f>EVALUATION!$A$121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EVALUATION!$B$121:$AH$121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A52-48C1-879E-D295987745E2}"/>
            </c:ext>
          </c:extLst>
        </c:ser>
        <c:ser>
          <c:idx val="19"/>
          <c:order val="21"/>
          <c:tx>
            <c:strRef>
              <c:f>EVALUATION!$A$122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EVALUATION!$B$122:$AH$122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A52-48C1-879E-D295987745E2}"/>
            </c:ext>
          </c:extLst>
        </c:ser>
        <c:ser>
          <c:idx val="20"/>
          <c:order val="22"/>
          <c:tx>
            <c:strRef>
              <c:f>EVALUATION!$A$123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EVALUATION!$B$123:$AH$123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A52-48C1-879E-D295987745E2}"/>
            </c:ext>
          </c:extLst>
        </c:ser>
        <c:ser>
          <c:idx val="21"/>
          <c:order val="23"/>
          <c:tx>
            <c:strRef>
              <c:f>EVALUATION!$A$124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EVALUATION!$B$124:$AH$124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A52-48C1-879E-D295987745E2}"/>
            </c:ext>
          </c:extLst>
        </c:ser>
        <c:ser>
          <c:idx val="22"/>
          <c:order val="24"/>
          <c:tx>
            <c:strRef>
              <c:f>EVALUATION!$A$125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EVALUATION!$B$125:$AH$125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A52-48C1-879E-D295987745E2}"/>
            </c:ext>
          </c:extLst>
        </c:ser>
        <c:ser>
          <c:idx val="23"/>
          <c:order val="25"/>
          <c:tx>
            <c:strRef>
              <c:f>EVALUATION!$A$126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EVALUATION!$B$126:$AH$126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A52-48C1-879E-D295987745E2}"/>
            </c:ext>
          </c:extLst>
        </c:ser>
        <c:ser>
          <c:idx val="24"/>
          <c:order val="26"/>
          <c:tx>
            <c:strRef>
              <c:f>EVALUATION!$A$127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EVALUATION!$B$127:$AH$127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A52-48C1-879E-D295987745E2}"/>
            </c:ext>
          </c:extLst>
        </c:ser>
        <c:ser>
          <c:idx val="25"/>
          <c:order val="27"/>
          <c:tx>
            <c:strRef>
              <c:f>EVALUATION!$A$128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EVALUATION!$B$128:$AH$128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A52-48C1-879E-D295987745E2}"/>
            </c:ext>
          </c:extLst>
        </c:ser>
        <c:ser>
          <c:idx val="26"/>
          <c:order val="28"/>
          <c:tx>
            <c:strRef>
              <c:f>EVALUATION!$A$129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EVALUATION!$B$129:$AH$129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A52-48C1-879E-D295987745E2}"/>
            </c:ext>
          </c:extLst>
        </c:ser>
        <c:ser>
          <c:idx val="27"/>
          <c:order val="29"/>
          <c:tx>
            <c:strRef>
              <c:f>EVALUATION!$A$130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EVALUATION!$B$130:$AH$130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32" formatCode="General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A52-48C1-879E-D295987745E2}"/>
            </c:ext>
          </c:extLst>
        </c:ser>
        <c:ser>
          <c:idx val="28"/>
          <c:order val="30"/>
          <c:tx>
            <c:strRef>
              <c:f>EVALUATION!$A$131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EVALUATION!$B$131:$AH$131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A52-48C1-879E-D295987745E2}"/>
            </c:ext>
          </c:extLst>
        </c:ser>
        <c:ser>
          <c:idx val="29"/>
          <c:order val="31"/>
          <c:tx>
            <c:strRef>
              <c:f>EVALUATION!$A$132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EVALUATION!$B$132:$AH$132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A52-48C1-879E-D295987745E2}"/>
            </c:ext>
          </c:extLst>
        </c:ser>
        <c:ser>
          <c:idx val="30"/>
          <c:order val="32"/>
          <c:tx>
            <c:strRef>
              <c:f>EVALUATION!$A$133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EVALUATION!$B$133:$AH$133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A52-48C1-879E-D295987745E2}"/>
            </c:ext>
          </c:extLst>
        </c:ser>
        <c:ser>
          <c:idx val="31"/>
          <c:order val="33"/>
          <c:tx>
            <c:strRef>
              <c:f>EVALUATION!$A$134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EVALUATION!$B$134:$AH$134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A52-48C1-879E-D295987745E2}"/>
            </c:ext>
          </c:extLst>
        </c:ser>
        <c:ser>
          <c:idx val="32"/>
          <c:order val="34"/>
          <c:tx>
            <c:strRef>
              <c:f>EVALUATION!$A$135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EVALUATION!$B$135:$AH$135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A52-48C1-879E-D295987745E2}"/>
            </c:ext>
          </c:extLst>
        </c:ser>
        <c:ser>
          <c:idx val="33"/>
          <c:order val="35"/>
          <c:tx>
            <c:strRef>
              <c:f>EVALUATION!$A$136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EVALUATION!$B$136:$AH$136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A52-48C1-879E-D295987745E2}"/>
            </c:ext>
          </c:extLst>
        </c:ser>
        <c:ser>
          <c:idx val="34"/>
          <c:order val="36"/>
          <c:tx>
            <c:strRef>
              <c:f>EVALUATION!$A$137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EVALUATION!$B$137:$AH$137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A52-48C1-879E-D295987745E2}"/>
            </c:ext>
          </c:extLst>
        </c:ser>
        <c:ser>
          <c:idx val="35"/>
          <c:order val="37"/>
          <c:tx>
            <c:strRef>
              <c:f>EVALUATION!$A$138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EVALUATION!$B$138:$AH$138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52-48C1-879E-D295987745E2}"/>
            </c:ext>
          </c:extLst>
        </c:ser>
        <c:ser>
          <c:idx val="36"/>
          <c:order val="38"/>
          <c:tx>
            <c:strRef>
              <c:f>EVALUATION!$A$139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EVALUATION!$B$139:$AH$139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A52-48C1-879E-D295987745E2}"/>
            </c:ext>
          </c:extLst>
        </c:ser>
        <c:ser>
          <c:idx val="37"/>
          <c:order val="39"/>
          <c:tx>
            <c:strRef>
              <c:f>EVALUATION!$A$140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EVALUATION!$B$140:$AH$140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A52-48C1-879E-D295987745E2}"/>
            </c:ext>
          </c:extLst>
        </c:ser>
        <c:ser>
          <c:idx val="38"/>
          <c:order val="40"/>
          <c:tx>
            <c:strRef>
              <c:f>EVALUATION!$A$141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EVALUATION!$B$141:$AH$141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A52-48C1-879E-D295987745E2}"/>
            </c:ext>
          </c:extLst>
        </c:ser>
        <c:ser>
          <c:idx val="40"/>
          <c:order val="41"/>
          <c:tx>
            <c:strRef>
              <c:f>EVALUATION!$A$142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EVALUATION!$B$142:$AH$142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A52-48C1-879E-D295987745E2}"/>
            </c:ext>
          </c:extLst>
        </c:ser>
        <c:ser>
          <c:idx val="41"/>
          <c:order val="42"/>
          <c:tx>
            <c:strRef>
              <c:f>EVALUATION!$A$143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EVALUATION!$B$143:$AH$143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A52-48C1-879E-D295987745E2}"/>
            </c:ext>
          </c:extLst>
        </c:ser>
        <c:ser>
          <c:idx val="42"/>
          <c:order val="43"/>
          <c:tx>
            <c:strRef>
              <c:f>EVALUATION!$A$144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EVALUATION!$B$144:$AH$144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A52-48C1-879E-D295987745E2}"/>
            </c:ext>
          </c:extLst>
        </c:ser>
        <c:ser>
          <c:idx val="43"/>
          <c:order val="44"/>
          <c:tx>
            <c:strRef>
              <c:f>EVALUATION!$A$145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EVALUATION!$B$145:$AH$145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A52-48C1-879E-D295987745E2}"/>
            </c:ext>
          </c:extLst>
        </c:ser>
        <c:ser>
          <c:idx val="44"/>
          <c:order val="45"/>
          <c:tx>
            <c:strRef>
              <c:f>EVALUATION!$A$146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EVALUATION!$B$146:$AH$146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A52-48C1-879E-D295987745E2}"/>
            </c:ext>
          </c:extLst>
        </c:ser>
        <c:ser>
          <c:idx val="45"/>
          <c:order val="46"/>
          <c:tx>
            <c:strRef>
              <c:f>EVALUATION!$A$147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EVALUATION!$B$147:$AH$147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A52-48C1-879E-D295987745E2}"/>
            </c:ext>
          </c:extLst>
        </c:ser>
        <c:ser>
          <c:idx val="46"/>
          <c:order val="47"/>
          <c:tx>
            <c:strRef>
              <c:f>EVALUATION!$A$148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EVALUATION!$B$148:$AH$148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A52-48C1-879E-D295987745E2}"/>
            </c:ext>
          </c:extLst>
        </c:ser>
        <c:ser>
          <c:idx val="47"/>
          <c:order val="48"/>
          <c:tx>
            <c:strRef>
              <c:f>EVALUATION!$A$149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EVALUATION!$B$149:$AH$149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A52-48C1-879E-D295987745E2}"/>
            </c:ext>
          </c:extLst>
        </c:ser>
        <c:ser>
          <c:idx val="48"/>
          <c:order val="49"/>
          <c:tx>
            <c:strRef>
              <c:f>EVALUATION!$A$150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EVALUATION!$B$150:$AH$150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A52-48C1-879E-D295987745E2}"/>
            </c:ext>
          </c:extLst>
        </c:ser>
        <c:ser>
          <c:idx val="49"/>
          <c:order val="50"/>
          <c:tx>
            <c:strRef>
              <c:f>EVALUATION!$A$151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EVALUATION!$B$151:$AH$151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A52-48C1-879E-D295987745E2}"/>
            </c:ext>
          </c:extLst>
        </c:ser>
        <c:ser>
          <c:idx val="50"/>
          <c:order val="51"/>
          <c:tx>
            <c:strRef>
              <c:f>EVALUATION!$A$152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EVALUATION!$B$152:$AH$152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A52-48C1-879E-D295987745E2}"/>
            </c:ext>
          </c:extLst>
        </c:ser>
        <c:ser>
          <c:idx val="51"/>
          <c:order val="52"/>
          <c:tx>
            <c:strRef>
              <c:f>EVALUATION!$A$153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EVALUATION!$B$153:$AH$153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A52-48C1-879E-D295987745E2}"/>
            </c:ext>
          </c:extLst>
        </c:ser>
        <c:ser>
          <c:idx val="52"/>
          <c:order val="53"/>
          <c:tx>
            <c:strRef>
              <c:f>EVALUATION!$A$154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EVALUATION!$B$154:$AH$154</c:f>
              <c:numCache>
                <c:formatCode>0</c:formatCode>
                <c:ptCount val="3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A52-48C1-879E-D295987745E2}"/>
            </c:ext>
          </c:extLst>
        </c:ser>
        <c:ser>
          <c:idx val="53"/>
          <c:order val="54"/>
          <c:tx>
            <c:strRef>
              <c:f>EVALUATION!$A$155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EVALUATION!$B$155:$AH$155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A52-48C1-879E-D295987745E2}"/>
            </c:ext>
          </c:extLst>
        </c:ser>
        <c:ser>
          <c:idx val="55"/>
          <c:order val="55"/>
          <c:tx>
            <c:strRef>
              <c:f>EVALUATION!$A$156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EVALUATION!$B$156:$AH$156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4A52-48C1-879E-D295987745E2}"/>
            </c:ext>
          </c:extLst>
        </c:ser>
        <c:ser>
          <c:idx val="56"/>
          <c:order val="56"/>
          <c:tx>
            <c:strRef>
              <c:f>EVALUATION!$A$157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EVALUATION!$B$157:$AH$157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4A52-48C1-879E-D295987745E2}"/>
            </c:ext>
          </c:extLst>
        </c:ser>
        <c:ser>
          <c:idx val="57"/>
          <c:order val="57"/>
          <c:tx>
            <c:strRef>
              <c:f>EVALUATION!$A$158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EVALUATION!$B$158:$AH$158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4A52-48C1-879E-D295987745E2}"/>
            </c:ext>
          </c:extLst>
        </c:ser>
        <c:ser>
          <c:idx val="58"/>
          <c:order val="58"/>
          <c:tx>
            <c:strRef>
              <c:f>EVALUATION!$A$159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EVALUATION!$B$159:$AH$159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A52-48C1-879E-D295987745E2}"/>
            </c:ext>
          </c:extLst>
        </c:ser>
        <c:ser>
          <c:idx val="59"/>
          <c:order val="59"/>
          <c:tx>
            <c:strRef>
              <c:f>EVALUATION!$A$160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EVALUATION!$B$160:$AH$160</c:f>
              <c:numCache>
                <c:formatCode>0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A52-48C1-879E-D295987745E2}"/>
            </c:ext>
          </c:extLst>
        </c:ser>
        <c:ser>
          <c:idx val="60"/>
          <c:order val="60"/>
          <c:tx>
            <c:strRef>
              <c:f>EVALUATION!$A$161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EVALUATION!$B$100:$AH$100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EVALUATION!$B$161:$AH$161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A52-48C1-879E-D2959877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44903</xdr:colOff>
      <xdr:row>2</xdr:row>
      <xdr:rowOff>37142</xdr:rowOff>
    </xdr:from>
    <xdr:to>
      <xdr:col>49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78440</xdr:colOff>
      <xdr:row>18</xdr:row>
      <xdr:rowOff>89646</xdr:rowOff>
    </xdr:from>
    <xdr:to>
      <xdr:col>49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89646</xdr:rowOff>
    </xdr:from>
    <xdr:to>
      <xdr:col>49</xdr:col>
      <xdr:colOff>883541</xdr:colOff>
      <xdr:row>36</xdr:row>
      <xdr:rowOff>32546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95</xdr:col>
          <xdr:colOff>676275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94</xdr:col>
      <xdr:colOff>361949</xdr:colOff>
      <xdr:row>99</xdr:row>
      <xdr:rowOff>0</xdr:rowOff>
    </xdr:from>
    <xdr:to>
      <xdr:col>99</xdr:col>
      <xdr:colOff>5899</xdr:colOff>
      <xdr:row>112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98</xdr:col>
      <xdr:colOff>914399</xdr:colOff>
      <xdr:row>98</xdr:row>
      <xdr:rowOff>276224</xdr:rowOff>
    </xdr:from>
    <xdr:to>
      <xdr:col>103</xdr:col>
      <xdr:colOff>5899</xdr:colOff>
      <xdr:row>112</xdr:row>
      <xdr:rowOff>53524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95</xdr:col>
      <xdr:colOff>0</xdr:colOff>
      <xdr:row>113</xdr:row>
      <xdr:rowOff>0</xdr:rowOff>
    </xdr:from>
    <xdr:to>
      <xdr:col>99</xdr:col>
      <xdr:colOff>9364</xdr:colOff>
      <xdr:row>126</xdr:row>
      <xdr:rowOff>88162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95</xdr:col>
      <xdr:colOff>0</xdr:colOff>
      <xdr:row>127</xdr:row>
      <xdr:rowOff>0</xdr:rowOff>
    </xdr:from>
    <xdr:to>
      <xdr:col>99</xdr:col>
      <xdr:colOff>5900</xdr:colOff>
      <xdr:row>140</xdr:row>
      <xdr:rowOff>108076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127</xdr:row>
      <xdr:rowOff>0</xdr:rowOff>
    </xdr:from>
    <xdr:to>
      <xdr:col>103</xdr:col>
      <xdr:colOff>9363</xdr:colOff>
      <xdr:row>140</xdr:row>
      <xdr:rowOff>107210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95</xdr:col>
      <xdr:colOff>0</xdr:colOff>
      <xdr:row>141</xdr:row>
      <xdr:rowOff>0</xdr:rowOff>
    </xdr:from>
    <xdr:to>
      <xdr:col>99</xdr:col>
      <xdr:colOff>5900</xdr:colOff>
      <xdr:row>155</xdr:row>
      <xdr:rowOff>31011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99</xdr:col>
      <xdr:colOff>0</xdr:colOff>
      <xdr:row>141</xdr:row>
      <xdr:rowOff>0</xdr:rowOff>
    </xdr:from>
    <xdr:to>
      <xdr:col>103</xdr:col>
      <xdr:colOff>5899</xdr:colOff>
      <xdr:row>155</xdr:row>
      <xdr:rowOff>37938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3;&#1088;&#1072;&#1092;&#1080;&#1082;&#108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Графики"/>
      <sheetName val="Лист4"/>
    </sheetNames>
    <sheetDataSet>
      <sheetData sheetId="0">
        <row r="1">
          <cell r="B1">
            <v>700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H8" sqref="H8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26</v>
      </c>
      <c r="B1" s="40">
        <f>B2</f>
        <v>700</v>
      </c>
      <c r="D1" s="92" t="s">
        <v>39</v>
      </c>
      <c r="E1" s="93"/>
      <c r="F1" s="93"/>
      <c r="G1" s="93"/>
    </row>
    <row r="2" spans="1:7" ht="21.75" thickTop="1" x14ac:dyDescent="0.35">
      <c r="A2" s="11" t="s">
        <v>38</v>
      </c>
      <c r="B2" s="11">
        <f>[1]Данные!$B$1</f>
        <v>700</v>
      </c>
      <c r="D2" s="7" t="s">
        <v>1</v>
      </c>
      <c r="E2" s="73" t="s">
        <v>3</v>
      </c>
      <c r="F2" s="7" t="s">
        <v>4</v>
      </c>
      <c r="G2" s="7" t="s">
        <v>2</v>
      </c>
    </row>
    <row r="3" spans="1:7" ht="27.75" customHeight="1" x14ac:dyDescent="0.35">
      <c r="D3" s="40">
        <v>25</v>
      </c>
      <c r="E3" s="40"/>
      <c r="F3" s="40"/>
      <c r="G3" s="40"/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36"/>
  <sheetViews>
    <sheetView topLeftCell="A78" zoomScale="85" zoomScaleNormal="85" zoomScaleSheetLayoutView="25" workbookViewId="0">
      <selection activeCell="E122" sqref="E122:AL135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hidden="1" customWidth="1"/>
    <col min="38" max="38" width="3" customWidth="1"/>
  </cols>
  <sheetData>
    <row r="1" spans="1:54" ht="29.25" customHeight="1" thickBot="1" x14ac:dyDescent="0.4">
      <c r="A1" s="96" t="s">
        <v>24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19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60"/>
      <c r="U3" s="63"/>
      <c r="V3" s="64"/>
      <c r="W3" s="1"/>
      <c r="X3" s="61"/>
      <c r="Y3" s="3"/>
      <c r="Z3" s="3"/>
      <c r="AA3" s="3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0</v>
      </c>
      <c r="C4" s="44">
        <f t="shared" si="0"/>
        <v>0</v>
      </c>
      <c r="D4" s="44">
        <f t="shared" si="0"/>
        <v>0</v>
      </c>
      <c r="E4" s="48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0</v>
      </c>
      <c r="D5" s="44">
        <f t="shared" si="0"/>
        <v>0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0</v>
      </c>
      <c r="C6" s="44">
        <f t="shared" si="0"/>
        <v>0</v>
      </c>
      <c r="D6" s="44">
        <f t="shared" si="0"/>
        <v>0</v>
      </c>
      <c r="E6" s="48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0</v>
      </c>
      <c r="D7" s="44">
        <f t="shared" si="0"/>
        <v>0</v>
      </c>
      <c r="E7" s="48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0</v>
      </c>
      <c r="C8" s="44">
        <f t="shared" si="0"/>
        <v>0</v>
      </c>
      <c r="D8" s="44">
        <f t="shared" si="0"/>
        <v>0</v>
      </c>
      <c r="E8" s="48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0</v>
      </c>
      <c r="C9" s="44">
        <f t="shared" si="0"/>
        <v>0</v>
      </c>
      <c r="D9" s="44">
        <f t="shared" si="0"/>
        <v>0</v>
      </c>
      <c r="E9" s="48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0</v>
      </c>
      <c r="C10" s="44">
        <f t="shared" si="0"/>
        <v>0</v>
      </c>
      <c r="D10" s="44">
        <f t="shared" si="0"/>
        <v>0</v>
      </c>
      <c r="E10" s="48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0</v>
      </c>
      <c r="C11" s="44">
        <f t="shared" si="0"/>
        <v>0</v>
      </c>
      <c r="D11" s="44">
        <f t="shared" si="0"/>
        <v>0</v>
      </c>
      <c r="E11" s="48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0</v>
      </c>
      <c r="C12" s="44">
        <f t="shared" si="0"/>
        <v>0</v>
      </c>
      <c r="D12" s="44">
        <f t="shared" si="0"/>
        <v>0</v>
      </c>
      <c r="E12" s="48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0</v>
      </c>
      <c r="C13" s="44">
        <f t="shared" si="0"/>
        <v>0</v>
      </c>
      <c r="D13" s="44">
        <f t="shared" si="0"/>
        <v>0</v>
      </c>
      <c r="E13" s="48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48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0</v>
      </c>
      <c r="E15" s="48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0</v>
      </c>
      <c r="D16" s="44">
        <f t="shared" si="0"/>
        <v>0</v>
      </c>
      <c r="E16" s="48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48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0</v>
      </c>
      <c r="D18" s="44">
        <f t="shared" si="0"/>
        <v>0</v>
      </c>
      <c r="E18" s="48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0</v>
      </c>
      <c r="D19" s="44">
        <f t="shared" si="0"/>
        <v>0</v>
      </c>
      <c r="E19" s="48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0</v>
      </c>
      <c r="D20" s="44">
        <f t="shared" si="1"/>
        <v>0</v>
      </c>
      <c r="E20" s="48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2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ref="A33:D33" si="3">IF( ISNUMBER( FIND(A$3,$E33,1)),   IF( ISNUMBER( VALUE(MID($E33,FIND(A$3,$E33,1)+2,1)) ), VALUE( MID($E33,FIND(A$3,$E33,1)+2,1) ),1),0)</f>
        <v>0</v>
      </c>
      <c r="B33" s="44">
        <f t="shared" si="3"/>
        <v>0</v>
      </c>
      <c r="C33" s="44">
        <f t="shared" si="3"/>
        <v>0</v>
      </c>
      <c r="D33" s="44">
        <f t="shared" si="3"/>
        <v>0</v>
      </c>
      <c r="E33" s="41">
        <v>1</v>
      </c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27</v>
      </c>
      <c r="D34" s="47" t="e">
        <f>MATCH(C34,$E$4:$E$33)</f>
        <v>#N/A</v>
      </c>
      <c r="E34" s="11" t="e">
        <f ca="1">OFFSET($E$3:$AL$3,$D34,0)</f>
        <v>#N/A</v>
      </c>
      <c r="F34" s="14" t="e">
        <f t="shared" ref="F34:AL37" ca="1" si="4">OFFSET($E$3:$AL$3,$D34,0)</f>
        <v>#N/A</v>
      </c>
      <c r="G34" s="14" t="e">
        <f t="shared" ca="1" si="4"/>
        <v>#N/A</v>
      </c>
      <c r="H34" s="14" t="e">
        <f t="shared" ca="1" si="4"/>
        <v>#N/A</v>
      </c>
      <c r="I34" s="14" t="e">
        <f t="shared" ca="1" si="4"/>
        <v>#N/A</v>
      </c>
      <c r="J34" s="14" t="e">
        <f t="shared" ca="1" si="4"/>
        <v>#N/A</v>
      </c>
      <c r="K34" s="14" t="e">
        <f t="shared" ca="1" si="4"/>
        <v>#N/A</v>
      </c>
      <c r="L34" s="14" t="e">
        <f t="shared" ca="1" si="4"/>
        <v>#N/A</v>
      </c>
      <c r="M34" s="14" t="e">
        <f t="shared" ca="1" si="4"/>
        <v>#N/A</v>
      </c>
      <c r="N34" s="14" t="e">
        <f t="shared" ca="1" si="4"/>
        <v>#N/A</v>
      </c>
      <c r="O34" s="14" t="e">
        <f t="shared" ca="1" si="4"/>
        <v>#N/A</v>
      </c>
      <c r="P34" s="14" t="e">
        <f t="shared" ca="1" si="4"/>
        <v>#N/A</v>
      </c>
      <c r="Q34" s="14" t="e">
        <f t="shared" ca="1" si="4"/>
        <v>#N/A</v>
      </c>
      <c r="R34" s="14" t="e">
        <f t="shared" ca="1" si="4"/>
        <v>#N/A</v>
      </c>
      <c r="S34" s="14" t="e">
        <f t="shared" ca="1" si="4"/>
        <v>#N/A</v>
      </c>
      <c r="T34" s="14" t="e">
        <f t="shared" ca="1" si="4"/>
        <v>#N/A</v>
      </c>
      <c r="U34" s="14" t="e">
        <f t="shared" ca="1" si="4"/>
        <v>#N/A</v>
      </c>
      <c r="V34" s="14" t="e">
        <f t="shared" ca="1" si="4"/>
        <v>#N/A</v>
      </c>
      <c r="W34" s="14" t="e">
        <f t="shared" ca="1" si="4"/>
        <v>#N/A</v>
      </c>
      <c r="X34" s="14" t="e">
        <f t="shared" ca="1" si="4"/>
        <v>#N/A</v>
      </c>
      <c r="Y34" s="14" t="e">
        <f t="shared" ca="1" si="4"/>
        <v>#N/A</v>
      </c>
      <c r="Z34" s="14" t="e">
        <f t="shared" ca="1" si="4"/>
        <v>#N/A</v>
      </c>
      <c r="AA34" s="14" t="e">
        <f t="shared" ca="1" si="4"/>
        <v>#N/A</v>
      </c>
      <c r="AB34" s="14" t="e">
        <f t="shared" ca="1" si="4"/>
        <v>#N/A</v>
      </c>
      <c r="AC34" s="14" t="e">
        <f t="shared" ca="1" si="4"/>
        <v>#N/A</v>
      </c>
      <c r="AD34" s="14" t="e">
        <f t="shared" ca="1" si="4"/>
        <v>#N/A</v>
      </c>
      <c r="AE34" s="14" t="e">
        <f t="shared" ca="1" si="4"/>
        <v>#N/A</v>
      </c>
      <c r="AF34" s="14" t="e">
        <f t="shared" ca="1" si="4"/>
        <v>#N/A</v>
      </c>
      <c r="AG34" s="14" t="e">
        <f t="shared" ca="1" si="4"/>
        <v>#N/A</v>
      </c>
      <c r="AH34" s="14" t="e">
        <f t="shared" ca="1" si="4"/>
        <v>#N/A</v>
      </c>
      <c r="AI34" s="14" t="e">
        <f t="shared" ca="1" si="4"/>
        <v>#N/A</v>
      </c>
      <c r="AJ34" s="14" t="e">
        <f t="shared" ca="1" si="4"/>
        <v>#N/A</v>
      </c>
      <c r="AK34" s="14" t="e">
        <f t="shared" ca="1" si="4"/>
        <v>#N/A</v>
      </c>
      <c r="AL34" s="14" t="e">
        <f t="shared" ca="1" si="4"/>
        <v>#N/A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s="37" customFormat="1" ht="21" customHeight="1" outlineLevel="1" x14ac:dyDescent="0.35">
      <c r="C35" s="11" t="s">
        <v>5</v>
      </c>
      <c r="D35" s="47" t="e">
        <f t="shared" ref="D35:D37" si="5">MATCH(C35,$E$4:$E$33)</f>
        <v>#N/A</v>
      </c>
      <c r="E35" s="11" t="e">
        <f t="shared" ref="E35:E37" ca="1" si="6">OFFSET($E$3:$AL$3,$D35,0)</f>
        <v>#N/A</v>
      </c>
      <c r="F35" s="14" t="e">
        <f t="shared" ca="1" si="4"/>
        <v>#N/A</v>
      </c>
      <c r="G35" s="14" t="e">
        <f t="shared" ca="1" si="4"/>
        <v>#N/A</v>
      </c>
      <c r="H35" s="14" t="e">
        <f t="shared" ca="1" si="4"/>
        <v>#N/A</v>
      </c>
      <c r="I35" s="14" t="e">
        <f t="shared" ca="1" si="4"/>
        <v>#N/A</v>
      </c>
      <c r="J35" s="14" t="e">
        <f t="shared" ca="1" si="4"/>
        <v>#N/A</v>
      </c>
      <c r="K35" s="14" t="e">
        <f t="shared" ca="1" si="4"/>
        <v>#N/A</v>
      </c>
      <c r="L35" s="14" t="e">
        <f t="shared" ca="1" si="4"/>
        <v>#N/A</v>
      </c>
      <c r="M35" s="14" t="e">
        <f t="shared" ca="1" si="4"/>
        <v>#N/A</v>
      </c>
      <c r="N35" s="14" t="e">
        <f t="shared" ca="1" si="4"/>
        <v>#N/A</v>
      </c>
      <c r="O35" s="14" t="e">
        <f t="shared" ca="1" si="4"/>
        <v>#N/A</v>
      </c>
      <c r="P35" s="14" t="e">
        <f t="shared" ca="1" si="4"/>
        <v>#N/A</v>
      </c>
      <c r="Q35" s="14" t="e">
        <f t="shared" ca="1" si="4"/>
        <v>#N/A</v>
      </c>
      <c r="R35" s="14" t="e">
        <f t="shared" ca="1" si="4"/>
        <v>#N/A</v>
      </c>
      <c r="S35" s="14" t="e">
        <f t="shared" ca="1" si="4"/>
        <v>#N/A</v>
      </c>
      <c r="T35" s="14" t="e">
        <f t="shared" ca="1" si="4"/>
        <v>#N/A</v>
      </c>
      <c r="U35" s="14" t="e">
        <f t="shared" ca="1" si="4"/>
        <v>#N/A</v>
      </c>
      <c r="V35" s="14" t="e">
        <f t="shared" ca="1" si="4"/>
        <v>#N/A</v>
      </c>
      <c r="W35" s="14" t="e">
        <f t="shared" ca="1" si="4"/>
        <v>#N/A</v>
      </c>
      <c r="X35" s="14" t="e">
        <f t="shared" ca="1" si="4"/>
        <v>#N/A</v>
      </c>
      <c r="Y35" s="14" t="e">
        <f t="shared" ca="1" si="4"/>
        <v>#N/A</v>
      </c>
      <c r="Z35" s="14" t="e">
        <f t="shared" ca="1" si="4"/>
        <v>#N/A</v>
      </c>
      <c r="AA35" s="14" t="e">
        <f t="shared" ca="1" si="4"/>
        <v>#N/A</v>
      </c>
      <c r="AB35" s="14" t="e">
        <f t="shared" ca="1" si="4"/>
        <v>#N/A</v>
      </c>
      <c r="AC35" s="14" t="e">
        <f t="shared" ca="1" si="4"/>
        <v>#N/A</v>
      </c>
      <c r="AD35" s="14" t="e">
        <f t="shared" ca="1" si="4"/>
        <v>#N/A</v>
      </c>
      <c r="AE35" s="14" t="e">
        <f t="shared" ca="1" si="4"/>
        <v>#N/A</v>
      </c>
      <c r="AF35" s="14" t="e">
        <f t="shared" ca="1" si="4"/>
        <v>#N/A</v>
      </c>
      <c r="AG35" s="14" t="e">
        <f t="shared" ca="1" si="4"/>
        <v>#N/A</v>
      </c>
      <c r="AH35" s="14" t="e">
        <f t="shared" ca="1" si="4"/>
        <v>#N/A</v>
      </c>
      <c r="AI35" s="14" t="e">
        <f t="shared" ca="1" si="4"/>
        <v>#N/A</v>
      </c>
      <c r="AJ35" s="14" t="e">
        <f t="shared" ca="1" si="4"/>
        <v>#N/A</v>
      </c>
      <c r="AK35" s="14" t="e">
        <f t="shared" ca="1" si="4"/>
        <v>#N/A</v>
      </c>
      <c r="AL35" s="14" t="e">
        <f t="shared" ca="1" si="4"/>
        <v>#N/A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s="37" customFormat="1" ht="21" customHeight="1" outlineLevel="1" x14ac:dyDescent="0.35">
      <c r="C36" s="11" t="s">
        <v>6</v>
      </c>
      <c r="D36" s="47" t="e">
        <f t="shared" si="5"/>
        <v>#N/A</v>
      </c>
      <c r="E36" s="11" t="e">
        <f t="shared" ca="1" si="6"/>
        <v>#N/A</v>
      </c>
      <c r="F36" s="14" t="e">
        <f t="shared" ca="1" si="4"/>
        <v>#N/A</v>
      </c>
      <c r="G36" s="14" t="e">
        <f t="shared" ca="1" si="4"/>
        <v>#N/A</v>
      </c>
      <c r="H36" s="14" t="e">
        <f t="shared" ca="1" si="4"/>
        <v>#N/A</v>
      </c>
      <c r="I36" s="14" t="e">
        <f t="shared" ca="1" si="4"/>
        <v>#N/A</v>
      </c>
      <c r="J36" s="14" t="e">
        <f t="shared" ca="1" si="4"/>
        <v>#N/A</v>
      </c>
      <c r="K36" s="14" t="e">
        <f t="shared" ca="1" si="4"/>
        <v>#N/A</v>
      </c>
      <c r="L36" s="14" t="e">
        <f t="shared" ca="1" si="4"/>
        <v>#N/A</v>
      </c>
      <c r="M36" s="14" t="e">
        <f t="shared" ca="1" si="4"/>
        <v>#N/A</v>
      </c>
      <c r="N36" s="14" t="e">
        <f t="shared" ca="1" si="4"/>
        <v>#N/A</v>
      </c>
      <c r="O36" s="14" t="e">
        <f t="shared" ca="1" si="4"/>
        <v>#N/A</v>
      </c>
      <c r="P36" s="14" t="e">
        <f t="shared" ca="1" si="4"/>
        <v>#N/A</v>
      </c>
      <c r="Q36" s="14" t="e">
        <f t="shared" ca="1" si="4"/>
        <v>#N/A</v>
      </c>
      <c r="R36" s="14" t="e">
        <f t="shared" ca="1" si="4"/>
        <v>#N/A</v>
      </c>
      <c r="S36" s="14" t="e">
        <f t="shared" ca="1" si="4"/>
        <v>#N/A</v>
      </c>
      <c r="T36" s="14" t="e">
        <f t="shared" ca="1" si="4"/>
        <v>#N/A</v>
      </c>
      <c r="U36" s="14" t="e">
        <f t="shared" ca="1" si="4"/>
        <v>#N/A</v>
      </c>
      <c r="V36" s="14" t="e">
        <f t="shared" ca="1" si="4"/>
        <v>#N/A</v>
      </c>
      <c r="W36" s="14" t="e">
        <f t="shared" ca="1" si="4"/>
        <v>#N/A</v>
      </c>
      <c r="X36" s="14" t="e">
        <f t="shared" ca="1" si="4"/>
        <v>#N/A</v>
      </c>
      <c r="Y36" s="14" t="e">
        <f t="shared" ca="1" si="4"/>
        <v>#N/A</v>
      </c>
      <c r="Z36" s="14" t="e">
        <f t="shared" ca="1" si="4"/>
        <v>#N/A</v>
      </c>
      <c r="AA36" s="14" t="e">
        <f t="shared" ca="1" si="4"/>
        <v>#N/A</v>
      </c>
      <c r="AB36" s="14" t="e">
        <f t="shared" ca="1" si="4"/>
        <v>#N/A</v>
      </c>
      <c r="AC36" s="14" t="e">
        <f t="shared" ca="1" si="4"/>
        <v>#N/A</v>
      </c>
      <c r="AD36" s="14" t="e">
        <f t="shared" ca="1" si="4"/>
        <v>#N/A</v>
      </c>
      <c r="AE36" s="14" t="e">
        <f t="shared" ca="1" si="4"/>
        <v>#N/A</v>
      </c>
      <c r="AF36" s="14" t="e">
        <f t="shared" ca="1" si="4"/>
        <v>#N/A</v>
      </c>
      <c r="AG36" s="14" t="e">
        <f t="shared" ca="1" si="4"/>
        <v>#N/A</v>
      </c>
      <c r="AH36" s="14" t="e">
        <f t="shared" ca="1" si="4"/>
        <v>#N/A</v>
      </c>
      <c r="AI36" s="14" t="e">
        <f t="shared" ca="1" si="4"/>
        <v>#N/A</v>
      </c>
      <c r="AJ36" s="14" t="e">
        <f t="shared" ca="1" si="4"/>
        <v>#N/A</v>
      </c>
      <c r="AK36" s="14" t="e">
        <f t="shared" ca="1" si="4"/>
        <v>#N/A</v>
      </c>
      <c r="AL36" s="14" t="e">
        <f t="shared" ca="1" si="4"/>
        <v>#N/A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 t="e">
        <f t="shared" si="5"/>
        <v>#N/A</v>
      </c>
      <c r="E37" s="11" t="e">
        <f t="shared" ca="1" si="6"/>
        <v>#N/A</v>
      </c>
      <c r="F37" s="14" t="e">
        <f t="shared" ca="1" si="4"/>
        <v>#N/A</v>
      </c>
      <c r="G37" s="14" t="e">
        <f t="shared" ca="1" si="4"/>
        <v>#N/A</v>
      </c>
      <c r="H37" s="14" t="e">
        <f t="shared" ca="1" si="4"/>
        <v>#N/A</v>
      </c>
      <c r="I37" s="14" t="e">
        <f t="shared" ca="1" si="4"/>
        <v>#N/A</v>
      </c>
      <c r="J37" s="14" t="e">
        <f t="shared" ca="1" si="4"/>
        <v>#N/A</v>
      </c>
      <c r="K37" s="14" t="e">
        <f t="shared" ca="1" si="4"/>
        <v>#N/A</v>
      </c>
      <c r="L37" s="14" t="e">
        <f t="shared" ca="1" si="4"/>
        <v>#N/A</v>
      </c>
      <c r="M37" s="14" t="e">
        <f t="shared" ca="1" si="4"/>
        <v>#N/A</v>
      </c>
      <c r="N37" s="14" t="e">
        <f t="shared" ca="1" si="4"/>
        <v>#N/A</v>
      </c>
      <c r="O37" s="14" t="e">
        <f t="shared" ca="1" si="4"/>
        <v>#N/A</v>
      </c>
      <c r="P37" s="14" t="e">
        <f t="shared" ca="1" si="4"/>
        <v>#N/A</v>
      </c>
      <c r="Q37" s="14" t="e">
        <f t="shared" ca="1" si="4"/>
        <v>#N/A</v>
      </c>
      <c r="R37" s="14" t="e">
        <f t="shared" ca="1" si="4"/>
        <v>#N/A</v>
      </c>
      <c r="S37" s="14" t="e">
        <f t="shared" ca="1" si="4"/>
        <v>#N/A</v>
      </c>
      <c r="T37" s="14" t="e">
        <f t="shared" ca="1" si="4"/>
        <v>#N/A</v>
      </c>
      <c r="U37" s="14" t="e">
        <f t="shared" ca="1" si="4"/>
        <v>#N/A</v>
      </c>
      <c r="V37" s="14" t="e">
        <f t="shared" ca="1" si="4"/>
        <v>#N/A</v>
      </c>
      <c r="W37" s="14" t="e">
        <f t="shared" ca="1" si="4"/>
        <v>#N/A</v>
      </c>
      <c r="X37" s="14" t="e">
        <f t="shared" ca="1" si="4"/>
        <v>#N/A</v>
      </c>
      <c r="Y37" s="14" t="e">
        <f t="shared" ca="1" si="4"/>
        <v>#N/A</v>
      </c>
      <c r="Z37" s="14" t="e">
        <f t="shared" ca="1" si="4"/>
        <v>#N/A</v>
      </c>
      <c r="AA37" s="14" t="e">
        <f t="shared" ca="1" si="4"/>
        <v>#N/A</v>
      </c>
      <c r="AB37" s="14" t="e">
        <f t="shared" ca="1" si="4"/>
        <v>#N/A</v>
      </c>
      <c r="AC37" s="14" t="e">
        <f t="shared" ca="1" si="4"/>
        <v>#N/A</v>
      </c>
      <c r="AD37" s="14" t="e">
        <f t="shared" ca="1" si="4"/>
        <v>#N/A</v>
      </c>
      <c r="AE37" s="14" t="e">
        <f t="shared" ca="1" si="4"/>
        <v>#N/A</v>
      </c>
      <c r="AF37" s="14" t="e">
        <f t="shared" ca="1" si="4"/>
        <v>#N/A</v>
      </c>
      <c r="AG37" s="14" t="e">
        <f t="shared" ca="1" si="4"/>
        <v>#N/A</v>
      </c>
      <c r="AH37" s="14" t="e">
        <f t="shared" ref="AH37:AL37" ca="1" si="7">OFFSET($E$3:$AL$3,$D37,0)</f>
        <v>#N/A</v>
      </c>
      <c r="AI37" s="14" t="e">
        <f t="shared" ca="1" si="7"/>
        <v>#N/A</v>
      </c>
      <c r="AJ37" s="14" t="e">
        <f t="shared" ca="1" si="7"/>
        <v>#N/A</v>
      </c>
      <c r="AK37" s="14" t="e">
        <f t="shared" ca="1" si="7"/>
        <v>#N/A</v>
      </c>
      <c r="AL37" s="14" t="e">
        <f t="shared" ca="1" si="7"/>
        <v>#N/A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s="37" customFormat="1" ht="21" customHeight="1" thickBot="1" x14ac:dyDescent="0.4"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20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AL40" si="8">G3</f>
        <v>0</v>
      </c>
      <c r="H40" s="8">
        <f t="shared" si="8"/>
        <v>0</v>
      </c>
      <c r="I40" s="8">
        <f t="shared" si="8"/>
        <v>0</v>
      </c>
      <c r="J40" s="8">
        <f t="shared" si="8"/>
        <v>0</v>
      </c>
      <c r="K40" s="8">
        <f t="shared" si="8"/>
        <v>0</v>
      </c>
      <c r="L40" s="8">
        <f t="shared" si="8"/>
        <v>0</v>
      </c>
      <c r="M40" s="8">
        <f t="shared" si="8"/>
        <v>0</v>
      </c>
      <c r="N40" s="8">
        <f t="shared" si="8"/>
        <v>0</v>
      </c>
      <c r="O40" s="8">
        <f t="shared" si="8"/>
        <v>0</v>
      </c>
      <c r="P40" s="8">
        <f t="shared" si="8"/>
        <v>0</v>
      </c>
      <c r="Q40" s="8">
        <f t="shared" si="8"/>
        <v>0</v>
      </c>
      <c r="R40" s="8">
        <f t="shared" si="8"/>
        <v>0</v>
      </c>
      <c r="S40" s="8">
        <f t="shared" si="8"/>
        <v>0</v>
      </c>
      <c r="T40" s="8">
        <f t="shared" si="8"/>
        <v>0</v>
      </c>
      <c r="U40" s="8">
        <f t="shared" si="8"/>
        <v>0</v>
      </c>
      <c r="V40" s="8">
        <f t="shared" si="8"/>
        <v>0</v>
      </c>
      <c r="W40" s="8">
        <f t="shared" si="8"/>
        <v>0</v>
      </c>
      <c r="X40" s="8">
        <f t="shared" si="8"/>
        <v>0</v>
      </c>
      <c r="Y40" s="8">
        <f t="shared" si="8"/>
        <v>0</v>
      </c>
      <c r="Z40" s="8">
        <f t="shared" si="8"/>
        <v>0</v>
      </c>
      <c r="AA40" s="8">
        <f t="shared" si="8"/>
        <v>0</v>
      </c>
      <c r="AB40" s="8">
        <f t="shared" si="8"/>
        <v>0</v>
      </c>
      <c r="AC40" s="8">
        <f t="shared" si="8"/>
        <v>0</v>
      </c>
      <c r="AD40" s="8">
        <f t="shared" si="8"/>
        <v>0</v>
      </c>
      <c r="AE40" s="8">
        <f t="shared" si="8"/>
        <v>0</v>
      </c>
      <c r="AF40" s="8">
        <f t="shared" si="8"/>
        <v>0</v>
      </c>
      <c r="AG40" s="8">
        <f t="shared" si="8"/>
        <v>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si="8"/>
        <v>0</v>
      </c>
    </row>
    <row r="41" spans="1:54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AL41" ca="1" si="9">($B$41*H.Ge+$C$41*H.Ga+$D$41*H.Se)*F$40*$B$2/1000</f>
        <v>#DIV/0!</v>
      </c>
      <c r="G41" s="10" t="e">
        <f t="shared" ca="1" si="9"/>
        <v>#DIV/0!</v>
      </c>
      <c r="H41" s="10" t="e">
        <f t="shared" ca="1" si="9"/>
        <v>#DIV/0!</v>
      </c>
      <c r="I41" s="10" t="e">
        <f t="shared" ca="1" si="9"/>
        <v>#DIV/0!</v>
      </c>
      <c r="J41" s="10" t="e">
        <f t="shared" ca="1" si="9"/>
        <v>#DIV/0!</v>
      </c>
      <c r="K41" s="10" t="e">
        <f t="shared" ca="1" si="9"/>
        <v>#DIV/0!</v>
      </c>
      <c r="L41" s="10" t="e">
        <f t="shared" ca="1" si="9"/>
        <v>#DIV/0!</v>
      </c>
      <c r="M41" s="10" t="e">
        <f t="shared" ca="1" si="9"/>
        <v>#DIV/0!</v>
      </c>
      <c r="N41" s="10" t="e">
        <f t="shared" ca="1" si="9"/>
        <v>#DIV/0!</v>
      </c>
      <c r="O41" s="10" t="e">
        <f t="shared" ca="1" si="9"/>
        <v>#DIV/0!</v>
      </c>
      <c r="P41" s="10" t="e">
        <f t="shared" ca="1" si="9"/>
        <v>#DIV/0!</v>
      </c>
      <c r="Q41" s="10" t="e">
        <f t="shared" ca="1" si="9"/>
        <v>#DIV/0!</v>
      </c>
      <c r="R41" s="10" t="e">
        <f t="shared" ca="1" si="9"/>
        <v>#DIV/0!</v>
      </c>
      <c r="S41" s="10" t="e">
        <f t="shared" ca="1" si="9"/>
        <v>#DIV/0!</v>
      </c>
      <c r="T41" s="10" t="e">
        <f t="shared" ca="1" si="9"/>
        <v>#DIV/0!</v>
      </c>
      <c r="U41" s="10" t="e">
        <f t="shared" ca="1" si="9"/>
        <v>#DIV/0!</v>
      </c>
      <c r="V41" s="10" t="e">
        <f t="shared" ca="1" si="9"/>
        <v>#DIV/0!</v>
      </c>
      <c r="W41" s="10" t="e">
        <f t="shared" ca="1" si="9"/>
        <v>#DIV/0!</v>
      </c>
      <c r="X41" s="10" t="e">
        <f t="shared" ca="1" si="9"/>
        <v>#DIV/0!</v>
      </c>
      <c r="Y41" s="10" t="e">
        <f t="shared" ca="1" si="9"/>
        <v>#DIV/0!</v>
      </c>
      <c r="Z41" s="10" t="e">
        <f t="shared" ca="1" si="9"/>
        <v>#DIV/0!</v>
      </c>
      <c r="AA41" s="10" t="e">
        <f t="shared" ca="1" si="9"/>
        <v>#DIV/0!</v>
      </c>
      <c r="AB41" s="10" t="e">
        <f t="shared" ca="1" si="9"/>
        <v>#DIV/0!</v>
      </c>
      <c r="AC41" s="10" t="e">
        <f t="shared" ca="1" si="9"/>
        <v>#DIV/0!</v>
      </c>
      <c r="AD41" s="10" t="e">
        <f t="shared" ca="1" si="9"/>
        <v>#DIV/0!</v>
      </c>
      <c r="AE41" s="10" t="e">
        <f t="shared" ca="1" si="9"/>
        <v>#DIV/0!</v>
      </c>
      <c r="AF41" s="10" t="e">
        <f t="shared" ca="1" si="9"/>
        <v>#DIV/0!</v>
      </c>
      <c r="AG41" s="10" t="e">
        <f t="shared" ca="1" si="9"/>
        <v>#DIV/0!</v>
      </c>
      <c r="AH41" s="10" t="e">
        <f t="shared" ca="1" si="9"/>
        <v>#DIV/0!</v>
      </c>
      <c r="AI41" s="10" t="e">
        <f t="shared" ca="1" si="9"/>
        <v>#DIV/0!</v>
      </c>
      <c r="AJ41" s="10" t="e">
        <f t="shared" ca="1" si="9"/>
        <v>#DIV/0!</v>
      </c>
      <c r="AK41" s="10" t="e">
        <f t="shared" ca="1" si="9"/>
        <v>#DIV/0!</v>
      </c>
      <c r="AL41" s="10" t="e">
        <f t="shared" ca="1" si="9"/>
        <v>#DIV/0!</v>
      </c>
    </row>
    <row r="42" spans="1:54" ht="176.25" customHeight="1" outlineLevel="1" x14ac:dyDescent="0.35"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</row>
    <row r="43" spans="1:54" ht="21" customHeight="1" x14ac:dyDescent="0.35"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</row>
    <row r="44" spans="1:54" ht="21" customHeight="1" thickBot="1" x14ac:dyDescent="0.45">
      <c r="A44" s="75"/>
      <c r="B44" s="75"/>
      <c r="C44" s="75"/>
      <c r="D44" s="75"/>
      <c r="E44" s="74" t="s">
        <v>21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10">E3</f>
        <v>0</v>
      </c>
      <c r="F45" s="3">
        <f t="shared" si="10"/>
        <v>0</v>
      </c>
      <c r="G45" s="3">
        <f t="shared" si="10"/>
        <v>0</v>
      </c>
      <c r="H45" s="3">
        <f t="shared" si="10"/>
        <v>0</v>
      </c>
      <c r="I45" s="3">
        <f t="shared" si="10"/>
        <v>0</v>
      </c>
      <c r="J45" s="3">
        <f t="shared" si="10"/>
        <v>0</v>
      </c>
      <c r="K45" s="3">
        <f t="shared" si="10"/>
        <v>0</v>
      </c>
      <c r="L45" s="3">
        <f t="shared" si="10"/>
        <v>0</v>
      </c>
      <c r="M45" s="3">
        <f t="shared" si="10"/>
        <v>0</v>
      </c>
      <c r="N45" s="3">
        <f t="shared" si="10"/>
        <v>0</v>
      </c>
      <c r="O45" s="3">
        <f t="shared" si="10"/>
        <v>0</v>
      </c>
      <c r="P45" s="3">
        <f t="shared" si="10"/>
        <v>0</v>
      </c>
      <c r="Q45" s="3">
        <f t="shared" si="10"/>
        <v>0</v>
      </c>
      <c r="R45" s="3">
        <f t="shared" si="10"/>
        <v>0</v>
      </c>
      <c r="S45" s="3">
        <f t="shared" si="10"/>
        <v>0</v>
      </c>
      <c r="T45" s="3">
        <f t="shared" si="10"/>
        <v>0</v>
      </c>
      <c r="U45" s="3">
        <f t="shared" si="10"/>
        <v>0</v>
      </c>
      <c r="V45" s="3">
        <f t="shared" si="10"/>
        <v>0</v>
      </c>
      <c r="W45" s="3">
        <f t="shared" si="10"/>
        <v>0</v>
      </c>
      <c r="X45" s="3">
        <f t="shared" si="10"/>
        <v>0</v>
      </c>
      <c r="Y45" s="3">
        <f t="shared" si="10"/>
        <v>0</v>
      </c>
      <c r="Z45" s="3">
        <f t="shared" si="10"/>
        <v>0</v>
      </c>
      <c r="AA45" s="3">
        <f t="shared" si="10"/>
        <v>0</v>
      </c>
      <c r="AB45" s="3">
        <f t="shared" si="10"/>
        <v>0</v>
      </c>
      <c r="AC45" s="3">
        <f t="shared" si="10"/>
        <v>0</v>
      </c>
      <c r="AD45" s="3">
        <f t="shared" si="10"/>
        <v>0</v>
      </c>
      <c r="AE45" s="3">
        <f t="shared" si="10"/>
        <v>0</v>
      </c>
      <c r="AF45" s="3">
        <f t="shared" si="10"/>
        <v>0</v>
      </c>
      <c r="AG45" s="3">
        <f t="shared" si="10"/>
        <v>0</v>
      </c>
      <c r="AH45" s="3">
        <f t="shared" si="10"/>
        <v>0</v>
      </c>
      <c r="AI45" s="3">
        <f t="shared" si="10"/>
        <v>0</v>
      </c>
      <c r="AJ45" s="3">
        <f t="shared" si="10"/>
        <v>0</v>
      </c>
      <c r="AK45" s="3">
        <f t="shared" si="10"/>
        <v>0</v>
      </c>
      <c r="AL45" s="3">
        <f t="shared" si="10"/>
        <v>0</v>
      </c>
    </row>
    <row r="46" spans="1:54" ht="21" customHeight="1" outlineLevel="1" thickTop="1" thickBot="1" x14ac:dyDescent="0.4">
      <c r="A46" s="5">
        <f t="shared" ref="A46:E55" si="11">A4</f>
        <v>0</v>
      </c>
      <c r="B46" s="5">
        <f t="shared" si="11"/>
        <v>0</v>
      </c>
      <c r="C46" s="5">
        <f t="shared" si="11"/>
        <v>0</v>
      </c>
      <c r="D46" s="5">
        <f t="shared" si="11"/>
        <v>0</v>
      </c>
      <c r="E46" s="6">
        <f t="shared" si="11"/>
        <v>0</v>
      </c>
      <c r="F46" s="14" t="e">
        <f t="shared" ref="F46:U55" ca="1" si="12">$A46*H.Ar + $B46*H.Se + $C46*H.Ge + $D46*H.Ga</f>
        <v>#N/A</v>
      </c>
      <c r="G46" s="14" t="e">
        <f t="shared" ca="1" si="12"/>
        <v>#N/A</v>
      </c>
      <c r="H46" s="14" t="e">
        <f t="shared" ca="1" si="12"/>
        <v>#N/A</v>
      </c>
      <c r="I46" s="14" t="e">
        <f t="shared" ca="1" si="12"/>
        <v>#N/A</v>
      </c>
      <c r="J46" s="14" t="e">
        <f t="shared" ca="1" si="12"/>
        <v>#N/A</v>
      </c>
      <c r="K46" s="14" t="e">
        <f t="shared" ca="1" si="12"/>
        <v>#N/A</v>
      </c>
      <c r="L46" s="14" t="e">
        <f t="shared" ca="1" si="12"/>
        <v>#N/A</v>
      </c>
      <c r="M46" s="14" t="e">
        <f t="shared" ca="1" si="12"/>
        <v>#N/A</v>
      </c>
      <c r="N46" s="14" t="e">
        <f t="shared" ca="1" si="12"/>
        <v>#N/A</v>
      </c>
      <c r="O46" s="14" t="e">
        <f t="shared" ca="1" si="12"/>
        <v>#N/A</v>
      </c>
      <c r="P46" s="14" t="e">
        <f t="shared" ca="1" si="12"/>
        <v>#N/A</v>
      </c>
      <c r="Q46" s="14" t="e">
        <f t="shared" ca="1" si="12"/>
        <v>#N/A</v>
      </c>
      <c r="R46" s="14" t="e">
        <f t="shared" ca="1" si="12"/>
        <v>#N/A</v>
      </c>
      <c r="S46" s="14" t="e">
        <f t="shared" ca="1" si="12"/>
        <v>#N/A</v>
      </c>
      <c r="T46" s="14" t="e">
        <f t="shared" ca="1" si="12"/>
        <v>#N/A</v>
      </c>
      <c r="U46" s="14" t="e">
        <f t="shared" ca="1" si="12"/>
        <v>#N/A</v>
      </c>
      <c r="V46" s="14" t="e">
        <f t="shared" ref="G46:AL54" ca="1" si="13">$A46*H.Ar + $B46*H.Se + $C46*H.Ge + $D46*H.Ga</f>
        <v>#N/A</v>
      </c>
      <c r="W46" s="14" t="e">
        <f t="shared" ca="1" si="13"/>
        <v>#N/A</v>
      </c>
      <c r="X46" s="14" t="e">
        <f t="shared" ca="1" si="13"/>
        <v>#N/A</v>
      </c>
      <c r="Y46" s="14" t="e">
        <f t="shared" ca="1" si="13"/>
        <v>#N/A</v>
      </c>
      <c r="Z46" s="14" t="e">
        <f t="shared" ca="1" si="13"/>
        <v>#N/A</v>
      </c>
      <c r="AA46" s="14" t="e">
        <f t="shared" ca="1" si="13"/>
        <v>#N/A</v>
      </c>
      <c r="AB46" s="14" t="e">
        <f t="shared" ca="1" si="13"/>
        <v>#N/A</v>
      </c>
      <c r="AC46" s="14" t="e">
        <f t="shared" ca="1" si="13"/>
        <v>#N/A</v>
      </c>
      <c r="AD46" s="14" t="e">
        <f t="shared" ca="1" si="13"/>
        <v>#N/A</v>
      </c>
      <c r="AE46" s="14" t="e">
        <f t="shared" ca="1" si="13"/>
        <v>#N/A</v>
      </c>
      <c r="AF46" s="14" t="e">
        <f t="shared" ca="1" si="13"/>
        <v>#N/A</v>
      </c>
      <c r="AG46" s="14" t="e">
        <f t="shared" ca="1" si="13"/>
        <v>#N/A</v>
      </c>
      <c r="AH46" s="14" t="e">
        <f t="shared" ca="1" si="13"/>
        <v>#N/A</v>
      </c>
      <c r="AI46" s="14" t="e">
        <f t="shared" ca="1" si="13"/>
        <v>#N/A</v>
      </c>
      <c r="AJ46" s="14" t="e">
        <f t="shared" ca="1" si="13"/>
        <v>#N/A</v>
      </c>
      <c r="AK46" s="14" t="e">
        <f t="shared" ca="1" si="13"/>
        <v>#N/A</v>
      </c>
      <c r="AL46" s="14" t="e">
        <f t="shared" ca="1" si="13"/>
        <v>#N/A</v>
      </c>
    </row>
    <row r="47" spans="1:54" ht="21" customHeight="1" outlineLevel="1" thickBot="1" x14ac:dyDescent="0.4">
      <c r="A47" s="5">
        <f t="shared" si="11"/>
        <v>0</v>
      </c>
      <c r="B47" s="5">
        <f t="shared" si="11"/>
        <v>0</v>
      </c>
      <c r="C47" s="5">
        <f t="shared" si="11"/>
        <v>0</v>
      </c>
      <c r="D47" s="5">
        <f t="shared" si="11"/>
        <v>0</v>
      </c>
      <c r="E47" s="6">
        <f t="shared" si="11"/>
        <v>0</v>
      </c>
      <c r="F47" s="14" t="e">
        <f t="shared" ca="1" si="12"/>
        <v>#N/A</v>
      </c>
      <c r="G47" s="14" t="e">
        <f t="shared" ca="1" si="13"/>
        <v>#N/A</v>
      </c>
      <c r="H47" s="14" t="e">
        <f t="shared" ca="1" si="13"/>
        <v>#N/A</v>
      </c>
      <c r="I47" s="14" t="e">
        <f t="shared" ca="1" si="13"/>
        <v>#N/A</v>
      </c>
      <c r="J47" s="14" t="e">
        <f t="shared" ca="1" si="13"/>
        <v>#N/A</v>
      </c>
      <c r="K47" s="14" t="e">
        <f t="shared" ca="1" si="13"/>
        <v>#N/A</v>
      </c>
      <c r="L47" s="14" t="e">
        <f t="shared" ca="1" si="13"/>
        <v>#N/A</v>
      </c>
      <c r="M47" s="14" t="e">
        <f t="shared" ca="1" si="13"/>
        <v>#N/A</v>
      </c>
      <c r="N47" s="14" t="e">
        <f t="shared" ca="1" si="13"/>
        <v>#N/A</v>
      </c>
      <c r="O47" s="14" t="e">
        <f t="shared" ca="1" si="13"/>
        <v>#N/A</v>
      </c>
      <c r="P47" s="14" t="e">
        <f t="shared" ca="1" si="13"/>
        <v>#N/A</v>
      </c>
      <c r="Q47" s="14" t="e">
        <f t="shared" ca="1" si="13"/>
        <v>#N/A</v>
      </c>
      <c r="R47" s="14" t="e">
        <f t="shared" ca="1" si="13"/>
        <v>#N/A</v>
      </c>
      <c r="S47" s="14" t="e">
        <f t="shared" ca="1" si="13"/>
        <v>#N/A</v>
      </c>
      <c r="T47" s="14" t="e">
        <f t="shared" ca="1" si="13"/>
        <v>#N/A</v>
      </c>
      <c r="U47" s="14" t="e">
        <f t="shared" ca="1" si="13"/>
        <v>#N/A</v>
      </c>
      <c r="V47" s="14" t="e">
        <f t="shared" ca="1" si="13"/>
        <v>#N/A</v>
      </c>
      <c r="W47" s="14" t="e">
        <f t="shared" ca="1" si="13"/>
        <v>#N/A</v>
      </c>
      <c r="X47" s="14" t="e">
        <f t="shared" ca="1" si="13"/>
        <v>#N/A</v>
      </c>
      <c r="Y47" s="14" t="e">
        <f t="shared" ca="1" si="13"/>
        <v>#N/A</v>
      </c>
      <c r="Z47" s="14" t="e">
        <f t="shared" ca="1" si="13"/>
        <v>#N/A</v>
      </c>
      <c r="AA47" s="14" t="e">
        <f t="shared" ca="1" si="13"/>
        <v>#N/A</v>
      </c>
      <c r="AB47" s="14" t="e">
        <f t="shared" ca="1" si="13"/>
        <v>#N/A</v>
      </c>
      <c r="AC47" s="14" t="e">
        <f t="shared" ca="1" si="13"/>
        <v>#N/A</v>
      </c>
      <c r="AD47" s="14" t="e">
        <f t="shared" ca="1" si="13"/>
        <v>#N/A</v>
      </c>
      <c r="AE47" s="14" t="e">
        <f t="shared" ca="1" si="13"/>
        <v>#N/A</v>
      </c>
      <c r="AF47" s="14" t="e">
        <f t="shared" ca="1" si="13"/>
        <v>#N/A</v>
      </c>
      <c r="AG47" s="14" t="e">
        <f t="shared" ca="1" si="13"/>
        <v>#N/A</v>
      </c>
      <c r="AH47" s="14" t="e">
        <f t="shared" ca="1" si="13"/>
        <v>#N/A</v>
      </c>
      <c r="AI47" s="14" t="e">
        <f t="shared" ca="1" si="13"/>
        <v>#N/A</v>
      </c>
      <c r="AJ47" s="14" t="e">
        <f t="shared" ca="1" si="13"/>
        <v>#N/A</v>
      </c>
      <c r="AK47" s="14" t="e">
        <f t="shared" ca="1" si="13"/>
        <v>#N/A</v>
      </c>
      <c r="AL47" s="14" t="e">
        <f t="shared" ca="1" si="13"/>
        <v>#N/A</v>
      </c>
    </row>
    <row r="48" spans="1:54" ht="21" customHeight="1" outlineLevel="1" thickBot="1" x14ac:dyDescent="0.4">
      <c r="A48" s="5">
        <f t="shared" si="11"/>
        <v>0</v>
      </c>
      <c r="B48" s="5">
        <f t="shared" si="11"/>
        <v>0</v>
      </c>
      <c r="C48" s="5">
        <f t="shared" si="11"/>
        <v>0</v>
      </c>
      <c r="D48" s="5">
        <f t="shared" si="11"/>
        <v>0</v>
      </c>
      <c r="E48" s="6">
        <f t="shared" si="11"/>
        <v>0</v>
      </c>
      <c r="F48" s="14" t="e">
        <f t="shared" ca="1" si="12"/>
        <v>#N/A</v>
      </c>
      <c r="G48" s="14" t="e">
        <f t="shared" ca="1" si="13"/>
        <v>#N/A</v>
      </c>
      <c r="H48" s="14" t="e">
        <f t="shared" ca="1" si="13"/>
        <v>#N/A</v>
      </c>
      <c r="I48" s="14" t="e">
        <f t="shared" ca="1" si="13"/>
        <v>#N/A</v>
      </c>
      <c r="J48" s="14" t="e">
        <f t="shared" ca="1" si="13"/>
        <v>#N/A</v>
      </c>
      <c r="K48" s="14" t="e">
        <f t="shared" ca="1" si="13"/>
        <v>#N/A</v>
      </c>
      <c r="L48" s="14" t="e">
        <f t="shared" ca="1" si="13"/>
        <v>#N/A</v>
      </c>
      <c r="M48" s="14" t="e">
        <f t="shared" ca="1" si="13"/>
        <v>#N/A</v>
      </c>
      <c r="N48" s="14" t="e">
        <f t="shared" ca="1" si="13"/>
        <v>#N/A</v>
      </c>
      <c r="O48" s="14" t="e">
        <f t="shared" ca="1" si="13"/>
        <v>#N/A</v>
      </c>
      <c r="P48" s="14" t="e">
        <f t="shared" ca="1" si="13"/>
        <v>#N/A</v>
      </c>
      <c r="Q48" s="14" t="e">
        <f t="shared" ca="1" si="13"/>
        <v>#N/A</v>
      </c>
      <c r="R48" s="14" t="e">
        <f t="shared" ca="1" si="13"/>
        <v>#N/A</v>
      </c>
      <c r="S48" s="14" t="e">
        <f t="shared" ca="1" si="13"/>
        <v>#N/A</v>
      </c>
      <c r="T48" s="14" t="e">
        <f t="shared" ca="1" si="13"/>
        <v>#N/A</v>
      </c>
      <c r="U48" s="14" t="e">
        <f t="shared" ca="1" si="13"/>
        <v>#N/A</v>
      </c>
      <c r="V48" s="14" t="e">
        <f t="shared" ca="1" si="13"/>
        <v>#N/A</v>
      </c>
      <c r="W48" s="14" t="e">
        <f t="shared" ca="1" si="13"/>
        <v>#N/A</v>
      </c>
      <c r="X48" s="14" t="e">
        <f t="shared" ca="1" si="13"/>
        <v>#N/A</v>
      </c>
      <c r="Y48" s="14" t="e">
        <f t="shared" ca="1" si="13"/>
        <v>#N/A</v>
      </c>
      <c r="Z48" s="14" t="e">
        <f t="shared" ca="1" si="13"/>
        <v>#N/A</v>
      </c>
      <c r="AA48" s="14" t="e">
        <f t="shared" ca="1" si="13"/>
        <v>#N/A</v>
      </c>
      <c r="AB48" s="14" t="e">
        <f t="shared" ca="1" si="13"/>
        <v>#N/A</v>
      </c>
      <c r="AC48" s="14" t="e">
        <f t="shared" ca="1" si="13"/>
        <v>#N/A</v>
      </c>
      <c r="AD48" s="14" t="e">
        <f t="shared" ca="1" si="13"/>
        <v>#N/A</v>
      </c>
      <c r="AE48" s="14" t="e">
        <f t="shared" ca="1" si="13"/>
        <v>#N/A</v>
      </c>
      <c r="AF48" s="14" t="e">
        <f t="shared" ca="1" si="13"/>
        <v>#N/A</v>
      </c>
      <c r="AG48" s="14" t="e">
        <f t="shared" ca="1" si="13"/>
        <v>#N/A</v>
      </c>
      <c r="AH48" s="14" t="e">
        <f t="shared" ca="1" si="13"/>
        <v>#N/A</v>
      </c>
      <c r="AI48" s="14" t="e">
        <f t="shared" ca="1" si="13"/>
        <v>#N/A</v>
      </c>
      <c r="AJ48" s="14" t="e">
        <f t="shared" ca="1" si="13"/>
        <v>#N/A</v>
      </c>
      <c r="AK48" s="14" t="e">
        <f t="shared" ca="1" si="13"/>
        <v>#N/A</v>
      </c>
      <c r="AL48" s="14" t="e">
        <f t="shared" ca="1" si="13"/>
        <v>#N/A</v>
      </c>
    </row>
    <row r="49" spans="1:38" ht="21" customHeight="1" outlineLevel="1" thickBot="1" x14ac:dyDescent="0.4">
      <c r="A49" s="5">
        <f t="shared" si="11"/>
        <v>0</v>
      </c>
      <c r="B49" s="5">
        <f t="shared" si="11"/>
        <v>0</v>
      </c>
      <c r="C49" s="5">
        <f t="shared" si="11"/>
        <v>0</v>
      </c>
      <c r="D49" s="5">
        <f t="shared" si="11"/>
        <v>0</v>
      </c>
      <c r="E49" s="6">
        <f t="shared" si="11"/>
        <v>0</v>
      </c>
      <c r="F49" s="14" t="e">
        <f t="shared" ca="1" si="12"/>
        <v>#N/A</v>
      </c>
      <c r="G49" s="14" t="e">
        <f t="shared" ca="1" si="13"/>
        <v>#N/A</v>
      </c>
      <c r="H49" s="14" t="e">
        <f t="shared" ca="1" si="13"/>
        <v>#N/A</v>
      </c>
      <c r="I49" s="14" t="e">
        <f t="shared" ca="1" si="13"/>
        <v>#N/A</v>
      </c>
      <c r="J49" s="14" t="e">
        <f t="shared" ca="1" si="13"/>
        <v>#N/A</v>
      </c>
      <c r="K49" s="14" t="e">
        <f t="shared" ca="1" si="13"/>
        <v>#N/A</v>
      </c>
      <c r="L49" s="14" t="e">
        <f t="shared" ca="1" si="13"/>
        <v>#N/A</v>
      </c>
      <c r="M49" s="14" t="e">
        <f t="shared" ca="1" si="13"/>
        <v>#N/A</v>
      </c>
      <c r="N49" s="14" t="e">
        <f t="shared" ca="1" si="13"/>
        <v>#N/A</v>
      </c>
      <c r="O49" s="14" t="e">
        <f t="shared" ca="1" si="13"/>
        <v>#N/A</v>
      </c>
      <c r="P49" s="14" t="e">
        <f t="shared" ca="1" si="13"/>
        <v>#N/A</v>
      </c>
      <c r="Q49" s="14" t="e">
        <f t="shared" ca="1" si="13"/>
        <v>#N/A</v>
      </c>
      <c r="R49" s="14" t="e">
        <f t="shared" ca="1" si="13"/>
        <v>#N/A</v>
      </c>
      <c r="S49" s="14" t="e">
        <f t="shared" ca="1" si="13"/>
        <v>#N/A</v>
      </c>
      <c r="T49" s="14" t="e">
        <f t="shared" ca="1" si="13"/>
        <v>#N/A</v>
      </c>
      <c r="U49" s="14" t="e">
        <f t="shared" ca="1" si="13"/>
        <v>#N/A</v>
      </c>
      <c r="V49" s="14" t="e">
        <f t="shared" ca="1" si="13"/>
        <v>#N/A</v>
      </c>
      <c r="W49" s="14" t="e">
        <f t="shared" ca="1" si="13"/>
        <v>#N/A</v>
      </c>
      <c r="X49" s="14" t="e">
        <f t="shared" ca="1" si="13"/>
        <v>#N/A</v>
      </c>
      <c r="Y49" s="14" t="e">
        <f t="shared" ca="1" si="13"/>
        <v>#N/A</v>
      </c>
      <c r="Z49" s="14" t="e">
        <f t="shared" ca="1" si="13"/>
        <v>#N/A</v>
      </c>
      <c r="AA49" s="14" t="e">
        <f t="shared" ca="1" si="13"/>
        <v>#N/A</v>
      </c>
      <c r="AB49" s="14" t="e">
        <f t="shared" ca="1" si="13"/>
        <v>#N/A</v>
      </c>
      <c r="AC49" s="14" t="e">
        <f t="shared" ca="1" si="13"/>
        <v>#N/A</v>
      </c>
      <c r="AD49" s="14" t="e">
        <f t="shared" ca="1" si="13"/>
        <v>#N/A</v>
      </c>
      <c r="AE49" s="14" t="e">
        <f t="shared" ca="1" si="13"/>
        <v>#N/A</v>
      </c>
      <c r="AF49" s="14" t="e">
        <f t="shared" ca="1" si="13"/>
        <v>#N/A</v>
      </c>
      <c r="AG49" s="14" t="e">
        <f t="shared" ca="1" si="13"/>
        <v>#N/A</v>
      </c>
      <c r="AH49" s="14" t="e">
        <f t="shared" ca="1" si="13"/>
        <v>#N/A</v>
      </c>
      <c r="AI49" s="14" t="e">
        <f t="shared" ca="1" si="13"/>
        <v>#N/A</v>
      </c>
      <c r="AJ49" s="14" t="e">
        <f t="shared" ca="1" si="13"/>
        <v>#N/A</v>
      </c>
      <c r="AK49" s="14" t="e">
        <f t="shared" ca="1" si="13"/>
        <v>#N/A</v>
      </c>
      <c r="AL49" s="14" t="e">
        <f t="shared" ca="1" si="13"/>
        <v>#N/A</v>
      </c>
    </row>
    <row r="50" spans="1:38" ht="21" customHeight="1" outlineLevel="1" thickBot="1" x14ac:dyDescent="0.4">
      <c r="A50" s="5">
        <f t="shared" si="11"/>
        <v>0</v>
      </c>
      <c r="B50" s="5">
        <f t="shared" si="11"/>
        <v>0</v>
      </c>
      <c r="C50" s="5">
        <f t="shared" si="11"/>
        <v>0</v>
      </c>
      <c r="D50" s="5">
        <f t="shared" si="11"/>
        <v>0</v>
      </c>
      <c r="E50" s="6">
        <f t="shared" si="11"/>
        <v>0</v>
      </c>
      <c r="F50" s="14" t="e">
        <f t="shared" ca="1" si="12"/>
        <v>#N/A</v>
      </c>
      <c r="G50" s="14" t="e">
        <f t="shared" ca="1" si="13"/>
        <v>#N/A</v>
      </c>
      <c r="H50" s="14" t="e">
        <f t="shared" ca="1" si="13"/>
        <v>#N/A</v>
      </c>
      <c r="I50" s="14" t="e">
        <f t="shared" ca="1" si="13"/>
        <v>#N/A</v>
      </c>
      <c r="J50" s="14" t="e">
        <f t="shared" ca="1" si="13"/>
        <v>#N/A</v>
      </c>
      <c r="K50" s="14" t="e">
        <f t="shared" ca="1" si="13"/>
        <v>#N/A</v>
      </c>
      <c r="L50" s="14" t="e">
        <f t="shared" ca="1" si="13"/>
        <v>#N/A</v>
      </c>
      <c r="M50" s="14" t="e">
        <f t="shared" ca="1" si="13"/>
        <v>#N/A</v>
      </c>
      <c r="N50" s="14" t="e">
        <f t="shared" ca="1" si="13"/>
        <v>#N/A</v>
      </c>
      <c r="O50" s="14" t="e">
        <f t="shared" ca="1" si="13"/>
        <v>#N/A</v>
      </c>
      <c r="P50" s="14" t="e">
        <f t="shared" ca="1" si="13"/>
        <v>#N/A</v>
      </c>
      <c r="Q50" s="14" t="e">
        <f t="shared" ca="1" si="13"/>
        <v>#N/A</v>
      </c>
      <c r="R50" s="14" t="e">
        <f t="shared" ca="1" si="13"/>
        <v>#N/A</v>
      </c>
      <c r="S50" s="14" t="e">
        <f t="shared" ca="1" si="13"/>
        <v>#N/A</v>
      </c>
      <c r="T50" s="14" t="e">
        <f t="shared" ca="1" si="13"/>
        <v>#N/A</v>
      </c>
      <c r="U50" s="14" t="e">
        <f t="shared" ca="1" si="13"/>
        <v>#N/A</v>
      </c>
      <c r="V50" s="14" t="e">
        <f t="shared" ca="1" si="13"/>
        <v>#N/A</v>
      </c>
      <c r="W50" s="14" t="e">
        <f t="shared" ca="1" si="13"/>
        <v>#N/A</v>
      </c>
      <c r="X50" s="14" t="e">
        <f t="shared" ca="1" si="13"/>
        <v>#N/A</v>
      </c>
      <c r="Y50" s="14" t="e">
        <f t="shared" ca="1" si="13"/>
        <v>#N/A</v>
      </c>
      <c r="Z50" s="14" t="e">
        <f t="shared" ca="1" si="13"/>
        <v>#N/A</v>
      </c>
      <c r="AA50" s="14" t="e">
        <f t="shared" ca="1" si="13"/>
        <v>#N/A</v>
      </c>
      <c r="AB50" s="14" t="e">
        <f t="shared" ca="1" si="13"/>
        <v>#N/A</v>
      </c>
      <c r="AC50" s="14" t="e">
        <f t="shared" ca="1" si="13"/>
        <v>#N/A</v>
      </c>
      <c r="AD50" s="14" t="e">
        <f t="shared" ca="1" si="13"/>
        <v>#N/A</v>
      </c>
      <c r="AE50" s="14" t="e">
        <f t="shared" ca="1" si="13"/>
        <v>#N/A</v>
      </c>
      <c r="AF50" s="14" t="e">
        <f t="shared" ca="1" si="13"/>
        <v>#N/A</v>
      </c>
      <c r="AG50" s="14" t="e">
        <f t="shared" ca="1" si="13"/>
        <v>#N/A</v>
      </c>
      <c r="AH50" s="14" t="e">
        <f t="shared" ca="1" si="13"/>
        <v>#N/A</v>
      </c>
      <c r="AI50" s="14" t="e">
        <f t="shared" ca="1" si="13"/>
        <v>#N/A</v>
      </c>
      <c r="AJ50" s="14" t="e">
        <f t="shared" ca="1" si="13"/>
        <v>#N/A</v>
      </c>
      <c r="AK50" s="14" t="e">
        <f t="shared" ca="1" si="13"/>
        <v>#N/A</v>
      </c>
      <c r="AL50" s="14" t="e">
        <f t="shared" ca="1" si="13"/>
        <v>#N/A</v>
      </c>
    </row>
    <row r="51" spans="1:38" ht="21" customHeight="1" outlineLevel="1" thickBot="1" x14ac:dyDescent="0.4">
      <c r="A51" s="5">
        <f t="shared" si="11"/>
        <v>0</v>
      </c>
      <c r="B51" s="5">
        <f t="shared" si="11"/>
        <v>0</v>
      </c>
      <c r="C51" s="5">
        <f t="shared" si="11"/>
        <v>0</v>
      </c>
      <c r="D51" s="5">
        <f t="shared" si="11"/>
        <v>0</v>
      </c>
      <c r="E51" s="6">
        <f t="shared" si="11"/>
        <v>0</v>
      </c>
      <c r="F51" s="14" t="e">
        <f t="shared" ca="1" si="12"/>
        <v>#N/A</v>
      </c>
      <c r="G51" s="14" t="e">
        <f t="shared" ca="1" si="13"/>
        <v>#N/A</v>
      </c>
      <c r="H51" s="14" t="e">
        <f t="shared" ca="1" si="13"/>
        <v>#N/A</v>
      </c>
      <c r="I51" s="14" t="e">
        <f t="shared" ca="1" si="13"/>
        <v>#N/A</v>
      </c>
      <c r="J51" s="14" t="e">
        <f t="shared" ca="1" si="13"/>
        <v>#N/A</v>
      </c>
      <c r="K51" s="14" t="e">
        <f t="shared" ca="1" si="13"/>
        <v>#N/A</v>
      </c>
      <c r="L51" s="14" t="e">
        <f t="shared" ca="1" si="13"/>
        <v>#N/A</v>
      </c>
      <c r="M51" s="14" t="e">
        <f t="shared" ca="1" si="13"/>
        <v>#N/A</v>
      </c>
      <c r="N51" s="14" t="e">
        <f t="shared" ca="1" si="13"/>
        <v>#N/A</v>
      </c>
      <c r="O51" s="14" t="e">
        <f t="shared" ca="1" si="13"/>
        <v>#N/A</v>
      </c>
      <c r="P51" s="14" t="e">
        <f t="shared" ca="1" si="13"/>
        <v>#N/A</v>
      </c>
      <c r="Q51" s="14" t="e">
        <f t="shared" ca="1" si="13"/>
        <v>#N/A</v>
      </c>
      <c r="R51" s="14" t="e">
        <f t="shared" ca="1" si="13"/>
        <v>#N/A</v>
      </c>
      <c r="S51" s="14" t="e">
        <f t="shared" ca="1" si="13"/>
        <v>#N/A</v>
      </c>
      <c r="T51" s="14" t="e">
        <f t="shared" ca="1" si="13"/>
        <v>#N/A</v>
      </c>
      <c r="U51" s="14" t="e">
        <f t="shared" ca="1" si="13"/>
        <v>#N/A</v>
      </c>
      <c r="V51" s="14" t="e">
        <f t="shared" ca="1" si="13"/>
        <v>#N/A</v>
      </c>
      <c r="W51" s="14" t="e">
        <f t="shared" ca="1" si="13"/>
        <v>#N/A</v>
      </c>
      <c r="X51" s="14" t="e">
        <f t="shared" ca="1" si="13"/>
        <v>#N/A</v>
      </c>
      <c r="Y51" s="14" t="e">
        <f t="shared" ca="1" si="13"/>
        <v>#N/A</v>
      </c>
      <c r="Z51" s="14" t="e">
        <f t="shared" ca="1" si="13"/>
        <v>#N/A</v>
      </c>
      <c r="AA51" s="14" t="e">
        <f t="shared" ca="1" si="13"/>
        <v>#N/A</v>
      </c>
      <c r="AB51" s="14" t="e">
        <f t="shared" ca="1" si="13"/>
        <v>#N/A</v>
      </c>
      <c r="AC51" s="14" t="e">
        <f t="shared" ca="1" si="13"/>
        <v>#N/A</v>
      </c>
      <c r="AD51" s="14" t="e">
        <f t="shared" ca="1" si="13"/>
        <v>#N/A</v>
      </c>
      <c r="AE51" s="14" t="e">
        <f t="shared" ca="1" si="13"/>
        <v>#N/A</v>
      </c>
      <c r="AF51" s="14" t="e">
        <f t="shared" ca="1" si="13"/>
        <v>#N/A</v>
      </c>
      <c r="AG51" s="14" t="e">
        <f t="shared" ca="1" si="13"/>
        <v>#N/A</v>
      </c>
      <c r="AH51" s="14" t="e">
        <f t="shared" ca="1" si="13"/>
        <v>#N/A</v>
      </c>
      <c r="AI51" s="14" t="e">
        <f t="shared" ca="1" si="13"/>
        <v>#N/A</v>
      </c>
      <c r="AJ51" s="14" t="e">
        <f t="shared" ca="1" si="13"/>
        <v>#N/A</v>
      </c>
      <c r="AK51" s="14" t="e">
        <f t="shared" ca="1" si="13"/>
        <v>#N/A</v>
      </c>
      <c r="AL51" s="14" t="e">
        <f t="shared" ca="1" si="13"/>
        <v>#N/A</v>
      </c>
    </row>
    <row r="52" spans="1:38" ht="21" customHeight="1" outlineLevel="1" thickBot="1" x14ac:dyDescent="0.4">
      <c r="A52" s="5">
        <f t="shared" si="11"/>
        <v>0</v>
      </c>
      <c r="B52" s="5">
        <f t="shared" si="11"/>
        <v>0</v>
      </c>
      <c r="C52" s="5">
        <f t="shared" si="11"/>
        <v>0</v>
      </c>
      <c r="D52" s="5">
        <f t="shared" si="11"/>
        <v>0</v>
      </c>
      <c r="E52" s="6">
        <f t="shared" si="11"/>
        <v>0</v>
      </c>
      <c r="F52" s="14" t="e">
        <f t="shared" ca="1" si="12"/>
        <v>#N/A</v>
      </c>
      <c r="G52" s="14" t="e">
        <f t="shared" ca="1" si="13"/>
        <v>#N/A</v>
      </c>
      <c r="H52" s="14" t="e">
        <f t="shared" ca="1" si="13"/>
        <v>#N/A</v>
      </c>
      <c r="I52" s="14" t="e">
        <f t="shared" ca="1" si="13"/>
        <v>#N/A</v>
      </c>
      <c r="J52" s="14" t="e">
        <f t="shared" ca="1" si="13"/>
        <v>#N/A</v>
      </c>
      <c r="K52" s="14" t="e">
        <f t="shared" ca="1" si="13"/>
        <v>#N/A</v>
      </c>
      <c r="L52" s="14" t="e">
        <f t="shared" ca="1" si="13"/>
        <v>#N/A</v>
      </c>
      <c r="M52" s="14" t="e">
        <f t="shared" ca="1" si="13"/>
        <v>#N/A</v>
      </c>
      <c r="N52" s="14" t="e">
        <f t="shared" ca="1" si="13"/>
        <v>#N/A</v>
      </c>
      <c r="O52" s="14" t="e">
        <f t="shared" ca="1" si="13"/>
        <v>#N/A</v>
      </c>
      <c r="P52" s="14" t="e">
        <f t="shared" ca="1" si="13"/>
        <v>#N/A</v>
      </c>
      <c r="Q52" s="14" t="e">
        <f t="shared" ca="1" si="13"/>
        <v>#N/A</v>
      </c>
      <c r="R52" s="14" t="e">
        <f t="shared" ca="1" si="13"/>
        <v>#N/A</v>
      </c>
      <c r="S52" s="14" t="e">
        <f t="shared" ca="1" si="13"/>
        <v>#N/A</v>
      </c>
      <c r="T52" s="14" t="e">
        <f t="shared" ca="1" si="13"/>
        <v>#N/A</v>
      </c>
      <c r="U52" s="14" t="e">
        <f t="shared" ca="1" si="13"/>
        <v>#N/A</v>
      </c>
      <c r="V52" s="14" t="e">
        <f t="shared" ca="1" si="13"/>
        <v>#N/A</v>
      </c>
      <c r="W52" s="14" t="e">
        <f t="shared" ca="1" si="13"/>
        <v>#N/A</v>
      </c>
      <c r="X52" s="14" t="e">
        <f t="shared" ca="1" si="13"/>
        <v>#N/A</v>
      </c>
      <c r="Y52" s="14" t="e">
        <f t="shared" ca="1" si="13"/>
        <v>#N/A</v>
      </c>
      <c r="Z52" s="14" t="e">
        <f t="shared" ca="1" si="13"/>
        <v>#N/A</v>
      </c>
      <c r="AA52" s="14" t="e">
        <f t="shared" ca="1" si="13"/>
        <v>#N/A</v>
      </c>
      <c r="AB52" s="14" t="e">
        <f t="shared" ca="1" si="13"/>
        <v>#N/A</v>
      </c>
      <c r="AC52" s="14" t="e">
        <f t="shared" ca="1" si="13"/>
        <v>#N/A</v>
      </c>
      <c r="AD52" s="14" t="e">
        <f t="shared" ca="1" si="13"/>
        <v>#N/A</v>
      </c>
      <c r="AE52" s="14" t="e">
        <f t="shared" ca="1" si="13"/>
        <v>#N/A</v>
      </c>
      <c r="AF52" s="14" t="e">
        <f t="shared" ca="1" si="13"/>
        <v>#N/A</v>
      </c>
      <c r="AG52" s="14" t="e">
        <f t="shared" ca="1" si="13"/>
        <v>#N/A</v>
      </c>
      <c r="AH52" s="14" t="e">
        <f t="shared" ca="1" si="13"/>
        <v>#N/A</v>
      </c>
      <c r="AI52" s="14" t="e">
        <f t="shared" ca="1" si="13"/>
        <v>#N/A</v>
      </c>
      <c r="AJ52" s="14" t="e">
        <f t="shared" ca="1" si="13"/>
        <v>#N/A</v>
      </c>
      <c r="AK52" s="14" t="e">
        <f t="shared" ca="1" si="13"/>
        <v>#N/A</v>
      </c>
      <c r="AL52" s="14" t="e">
        <f t="shared" ca="1" si="13"/>
        <v>#N/A</v>
      </c>
    </row>
    <row r="53" spans="1:38" ht="21" customHeight="1" outlineLevel="1" thickBot="1" x14ac:dyDescent="0.4">
      <c r="A53" s="5">
        <f t="shared" si="11"/>
        <v>0</v>
      </c>
      <c r="B53" s="5">
        <f t="shared" si="11"/>
        <v>0</v>
      </c>
      <c r="C53" s="5">
        <f t="shared" si="11"/>
        <v>0</v>
      </c>
      <c r="D53" s="5">
        <f t="shared" si="11"/>
        <v>0</v>
      </c>
      <c r="E53" s="6">
        <f t="shared" si="11"/>
        <v>0</v>
      </c>
      <c r="F53" s="14" t="e">
        <f t="shared" ca="1" si="12"/>
        <v>#N/A</v>
      </c>
      <c r="G53" s="14" t="e">
        <f t="shared" ca="1" si="13"/>
        <v>#N/A</v>
      </c>
      <c r="H53" s="14" t="e">
        <f t="shared" ca="1" si="13"/>
        <v>#N/A</v>
      </c>
      <c r="I53" s="14" t="e">
        <f t="shared" ca="1" si="13"/>
        <v>#N/A</v>
      </c>
      <c r="J53" s="14" t="e">
        <f t="shared" ca="1" si="13"/>
        <v>#N/A</v>
      </c>
      <c r="K53" s="14" t="e">
        <f t="shared" ca="1" si="13"/>
        <v>#N/A</v>
      </c>
      <c r="L53" s="14" t="e">
        <f t="shared" ca="1" si="13"/>
        <v>#N/A</v>
      </c>
      <c r="M53" s="14" t="e">
        <f t="shared" ca="1" si="13"/>
        <v>#N/A</v>
      </c>
      <c r="N53" s="14" t="e">
        <f t="shared" ca="1" si="13"/>
        <v>#N/A</v>
      </c>
      <c r="O53" s="14" t="e">
        <f t="shared" ca="1" si="13"/>
        <v>#N/A</v>
      </c>
      <c r="P53" s="14" t="e">
        <f t="shared" ca="1" si="13"/>
        <v>#N/A</v>
      </c>
      <c r="Q53" s="14" t="e">
        <f t="shared" ca="1" si="13"/>
        <v>#N/A</v>
      </c>
      <c r="R53" s="14" t="e">
        <f t="shared" ca="1" si="13"/>
        <v>#N/A</v>
      </c>
      <c r="S53" s="14" t="e">
        <f t="shared" ca="1" si="13"/>
        <v>#N/A</v>
      </c>
      <c r="T53" s="14" t="e">
        <f t="shared" ca="1" si="13"/>
        <v>#N/A</v>
      </c>
      <c r="U53" s="14" t="e">
        <f t="shared" ca="1" si="13"/>
        <v>#N/A</v>
      </c>
      <c r="V53" s="14" t="e">
        <f t="shared" ca="1" si="13"/>
        <v>#N/A</v>
      </c>
      <c r="W53" s="14" t="e">
        <f t="shared" ca="1" si="13"/>
        <v>#N/A</v>
      </c>
      <c r="X53" s="14" t="e">
        <f t="shared" ca="1" si="13"/>
        <v>#N/A</v>
      </c>
      <c r="Y53" s="14" t="e">
        <f t="shared" ca="1" si="13"/>
        <v>#N/A</v>
      </c>
      <c r="Z53" s="14" t="e">
        <f t="shared" ca="1" si="13"/>
        <v>#N/A</v>
      </c>
      <c r="AA53" s="14" t="e">
        <f t="shared" ca="1" si="13"/>
        <v>#N/A</v>
      </c>
      <c r="AB53" s="14" t="e">
        <f t="shared" ca="1" si="13"/>
        <v>#N/A</v>
      </c>
      <c r="AC53" s="14" t="e">
        <f t="shared" ca="1" si="13"/>
        <v>#N/A</v>
      </c>
      <c r="AD53" s="14" t="e">
        <f t="shared" ca="1" si="13"/>
        <v>#N/A</v>
      </c>
      <c r="AE53" s="14" t="e">
        <f t="shared" ca="1" si="13"/>
        <v>#N/A</v>
      </c>
      <c r="AF53" s="14" t="e">
        <f t="shared" ca="1" si="13"/>
        <v>#N/A</v>
      </c>
      <c r="AG53" s="14" t="e">
        <f t="shared" ca="1" si="13"/>
        <v>#N/A</v>
      </c>
      <c r="AH53" s="14" t="e">
        <f t="shared" ca="1" si="13"/>
        <v>#N/A</v>
      </c>
      <c r="AI53" s="14" t="e">
        <f t="shared" ca="1" si="13"/>
        <v>#N/A</v>
      </c>
      <c r="AJ53" s="14" t="e">
        <f t="shared" ca="1" si="13"/>
        <v>#N/A</v>
      </c>
      <c r="AK53" s="14" t="e">
        <f t="shared" ca="1" si="13"/>
        <v>#N/A</v>
      </c>
      <c r="AL53" s="14" t="e">
        <f t="shared" ca="1" si="13"/>
        <v>#N/A</v>
      </c>
    </row>
    <row r="54" spans="1:38" ht="21" customHeight="1" outlineLevel="1" thickBot="1" x14ac:dyDescent="0.4">
      <c r="A54" s="5">
        <f t="shared" si="11"/>
        <v>0</v>
      </c>
      <c r="B54" s="5">
        <f t="shared" si="11"/>
        <v>0</v>
      </c>
      <c r="C54" s="5">
        <f t="shared" si="11"/>
        <v>0</v>
      </c>
      <c r="D54" s="5">
        <f t="shared" si="11"/>
        <v>0</v>
      </c>
      <c r="E54" s="6">
        <f t="shared" si="11"/>
        <v>0</v>
      </c>
      <c r="F54" s="14" t="e">
        <f t="shared" ca="1" si="12"/>
        <v>#N/A</v>
      </c>
      <c r="G54" s="14" t="e">
        <f t="shared" ca="1" si="13"/>
        <v>#N/A</v>
      </c>
      <c r="H54" s="14" t="e">
        <f t="shared" ca="1" si="13"/>
        <v>#N/A</v>
      </c>
      <c r="I54" s="14" t="e">
        <f t="shared" ca="1" si="13"/>
        <v>#N/A</v>
      </c>
      <c r="J54" s="14" t="e">
        <f t="shared" ca="1" si="13"/>
        <v>#N/A</v>
      </c>
      <c r="K54" s="14" t="e">
        <f t="shared" ca="1" si="13"/>
        <v>#N/A</v>
      </c>
      <c r="L54" s="14" t="e">
        <f t="shared" ca="1" si="13"/>
        <v>#N/A</v>
      </c>
      <c r="M54" s="14" t="e">
        <f t="shared" ca="1" si="13"/>
        <v>#N/A</v>
      </c>
      <c r="N54" s="14" t="e">
        <f t="shared" ca="1" si="13"/>
        <v>#N/A</v>
      </c>
      <c r="O54" s="14" t="e">
        <f t="shared" ca="1" si="13"/>
        <v>#N/A</v>
      </c>
      <c r="P54" s="14" t="e">
        <f t="shared" ca="1" si="13"/>
        <v>#N/A</v>
      </c>
      <c r="Q54" s="14" t="e">
        <f t="shared" ca="1" si="13"/>
        <v>#N/A</v>
      </c>
      <c r="R54" s="14" t="e">
        <f t="shared" ca="1" si="13"/>
        <v>#N/A</v>
      </c>
      <c r="S54" s="14" t="e">
        <f t="shared" ca="1" si="13"/>
        <v>#N/A</v>
      </c>
      <c r="T54" s="14" t="e">
        <f t="shared" ca="1" si="13"/>
        <v>#N/A</v>
      </c>
      <c r="U54" s="14" t="e">
        <f t="shared" ref="G54:AL62" ca="1" si="14">$A54*H.Ar + $B54*H.Se + $C54*H.Ge + $D54*H.Ga</f>
        <v>#N/A</v>
      </c>
      <c r="V54" s="14" t="e">
        <f t="shared" ca="1" si="14"/>
        <v>#N/A</v>
      </c>
      <c r="W54" s="14" t="e">
        <f t="shared" ca="1" si="14"/>
        <v>#N/A</v>
      </c>
      <c r="X54" s="14" t="e">
        <f t="shared" ca="1" si="14"/>
        <v>#N/A</v>
      </c>
      <c r="Y54" s="14" t="e">
        <f t="shared" ca="1" si="14"/>
        <v>#N/A</v>
      </c>
      <c r="Z54" s="14" t="e">
        <f t="shared" ca="1" si="14"/>
        <v>#N/A</v>
      </c>
      <c r="AA54" s="14" t="e">
        <f t="shared" ca="1" si="14"/>
        <v>#N/A</v>
      </c>
      <c r="AB54" s="14" t="e">
        <f t="shared" ca="1" si="14"/>
        <v>#N/A</v>
      </c>
      <c r="AC54" s="14" t="e">
        <f t="shared" ca="1" si="14"/>
        <v>#N/A</v>
      </c>
      <c r="AD54" s="14" t="e">
        <f t="shared" ca="1" si="14"/>
        <v>#N/A</v>
      </c>
      <c r="AE54" s="14" t="e">
        <f t="shared" ca="1" si="14"/>
        <v>#N/A</v>
      </c>
      <c r="AF54" s="14" t="e">
        <f t="shared" ca="1" si="14"/>
        <v>#N/A</v>
      </c>
      <c r="AG54" s="14" t="e">
        <f t="shared" ca="1" si="14"/>
        <v>#N/A</v>
      </c>
      <c r="AH54" s="14" t="e">
        <f t="shared" ca="1" si="14"/>
        <v>#N/A</v>
      </c>
      <c r="AI54" s="14" t="e">
        <f t="shared" ca="1" si="14"/>
        <v>#N/A</v>
      </c>
      <c r="AJ54" s="14" t="e">
        <f t="shared" ca="1" si="14"/>
        <v>#N/A</v>
      </c>
      <c r="AK54" s="14" t="e">
        <f t="shared" ca="1" si="14"/>
        <v>#N/A</v>
      </c>
      <c r="AL54" s="14" t="e">
        <f t="shared" ca="1" si="14"/>
        <v>#N/A</v>
      </c>
    </row>
    <row r="55" spans="1:38" ht="21" customHeight="1" outlineLevel="1" thickBot="1" x14ac:dyDescent="0.4">
      <c r="A55" s="5">
        <f t="shared" si="11"/>
        <v>0</v>
      </c>
      <c r="B55" s="5">
        <f t="shared" si="11"/>
        <v>0</v>
      </c>
      <c r="C55" s="5">
        <f t="shared" si="11"/>
        <v>0</v>
      </c>
      <c r="D55" s="5">
        <f t="shared" si="11"/>
        <v>0</v>
      </c>
      <c r="E55" s="6">
        <f t="shared" si="11"/>
        <v>0</v>
      </c>
      <c r="F55" s="14" t="e">
        <f t="shared" ca="1" si="12"/>
        <v>#N/A</v>
      </c>
      <c r="G55" s="14" t="e">
        <f t="shared" ca="1" si="14"/>
        <v>#N/A</v>
      </c>
      <c r="H55" s="14" t="e">
        <f t="shared" ca="1" si="14"/>
        <v>#N/A</v>
      </c>
      <c r="I55" s="14" t="e">
        <f t="shared" ca="1" si="14"/>
        <v>#N/A</v>
      </c>
      <c r="J55" s="14" t="e">
        <f t="shared" ca="1" si="14"/>
        <v>#N/A</v>
      </c>
      <c r="K55" s="14" t="e">
        <f t="shared" ca="1" si="14"/>
        <v>#N/A</v>
      </c>
      <c r="L55" s="14" t="e">
        <f t="shared" ca="1" si="14"/>
        <v>#N/A</v>
      </c>
      <c r="M55" s="14" t="e">
        <f t="shared" ca="1" si="14"/>
        <v>#N/A</v>
      </c>
      <c r="N55" s="14" t="e">
        <f t="shared" ca="1" si="14"/>
        <v>#N/A</v>
      </c>
      <c r="O55" s="14" t="e">
        <f t="shared" ca="1" si="14"/>
        <v>#N/A</v>
      </c>
      <c r="P55" s="14" t="e">
        <f t="shared" ca="1" si="14"/>
        <v>#N/A</v>
      </c>
      <c r="Q55" s="14" t="e">
        <f t="shared" ca="1" si="14"/>
        <v>#N/A</v>
      </c>
      <c r="R55" s="14" t="e">
        <f t="shared" ca="1" si="14"/>
        <v>#N/A</v>
      </c>
      <c r="S55" s="14" t="e">
        <f t="shared" ca="1" si="14"/>
        <v>#N/A</v>
      </c>
      <c r="T55" s="14" t="e">
        <f t="shared" ca="1" si="14"/>
        <v>#N/A</v>
      </c>
      <c r="U55" s="14" t="e">
        <f t="shared" ca="1" si="14"/>
        <v>#N/A</v>
      </c>
      <c r="V55" s="14" t="e">
        <f t="shared" ca="1" si="14"/>
        <v>#N/A</v>
      </c>
      <c r="W55" s="14" t="e">
        <f t="shared" ca="1" si="14"/>
        <v>#N/A</v>
      </c>
      <c r="X55" s="14" t="e">
        <f t="shared" ca="1" si="14"/>
        <v>#N/A</v>
      </c>
      <c r="Y55" s="14" t="e">
        <f t="shared" ca="1" si="14"/>
        <v>#N/A</v>
      </c>
      <c r="Z55" s="14" t="e">
        <f t="shared" ca="1" si="14"/>
        <v>#N/A</v>
      </c>
      <c r="AA55" s="14" t="e">
        <f t="shared" ca="1" si="14"/>
        <v>#N/A</v>
      </c>
      <c r="AB55" s="14" t="e">
        <f t="shared" ca="1" si="14"/>
        <v>#N/A</v>
      </c>
      <c r="AC55" s="14" t="e">
        <f t="shared" ca="1" si="14"/>
        <v>#N/A</v>
      </c>
      <c r="AD55" s="14" t="e">
        <f t="shared" ca="1" si="14"/>
        <v>#N/A</v>
      </c>
      <c r="AE55" s="14" t="e">
        <f t="shared" ca="1" si="14"/>
        <v>#N/A</v>
      </c>
      <c r="AF55" s="14" t="e">
        <f t="shared" ca="1" si="14"/>
        <v>#N/A</v>
      </c>
      <c r="AG55" s="14" t="e">
        <f t="shared" ca="1" si="14"/>
        <v>#N/A</v>
      </c>
      <c r="AH55" s="14" t="e">
        <f t="shared" ca="1" si="14"/>
        <v>#N/A</v>
      </c>
      <c r="AI55" s="14" t="e">
        <f t="shared" ca="1" si="14"/>
        <v>#N/A</v>
      </c>
      <c r="AJ55" s="14" t="e">
        <f t="shared" ca="1" si="14"/>
        <v>#N/A</v>
      </c>
      <c r="AK55" s="14" t="e">
        <f t="shared" ca="1" si="14"/>
        <v>#N/A</v>
      </c>
      <c r="AL55" s="14" t="e">
        <f t="shared" ca="1" si="14"/>
        <v>#N/A</v>
      </c>
    </row>
    <row r="56" spans="1:38" ht="21" customHeight="1" outlineLevel="1" thickBot="1" x14ac:dyDescent="0.4">
      <c r="A56" s="5">
        <f t="shared" ref="A56:E65" si="15">A14</f>
        <v>0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>
        <f t="shared" si="15"/>
        <v>0</v>
      </c>
      <c r="F56" s="14" t="e">
        <f t="shared" ref="F56:U65" ca="1" si="16">$A56*H.Ar + $B56*H.Se + $C56*H.Ge + $D56*H.Ga</f>
        <v>#N/A</v>
      </c>
      <c r="G56" s="14" t="e">
        <f t="shared" ca="1" si="16"/>
        <v>#N/A</v>
      </c>
      <c r="H56" s="14" t="e">
        <f t="shared" ca="1" si="16"/>
        <v>#N/A</v>
      </c>
      <c r="I56" s="14" t="e">
        <f t="shared" ca="1" si="16"/>
        <v>#N/A</v>
      </c>
      <c r="J56" s="14" t="e">
        <f t="shared" ca="1" si="16"/>
        <v>#N/A</v>
      </c>
      <c r="K56" s="14" t="e">
        <f t="shared" ca="1" si="16"/>
        <v>#N/A</v>
      </c>
      <c r="L56" s="14" t="e">
        <f t="shared" ca="1" si="16"/>
        <v>#N/A</v>
      </c>
      <c r="M56" s="14" t="e">
        <f t="shared" ca="1" si="16"/>
        <v>#N/A</v>
      </c>
      <c r="N56" s="14" t="e">
        <f t="shared" ca="1" si="16"/>
        <v>#N/A</v>
      </c>
      <c r="O56" s="14" t="e">
        <f t="shared" ca="1" si="16"/>
        <v>#N/A</v>
      </c>
      <c r="P56" s="14" t="e">
        <f t="shared" ca="1" si="16"/>
        <v>#N/A</v>
      </c>
      <c r="Q56" s="14" t="e">
        <f t="shared" ca="1" si="16"/>
        <v>#N/A</v>
      </c>
      <c r="R56" s="14" t="e">
        <f t="shared" ca="1" si="16"/>
        <v>#N/A</v>
      </c>
      <c r="S56" s="14" t="e">
        <f t="shared" ca="1" si="16"/>
        <v>#N/A</v>
      </c>
      <c r="T56" s="14" t="e">
        <f t="shared" ca="1" si="16"/>
        <v>#N/A</v>
      </c>
      <c r="U56" s="14" t="e">
        <f t="shared" ca="1" si="16"/>
        <v>#N/A</v>
      </c>
      <c r="V56" s="14" t="e">
        <f t="shared" ca="1" si="14"/>
        <v>#N/A</v>
      </c>
      <c r="W56" s="14" t="e">
        <f t="shared" ca="1" si="14"/>
        <v>#N/A</v>
      </c>
      <c r="X56" s="14" t="e">
        <f t="shared" ca="1" si="14"/>
        <v>#N/A</v>
      </c>
      <c r="Y56" s="14" t="e">
        <f t="shared" ca="1" si="14"/>
        <v>#N/A</v>
      </c>
      <c r="Z56" s="14" t="e">
        <f t="shared" ca="1" si="14"/>
        <v>#N/A</v>
      </c>
      <c r="AA56" s="14" t="e">
        <f t="shared" ca="1" si="14"/>
        <v>#N/A</v>
      </c>
      <c r="AB56" s="14" t="e">
        <f t="shared" ca="1" si="14"/>
        <v>#N/A</v>
      </c>
      <c r="AC56" s="14" t="e">
        <f t="shared" ca="1" si="14"/>
        <v>#N/A</v>
      </c>
      <c r="AD56" s="14" t="e">
        <f t="shared" ca="1" si="14"/>
        <v>#N/A</v>
      </c>
      <c r="AE56" s="14" t="e">
        <f t="shared" ca="1" si="14"/>
        <v>#N/A</v>
      </c>
      <c r="AF56" s="14" t="e">
        <f t="shared" ca="1" si="14"/>
        <v>#N/A</v>
      </c>
      <c r="AG56" s="14" t="e">
        <f t="shared" ca="1" si="14"/>
        <v>#N/A</v>
      </c>
      <c r="AH56" s="14" t="e">
        <f t="shared" ca="1" si="14"/>
        <v>#N/A</v>
      </c>
      <c r="AI56" s="14" t="e">
        <f t="shared" ca="1" si="14"/>
        <v>#N/A</v>
      </c>
      <c r="AJ56" s="14" t="e">
        <f t="shared" ca="1" si="14"/>
        <v>#N/A</v>
      </c>
      <c r="AK56" s="14" t="e">
        <f t="shared" ca="1" si="14"/>
        <v>#N/A</v>
      </c>
      <c r="AL56" s="14" t="e">
        <f t="shared" ca="1" si="14"/>
        <v>#N/A</v>
      </c>
    </row>
    <row r="57" spans="1:38" ht="2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0</v>
      </c>
      <c r="E57" s="6">
        <f t="shared" si="15"/>
        <v>0</v>
      </c>
      <c r="F57" s="14" t="e">
        <f t="shared" ca="1" si="16"/>
        <v>#N/A</v>
      </c>
      <c r="G57" s="14" t="e">
        <f t="shared" ca="1" si="14"/>
        <v>#N/A</v>
      </c>
      <c r="H57" s="14" t="e">
        <f t="shared" ca="1" si="14"/>
        <v>#N/A</v>
      </c>
      <c r="I57" s="14" t="e">
        <f t="shared" ca="1" si="14"/>
        <v>#N/A</v>
      </c>
      <c r="J57" s="14" t="e">
        <f t="shared" ca="1" si="14"/>
        <v>#N/A</v>
      </c>
      <c r="K57" s="14" t="e">
        <f t="shared" ca="1" si="14"/>
        <v>#N/A</v>
      </c>
      <c r="L57" s="14" t="e">
        <f t="shared" ca="1" si="14"/>
        <v>#N/A</v>
      </c>
      <c r="M57" s="14" t="e">
        <f t="shared" ca="1" si="14"/>
        <v>#N/A</v>
      </c>
      <c r="N57" s="14" t="e">
        <f t="shared" ca="1" si="14"/>
        <v>#N/A</v>
      </c>
      <c r="O57" s="14" t="e">
        <f t="shared" ca="1" si="14"/>
        <v>#N/A</v>
      </c>
      <c r="P57" s="14" t="e">
        <f t="shared" ca="1" si="14"/>
        <v>#N/A</v>
      </c>
      <c r="Q57" s="14" t="e">
        <f t="shared" ca="1" si="14"/>
        <v>#N/A</v>
      </c>
      <c r="R57" s="14" t="e">
        <f t="shared" ca="1" si="14"/>
        <v>#N/A</v>
      </c>
      <c r="S57" s="14" t="e">
        <f t="shared" ca="1" si="14"/>
        <v>#N/A</v>
      </c>
      <c r="T57" s="14" t="e">
        <f t="shared" ca="1" si="14"/>
        <v>#N/A</v>
      </c>
      <c r="U57" s="14" t="e">
        <f t="shared" ca="1" si="14"/>
        <v>#N/A</v>
      </c>
      <c r="V57" s="14" t="e">
        <f t="shared" ca="1" si="14"/>
        <v>#N/A</v>
      </c>
      <c r="W57" s="14" t="e">
        <f t="shared" ca="1" si="14"/>
        <v>#N/A</v>
      </c>
      <c r="X57" s="14" t="e">
        <f t="shared" ca="1" si="14"/>
        <v>#N/A</v>
      </c>
      <c r="Y57" s="14" t="e">
        <f t="shared" ca="1" si="14"/>
        <v>#N/A</v>
      </c>
      <c r="Z57" s="14" t="e">
        <f t="shared" ca="1" si="14"/>
        <v>#N/A</v>
      </c>
      <c r="AA57" s="14" t="e">
        <f t="shared" ca="1" si="14"/>
        <v>#N/A</v>
      </c>
      <c r="AB57" s="14" t="e">
        <f t="shared" ca="1" si="14"/>
        <v>#N/A</v>
      </c>
      <c r="AC57" s="14" t="e">
        <f t="shared" ca="1" si="14"/>
        <v>#N/A</v>
      </c>
      <c r="AD57" s="14" t="e">
        <f t="shared" ca="1" si="14"/>
        <v>#N/A</v>
      </c>
      <c r="AE57" s="14" t="e">
        <f t="shared" ca="1" si="14"/>
        <v>#N/A</v>
      </c>
      <c r="AF57" s="14" t="e">
        <f t="shared" ca="1" si="14"/>
        <v>#N/A</v>
      </c>
      <c r="AG57" s="14" t="e">
        <f t="shared" ca="1" si="14"/>
        <v>#N/A</v>
      </c>
      <c r="AH57" s="14" t="e">
        <f t="shared" ca="1" si="14"/>
        <v>#N/A</v>
      </c>
      <c r="AI57" s="14" t="e">
        <f t="shared" ca="1" si="14"/>
        <v>#N/A</v>
      </c>
      <c r="AJ57" s="14" t="e">
        <f t="shared" ca="1" si="14"/>
        <v>#N/A</v>
      </c>
      <c r="AK57" s="14" t="e">
        <f t="shared" ca="1" si="14"/>
        <v>#N/A</v>
      </c>
      <c r="AL57" s="14" t="e">
        <f t="shared" ca="1" si="14"/>
        <v>#N/A</v>
      </c>
    </row>
    <row r="58" spans="1:38" ht="2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0</v>
      </c>
      <c r="D58" s="5">
        <f t="shared" si="15"/>
        <v>0</v>
      </c>
      <c r="E58" s="6">
        <f t="shared" si="15"/>
        <v>0</v>
      </c>
      <c r="F58" s="14" t="e">
        <f t="shared" ca="1" si="16"/>
        <v>#N/A</v>
      </c>
      <c r="G58" s="14" t="e">
        <f t="shared" ca="1" si="14"/>
        <v>#N/A</v>
      </c>
      <c r="H58" s="14" t="e">
        <f t="shared" ca="1" si="14"/>
        <v>#N/A</v>
      </c>
      <c r="I58" s="14" t="e">
        <f t="shared" ca="1" si="14"/>
        <v>#N/A</v>
      </c>
      <c r="J58" s="14" t="e">
        <f t="shared" ca="1" si="14"/>
        <v>#N/A</v>
      </c>
      <c r="K58" s="14" t="e">
        <f t="shared" ca="1" si="14"/>
        <v>#N/A</v>
      </c>
      <c r="L58" s="14" t="e">
        <f t="shared" ca="1" si="14"/>
        <v>#N/A</v>
      </c>
      <c r="M58" s="14" t="e">
        <f t="shared" ca="1" si="14"/>
        <v>#N/A</v>
      </c>
      <c r="N58" s="14" t="e">
        <f t="shared" ca="1" si="14"/>
        <v>#N/A</v>
      </c>
      <c r="O58" s="14" t="e">
        <f t="shared" ca="1" si="14"/>
        <v>#N/A</v>
      </c>
      <c r="P58" s="14" t="e">
        <f t="shared" ca="1" si="14"/>
        <v>#N/A</v>
      </c>
      <c r="Q58" s="14" t="e">
        <f t="shared" ca="1" si="14"/>
        <v>#N/A</v>
      </c>
      <c r="R58" s="14" t="e">
        <f t="shared" ca="1" si="14"/>
        <v>#N/A</v>
      </c>
      <c r="S58" s="14" t="e">
        <f t="shared" ca="1" si="14"/>
        <v>#N/A</v>
      </c>
      <c r="T58" s="14" t="e">
        <f t="shared" ca="1" si="14"/>
        <v>#N/A</v>
      </c>
      <c r="U58" s="14" t="e">
        <f t="shared" ca="1" si="14"/>
        <v>#N/A</v>
      </c>
      <c r="V58" s="14" t="e">
        <f t="shared" ca="1" si="14"/>
        <v>#N/A</v>
      </c>
      <c r="W58" s="14" t="e">
        <f t="shared" ca="1" si="14"/>
        <v>#N/A</v>
      </c>
      <c r="X58" s="14" t="e">
        <f t="shared" ca="1" si="14"/>
        <v>#N/A</v>
      </c>
      <c r="Y58" s="14" t="e">
        <f t="shared" ca="1" si="14"/>
        <v>#N/A</v>
      </c>
      <c r="Z58" s="14" t="e">
        <f t="shared" ca="1" si="14"/>
        <v>#N/A</v>
      </c>
      <c r="AA58" s="14" t="e">
        <f t="shared" ca="1" si="14"/>
        <v>#N/A</v>
      </c>
      <c r="AB58" s="14" t="e">
        <f t="shared" ca="1" si="14"/>
        <v>#N/A</v>
      </c>
      <c r="AC58" s="14" t="e">
        <f t="shared" ca="1" si="14"/>
        <v>#N/A</v>
      </c>
      <c r="AD58" s="14" t="e">
        <f t="shared" ca="1" si="14"/>
        <v>#N/A</v>
      </c>
      <c r="AE58" s="14" t="e">
        <f t="shared" ca="1" si="14"/>
        <v>#N/A</v>
      </c>
      <c r="AF58" s="14" t="e">
        <f t="shared" ca="1" si="14"/>
        <v>#N/A</v>
      </c>
      <c r="AG58" s="14" t="e">
        <f t="shared" ca="1" si="14"/>
        <v>#N/A</v>
      </c>
      <c r="AH58" s="14" t="e">
        <f t="shared" ca="1" si="14"/>
        <v>#N/A</v>
      </c>
      <c r="AI58" s="14" t="e">
        <f t="shared" ca="1" si="14"/>
        <v>#N/A</v>
      </c>
      <c r="AJ58" s="14" t="e">
        <f t="shared" ca="1" si="14"/>
        <v>#N/A</v>
      </c>
      <c r="AK58" s="14" t="e">
        <f t="shared" ca="1" si="14"/>
        <v>#N/A</v>
      </c>
      <c r="AL58" s="14" t="e">
        <f t="shared" ca="1" si="14"/>
        <v>#N/A</v>
      </c>
    </row>
    <row r="59" spans="1:38" ht="2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0</v>
      </c>
      <c r="D59" s="5">
        <f t="shared" si="15"/>
        <v>0</v>
      </c>
      <c r="E59" s="6">
        <f t="shared" si="15"/>
        <v>0</v>
      </c>
      <c r="F59" s="14" t="e">
        <f t="shared" ca="1" si="16"/>
        <v>#N/A</v>
      </c>
      <c r="G59" s="14" t="e">
        <f t="shared" ca="1" si="14"/>
        <v>#N/A</v>
      </c>
      <c r="H59" s="14" t="e">
        <f t="shared" ca="1" si="14"/>
        <v>#N/A</v>
      </c>
      <c r="I59" s="14" t="e">
        <f t="shared" ca="1" si="14"/>
        <v>#N/A</v>
      </c>
      <c r="J59" s="14" t="e">
        <f t="shared" ca="1" si="14"/>
        <v>#N/A</v>
      </c>
      <c r="K59" s="14" t="e">
        <f t="shared" ca="1" si="14"/>
        <v>#N/A</v>
      </c>
      <c r="L59" s="14" t="e">
        <f t="shared" ca="1" si="14"/>
        <v>#N/A</v>
      </c>
      <c r="M59" s="14" t="e">
        <f t="shared" ca="1" si="14"/>
        <v>#N/A</v>
      </c>
      <c r="N59" s="14" t="e">
        <f t="shared" ca="1" si="14"/>
        <v>#N/A</v>
      </c>
      <c r="O59" s="14" t="e">
        <f t="shared" ca="1" si="14"/>
        <v>#N/A</v>
      </c>
      <c r="P59" s="14" t="e">
        <f t="shared" ca="1" si="14"/>
        <v>#N/A</v>
      </c>
      <c r="Q59" s="14" t="e">
        <f t="shared" ca="1" si="14"/>
        <v>#N/A</v>
      </c>
      <c r="R59" s="14" t="e">
        <f t="shared" ca="1" si="14"/>
        <v>#N/A</v>
      </c>
      <c r="S59" s="14" t="e">
        <f t="shared" ca="1" si="14"/>
        <v>#N/A</v>
      </c>
      <c r="T59" s="14" t="e">
        <f t="shared" ca="1" si="14"/>
        <v>#N/A</v>
      </c>
      <c r="U59" s="14" t="e">
        <f t="shared" ca="1" si="14"/>
        <v>#N/A</v>
      </c>
      <c r="V59" s="14" t="e">
        <f t="shared" ca="1" si="14"/>
        <v>#N/A</v>
      </c>
      <c r="W59" s="14" t="e">
        <f t="shared" ca="1" si="14"/>
        <v>#N/A</v>
      </c>
      <c r="X59" s="14" t="e">
        <f t="shared" ca="1" si="14"/>
        <v>#N/A</v>
      </c>
      <c r="Y59" s="14" t="e">
        <f t="shared" ca="1" si="14"/>
        <v>#N/A</v>
      </c>
      <c r="Z59" s="14" t="e">
        <f t="shared" ca="1" si="14"/>
        <v>#N/A</v>
      </c>
      <c r="AA59" s="14" t="e">
        <f t="shared" ca="1" si="14"/>
        <v>#N/A</v>
      </c>
      <c r="AB59" s="14" t="e">
        <f t="shared" ca="1" si="14"/>
        <v>#N/A</v>
      </c>
      <c r="AC59" s="14" t="e">
        <f t="shared" ca="1" si="14"/>
        <v>#N/A</v>
      </c>
      <c r="AD59" s="14" t="e">
        <f t="shared" ca="1" si="14"/>
        <v>#N/A</v>
      </c>
      <c r="AE59" s="14" t="e">
        <f t="shared" ca="1" si="14"/>
        <v>#N/A</v>
      </c>
      <c r="AF59" s="14" t="e">
        <f t="shared" ca="1" si="14"/>
        <v>#N/A</v>
      </c>
      <c r="AG59" s="14" t="e">
        <f t="shared" ca="1" si="14"/>
        <v>#N/A</v>
      </c>
      <c r="AH59" s="14" t="e">
        <f t="shared" ca="1" si="14"/>
        <v>#N/A</v>
      </c>
      <c r="AI59" s="14" t="e">
        <f t="shared" ca="1" si="14"/>
        <v>#N/A</v>
      </c>
      <c r="AJ59" s="14" t="e">
        <f t="shared" ca="1" si="14"/>
        <v>#N/A</v>
      </c>
      <c r="AK59" s="14" t="e">
        <f t="shared" ca="1" si="14"/>
        <v>#N/A</v>
      </c>
      <c r="AL59" s="14" t="e">
        <f t="shared" ca="1" si="14"/>
        <v>#N/A</v>
      </c>
    </row>
    <row r="60" spans="1:38" ht="2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0</v>
      </c>
      <c r="D60" s="5">
        <f t="shared" si="15"/>
        <v>0</v>
      </c>
      <c r="E60" s="6">
        <f t="shared" si="15"/>
        <v>0</v>
      </c>
      <c r="F60" s="14" t="e">
        <f t="shared" ca="1" si="16"/>
        <v>#N/A</v>
      </c>
      <c r="G60" s="14" t="e">
        <f t="shared" ca="1" si="14"/>
        <v>#N/A</v>
      </c>
      <c r="H60" s="14" t="e">
        <f t="shared" ca="1" si="14"/>
        <v>#N/A</v>
      </c>
      <c r="I60" s="14" t="e">
        <f t="shared" ca="1" si="14"/>
        <v>#N/A</v>
      </c>
      <c r="J60" s="14" t="e">
        <f t="shared" ca="1" si="14"/>
        <v>#N/A</v>
      </c>
      <c r="K60" s="14" t="e">
        <f t="shared" ca="1" si="14"/>
        <v>#N/A</v>
      </c>
      <c r="L60" s="14" t="e">
        <f t="shared" ca="1" si="14"/>
        <v>#N/A</v>
      </c>
      <c r="M60" s="14" t="e">
        <f t="shared" ca="1" si="14"/>
        <v>#N/A</v>
      </c>
      <c r="N60" s="14" t="e">
        <f t="shared" ca="1" si="14"/>
        <v>#N/A</v>
      </c>
      <c r="O60" s="14" t="e">
        <f t="shared" ca="1" si="14"/>
        <v>#N/A</v>
      </c>
      <c r="P60" s="14" t="e">
        <f t="shared" ca="1" si="14"/>
        <v>#N/A</v>
      </c>
      <c r="Q60" s="14" t="e">
        <f t="shared" ca="1" si="14"/>
        <v>#N/A</v>
      </c>
      <c r="R60" s="14" t="e">
        <f t="shared" ca="1" si="14"/>
        <v>#N/A</v>
      </c>
      <c r="S60" s="14" t="e">
        <f t="shared" ca="1" si="14"/>
        <v>#N/A</v>
      </c>
      <c r="T60" s="14" t="e">
        <f t="shared" ca="1" si="14"/>
        <v>#N/A</v>
      </c>
      <c r="U60" s="14" t="e">
        <f t="shared" ca="1" si="14"/>
        <v>#N/A</v>
      </c>
      <c r="V60" s="14" t="e">
        <f t="shared" ca="1" si="14"/>
        <v>#N/A</v>
      </c>
      <c r="W60" s="14" t="e">
        <f t="shared" ca="1" si="14"/>
        <v>#N/A</v>
      </c>
      <c r="X60" s="14" t="e">
        <f t="shared" ca="1" si="14"/>
        <v>#N/A</v>
      </c>
      <c r="Y60" s="14" t="e">
        <f t="shared" ca="1" si="14"/>
        <v>#N/A</v>
      </c>
      <c r="Z60" s="14" t="e">
        <f t="shared" ca="1" si="14"/>
        <v>#N/A</v>
      </c>
      <c r="AA60" s="14" t="e">
        <f t="shared" ca="1" si="14"/>
        <v>#N/A</v>
      </c>
      <c r="AB60" s="14" t="e">
        <f t="shared" ca="1" si="14"/>
        <v>#N/A</v>
      </c>
      <c r="AC60" s="14" t="e">
        <f t="shared" ca="1" si="14"/>
        <v>#N/A</v>
      </c>
      <c r="AD60" s="14" t="e">
        <f t="shared" ca="1" si="14"/>
        <v>#N/A</v>
      </c>
      <c r="AE60" s="14" t="e">
        <f t="shared" ca="1" si="14"/>
        <v>#N/A</v>
      </c>
      <c r="AF60" s="14" t="e">
        <f t="shared" ca="1" si="14"/>
        <v>#N/A</v>
      </c>
      <c r="AG60" s="14" t="e">
        <f t="shared" ca="1" si="14"/>
        <v>#N/A</v>
      </c>
      <c r="AH60" s="14" t="e">
        <f t="shared" ca="1" si="14"/>
        <v>#N/A</v>
      </c>
      <c r="AI60" s="14" t="e">
        <f t="shared" ca="1" si="14"/>
        <v>#N/A</v>
      </c>
      <c r="AJ60" s="14" t="e">
        <f t="shared" ca="1" si="14"/>
        <v>#N/A</v>
      </c>
      <c r="AK60" s="14" t="e">
        <f t="shared" ca="1" si="14"/>
        <v>#N/A</v>
      </c>
      <c r="AL60" s="14" t="e">
        <f t="shared" ca="1" si="14"/>
        <v>#N/A</v>
      </c>
    </row>
    <row r="61" spans="1:38" ht="2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0</v>
      </c>
      <c r="D61" s="5">
        <f t="shared" si="15"/>
        <v>0</v>
      </c>
      <c r="E61" s="6">
        <f t="shared" si="15"/>
        <v>0</v>
      </c>
      <c r="F61" s="14" t="e">
        <f t="shared" ca="1" si="16"/>
        <v>#N/A</v>
      </c>
      <c r="G61" s="14" t="e">
        <f t="shared" ca="1" si="14"/>
        <v>#N/A</v>
      </c>
      <c r="H61" s="14" t="e">
        <f t="shared" ca="1" si="14"/>
        <v>#N/A</v>
      </c>
      <c r="I61" s="14" t="e">
        <f t="shared" ca="1" si="14"/>
        <v>#N/A</v>
      </c>
      <c r="J61" s="14" t="e">
        <f t="shared" ca="1" si="14"/>
        <v>#N/A</v>
      </c>
      <c r="K61" s="14" t="e">
        <f t="shared" ca="1" si="14"/>
        <v>#N/A</v>
      </c>
      <c r="L61" s="14" t="e">
        <f t="shared" ca="1" si="14"/>
        <v>#N/A</v>
      </c>
      <c r="M61" s="14" t="e">
        <f t="shared" ca="1" si="14"/>
        <v>#N/A</v>
      </c>
      <c r="N61" s="14" t="e">
        <f t="shared" ca="1" si="14"/>
        <v>#N/A</v>
      </c>
      <c r="O61" s="14" t="e">
        <f t="shared" ca="1" si="14"/>
        <v>#N/A</v>
      </c>
      <c r="P61" s="14" t="e">
        <f t="shared" ca="1" si="14"/>
        <v>#N/A</v>
      </c>
      <c r="Q61" s="14" t="e">
        <f t="shared" ca="1" si="14"/>
        <v>#N/A</v>
      </c>
      <c r="R61" s="14" t="e">
        <f t="shared" ca="1" si="14"/>
        <v>#N/A</v>
      </c>
      <c r="S61" s="14" t="e">
        <f t="shared" ca="1" si="14"/>
        <v>#N/A</v>
      </c>
      <c r="T61" s="14" t="e">
        <f t="shared" ca="1" si="14"/>
        <v>#N/A</v>
      </c>
      <c r="U61" s="14" t="e">
        <f t="shared" ca="1" si="14"/>
        <v>#N/A</v>
      </c>
      <c r="V61" s="14" t="e">
        <f t="shared" ca="1" si="14"/>
        <v>#N/A</v>
      </c>
      <c r="W61" s="14" t="e">
        <f t="shared" ca="1" si="14"/>
        <v>#N/A</v>
      </c>
      <c r="X61" s="14" t="e">
        <f t="shared" ca="1" si="14"/>
        <v>#N/A</v>
      </c>
      <c r="Y61" s="14" t="e">
        <f t="shared" ca="1" si="14"/>
        <v>#N/A</v>
      </c>
      <c r="Z61" s="14" t="e">
        <f t="shared" ca="1" si="14"/>
        <v>#N/A</v>
      </c>
      <c r="AA61" s="14" t="e">
        <f t="shared" ca="1" si="14"/>
        <v>#N/A</v>
      </c>
      <c r="AB61" s="14" t="e">
        <f t="shared" ca="1" si="14"/>
        <v>#N/A</v>
      </c>
      <c r="AC61" s="14" t="e">
        <f t="shared" ca="1" si="14"/>
        <v>#N/A</v>
      </c>
      <c r="AD61" s="14" t="e">
        <f t="shared" ca="1" si="14"/>
        <v>#N/A</v>
      </c>
      <c r="AE61" s="14" t="e">
        <f t="shared" ca="1" si="14"/>
        <v>#N/A</v>
      </c>
      <c r="AF61" s="14" t="e">
        <f t="shared" ca="1" si="14"/>
        <v>#N/A</v>
      </c>
      <c r="AG61" s="14" t="e">
        <f t="shared" ca="1" si="14"/>
        <v>#N/A</v>
      </c>
      <c r="AH61" s="14" t="e">
        <f t="shared" ca="1" si="14"/>
        <v>#N/A</v>
      </c>
      <c r="AI61" s="14" t="e">
        <f t="shared" ca="1" si="14"/>
        <v>#N/A</v>
      </c>
      <c r="AJ61" s="14" t="e">
        <f t="shared" ca="1" si="14"/>
        <v>#N/A</v>
      </c>
      <c r="AK61" s="14" t="e">
        <f t="shared" ca="1" si="14"/>
        <v>#N/A</v>
      </c>
      <c r="AL61" s="14" t="e">
        <f t="shared" ca="1" si="14"/>
        <v>#N/A</v>
      </c>
    </row>
    <row r="62" spans="1:38" ht="2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0</v>
      </c>
      <c r="D62" s="5">
        <f t="shared" si="15"/>
        <v>0</v>
      </c>
      <c r="E62" s="6">
        <f t="shared" si="15"/>
        <v>0</v>
      </c>
      <c r="F62" s="14" t="e">
        <f t="shared" ca="1" si="16"/>
        <v>#N/A</v>
      </c>
      <c r="G62" s="14" t="e">
        <f t="shared" ca="1" si="14"/>
        <v>#N/A</v>
      </c>
      <c r="H62" s="14" t="e">
        <f t="shared" ca="1" si="14"/>
        <v>#N/A</v>
      </c>
      <c r="I62" s="14" t="e">
        <f t="shared" ca="1" si="14"/>
        <v>#N/A</v>
      </c>
      <c r="J62" s="14" t="e">
        <f t="shared" ca="1" si="14"/>
        <v>#N/A</v>
      </c>
      <c r="K62" s="14" t="e">
        <f t="shared" ca="1" si="14"/>
        <v>#N/A</v>
      </c>
      <c r="L62" s="14" t="e">
        <f t="shared" ca="1" si="14"/>
        <v>#N/A</v>
      </c>
      <c r="M62" s="14" t="e">
        <f t="shared" ca="1" si="14"/>
        <v>#N/A</v>
      </c>
      <c r="N62" s="14" t="e">
        <f t="shared" ca="1" si="14"/>
        <v>#N/A</v>
      </c>
      <c r="O62" s="14" t="e">
        <f t="shared" ca="1" si="14"/>
        <v>#N/A</v>
      </c>
      <c r="P62" s="14" t="e">
        <f t="shared" ca="1" si="14"/>
        <v>#N/A</v>
      </c>
      <c r="Q62" s="14" t="e">
        <f t="shared" ca="1" si="14"/>
        <v>#N/A</v>
      </c>
      <c r="R62" s="14" t="e">
        <f t="shared" ca="1" si="14"/>
        <v>#N/A</v>
      </c>
      <c r="S62" s="14" t="e">
        <f t="shared" ca="1" si="14"/>
        <v>#N/A</v>
      </c>
      <c r="T62" s="14" t="e">
        <f t="shared" ca="1" si="14"/>
        <v>#N/A</v>
      </c>
      <c r="U62" s="14" t="e">
        <f t="shared" ca="1" si="14"/>
        <v>#N/A</v>
      </c>
      <c r="V62" s="14" t="e">
        <f t="shared" ca="1" si="14"/>
        <v>#N/A</v>
      </c>
      <c r="W62" s="14" t="e">
        <f t="shared" ca="1" si="14"/>
        <v>#N/A</v>
      </c>
      <c r="X62" s="14" t="e">
        <f t="shared" ca="1" si="14"/>
        <v>#N/A</v>
      </c>
      <c r="Y62" s="14" t="e">
        <f t="shared" ca="1" si="14"/>
        <v>#N/A</v>
      </c>
      <c r="Z62" s="14" t="e">
        <f t="shared" ca="1" si="14"/>
        <v>#N/A</v>
      </c>
      <c r="AA62" s="14" t="e">
        <f t="shared" ca="1" si="14"/>
        <v>#N/A</v>
      </c>
      <c r="AB62" s="14" t="e">
        <f t="shared" ca="1" si="14"/>
        <v>#N/A</v>
      </c>
      <c r="AC62" s="14" t="e">
        <f t="shared" ca="1" si="14"/>
        <v>#N/A</v>
      </c>
      <c r="AD62" s="14" t="e">
        <f t="shared" ca="1" si="14"/>
        <v>#N/A</v>
      </c>
      <c r="AE62" s="14" t="e">
        <f t="shared" ca="1" si="14"/>
        <v>#N/A</v>
      </c>
      <c r="AF62" s="14" t="e">
        <f t="shared" ca="1" si="14"/>
        <v>#N/A</v>
      </c>
      <c r="AG62" s="14" t="e">
        <f t="shared" ca="1" si="14"/>
        <v>#N/A</v>
      </c>
      <c r="AH62" s="14" t="e">
        <f t="shared" ca="1" si="14"/>
        <v>#N/A</v>
      </c>
      <c r="AI62" s="14" t="e">
        <f t="shared" ref="G62:AL71" ca="1" si="17">$A62*H.Ar + $B62*H.Se + $C62*H.Ge + $D62*H.Ga</f>
        <v>#N/A</v>
      </c>
      <c r="AJ62" s="14" t="e">
        <f t="shared" ca="1" si="17"/>
        <v>#N/A</v>
      </c>
      <c r="AK62" s="14" t="e">
        <f t="shared" ca="1" si="17"/>
        <v>#N/A</v>
      </c>
      <c r="AL62" s="14" t="e">
        <f t="shared" ca="1" si="17"/>
        <v>#N/A</v>
      </c>
    </row>
    <row r="63" spans="1:38" ht="2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 t="e">
        <f t="shared" ca="1" si="16"/>
        <v>#N/A</v>
      </c>
      <c r="G63" s="14" t="e">
        <f t="shared" ca="1" si="17"/>
        <v>#N/A</v>
      </c>
      <c r="H63" s="14" t="e">
        <f t="shared" ca="1" si="17"/>
        <v>#N/A</v>
      </c>
      <c r="I63" s="14" t="e">
        <f t="shared" ca="1" si="17"/>
        <v>#N/A</v>
      </c>
      <c r="J63" s="14" t="e">
        <f t="shared" ca="1" si="17"/>
        <v>#N/A</v>
      </c>
      <c r="K63" s="14" t="e">
        <f t="shared" ca="1" si="17"/>
        <v>#N/A</v>
      </c>
      <c r="L63" s="14" t="e">
        <f t="shared" ca="1" si="17"/>
        <v>#N/A</v>
      </c>
      <c r="M63" s="14" t="e">
        <f t="shared" ca="1" si="17"/>
        <v>#N/A</v>
      </c>
      <c r="N63" s="14" t="e">
        <f t="shared" ca="1" si="17"/>
        <v>#N/A</v>
      </c>
      <c r="O63" s="14" t="e">
        <f t="shared" ca="1" si="17"/>
        <v>#N/A</v>
      </c>
      <c r="P63" s="14" t="e">
        <f t="shared" ca="1" si="17"/>
        <v>#N/A</v>
      </c>
      <c r="Q63" s="14" t="e">
        <f t="shared" ca="1" si="17"/>
        <v>#N/A</v>
      </c>
      <c r="R63" s="14" t="e">
        <f t="shared" ca="1" si="17"/>
        <v>#N/A</v>
      </c>
      <c r="S63" s="14" t="e">
        <f t="shared" ca="1" si="17"/>
        <v>#N/A</v>
      </c>
      <c r="T63" s="14" t="e">
        <f t="shared" ca="1" si="17"/>
        <v>#N/A</v>
      </c>
      <c r="U63" s="14" t="e">
        <f t="shared" ca="1" si="17"/>
        <v>#N/A</v>
      </c>
      <c r="V63" s="14" t="e">
        <f t="shared" ca="1" si="17"/>
        <v>#N/A</v>
      </c>
      <c r="W63" s="14" t="e">
        <f t="shared" ca="1" si="17"/>
        <v>#N/A</v>
      </c>
      <c r="X63" s="14" t="e">
        <f t="shared" ca="1" si="17"/>
        <v>#N/A</v>
      </c>
      <c r="Y63" s="14" t="e">
        <f t="shared" ca="1" si="17"/>
        <v>#N/A</v>
      </c>
      <c r="Z63" s="14" t="e">
        <f t="shared" ca="1" si="17"/>
        <v>#N/A</v>
      </c>
      <c r="AA63" s="14" t="e">
        <f t="shared" ca="1" si="17"/>
        <v>#N/A</v>
      </c>
      <c r="AB63" s="14" t="e">
        <f t="shared" ca="1" si="17"/>
        <v>#N/A</v>
      </c>
      <c r="AC63" s="14" t="e">
        <f t="shared" ca="1" si="17"/>
        <v>#N/A</v>
      </c>
      <c r="AD63" s="14" t="e">
        <f t="shared" ca="1" si="17"/>
        <v>#N/A</v>
      </c>
      <c r="AE63" s="14" t="e">
        <f t="shared" ca="1" si="17"/>
        <v>#N/A</v>
      </c>
      <c r="AF63" s="14" t="e">
        <f t="shared" ca="1" si="17"/>
        <v>#N/A</v>
      </c>
      <c r="AG63" s="14" t="e">
        <f t="shared" ca="1" si="17"/>
        <v>#N/A</v>
      </c>
      <c r="AH63" s="14" t="e">
        <f t="shared" ca="1" si="17"/>
        <v>#N/A</v>
      </c>
      <c r="AI63" s="14" t="e">
        <f t="shared" ca="1" si="17"/>
        <v>#N/A</v>
      </c>
      <c r="AJ63" s="14" t="e">
        <f t="shared" ca="1" si="17"/>
        <v>#N/A</v>
      </c>
      <c r="AK63" s="14" t="e">
        <f t="shared" ca="1" si="17"/>
        <v>#N/A</v>
      </c>
      <c r="AL63" s="14" t="e">
        <f t="shared" ca="1" si="17"/>
        <v>#N/A</v>
      </c>
    </row>
    <row r="64" spans="1:38" ht="2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 t="e">
        <f t="shared" ca="1" si="16"/>
        <v>#N/A</v>
      </c>
      <c r="G64" s="14" t="e">
        <f t="shared" ca="1" si="17"/>
        <v>#N/A</v>
      </c>
      <c r="H64" s="14" t="e">
        <f t="shared" ca="1" si="17"/>
        <v>#N/A</v>
      </c>
      <c r="I64" s="14" t="e">
        <f t="shared" ca="1" si="17"/>
        <v>#N/A</v>
      </c>
      <c r="J64" s="14" t="e">
        <f t="shared" ca="1" si="17"/>
        <v>#N/A</v>
      </c>
      <c r="K64" s="14" t="e">
        <f t="shared" ca="1" si="17"/>
        <v>#N/A</v>
      </c>
      <c r="L64" s="14" t="e">
        <f t="shared" ca="1" si="17"/>
        <v>#N/A</v>
      </c>
      <c r="M64" s="14" t="e">
        <f t="shared" ca="1" si="17"/>
        <v>#N/A</v>
      </c>
      <c r="N64" s="14" t="e">
        <f t="shared" ca="1" si="17"/>
        <v>#N/A</v>
      </c>
      <c r="O64" s="14" t="e">
        <f t="shared" ca="1" si="17"/>
        <v>#N/A</v>
      </c>
      <c r="P64" s="14" t="e">
        <f t="shared" ca="1" si="17"/>
        <v>#N/A</v>
      </c>
      <c r="Q64" s="14" t="e">
        <f t="shared" ca="1" si="17"/>
        <v>#N/A</v>
      </c>
      <c r="R64" s="14" t="e">
        <f t="shared" ca="1" si="17"/>
        <v>#N/A</v>
      </c>
      <c r="S64" s="14" t="e">
        <f t="shared" ca="1" si="17"/>
        <v>#N/A</v>
      </c>
      <c r="T64" s="14" t="e">
        <f t="shared" ca="1" si="17"/>
        <v>#N/A</v>
      </c>
      <c r="U64" s="14" t="e">
        <f t="shared" ca="1" si="17"/>
        <v>#N/A</v>
      </c>
      <c r="V64" s="14" t="e">
        <f t="shared" ca="1" si="17"/>
        <v>#N/A</v>
      </c>
      <c r="W64" s="14" t="e">
        <f t="shared" ca="1" si="17"/>
        <v>#N/A</v>
      </c>
      <c r="X64" s="14" t="e">
        <f t="shared" ca="1" si="17"/>
        <v>#N/A</v>
      </c>
      <c r="Y64" s="14" t="e">
        <f t="shared" ca="1" si="17"/>
        <v>#N/A</v>
      </c>
      <c r="Z64" s="14" t="e">
        <f t="shared" ca="1" si="17"/>
        <v>#N/A</v>
      </c>
      <c r="AA64" s="14" t="e">
        <f t="shared" ca="1" si="17"/>
        <v>#N/A</v>
      </c>
      <c r="AB64" s="14" t="e">
        <f t="shared" ca="1" si="17"/>
        <v>#N/A</v>
      </c>
      <c r="AC64" s="14" t="e">
        <f t="shared" ca="1" si="17"/>
        <v>#N/A</v>
      </c>
      <c r="AD64" s="14" t="e">
        <f t="shared" ca="1" si="17"/>
        <v>#N/A</v>
      </c>
      <c r="AE64" s="14" t="e">
        <f t="shared" ca="1" si="17"/>
        <v>#N/A</v>
      </c>
      <c r="AF64" s="14" t="e">
        <f t="shared" ca="1" si="17"/>
        <v>#N/A</v>
      </c>
      <c r="AG64" s="14" t="e">
        <f t="shared" ca="1" si="17"/>
        <v>#N/A</v>
      </c>
      <c r="AH64" s="14" t="e">
        <f t="shared" ca="1" si="17"/>
        <v>#N/A</v>
      </c>
      <c r="AI64" s="14" t="e">
        <f t="shared" ca="1" si="17"/>
        <v>#N/A</v>
      </c>
      <c r="AJ64" s="14" t="e">
        <f t="shared" ca="1" si="17"/>
        <v>#N/A</v>
      </c>
      <c r="AK64" s="14" t="e">
        <f t="shared" ca="1" si="17"/>
        <v>#N/A</v>
      </c>
      <c r="AL64" s="14" t="e">
        <f t="shared" ca="1" si="17"/>
        <v>#N/A</v>
      </c>
    </row>
    <row r="65" spans="1:54" ht="2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 t="e">
        <f t="shared" ca="1" si="16"/>
        <v>#N/A</v>
      </c>
      <c r="G65" s="14" t="e">
        <f t="shared" ca="1" si="17"/>
        <v>#N/A</v>
      </c>
      <c r="H65" s="14" t="e">
        <f t="shared" ca="1" si="17"/>
        <v>#N/A</v>
      </c>
      <c r="I65" s="14" t="e">
        <f t="shared" ca="1" si="17"/>
        <v>#N/A</v>
      </c>
      <c r="J65" s="14" t="e">
        <f t="shared" ca="1" si="17"/>
        <v>#N/A</v>
      </c>
      <c r="K65" s="14" t="e">
        <f t="shared" ca="1" si="17"/>
        <v>#N/A</v>
      </c>
      <c r="L65" s="14" t="e">
        <f t="shared" ca="1" si="17"/>
        <v>#N/A</v>
      </c>
      <c r="M65" s="14" t="e">
        <f t="shared" ca="1" si="17"/>
        <v>#N/A</v>
      </c>
      <c r="N65" s="14" t="e">
        <f t="shared" ca="1" si="17"/>
        <v>#N/A</v>
      </c>
      <c r="O65" s="14" t="e">
        <f t="shared" ca="1" si="17"/>
        <v>#N/A</v>
      </c>
      <c r="P65" s="14" t="e">
        <f t="shared" ca="1" si="17"/>
        <v>#N/A</v>
      </c>
      <c r="Q65" s="14" t="e">
        <f t="shared" ca="1" si="17"/>
        <v>#N/A</v>
      </c>
      <c r="R65" s="14" t="e">
        <f t="shared" ca="1" si="17"/>
        <v>#N/A</v>
      </c>
      <c r="S65" s="14" t="e">
        <f t="shared" ca="1" si="17"/>
        <v>#N/A</v>
      </c>
      <c r="T65" s="14" t="e">
        <f t="shared" ca="1" si="17"/>
        <v>#N/A</v>
      </c>
      <c r="U65" s="14" t="e">
        <f t="shared" ca="1" si="17"/>
        <v>#N/A</v>
      </c>
      <c r="V65" s="14" t="e">
        <f t="shared" ca="1" si="17"/>
        <v>#N/A</v>
      </c>
      <c r="W65" s="14" t="e">
        <f t="shared" ca="1" si="17"/>
        <v>#N/A</v>
      </c>
      <c r="X65" s="14" t="e">
        <f t="shared" ca="1" si="17"/>
        <v>#N/A</v>
      </c>
      <c r="Y65" s="14" t="e">
        <f t="shared" ca="1" si="17"/>
        <v>#N/A</v>
      </c>
      <c r="Z65" s="14" t="e">
        <f t="shared" ca="1" si="17"/>
        <v>#N/A</v>
      </c>
      <c r="AA65" s="14" t="e">
        <f t="shared" ca="1" si="17"/>
        <v>#N/A</v>
      </c>
      <c r="AB65" s="14" t="e">
        <f t="shared" ca="1" si="17"/>
        <v>#N/A</v>
      </c>
      <c r="AC65" s="14" t="e">
        <f t="shared" ca="1" si="17"/>
        <v>#N/A</v>
      </c>
      <c r="AD65" s="14" t="e">
        <f t="shared" ca="1" si="17"/>
        <v>#N/A</v>
      </c>
      <c r="AE65" s="14" t="e">
        <f t="shared" ca="1" si="17"/>
        <v>#N/A</v>
      </c>
      <c r="AF65" s="14" t="e">
        <f t="shared" ca="1" si="17"/>
        <v>#N/A</v>
      </c>
      <c r="AG65" s="14" t="e">
        <f t="shared" ca="1" si="17"/>
        <v>#N/A</v>
      </c>
      <c r="AH65" s="14" t="e">
        <f t="shared" ca="1" si="17"/>
        <v>#N/A</v>
      </c>
      <c r="AI65" s="14" t="e">
        <f t="shared" ca="1" si="17"/>
        <v>#N/A</v>
      </c>
      <c r="AJ65" s="14" t="e">
        <f t="shared" ca="1" si="17"/>
        <v>#N/A</v>
      </c>
      <c r="AK65" s="14" t="e">
        <f t="shared" ca="1" si="17"/>
        <v>#N/A</v>
      </c>
      <c r="AL65" s="14" t="e">
        <f t="shared" ca="1" si="17"/>
        <v>#N/A</v>
      </c>
    </row>
    <row r="66" spans="1:54" ht="21" customHeight="1" outlineLevel="1" thickBot="1" x14ac:dyDescent="0.4">
      <c r="A66" s="5">
        <f t="shared" ref="A66:E75" si="18">A24</f>
        <v>0</v>
      </c>
      <c r="B66" s="5">
        <f t="shared" si="18"/>
        <v>0</v>
      </c>
      <c r="C66" s="5">
        <f t="shared" si="18"/>
        <v>0</v>
      </c>
      <c r="D66" s="5">
        <f t="shared" si="18"/>
        <v>0</v>
      </c>
      <c r="E66" s="6">
        <f t="shared" si="18"/>
        <v>0</v>
      </c>
      <c r="F66" s="14" t="e">
        <f t="shared" ref="F66:U74" ca="1" si="19">$A66*H.Ar + $B66*H.Se + $C66*H.Ge + $D66*H.Ga</f>
        <v>#N/A</v>
      </c>
      <c r="G66" s="14" t="e">
        <f t="shared" ca="1" si="19"/>
        <v>#N/A</v>
      </c>
      <c r="H66" s="14" t="e">
        <f t="shared" ca="1" si="19"/>
        <v>#N/A</v>
      </c>
      <c r="I66" s="14" t="e">
        <f t="shared" ca="1" si="19"/>
        <v>#N/A</v>
      </c>
      <c r="J66" s="14" t="e">
        <f t="shared" ca="1" si="19"/>
        <v>#N/A</v>
      </c>
      <c r="K66" s="14" t="e">
        <f t="shared" ca="1" si="19"/>
        <v>#N/A</v>
      </c>
      <c r="L66" s="14" t="e">
        <f t="shared" ca="1" si="19"/>
        <v>#N/A</v>
      </c>
      <c r="M66" s="14" t="e">
        <f t="shared" ca="1" si="19"/>
        <v>#N/A</v>
      </c>
      <c r="N66" s="14" t="e">
        <f t="shared" ca="1" si="19"/>
        <v>#N/A</v>
      </c>
      <c r="O66" s="14" t="e">
        <f t="shared" ca="1" si="19"/>
        <v>#N/A</v>
      </c>
      <c r="P66" s="14" t="e">
        <f t="shared" ca="1" si="19"/>
        <v>#N/A</v>
      </c>
      <c r="Q66" s="14" t="e">
        <f t="shared" ca="1" si="19"/>
        <v>#N/A</v>
      </c>
      <c r="R66" s="14" t="e">
        <f t="shared" ca="1" si="19"/>
        <v>#N/A</v>
      </c>
      <c r="S66" s="14" t="e">
        <f t="shared" ca="1" si="19"/>
        <v>#N/A</v>
      </c>
      <c r="T66" s="14" t="e">
        <f t="shared" ca="1" si="19"/>
        <v>#N/A</v>
      </c>
      <c r="U66" s="14" t="e">
        <f t="shared" ca="1" si="19"/>
        <v>#N/A</v>
      </c>
      <c r="V66" s="14" t="e">
        <f t="shared" ca="1" si="17"/>
        <v>#N/A</v>
      </c>
      <c r="W66" s="14" t="e">
        <f t="shared" ca="1" si="17"/>
        <v>#N/A</v>
      </c>
      <c r="X66" s="14" t="e">
        <f t="shared" ca="1" si="17"/>
        <v>#N/A</v>
      </c>
      <c r="Y66" s="14" t="e">
        <f t="shared" ca="1" si="17"/>
        <v>#N/A</v>
      </c>
      <c r="Z66" s="14" t="e">
        <f t="shared" ca="1" si="17"/>
        <v>#N/A</v>
      </c>
      <c r="AA66" s="14" t="e">
        <f t="shared" ca="1" si="17"/>
        <v>#N/A</v>
      </c>
      <c r="AB66" s="14" t="e">
        <f t="shared" ca="1" si="17"/>
        <v>#N/A</v>
      </c>
      <c r="AC66" s="14" t="e">
        <f t="shared" ca="1" si="17"/>
        <v>#N/A</v>
      </c>
      <c r="AD66" s="14" t="e">
        <f t="shared" ca="1" si="17"/>
        <v>#N/A</v>
      </c>
      <c r="AE66" s="14" t="e">
        <f t="shared" ca="1" si="17"/>
        <v>#N/A</v>
      </c>
      <c r="AF66" s="14" t="e">
        <f t="shared" ca="1" si="17"/>
        <v>#N/A</v>
      </c>
      <c r="AG66" s="14" t="e">
        <f t="shared" ca="1" si="17"/>
        <v>#N/A</v>
      </c>
      <c r="AH66" s="14" t="e">
        <f t="shared" ca="1" si="17"/>
        <v>#N/A</v>
      </c>
      <c r="AI66" s="14" t="e">
        <f t="shared" ca="1" si="17"/>
        <v>#N/A</v>
      </c>
      <c r="AJ66" s="14" t="e">
        <f t="shared" ca="1" si="17"/>
        <v>#N/A</v>
      </c>
      <c r="AK66" s="14" t="e">
        <f t="shared" ca="1" si="17"/>
        <v>#N/A</v>
      </c>
      <c r="AL66" s="14" t="e">
        <f t="shared" ca="1" si="17"/>
        <v>#N/A</v>
      </c>
    </row>
    <row r="67" spans="1:54" ht="21" customHeight="1" outlineLevel="1" thickBot="1" x14ac:dyDescent="0.4">
      <c r="A67" s="5">
        <f t="shared" si="18"/>
        <v>0</v>
      </c>
      <c r="B67" s="5">
        <f t="shared" si="18"/>
        <v>0</v>
      </c>
      <c r="C67" s="5">
        <f t="shared" si="18"/>
        <v>0</v>
      </c>
      <c r="D67" s="5">
        <f t="shared" si="18"/>
        <v>0</v>
      </c>
      <c r="E67" s="6">
        <f t="shared" si="18"/>
        <v>0</v>
      </c>
      <c r="F67" s="14" t="e">
        <f t="shared" ca="1" si="19"/>
        <v>#N/A</v>
      </c>
      <c r="G67" s="14" t="e">
        <f t="shared" ca="1" si="17"/>
        <v>#N/A</v>
      </c>
      <c r="H67" s="14" t="e">
        <f t="shared" ca="1" si="17"/>
        <v>#N/A</v>
      </c>
      <c r="I67" s="14" t="e">
        <f t="shared" ca="1" si="17"/>
        <v>#N/A</v>
      </c>
      <c r="J67" s="14" t="e">
        <f t="shared" ca="1" si="17"/>
        <v>#N/A</v>
      </c>
      <c r="K67" s="14" t="e">
        <f t="shared" ca="1" si="17"/>
        <v>#N/A</v>
      </c>
      <c r="L67" s="14" t="e">
        <f t="shared" ca="1" si="17"/>
        <v>#N/A</v>
      </c>
      <c r="M67" s="14" t="e">
        <f t="shared" ca="1" si="17"/>
        <v>#N/A</v>
      </c>
      <c r="N67" s="14" t="e">
        <f t="shared" ca="1" si="17"/>
        <v>#N/A</v>
      </c>
      <c r="O67" s="14" t="e">
        <f t="shared" ca="1" si="17"/>
        <v>#N/A</v>
      </c>
      <c r="P67" s="14" t="e">
        <f t="shared" ca="1" si="17"/>
        <v>#N/A</v>
      </c>
      <c r="Q67" s="14" t="e">
        <f t="shared" ca="1" si="17"/>
        <v>#N/A</v>
      </c>
      <c r="R67" s="14" t="e">
        <f t="shared" ca="1" si="17"/>
        <v>#N/A</v>
      </c>
      <c r="S67" s="14" t="e">
        <f t="shared" ca="1" si="17"/>
        <v>#N/A</v>
      </c>
      <c r="T67" s="14" t="e">
        <f t="shared" ca="1" si="17"/>
        <v>#N/A</v>
      </c>
      <c r="U67" s="14" t="e">
        <f t="shared" ca="1" si="17"/>
        <v>#N/A</v>
      </c>
      <c r="V67" s="14" t="e">
        <f t="shared" ca="1" si="17"/>
        <v>#N/A</v>
      </c>
      <c r="W67" s="14" t="e">
        <f t="shared" ca="1" si="17"/>
        <v>#N/A</v>
      </c>
      <c r="X67" s="14" t="e">
        <f t="shared" ca="1" si="17"/>
        <v>#N/A</v>
      </c>
      <c r="Y67" s="14" t="e">
        <f t="shared" ca="1" si="17"/>
        <v>#N/A</v>
      </c>
      <c r="Z67" s="14" t="e">
        <f t="shared" ca="1" si="17"/>
        <v>#N/A</v>
      </c>
      <c r="AA67" s="14" t="e">
        <f t="shared" ca="1" si="17"/>
        <v>#N/A</v>
      </c>
      <c r="AB67" s="14" t="e">
        <f t="shared" ca="1" si="17"/>
        <v>#N/A</v>
      </c>
      <c r="AC67" s="14" t="e">
        <f t="shared" ca="1" si="17"/>
        <v>#N/A</v>
      </c>
      <c r="AD67" s="14" t="e">
        <f t="shared" ca="1" si="17"/>
        <v>#N/A</v>
      </c>
      <c r="AE67" s="14" t="e">
        <f t="shared" ca="1" si="17"/>
        <v>#N/A</v>
      </c>
      <c r="AF67" s="14" t="e">
        <f t="shared" ca="1" si="17"/>
        <v>#N/A</v>
      </c>
      <c r="AG67" s="14" t="e">
        <f t="shared" ca="1" si="17"/>
        <v>#N/A</v>
      </c>
      <c r="AH67" s="14" t="e">
        <f t="shared" ca="1" si="17"/>
        <v>#N/A</v>
      </c>
      <c r="AI67" s="14" t="e">
        <f t="shared" ca="1" si="17"/>
        <v>#N/A</v>
      </c>
      <c r="AJ67" s="14" t="e">
        <f t="shared" ca="1" si="17"/>
        <v>#N/A</v>
      </c>
      <c r="AK67" s="14" t="e">
        <f t="shared" ca="1" si="17"/>
        <v>#N/A</v>
      </c>
      <c r="AL67" s="14" t="e">
        <f t="shared" ca="1" si="17"/>
        <v>#N/A</v>
      </c>
    </row>
    <row r="68" spans="1:54" ht="21" customHeight="1" outlineLevel="1" thickBot="1" x14ac:dyDescent="0.4">
      <c r="A68" s="5">
        <f t="shared" si="18"/>
        <v>0</v>
      </c>
      <c r="B68" s="5">
        <f t="shared" si="18"/>
        <v>0</v>
      </c>
      <c r="C68" s="5">
        <f t="shared" si="18"/>
        <v>0</v>
      </c>
      <c r="D68" s="5">
        <f t="shared" si="18"/>
        <v>0</v>
      </c>
      <c r="E68" s="6">
        <f t="shared" si="18"/>
        <v>0</v>
      </c>
      <c r="F68" s="14" t="e">
        <f t="shared" ca="1" si="19"/>
        <v>#N/A</v>
      </c>
      <c r="G68" s="14" t="e">
        <f t="shared" ca="1" si="17"/>
        <v>#N/A</v>
      </c>
      <c r="H68" s="14" t="e">
        <f t="shared" ca="1" si="17"/>
        <v>#N/A</v>
      </c>
      <c r="I68" s="14" t="e">
        <f t="shared" ca="1" si="17"/>
        <v>#N/A</v>
      </c>
      <c r="J68" s="14" t="e">
        <f t="shared" ca="1" si="17"/>
        <v>#N/A</v>
      </c>
      <c r="K68" s="14" t="e">
        <f t="shared" ca="1" si="17"/>
        <v>#N/A</v>
      </c>
      <c r="L68" s="14" t="e">
        <f t="shared" ca="1" si="17"/>
        <v>#N/A</v>
      </c>
      <c r="M68" s="14" t="e">
        <f t="shared" ca="1" si="17"/>
        <v>#N/A</v>
      </c>
      <c r="N68" s="14" t="e">
        <f t="shared" ca="1" si="17"/>
        <v>#N/A</v>
      </c>
      <c r="O68" s="14" t="e">
        <f t="shared" ca="1" si="17"/>
        <v>#N/A</v>
      </c>
      <c r="P68" s="14" t="e">
        <f t="shared" ca="1" si="17"/>
        <v>#N/A</v>
      </c>
      <c r="Q68" s="14" t="e">
        <f t="shared" ca="1" si="17"/>
        <v>#N/A</v>
      </c>
      <c r="R68" s="14" t="e">
        <f t="shared" ca="1" si="17"/>
        <v>#N/A</v>
      </c>
      <c r="S68" s="14" t="e">
        <f t="shared" ca="1" si="17"/>
        <v>#N/A</v>
      </c>
      <c r="T68" s="14" t="e">
        <f t="shared" ca="1" si="17"/>
        <v>#N/A</v>
      </c>
      <c r="U68" s="14" t="e">
        <f t="shared" ca="1" si="17"/>
        <v>#N/A</v>
      </c>
      <c r="V68" s="14" t="e">
        <f t="shared" ca="1" si="17"/>
        <v>#N/A</v>
      </c>
      <c r="W68" s="14" t="e">
        <f t="shared" ca="1" si="17"/>
        <v>#N/A</v>
      </c>
      <c r="X68" s="14" t="e">
        <f t="shared" ca="1" si="17"/>
        <v>#N/A</v>
      </c>
      <c r="Y68" s="14" t="e">
        <f t="shared" ca="1" si="17"/>
        <v>#N/A</v>
      </c>
      <c r="Z68" s="14" t="e">
        <f t="shared" ca="1" si="17"/>
        <v>#N/A</v>
      </c>
      <c r="AA68" s="14" t="e">
        <f t="shared" ca="1" si="17"/>
        <v>#N/A</v>
      </c>
      <c r="AB68" s="14" t="e">
        <f t="shared" ca="1" si="17"/>
        <v>#N/A</v>
      </c>
      <c r="AC68" s="14" t="e">
        <f t="shared" ca="1" si="17"/>
        <v>#N/A</v>
      </c>
      <c r="AD68" s="14" t="e">
        <f t="shared" ca="1" si="17"/>
        <v>#N/A</v>
      </c>
      <c r="AE68" s="14" t="e">
        <f t="shared" ca="1" si="17"/>
        <v>#N/A</v>
      </c>
      <c r="AF68" s="14" t="e">
        <f t="shared" ca="1" si="17"/>
        <v>#N/A</v>
      </c>
      <c r="AG68" s="14" t="e">
        <f t="shared" ca="1" si="17"/>
        <v>#N/A</v>
      </c>
      <c r="AH68" s="14" t="e">
        <f t="shared" ca="1" si="17"/>
        <v>#N/A</v>
      </c>
      <c r="AI68" s="14" t="e">
        <f t="shared" ca="1" si="17"/>
        <v>#N/A</v>
      </c>
      <c r="AJ68" s="14" t="e">
        <f t="shared" ca="1" si="17"/>
        <v>#N/A</v>
      </c>
      <c r="AK68" s="14" t="e">
        <f t="shared" ca="1" si="17"/>
        <v>#N/A</v>
      </c>
      <c r="AL68" s="14" t="e">
        <f t="shared" ca="1" si="17"/>
        <v>#N/A</v>
      </c>
    </row>
    <row r="69" spans="1:54" ht="21" customHeight="1" outlineLevel="1" thickBot="1" x14ac:dyDescent="0.4">
      <c r="A69" s="5">
        <f t="shared" si="18"/>
        <v>0</v>
      </c>
      <c r="B69" s="5">
        <f t="shared" si="18"/>
        <v>0</v>
      </c>
      <c r="C69" s="5">
        <f t="shared" si="18"/>
        <v>0</v>
      </c>
      <c r="D69" s="5">
        <f t="shared" si="18"/>
        <v>0</v>
      </c>
      <c r="E69" s="6">
        <f t="shared" si="18"/>
        <v>0</v>
      </c>
      <c r="F69" s="14" t="e">
        <f t="shared" ca="1" si="19"/>
        <v>#N/A</v>
      </c>
      <c r="G69" s="14" t="e">
        <f t="shared" ca="1" si="17"/>
        <v>#N/A</v>
      </c>
      <c r="H69" s="14" t="e">
        <f t="shared" ca="1" si="17"/>
        <v>#N/A</v>
      </c>
      <c r="I69" s="14" t="e">
        <f t="shared" ca="1" si="17"/>
        <v>#N/A</v>
      </c>
      <c r="J69" s="14" t="e">
        <f t="shared" ca="1" si="17"/>
        <v>#N/A</v>
      </c>
      <c r="K69" s="14" t="e">
        <f t="shared" ca="1" si="17"/>
        <v>#N/A</v>
      </c>
      <c r="L69" s="14" t="e">
        <f t="shared" ca="1" si="17"/>
        <v>#N/A</v>
      </c>
      <c r="M69" s="14" t="e">
        <f t="shared" ca="1" si="17"/>
        <v>#N/A</v>
      </c>
      <c r="N69" s="14" t="e">
        <f t="shared" ca="1" si="17"/>
        <v>#N/A</v>
      </c>
      <c r="O69" s="14" t="e">
        <f t="shared" ca="1" si="17"/>
        <v>#N/A</v>
      </c>
      <c r="P69" s="14" t="e">
        <f t="shared" ca="1" si="17"/>
        <v>#N/A</v>
      </c>
      <c r="Q69" s="14" t="e">
        <f t="shared" ca="1" si="17"/>
        <v>#N/A</v>
      </c>
      <c r="R69" s="14" t="e">
        <f t="shared" ca="1" si="17"/>
        <v>#N/A</v>
      </c>
      <c r="S69" s="14" t="e">
        <f t="shared" ca="1" si="17"/>
        <v>#N/A</v>
      </c>
      <c r="T69" s="14" t="e">
        <f t="shared" ca="1" si="17"/>
        <v>#N/A</v>
      </c>
      <c r="U69" s="14" t="e">
        <f t="shared" ca="1" si="17"/>
        <v>#N/A</v>
      </c>
      <c r="V69" s="14" t="e">
        <f t="shared" ca="1" si="17"/>
        <v>#N/A</v>
      </c>
      <c r="W69" s="14" t="e">
        <f t="shared" ca="1" si="17"/>
        <v>#N/A</v>
      </c>
      <c r="X69" s="14" t="e">
        <f t="shared" ca="1" si="17"/>
        <v>#N/A</v>
      </c>
      <c r="Y69" s="14" t="e">
        <f t="shared" ca="1" si="17"/>
        <v>#N/A</v>
      </c>
      <c r="Z69" s="14" t="e">
        <f t="shared" ca="1" si="17"/>
        <v>#N/A</v>
      </c>
      <c r="AA69" s="14" t="e">
        <f t="shared" ca="1" si="17"/>
        <v>#N/A</v>
      </c>
      <c r="AB69" s="14" t="e">
        <f t="shared" ca="1" si="17"/>
        <v>#N/A</v>
      </c>
      <c r="AC69" s="14" t="e">
        <f t="shared" ca="1" si="17"/>
        <v>#N/A</v>
      </c>
      <c r="AD69" s="14" t="e">
        <f t="shared" ca="1" si="17"/>
        <v>#N/A</v>
      </c>
      <c r="AE69" s="14" t="e">
        <f t="shared" ca="1" si="17"/>
        <v>#N/A</v>
      </c>
      <c r="AF69" s="14" t="e">
        <f t="shared" ca="1" si="17"/>
        <v>#N/A</v>
      </c>
      <c r="AG69" s="14" t="e">
        <f t="shared" ca="1" si="17"/>
        <v>#N/A</v>
      </c>
      <c r="AH69" s="14" t="e">
        <f t="shared" ca="1" si="17"/>
        <v>#N/A</v>
      </c>
      <c r="AI69" s="14" t="e">
        <f t="shared" ca="1" si="17"/>
        <v>#N/A</v>
      </c>
      <c r="AJ69" s="14" t="e">
        <f t="shared" ca="1" si="17"/>
        <v>#N/A</v>
      </c>
      <c r="AK69" s="14" t="e">
        <f t="shared" ca="1" si="17"/>
        <v>#N/A</v>
      </c>
      <c r="AL69" s="14" t="e">
        <f t="shared" ca="1" si="17"/>
        <v>#N/A</v>
      </c>
    </row>
    <row r="70" spans="1:54" ht="21" customHeight="1" outlineLevel="1" thickBot="1" x14ac:dyDescent="0.4">
      <c r="A70" s="5">
        <f t="shared" si="18"/>
        <v>0</v>
      </c>
      <c r="B70" s="5">
        <f t="shared" si="18"/>
        <v>0</v>
      </c>
      <c r="C70" s="5">
        <f t="shared" si="18"/>
        <v>0</v>
      </c>
      <c r="D70" s="5">
        <f t="shared" si="18"/>
        <v>0</v>
      </c>
      <c r="E70" s="6">
        <f t="shared" si="18"/>
        <v>0</v>
      </c>
      <c r="F70" s="14" t="e">
        <f t="shared" ca="1" si="19"/>
        <v>#N/A</v>
      </c>
      <c r="G70" s="14" t="e">
        <f t="shared" ca="1" si="17"/>
        <v>#N/A</v>
      </c>
      <c r="H70" s="14" t="e">
        <f t="shared" ca="1" si="17"/>
        <v>#N/A</v>
      </c>
      <c r="I70" s="14" t="e">
        <f t="shared" ca="1" si="17"/>
        <v>#N/A</v>
      </c>
      <c r="J70" s="14" t="e">
        <f t="shared" ca="1" si="17"/>
        <v>#N/A</v>
      </c>
      <c r="K70" s="14" t="e">
        <f t="shared" ca="1" si="17"/>
        <v>#N/A</v>
      </c>
      <c r="L70" s="14" t="e">
        <f t="shared" ca="1" si="17"/>
        <v>#N/A</v>
      </c>
      <c r="M70" s="14" t="e">
        <f t="shared" ca="1" si="17"/>
        <v>#N/A</v>
      </c>
      <c r="N70" s="14" t="e">
        <f t="shared" ca="1" si="17"/>
        <v>#N/A</v>
      </c>
      <c r="O70" s="14" t="e">
        <f t="shared" ca="1" si="17"/>
        <v>#N/A</v>
      </c>
      <c r="P70" s="14" t="e">
        <f t="shared" ca="1" si="17"/>
        <v>#N/A</v>
      </c>
      <c r="Q70" s="14" t="e">
        <f t="shared" ca="1" si="17"/>
        <v>#N/A</v>
      </c>
      <c r="R70" s="14" t="e">
        <f t="shared" ca="1" si="17"/>
        <v>#N/A</v>
      </c>
      <c r="S70" s="14" t="e">
        <f t="shared" ca="1" si="17"/>
        <v>#N/A</v>
      </c>
      <c r="T70" s="14" t="e">
        <f t="shared" ca="1" si="17"/>
        <v>#N/A</v>
      </c>
      <c r="U70" s="14" t="e">
        <f t="shared" ca="1" si="17"/>
        <v>#N/A</v>
      </c>
      <c r="V70" s="14" t="e">
        <f t="shared" ca="1" si="17"/>
        <v>#N/A</v>
      </c>
      <c r="W70" s="14" t="e">
        <f t="shared" ca="1" si="17"/>
        <v>#N/A</v>
      </c>
      <c r="X70" s="14" t="e">
        <f t="shared" ca="1" si="17"/>
        <v>#N/A</v>
      </c>
      <c r="Y70" s="14" t="e">
        <f t="shared" ca="1" si="17"/>
        <v>#N/A</v>
      </c>
      <c r="Z70" s="14" t="e">
        <f t="shared" ca="1" si="17"/>
        <v>#N/A</v>
      </c>
      <c r="AA70" s="14" t="e">
        <f t="shared" ca="1" si="17"/>
        <v>#N/A</v>
      </c>
      <c r="AB70" s="14" t="e">
        <f t="shared" ca="1" si="17"/>
        <v>#N/A</v>
      </c>
      <c r="AC70" s="14" t="e">
        <f t="shared" ca="1" si="17"/>
        <v>#N/A</v>
      </c>
      <c r="AD70" s="14" t="e">
        <f t="shared" ca="1" si="17"/>
        <v>#N/A</v>
      </c>
      <c r="AE70" s="14" t="e">
        <f t="shared" ca="1" si="17"/>
        <v>#N/A</v>
      </c>
      <c r="AF70" s="14" t="e">
        <f t="shared" ca="1" si="17"/>
        <v>#N/A</v>
      </c>
      <c r="AG70" s="14" t="e">
        <f t="shared" ca="1" si="17"/>
        <v>#N/A</v>
      </c>
      <c r="AH70" s="14" t="e">
        <f t="shared" ca="1" si="17"/>
        <v>#N/A</v>
      </c>
      <c r="AI70" s="14" t="e">
        <f t="shared" ca="1" si="17"/>
        <v>#N/A</v>
      </c>
      <c r="AJ70" s="14" t="e">
        <f t="shared" ca="1" si="17"/>
        <v>#N/A</v>
      </c>
      <c r="AK70" s="14" t="e">
        <f t="shared" ca="1" si="17"/>
        <v>#N/A</v>
      </c>
      <c r="AL70" s="14" t="e">
        <f t="shared" ca="1" si="17"/>
        <v>#N/A</v>
      </c>
    </row>
    <row r="71" spans="1:54" ht="21" customHeight="1" outlineLevel="1" thickBot="1" x14ac:dyDescent="0.4">
      <c r="A71" s="5">
        <f t="shared" si="18"/>
        <v>0</v>
      </c>
      <c r="B71" s="5">
        <f t="shared" si="18"/>
        <v>0</v>
      </c>
      <c r="C71" s="5">
        <f t="shared" si="18"/>
        <v>0</v>
      </c>
      <c r="D71" s="5">
        <f t="shared" si="18"/>
        <v>0</v>
      </c>
      <c r="E71" s="6">
        <f t="shared" si="18"/>
        <v>0</v>
      </c>
      <c r="F71" s="14" t="e">
        <f t="shared" ca="1" si="19"/>
        <v>#N/A</v>
      </c>
      <c r="G71" s="14" t="e">
        <f t="shared" ca="1" si="17"/>
        <v>#N/A</v>
      </c>
      <c r="H71" s="14" t="e">
        <f t="shared" ca="1" si="17"/>
        <v>#N/A</v>
      </c>
      <c r="I71" s="14" t="e">
        <f t="shared" ca="1" si="17"/>
        <v>#N/A</v>
      </c>
      <c r="J71" s="14" t="e">
        <f t="shared" ca="1" si="17"/>
        <v>#N/A</v>
      </c>
      <c r="K71" s="14" t="e">
        <f t="shared" ca="1" si="17"/>
        <v>#N/A</v>
      </c>
      <c r="L71" s="14" t="e">
        <f t="shared" ca="1" si="17"/>
        <v>#N/A</v>
      </c>
      <c r="M71" s="14" t="e">
        <f t="shared" ca="1" si="17"/>
        <v>#N/A</v>
      </c>
      <c r="N71" s="14" t="e">
        <f t="shared" ca="1" si="17"/>
        <v>#N/A</v>
      </c>
      <c r="O71" s="14" t="e">
        <f t="shared" ca="1" si="17"/>
        <v>#N/A</v>
      </c>
      <c r="P71" s="14" t="e">
        <f t="shared" ca="1" si="17"/>
        <v>#N/A</v>
      </c>
      <c r="Q71" s="14" t="e">
        <f t="shared" ref="G71:AL74" ca="1" si="20">$A71*H.Ar + $B71*H.Se + $C71*H.Ge + $D71*H.Ga</f>
        <v>#N/A</v>
      </c>
      <c r="R71" s="14" t="e">
        <f t="shared" ca="1" si="20"/>
        <v>#N/A</v>
      </c>
      <c r="S71" s="14" t="e">
        <f t="shared" ca="1" si="20"/>
        <v>#N/A</v>
      </c>
      <c r="T71" s="14" t="e">
        <f t="shared" ca="1" si="20"/>
        <v>#N/A</v>
      </c>
      <c r="U71" s="14" t="e">
        <f t="shared" ca="1" si="20"/>
        <v>#N/A</v>
      </c>
      <c r="V71" s="14" t="e">
        <f t="shared" ca="1" si="20"/>
        <v>#N/A</v>
      </c>
      <c r="W71" s="14" t="e">
        <f t="shared" ca="1" si="20"/>
        <v>#N/A</v>
      </c>
      <c r="X71" s="14" t="e">
        <f t="shared" ca="1" si="20"/>
        <v>#N/A</v>
      </c>
      <c r="Y71" s="14" t="e">
        <f t="shared" ca="1" si="20"/>
        <v>#N/A</v>
      </c>
      <c r="Z71" s="14" t="e">
        <f t="shared" ca="1" si="20"/>
        <v>#N/A</v>
      </c>
      <c r="AA71" s="14" t="e">
        <f t="shared" ca="1" si="20"/>
        <v>#N/A</v>
      </c>
      <c r="AB71" s="14" t="e">
        <f t="shared" ca="1" si="20"/>
        <v>#N/A</v>
      </c>
      <c r="AC71" s="14" t="e">
        <f t="shared" ca="1" si="20"/>
        <v>#N/A</v>
      </c>
      <c r="AD71" s="14" t="e">
        <f t="shared" ca="1" si="20"/>
        <v>#N/A</v>
      </c>
      <c r="AE71" s="14" t="e">
        <f t="shared" ca="1" si="20"/>
        <v>#N/A</v>
      </c>
      <c r="AF71" s="14" t="e">
        <f t="shared" ca="1" si="20"/>
        <v>#N/A</v>
      </c>
      <c r="AG71" s="14" t="e">
        <f t="shared" ca="1" si="20"/>
        <v>#N/A</v>
      </c>
      <c r="AH71" s="14" t="e">
        <f t="shared" ca="1" si="20"/>
        <v>#N/A</v>
      </c>
      <c r="AI71" s="14" t="e">
        <f t="shared" ca="1" si="20"/>
        <v>#N/A</v>
      </c>
      <c r="AJ71" s="14" t="e">
        <f t="shared" ca="1" si="20"/>
        <v>#N/A</v>
      </c>
      <c r="AK71" s="14" t="e">
        <f t="shared" ca="1" si="20"/>
        <v>#N/A</v>
      </c>
      <c r="AL71" s="14" t="e">
        <f t="shared" ca="1" si="20"/>
        <v>#N/A</v>
      </c>
    </row>
    <row r="72" spans="1:54" ht="21" customHeight="1" outlineLevel="1" thickBot="1" x14ac:dyDescent="0.4">
      <c r="A72" s="5">
        <f t="shared" si="18"/>
        <v>0</v>
      </c>
      <c r="B72" s="5">
        <f t="shared" si="18"/>
        <v>0</v>
      </c>
      <c r="C72" s="5">
        <f t="shared" si="18"/>
        <v>0</v>
      </c>
      <c r="D72" s="5">
        <f t="shared" si="18"/>
        <v>0</v>
      </c>
      <c r="E72" s="6">
        <f t="shared" si="18"/>
        <v>0</v>
      </c>
      <c r="F72" s="14" t="e">
        <f t="shared" ca="1" si="19"/>
        <v>#N/A</v>
      </c>
      <c r="G72" s="14" t="e">
        <f t="shared" ca="1" si="20"/>
        <v>#N/A</v>
      </c>
      <c r="H72" s="14" t="e">
        <f t="shared" ca="1" si="20"/>
        <v>#N/A</v>
      </c>
      <c r="I72" s="14" t="e">
        <f t="shared" ca="1" si="20"/>
        <v>#N/A</v>
      </c>
      <c r="J72" s="14" t="e">
        <f t="shared" ca="1" si="20"/>
        <v>#N/A</v>
      </c>
      <c r="K72" s="14" t="e">
        <f t="shared" ca="1" si="20"/>
        <v>#N/A</v>
      </c>
      <c r="L72" s="14" t="e">
        <f t="shared" ca="1" si="20"/>
        <v>#N/A</v>
      </c>
      <c r="M72" s="14" t="e">
        <f t="shared" ca="1" si="20"/>
        <v>#N/A</v>
      </c>
      <c r="N72" s="14" t="e">
        <f t="shared" ca="1" si="20"/>
        <v>#N/A</v>
      </c>
      <c r="O72" s="14" t="e">
        <f t="shared" ca="1" si="20"/>
        <v>#N/A</v>
      </c>
      <c r="P72" s="14" t="e">
        <f t="shared" ca="1" si="20"/>
        <v>#N/A</v>
      </c>
      <c r="Q72" s="14" t="e">
        <f t="shared" ca="1" si="20"/>
        <v>#N/A</v>
      </c>
      <c r="R72" s="14" t="e">
        <f t="shared" ca="1" si="20"/>
        <v>#N/A</v>
      </c>
      <c r="S72" s="14" t="e">
        <f t="shared" ca="1" si="20"/>
        <v>#N/A</v>
      </c>
      <c r="T72" s="14" t="e">
        <f t="shared" ca="1" si="20"/>
        <v>#N/A</v>
      </c>
      <c r="U72" s="14" t="e">
        <f t="shared" ca="1" si="20"/>
        <v>#N/A</v>
      </c>
      <c r="V72" s="14" t="e">
        <f t="shared" ca="1" si="20"/>
        <v>#N/A</v>
      </c>
      <c r="W72" s="14" t="e">
        <f t="shared" ca="1" si="20"/>
        <v>#N/A</v>
      </c>
      <c r="X72" s="14" t="e">
        <f t="shared" ca="1" si="20"/>
        <v>#N/A</v>
      </c>
      <c r="Y72" s="14" t="e">
        <f t="shared" ca="1" si="20"/>
        <v>#N/A</v>
      </c>
      <c r="Z72" s="14" t="e">
        <f t="shared" ca="1" si="20"/>
        <v>#N/A</v>
      </c>
      <c r="AA72" s="14" t="e">
        <f t="shared" ca="1" si="20"/>
        <v>#N/A</v>
      </c>
      <c r="AB72" s="14" t="e">
        <f t="shared" ca="1" si="20"/>
        <v>#N/A</v>
      </c>
      <c r="AC72" s="14" t="e">
        <f t="shared" ca="1" si="20"/>
        <v>#N/A</v>
      </c>
      <c r="AD72" s="14" t="e">
        <f t="shared" ca="1" si="20"/>
        <v>#N/A</v>
      </c>
      <c r="AE72" s="14" t="e">
        <f t="shared" ca="1" si="20"/>
        <v>#N/A</v>
      </c>
      <c r="AF72" s="14" t="e">
        <f t="shared" ca="1" si="20"/>
        <v>#N/A</v>
      </c>
      <c r="AG72" s="14" t="e">
        <f t="shared" ca="1" si="20"/>
        <v>#N/A</v>
      </c>
      <c r="AH72" s="14" t="e">
        <f t="shared" ca="1" si="20"/>
        <v>#N/A</v>
      </c>
      <c r="AI72" s="14" t="e">
        <f t="shared" ca="1" si="20"/>
        <v>#N/A</v>
      </c>
      <c r="AJ72" s="14" t="e">
        <f t="shared" ca="1" si="20"/>
        <v>#N/A</v>
      </c>
      <c r="AK72" s="14" t="e">
        <f t="shared" ca="1" si="20"/>
        <v>#N/A</v>
      </c>
      <c r="AL72" s="14" t="e">
        <f t="shared" ca="1" si="20"/>
        <v>#N/A</v>
      </c>
    </row>
    <row r="73" spans="1:54" ht="21" customHeight="1" outlineLevel="1" thickBot="1" x14ac:dyDescent="0.4">
      <c r="A73" s="5">
        <f t="shared" si="18"/>
        <v>0</v>
      </c>
      <c r="B73" s="5">
        <f t="shared" si="18"/>
        <v>0</v>
      </c>
      <c r="C73" s="5">
        <f t="shared" si="18"/>
        <v>0</v>
      </c>
      <c r="D73" s="5">
        <f t="shared" si="18"/>
        <v>0</v>
      </c>
      <c r="E73" s="6">
        <f t="shared" si="18"/>
        <v>0</v>
      </c>
      <c r="F73" s="14" t="e">
        <f t="shared" ca="1" si="19"/>
        <v>#N/A</v>
      </c>
      <c r="G73" s="14" t="e">
        <f t="shared" ca="1" si="20"/>
        <v>#N/A</v>
      </c>
      <c r="H73" s="14" t="e">
        <f t="shared" ca="1" si="20"/>
        <v>#N/A</v>
      </c>
      <c r="I73" s="14" t="e">
        <f t="shared" ca="1" si="20"/>
        <v>#N/A</v>
      </c>
      <c r="J73" s="14" t="e">
        <f t="shared" ca="1" si="20"/>
        <v>#N/A</v>
      </c>
      <c r="K73" s="14" t="e">
        <f t="shared" ca="1" si="20"/>
        <v>#N/A</v>
      </c>
      <c r="L73" s="14" t="e">
        <f t="shared" ca="1" si="20"/>
        <v>#N/A</v>
      </c>
      <c r="M73" s="14" t="e">
        <f t="shared" ca="1" si="20"/>
        <v>#N/A</v>
      </c>
      <c r="N73" s="14" t="e">
        <f t="shared" ca="1" si="20"/>
        <v>#N/A</v>
      </c>
      <c r="O73" s="14" t="e">
        <f t="shared" ca="1" si="20"/>
        <v>#N/A</v>
      </c>
      <c r="P73" s="14" t="e">
        <f t="shared" ca="1" si="20"/>
        <v>#N/A</v>
      </c>
      <c r="Q73" s="14" t="e">
        <f t="shared" ca="1" si="20"/>
        <v>#N/A</v>
      </c>
      <c r="R73" s="14" t="e">
        <f t="shared" ca="1" si="20"/>
        <v>#N/A</v>
      </c>
      <c r="S73" s="14" t="e">
        <f t="shared" ca="1" si="20"/>
        <v>#N/A</v>
      </c>
      <c r="T73" s="14" t="e">
        <f t="shared" ca="1" si="20"/>
        <v>#N/A</v>
      </c>
      <c r="U73" s="14" t="e">
        <f t="shared" ca="1" si="20"/>
        <v>#N/A</v>
      </c>
      <c r="V73" s="14" t="e">
        <f t="shared" ca="1" si="20"/>
        <v>#N/A</v>
      </c>
      <c r="W73" s="14" t="e">
        <f t="shared" ca="1" si="20"/>
        <v>#N/A</v>
      </c>
      <c r="X73" s="14" t="e">
        <f t="shared" ca="1" si="20"/>
        <v>#N/A</v>
      </c>
      <c r="Y73" s="14" t="e">
        <f t="shared" ca="1" si="20"/>
        <v>#N/A</v>
      </c>
      <c r="Z73" s="14" t="e">
        <f t="shared" ca="1" si="20"/>
        <v>#N/A</v>
      </c>
      <c r="AA73" s="14" t="e">
        <f t="shared" ca="1" si="20"/>
        <v>#N/A</v>
      </c>
      <c r="AB73" s="14" t="e">
        <f t="shared" ca="1" si="20"/>
        <v>#N/A</v>
      </c>
      <c r="AC73" s="14" t="e">
        <f t="shared" ca="1" si="20"/>
        <v>#N/A</v>
      </c>
      <c r="AD73" s="14" t="e">
        <f t="shared" ca="1" si="20"/>
        <v>#N/A</v>
      </c>
      <c r="AE73" s="14" t="e">
        <f t="shared" ca="1" si="20"/>
        <v>#N/A</v>
      </c>
      <c r="AF73" s="14" t="e">
        <f t="shared" ca="1" si="20"/>
        <v>#N/A</v>
      </c>
      <c r="AG73" s="14" t="e">
        <f t="shared" ca="1" si="20"/>
        <v>#N/A</v>
      </c>
      <c r="AH73" s="14" t="e">
        <f t="shared" ca="1" si="20"/>
        <v>#N/A</v>
      </c>
      <c r="AI73" s="14" t="e">
        <f t="shared" ca="1" si="20"/>
        <v>#N/A</v>
      </c>
      <c r="AJ73" s="14" t="e">
        <f t="shared" ca="1" si="20"/>
        <v>#N/A</v>
      </c>
      <c r="AK73" s="14" t="e">
        <f t="shared" ca="1" si="20"/>
        <v>#N/A</v>
      </c>
      <c r="AL73" s="14" t="e">
        <f t="shared" ca="1" si="20"/>
        <v>#N/A</v>
      </c>
    </row>
    <row r="74" spans="1:54" ht="21" customHeight="1" outlineLevel="1" thickBot="1" x14ac:dyDescent="0.4">
      <c r="A74" s="5">
        <f t="shared" si="18"/>
        <v>0</v>
      </c>
      <c r="B74" s="5">
        <f t="shared" si="18"/>
        <v>0</v>
      </c>
      <c r="C74" s="5">
        <f t="shared" si="18"/>
        <v>0</v>
      </c>
      <c r="D74" s="5">
        <f t="shared" si="18"/>
        <v>0</v>
      </c>
      <c r="E74" s="6">
        <f t="shared" si="18"/>
        <v>0</v>
      </c>
      <c r="F74" s="14" t="e">
        <f t="shared" ca="1" si="19"/>
        <v>#N/A</v>
      </c>
      <c r="G74" s="14" t="e">
        <f t="shared" ca="1" si="20"/>
        <v>#N/A</v>
      </c>
      <c r="H74" s="14" t="e">
        <f t="shared" ca="1" si="20"/>
        <v>#N/A</v>
      </c>
      <c r="I74" s="14" t="e">
        <f t="shared" ca="1" si="20"/>
        <v>#N/A</v>
      </c>
      <c r="J74" s="14" t="e">
        <f t="shared" ca="1" si="20"/>
        <v>#N/A</v>
      </c>
      <c r="K74" s="14" t="e">
        <f t="shared" ca="1" si="20"/>
        <v>#N/A</v>
      </c>
      <c r="L74" s="14" t="e">
        <f t="shared" ca="1" si="20"/>
        <v>#N/A</v>
      </c>
      <c r="M74" s="14" t="e">
        <f t="shared" ca="1" si="20"/>
        <v>#N/A</v>
      </c>
      <c r="N74" s="14" t="e">
        <f t="shared" ca="1" si="20"/>
        <v>#N/A</v>
      </c>
      <c r="O74" s="14" t="e">
        <f t="shared" ca="1" si="20"/>
        <v>#N/A</v>
      </c>
      <c r="P74" s="14" t="e">
        <f t="shared" ca="1" si="20"/>
        <v>#N/A</v>
      </c>
      <c r="Q74" s="14" t="e">
        <f t="shared" ca="1" si="20"/>
        <v>#N/A</v>
      </c>
      <c r="R74" s="14" t="e">
        <f t="shared" ca="1" si="20"/>
        <v>#N/A</v>
      </c>
      <c r="S74" s="14" t="e">
        <f t="shared" ca="1" si="20"/>
        <v>#N/A</v>
      </c>
      <c r="T74" s="14" t="e">
        <f t="shared" ca="1" si="20"/>
        <v>#N/A</v>
      </c>
      <c r="U74" s="14" t="e">
        <f t="shared" ca="1" si="20"/>
        <v>#N/A</v>
      </c>
      <c r="V74" s="14" t="e">
        <f t="shared" ca="1" si="20"/>
        <v>#N/A</v>
      </c>
      <c r="W74" s="14" t="e">
        <f t="shared" ca="1" si="20"/>
        <v>#N/A</v>
      </c>
      <c r="X74" s="14" t="e">
        <f t="shared" ca="1" si="20"/>
        <v>#N/A</v>
      </c>
      <c r="Y74" s="14" t="e">
        <f t="shared" ca="1" si="20"/>
        <v>#N/A</v>
      </c>
      <c r="Z74" s="14" t="e">
        <f t="shared" ca="1" si="20"/>
        <v>#N/A</v>
      </c>
      <c r="AA74" s="14" t="e">
        <f t="shared" ca="1" si="20"/>
        <v>#N/A</v>
      </c>
      <c r="AB74" s="14" t="e">
        <f t="shared" ca="1" si="20"/>
        <v>#N/A</v>
      </c>
      <c r="AC74" s="14" t="e">
        <f t="shared" ca="1" si="20"/>
        <v>#N/A</v>
      </c>
      <c r="AD74" s="14" t="e">
        <f t="shared" ca="1" si="20"/>
        <v>#N/A</v>
      </c>
      <c r="AE74" s="14" t="e">
        <f t="shared" ca="1" si="20"/>
        <v>#N/A</v>
      </c>
      <c r="AF74" s="14" t="e">
        <f t="shared" ca="1" si="20"/>
        <v>#N/A</v>
      </c>
      <c r="AG74" s="14" t="e">
        <f t="shared" ca="1" si="20"/>
        <v>#N/A</v>
      </c>
      <c r="AH74" s="14" t="e">
        <f t="shared" ca="1" si="20"/>
        <v>#N/A</v>
      </c>
      <c r="AI74" s="14" t="e">
        <f t="shared" ca="1" si="20"/>
        <v>#N/A</v>
      </c>
      <c r="AJ74" s="14" t="e">
        <f t="shared" ca="1" si="20"/>
        <v>#N/A</v>
      </c>
      <c r="AK74" s="14" t="e">
        <f t="shared" ca="1" si="20"/>
        <v>#N/A</v>
      </c>
      <c r="AL74" s="14" t="e">
        <f t="shared" ca="1" si="20"/>
        <v>#N/A</v>
      </c>
    </row>
    <row r="75" spans="1:54" ht="21" customHeight="1" outlineLevel="1" thickBot="1" x14ac:dyDescent="0.4">
      <c r="A75" s="5">
        <f t="shared" si="18"/>
        <v>0</v>
      </c>
      <c r="B75" s="5">
        <f t="shared" si="18"/>
        <v>0</v>
      </c>
      <c r="C75" s="5">
        <f t="shared" si="18"/>
        <v>0</v>
      </c>
      <c r="D75" s="5">
        <f t="shared" si="18"/>
        <v>0</v>
      </c>
      <c r="E75" s="6">
        <f t="shared" si="18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customHeight="1" outlineLevel="1" x14ac:dyDescent="0.35">
      <c r="A76" s="55"/>
      <c r="B76" s="55"/>
      <c r="C76" s="55"/>
      <c r="D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</row>
    <row r="77" spans="1:54" ht="21" customHeight="1" x14ac:dyDescent="0.35"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</row>
    <row r="78" spans="1:54" ht="21" customHeight="1" x14ac:dyDescent="0.4">
      <c r="A78" s="88"/>
      <c r="B78" s="88"/>
      <c r="C78" s="89" t="e">
        <f>E41</f>
        <v>#DIV/0!</v>
      </c>
      <c r="D78" s="75"/>
      <c r="E78" s="74" t="s">
        <v>22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1">E45</f>
        <v>0</v>
      </c>
      <c r="F79" s="3">
        <f t="shared" ref="F79:AL79" si="22">F3</f>
        <v>0</v>
      </c>
      <c r="G79" s="3">
        <f t="shared" si="22"/>
        <v>0</v>
      </c>
      <c r="H79" s="3">
        <f t="shared" si="22"/>
        <v>0</v>
      </c>
      <c r="I79" s="3">
        <f t="shared" si="22"/>
        <v>0</v>
      </c>
      <c r="J79" s="3">
        <f t="shared" si="22"/>
        <v>0</v>
      </c>
      <c r="K79" s="3">
        <f t="shared" si="22"/>
        <v>0</v>
      </c>
      <c r="L79" s="3">
        <f t="shared" si="22"/>
        <v>0</v>
      </c>
      <c r="M79" s="3">
        <f t="shared" si="22"/>
        <v>0</v>
      </c>
      <c r="N79" s="3">
        <f t="shared" si="22"/>
        <v>0</v>
      </c>
      <c r="O79" s="3">
        <f t="shared" si="22"/>
        <v>0</v>
      </c>
      <c r="P79" s="3">
        <f t="shared" si="22"/>
        <v>0</v>
      </c>
      <c r="Q79" s="3">
        <f t="shared" si="22"/>
        <v>0</v>
      </c>
      <c r="R79" s="3">
        <f t="shared" si="22"/>
        <v>0</v>
      </c>
      <c r="S79" s="3">
        <f t="shared" si="22"/>
        <v>0</v>
      </c>
      <c r="T79" s="3">
        <f t="shared" si="22"/>
        <v>0</v>
      </c>
      <c r="U79" s="3">
        <f t="shared" si="22"/>
        <v>0</v>
      </c>
      <c r="V79" s="3">
        <f t="shared" si="22"/>
        <v>0</v>
      </c>
      <c r="W79" s="3">
        <f t="shared" si="22"/>
        <v>0</v>
      </c>
      <c r="X79" s="3">
        <f t="shared" si="22"/>
        <v>0</v>
      </c>
      <c r="Y79" s="3">
        <f t="shared" si="22"/>
        <v>0</v>
      </c>
      <c r="Z79" s="3">
        <f t="shared" si="22"/>
        <v>0</v>
      </c>
      <c r="AA79" s="3">
        <f t="shared" si="22"/>
        <v>0</v>
      </c>
      <c r="AB79" s="3">
        <f t="shared" si="22"/>
        <v>0</v>
      </c>
      <c r="AC79" s="3">
        <f t="shared" si="22"/>
        <v>0</v>
      </c>
      <c r="AD79" s="3">
        <f t="shared" si="22"/>
        <v>0</v>
      </c>
      <c r="AE79" s="3">
        <f t="shared" si="22"/>
        <v>0</v>
      </c>
      <c r="AF79" s="3">
        <f t="shared" si="22"/>
        <v>0</v>
      </c>
      <c r="AG79" s="3">
        <f t="shared" si="22"/>
        <v>0</v>
      </c>
      <c r="AH79" s="3">
        <f t="shared" si="22"/>
        <v>0</v>
      </c>
      <c r="AI79" s="3">
        <f t="shared" si="22"/>
        <v>0</v>
      </c>
      <c r="AJ79" s="3">
        <f t="shared" si="22"/>
        <v>0</v>
      </c>
      <c r="AK79" s="3">
        <f t="shared" si="22"/>
        <v>0</v>
      </c>
      <c r="AL79" s="3">
        <f t="shared" si="22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3">B46</f>
        <v>0</v>
      </c>
      <c r="C80" s="5">
        <f t="shared" si="23"/>
        <v>0</v>
      </c>
      <c r="D80" s="5">
        <f t="shared" si="23"/>
        <v>0</v>
      </c>
      <c r="E80" s="6">
        <f t="shared" si="21"/>
        <v>0</v>
      </c>
      <c r="F80" s="14" t="e">
        <f t="shared" ref="F80:AL80" si="24">F4*$C$78</f>
        <v>#DIV/0!</v>
      </c>
      <c r="G80" s="14" t="e">
        <f t="shared" si="24"/>
        <v>#DIV/0!</v>
      </c>
      <c r="H80" s="14" t="e">
        <f t="shared" si="24"/>
        <v>#DIV/0!</v>
      </c>
      <c r="I80" s="14" t="e">
        <f t="shared" si="24"/>
        <v>#DIV/0!</v>
      </c>
      <c r="J80" s="14" t="e">
        <f t="shared" si="24"/>
        <v>#DIV/0!</v>
      </c>
      <c r="K80" s="14" t="e">
        <f t="shared" si="24"/>
        <v>#DIV/0!</v>
      </c>
      <c r="L80" s="14" t="e">
        <f t="shared" si="24"/>
        <v>#DIV/0!</v>
      </c>
      <c r="M80" s="14" t="e">
        <f t="shared" si="24"/>
        <v>#DIV/0!</v>
      </c>
      <c r="N80" s="14" t="e">
        <f t="shared" si="24"/>
        <v>#DIV/0!</v>
      </c>
      <c r="O80" s="14" t="e">
        <f t="shared" si="24"/>
        <v>#DIV/0!</v>
      </c>
      <c r="P80" s="14" t="e">
        <f t="shared" si="24"/>
        <v>#DIV/0!</v>
      </c>
      <c r="Q80" s="14" t="e">
        <f t="shared" si="24"/>
        <v>#DIV/0!</v>
      </c>
      <c r="R80" s="14" t="e">
        <f t="shared" si="24"/>
        <v>#DIV/0!</v>
      </c>
      <c r="S80" s="14" t="e">
        <f t="shared" si="24"/>
        <v>#DIV/0!</v>
      </c>
      <c r="T80" s="14" t="e">
        <f t="shared" si="24"/>
        <v>#DIV/0!</v>
      </c>
      <c r="U80" s="14" t="e">
        <f t="shared" si="24"/>
        <v>#DIV/0!</v>
      </c>
      <c r="V80" s="14" t="e">
        <f t="shared" si="24"/>
        <v>#DIV/0!</v>
      </c>
      <c r="W80" s="14" t="e">
        <f t="shared" si="24"/>
        <v>#DIV/0!</v>
      </c>
      <c r="X80" s="14" t="e">
        <f t="shared" si="24"/>
        <v>#DIV/0!</v>
      </c>
      <c r="Y80" s="14" t="e">
        <f t="shared" si="24"/>
        <v>#DIV/0!</v>
      </c>
      <c r="Z80" s="14" t="e">
        <f t="shared" si="24"/>
        <v>#DIV/0!</v>
      </c>
      <c r="AA80" s="14" t="e">
        <f t="shared" si="24"/>
        <v>#DIV/0!</v>
      </c>
      <c r="AB80" s="14" t="e">
        <f t="shared" si="24"/>
        <v>#DIV/0!</v>
      </c>
      <c r="AC80" s="14" t="e">
        <f t="shared" si="24"/>
        <v>#DIV/0!</v>
      </c>
      <c r="AD80" s="14" t="e">
        <f t="shared" si="24"/>
        <v>#DIV/0!</v>
      </c>
      <c r="AE80" s="14" t="e">
        <f t="shared" si="24"/>
        <v>#DIV/0!</v>
      </c>
      <c r="AF80" s="14" t="e">
        <f t="shared" si="24"/>
        <v>#DIV/0!</v>
      </c>
      <c r="AG80" s="14" t="e">
        <f t="shared" si="24"/>
        <v>#DIV/0!</v>
      </c>
      <c r="AH80" s="14" t="e">
        <f t="shared" si="24"/>
        <v>#DIV/0!</v>
      </c>
      <c r="AI80" s="14" t="e">
        <f t="shared" si="24"/>
        <v>#DIV/0!</v>
      </c>
      <c r="AJ80" s="14" t="e">
        <f t="shared" si="24"/>
        <v>#DIV/0!</v>
      </c>
      <c r="AK80" s="14" t="e">
        <f t="shared" si="24"/>
        <v>#DIV/0!</v>
      </c>
      <c r="AL80" s="14" t="e">
        <f t="shared" si="24"/>
        <v>#DIV/0!</v>
      </c>
    </row>
    <row r="81" spans="1:38" ht="21" hidden="1" customHeight="1" outlineLevel="1" thickBot="1" x14ac:dyDescent="0.4">
      <c r="A81" s="5">
        <f t="shared" ref="A81:D96" si="25">A47</f>
        <v>0</v>
      </c>
      <c r="B81" s="5">
        <f t="shared" si="25"/>
        <v>0</v>
      </c>
      <c r="C81" s="5">
        <f t="shared" si="25"/>
        <v>0</v>
      </c>
      <c r="D81" s="5">
        <f t="shared" si="25"/>
        <v>0</v>
      </c>
      <c r="E81" s="6">
        <f t="shared" si="21"/>
        <v>0</v>
      </c>
      <c r="F81" s="14" t="e">
        <f t="shared" ref="F81:AL81" si="26">F5*$C$78</f>
        <v>#DIV/0!</v>
      </c>
      <c r="G81" s="14" t="e">
        <f t="shared" si="26"/>
        <v>#DIV/0!</v>
      </c>
      <c r="H81" s="14" t="e">
        <f t="shared" si="26"/>
        <v>#DIV/0!</v>
      </c>
      <c r="I81" s="14" t="e">
        <f t="shared" si="26"/>
        <v>#DIV/0!</v>
      </c>
      <c r="J81" s="14" t="e">
        <f t="shared" si="26"/>
        <v>#DIV/0!</v>
      </c>
      <c r="K81" s="14" t="e">
        <f t="shared" si="26"/>
        <v>#DIV/0!</v>
      </c>
      <c r="L81" s="14" t="e">
        <f t="shared" si="26"/>
        <v>#DIV/0!</v>
      </c>
      <c r="M81" s="14" t="e">
        <f t="shared" si="26"/>
        <v>#DIV/0!</v>
      </c>
      <c r="N81" s="14" t="e">
        <f t="shared" si="26"/>
        <v>#DIV/0!</v>
      </c>
      <c r="O81" s="14" t="e">
        <f t="shared" si="26"/>
        <v>#DIV/0!</v>
      </c>
      <c r="P81" s="14" t="e">
        <f t="shared" si="26"/>
        <v>#DIV/0!</v>
      </c>
      <c r="Q81" s="14" t="e">
        <f t="shared" si="26"/>
        <v>#DIV/0!</v>
      </c>
      <c r="R81" s="14" t="e">
        <f t="shared" si="26"/>
        <v>#DIV/0!</v>
      </c>
      <c r="S81" s="14" t="e">
        <f t="shared" si="26"/>
        <v>#DIV/0!</v>
      </c>
      <c r="T81" s="14" t="e">
        <f t="shared" si="26"/>
        <v>#DIV/0!</v>
      </c>
      <c r="U81" s="14" t="e">
        <f t="shared" si="26"/>
        <v>#DIV/0!</v>
      </c>
      <c r="V81" s="14" t="e">
        <f t="shared" si="26"/>
        <v>#DIV/0!</v>
      </c>
      <c r="W81" s="14" t="e">
        <f t="shared" si="26"/>
        <v>#DIV/0!</v>
      </c>
      <c r="X81" s="14" t="e">
        <f t="shared" si="26"/>
        <v>#DIV/0!</v>
      </c>
      <c r="Y81" s="14" t="e">
        <f t="shared" si="26"/>
        <v>#DIV/0!</v>
      </c>
      <c r="Z81" s="14" t="e">
        <f t="shared" si="26"/>
        <v>#DIV/0!</v>
      </c>
      <c r="AA81" s="14" t="e">
        <f t="shared" si="26"/>
        <v>#DIV/0!</v>
      </c>
      <c r="AB81" s="14" t="e">
        <f t="shared" si="26"/>
        <v>#DIV/0!</v>
      </c>
      <c r="AC81" s="14" t="e">
        <f t="shared" si="26"/>
        <v>#DIV/0!</v>
      </c>
      <c r="AD81" s="14" t="e">
        <f t="shared" si="26"/>
        <v>#DIV/0!</v>
      </c>
      <c r="AE81" s="14" t="e">
        <f t="shared" si="26"/>
        <v>#DIV/0!</v>
      </c>
      <c r="AF81" s="14" t="e">
        <f t="shared" si="26"/>
        <v>#DIV/0!</v>
      </c>
      <c r="AG81" s="14" t="e">
        <f t="shared" si="26"/>
        <v>#DIV/0!</v>
      </c>
      <c r="AH81" s="14" t="e">
        <f t="shared" si="26"/>
        <v>#DIV/0!</v>
      </c>
      <c r="AI81" s="14" t="e">
        <f t="shared" si="26"/>
        <v>#DIV/0!</v>
      </c>
      <c r="AJ81" s="14" t="e">
        <f t="shared" si="26"/>
        <v>#DIV/0!</v>
      </c>
      <c r="AK81" s="14" t="e">
        <f t="shared" si="26"/>
        <v>#DIV/0!</v>
      </c>
      <c r="AL81" s="14" t="e">
        <f t="shared" si="26"/>
        <v>#DIV/0!</v>
      </c>
    </row>
    <row r="82" spans="1:38" ht="21" hidden="1" customHeight="1" outlineLevel="1" thickBot="1" x14ac:dyDescent="0.4">
      <c r="A82" s="5">
        <f t="shared" si="25"/>
        <v>0</v>
      </c>
      <c r="B82" s="5">
        <f t="shared" si="25"/>
        <v>0</v>
      </c>
      <c r="C82" s="5">
        <f t="shared" si="25"/>
        <v>0</v>
      </c>
      <c r="D82" s="5">
        <f t="shared" si="25"/>
        <v>0</v>
      </c>
      <c r="E82" s="6">
        <f t="shared" si="21"/>
        <v>0</v>
      </c>
      <c r="F82" s="14" t="e">
        <f t="shared" ref="F82:AL82" si="27">F6*$C$78</f>
        <v>#DIV/0!</v>
      </c>
      <c r="G82" s="14" t="e">
        <f t="shared" si="27"/>
        <v>#DIV/0!</v>
      </c>
      <c r="H82" s="14" t="e">
        <f t="shared" si="27"/>
        <v>#DIV/0!</v>
      </c>
      <c r="I82" s="14" t="e">
        <f t="shared" si="27"/>
        <v>#DIV/0!</v>
      </c>
      <c r="J82" s="14" t="e">
        <f t="shared" si="27"/>
        <v>#DIV/0!</v>
      </c>
      <c r="K82" s="14" t="e">
        <f t="shared" si="27"/>
        <v>#DIV/0!</v>
      </c>
      <c r="L82" s="14" t="e">
        <f t="shared" si="27"/>
        <v>#DIV/0!</v>
      </c>
      <c r="M82" s="14" t="e">
        <f t="shared" si="27"/>
        <v>#DIV/0!</v>
      </c>
      <c r="N82" s="14" t="e">
        <f t="shared" si="27"/>
        <v>#DIV/0!</v>
      </c>
      <c r="O82" s="14" t="e">
        <f t="shared" si="27"/>
        <v>#DIV/0!</v>
      </c>
      <c r="P82" s="14" t="e">
        <f t="shared" si="27"/>
        <v>#DIV/0!</v>
      </c>
      <c r="Q82" s="14" t="e">
        <f t="shared" si="27"/>
        <v>#DIV/0!</v>
      </c>
      <c r="R82" s="14" t="e">
        <f t="shared" si="27"/>
        <v>#DIV/0!</v>
      </c>
      <c r="S82" s="14" t="e">
        <f t="shared" si="27"/>
        <v>#DIV/0!</v>
      </c>
      <c r="T82" s="14" t="e">
        <f t="shared" si="27"/>
        <v>#DIV/0!</v>
      </c>
      <c r="U82" s="14" t="e">
        <f t="shared" si="27"/>
        <v>#DIV/0!</v>
      </c>
      <c r="V82" s="14" t="e">
        <f t="shared" si="27"/>
        <v>#DIV/0!</v>
      </c>
      <c r="W82" s="14" t="e">
        <f t="shared" si="27"/>
        <v>#DIV/0!</v>
      </c>
      <c r="X82" s="14" t="e">
        <f t="shared" si="27"/>
        <v>#DIV/0!</v>
      </c>
      <c r="Y82" s="14" t="e">
        <f t="shared" si="27"/>
        <v>#DIV/0!</v>
      </c>
      <c r="Z82" s="14" t="e">
        <f t="shared" si="27"/>
        <v>#DIV/0!</v>
      </c>
      <c r="AA82" s="14" t="e">
        <f t="shared" si="27"/>
        <v>#DIV/0!</v>
      </c>
      <c r="AB82" s="14" t="e">
        <f t="shared" si="27"/>
        <v>#DIV/0!</v>
      </c>
      <c r="AC82" s="14" t="e">
        <f t="shared" si="27"/>
        <v>#DIV/0!</v>
      </c>
      <c r="AD82" s="14" t="e">
        <f t="shared" si="27"/>
        <v>#DIV/0!</v>
      </c>
      <c r="AE82" s="14" t="e">
        <f t="shared" si="27"/>
        <v>#DIV/0!</v>
      </c>
      <c r="AF82" s="14" t="e">
        <f t="shared" si="27"/>
        <v>#DIV/0!</v>
      </c>
      <c r="AG82" s="14" t="e">
        <f t="shared" si="27"/>
        <v>#DIV/0!</v>
      </c>
      <c r="AH82" s="14" t="e">
        <f t="shared" si="27"/>
        <v>#DIV/0!</v>
      </c>
      <c r="AI82" s="14" t="e">
        <f t="shared" si="27"/>
        <v>#DIV/0!</v>
      </c>
      <c r="AJ82" s="14" t="e">
        <f t="shared" si="27"/>
        <v>#DIV/0!</v>
      </c>
      <c r="AK82" s="14" t="e">
        <f t="shared" si="27"/>
        <v>#DIV/0!</v>
      </c>
      <c r="AL82" s="14" t="e">
        <f t="shared" si="27"/>
        <v>#DIV/0!</v>
      </c>
    </row>
    <row r="83" spans="1:38" ht="21" hidden="1" customHeight="1" outlineLevel="1" thickBot="1" x14ac:dyDescent="0.4">
      <c r="A83" s="5">
        <f t="shared" si="25"/>
        <v>0</v>
      </c>
      <c r="B83" s="5">
        <f t="shared" si="25"/>
        <v>0</v>
      </c>
      <c r="C83" s="5">
        <f t="shared" si="25"/>
        <v>0</v>
      </c>
      <c r="D83" s="5">
        <f t="shared" si="25"/>
        <v>0</v>
      </c>
      <c r="E83" s="6">
        <f t="shared" si="21"/>
        <v>0</v>
      </c>
      <c r="F83" s="14" t="e">
        <f t="shared" ref="F83:AL83" si="28">F7*$C$78</f>
        <v>#DIV/0!</v>
      </c>
      <c r="G83" s="14" t="e">
        <f t="shared" si="28"/>
        <v>#DIV/0!</v>
      </c>
      <c r="H83" s="14" t="e">
        <f t="shared" si="28"/>
        <v>#DIV/0!</v>
      </c>
      <c r="I83" s="14" t="e">
        <f t="shared" si="28"/>
        <v>#DIV/0!</v>
      </c>
      <c r="J83" s="14" t="e">
        <f t="shared" si="28"/>
        <v>#DIV/0!</v>
      </c>
      <c r="K83" s="14" t="e">
        <f t="shared" si="28"/>
        <v>#DIV/0!</v>
      </c>
      <c r="L83" s="14" t="e">
        <f t="shared" si="28"/>
        <v>#DIV/0!</v>
      </c>
      <c r="M83" s="14" t="e">
        <f t="shared" si="28"/>
        <v>#DIV/0!</v>
      </c>
      <c r="N83" s="14" t="e">
        <f t="shared" si="28"/>
        <v>#DIV/0!</v>
      </c>
      <c r="O83" s="14" t="e">
        <f t="shared" si="28"/>
        <v>#DIV/0!</v>
      </c>
      <c r="P83" s="14" t="e">
        <f t="shared" si="28"/>
        <v>#DIV/0!</v>
      </c>
      <c r="Q83" s="14" t="e">
        <f t="shared" si="28"/>
        <v>#DIV/0!</v>
      </c>
      <c r="R83" s="14" t="e">
        <f t="shared" si="28"/>
        <v>#DIV/0!</v>
      </c>
      <c r="S83" s="14" t="e">
        <f t="shared" si="28"/>
        <v>#DIV/0!</v>
      </c>
      <c r="T83" s="14" t="e">
        <f t="shared" si="28"/>
        <v>#DIV/0!</v>
      </c>
      <c r="U83" s="14" t="e">
        <f t="shared" si="28"/>
        <v>#DIV/0!</v>
      </c>
      <c r="V83" s="14" t="e">
        <f t="shared" si="28"/>
        <v>#DIV/0!</v>
      </c>
      <c r="W83" s="14" t="e">
        <f t="shared" si="28"/>
        <v>#DIV/0!</v>
      </c>
      <c r="X83" s="14" t="e">
        <f t="shared" si="28"/>
        <v>#DIV/0!</v>
      </c>
      <c r="Y83" s="14" t="e">
        <f t="shared" si="28"/>
        <v>#DIV/0!</v>
      </c>
      <c r="Z83" s="14" t="e">
        <f t="shared" si="28"/>
        <v>#DIV/0!</v>
      </c>
      <c r="AA83" s="14" t="e">
        <f t="shared" si="28"/>
        <v>#DIV/0!</v>
      </c>
      <c r="AB83" s="14" t="e">
        <f t="shared" si="28"/>
        <v>#DIV/0!</v>
      </c>
      <c r="AC83" s="14" t="e">
        <f t="shared" si="28"/>
        <v>#DIV/0!</v>
      </c>
      <c r="AD83" s="14" t="e">
        <f t="shared" si="28"/>
        <v>#DIV/0!</v>
      </c>
      <c r="AE83" s="14" t="e">
        <f t="shared" si="28"/>
        <v>#DIV/0!</v>
      </c>
      <c r="AF83" s="14" t="e">
        <f t="shared" si="28"/>
        <v>#DIV/0!</v>
      </c>
      <c r="AG83" s="14" t="e">
        <f t="shared" si="28"/>
        <v>#DIV/0!</v>
      </c>
      <c r="AH83" s="14" t="e">
        <f t="shared" si="28"/>
        <v>#DIV/0!</v>
      </c>
      <c r="AI83" s="14" t="e">
        <f t="shared" si="28"/>
        <v>#DIV/0!</v>
      </c>
      <c r="AJ83" s="14" t="e">
        <f t="shared" si="28"/>
        <v>#DIV/0!</v>
      </c>
      <c r="AK83" s="14" t="e">
        <f t="shared" si="28"/>
        <v>#DIV/0!</v>
      </c>
      <c r="AL83" s="14" t="e">
        <f t="shared" si="28"/>
        <v>#DIV/0!</v>
      </c>
    </row>
    <row r="84" spans="1:38" ht="21" hidden="1" customHeight="1" outlineLevel="1" thickBot="1" x14ac:dyDescent="0.4">
      <c r="A84" s="5">
        <f t="shared" si="25"/>
        <v>0</v>
      </c>
      <c r="B84" s="5">
        <f t="shared" si="25"/>
        <v>0</v>
      </c>
      <c r="C84" s="5">
        <f t="shared" si="25"/>
        <v>0</v>
      </c>
      <c r="D84" s="5">
        <f t="shared" si="25"/>
        <v>0</v>
      </c>
      <c r="E84" s="6">
        <f t="shared" si="21"/>
        <v>0</v>
      </c>
      <c r="F84" s="14" t="e">
        <f t="shared" ref="F84:AL84" si="29">F8*$C$78</f>
        <v>#DIV/0!</v>
      </c>
      <c r="G84" s="14" t="e">
        <f t="shared" si="29"/>
        <v>#DIV/0!</v>
      </c>
      <c r="H84" s="14" t="e">
        <f t="shared" si="29"/>
        <v>#DIV/0!</v>
      </c>
      <c r="I84" s="14" t="e">
        <f t="shared" si="29"/>
        <v>#DIV/0!</v>
      </c>
      <c r="J84" s="14" t="e">
        <f t="shared" si="29"/>
        <v>#DIV/0!</v>
      </c>
      <c r="K84" s="14" t="e">
        <f t="shared" si="29"/>
        <v>#DIV/0!</v>
      </c>
      <c r="L84" s="14" t="e">
        <f t="shared" si="29"/>
        <v>#DIV/0!</v>
      </c>
      <c r="M84" s="14" t="e">
        <f t="shared" si="29"/>
        <v>#DIV/0!</v>
      </c>
      <c r="N84" s="14" t="e">
        <f t="shared" si="29"/>
        <v>#DIV/0!</v>
      </c>
      <c r="O84" s="14" t="e">
        <f t="shared" si="29"/>
        <v>#DIV/0!</v>
      </c>
      <c r="P84" s="14" t="e">
        <f t="shared" si="29"/>
        <v>#DIV/0!</v>
      </c>
      <c r="Q84" s="14" t="e">
        <f t="shared" si="29"/>
        <v>#DIV/0!</v>
      </c>
      <c r="R84" s="14" t="e">
        <f t="shared" si="29"/>
        <v>#DIV/0!</v>
      </c>
      <c r="S84" s="14" t="e">
        <f t="shared" si="29"/>
        <v>#DIV/0!</v>
      </c>
      <c r="T84" s="14" t="e">
        <f t="shared" si="29"/>
        <v>#DIV/0!</v>
      </c>
      <c r="U84" s="14" t="e">
        <f t="shared" si="29"/>
        <v>#DIV/0!</v>
      </c>
      <c r="V84" s="14" t="e">
        <f t="shared" si="29"/>
        <v>#DIV/0!</v>
      </c>
      <c r="W84" s="14" t="e">
        <f t="shared" si="29"/>
        <v>#DIV/0!</v>
      </c>
      <c r="X84" s="14" t="e">
        <f t="shared" si="29"/>
        <v>#DIV/0!</v>
      </c>
      <c r="Y84" s="14" t="e">
        <f t="shared" si="29"/>
        <v>#DIV/0!</v>
      </c>
      <c r="Z84" s="14" t="e">
        <f t="shared" si="29"/>
        <v>#DIV/0!</v>
      </c>
      <c r="AA84" s="14" t="e">
        <f t="shared" si="29"/>
        <v>#DIV/0!</v>
      </c>
      <c r="AB84" s="14" t="e">
        <f t="shared" si="29"/>
        <v>#DIV/0!</v>
      </c>
      <c r="AC84" s="14" t="e">
        <f t="shared" si="29"/>
        <v>#DIV/0!</v>
      </c>
      <c r="AD84" s="14" t="e">
        <f t="shared" si="29"/>
        <v>#DIV/0!</v>
      </c>
      <c r="AE84" s="14" t="e">
        <f t="shared" si="29"/>
        <v>#DIV/0!</v>
      </c>
      <c r="AF84" s="14" t="e">
        <f t="shared" si="29"/>
        <v>#DIV/0!</v>
      </c>
      <c r="AG84" s="14" t="e">
        <f t="shared" si="29"/>
        <v>#DIV/0!</v>
      </c>
      <c r="AH84" s="14" t="e">
        <f t="shared" si="29"/>
        <v>#DIV/0!</v>
      </c>
      <c r="AI84" s="14" t="e">
        <f t="shared" si="29"/>
        <v>#DIV/0!</v>
      </c>
      <c r="AJ84" s="14" t="e">
        <f t="shared" si="29"/>
        <v>#DIV/0!</v>
      </c>
      <c r="AK84" s="14" t="e">
        <f t="shared" si="29"/>
        <v>#DIV/0!</v>
      </c>
      <c r="AL84" s="14" t="e">
        <f t="shared" si="29"/>
        <v>#DIV/0!</v>
      </c>
    </row>
    <row r="85" spans="1:38" ht="21" hidden="1" customHeight="1" outlineLevel="1" thickBot="1" x14ac:dyDescent="0.4">
      <c r="A85" s="5">
        <f t="shared" si="25"/>
        <v>0</v>
      </c>
      <c r="B85" s="5">
        <f t="shared" si="25"/>
        <v>0</v>
      </c>
      <c r="C85" s="5">
        <f t="shared" si="25"/>
        <v>0</v>
      </c>
      <c r="D85" s="5">
        <f t="shared" si="25"/>
        <v>0</v>
      </c>
      <c r="E85" s="6">
        <f t="shared" si="21"/>
        <v>0</v>
      </c>
      <c r="F85" s="14" t="e">
        <f t="shared" ref="F85:AL85" si="30">F9*$C$78</f>
        <v>#DIV/0!</v>
      </c>
      <c r="G85" s="14" t="e">
        <f t="shared" si="30"/>
        <v>#DIV/0!</v>
      </c>
      <c r="H85" s="14" t="e">
        <f t="shared" si="30"/>
        <v>#DIV/0!</v>
      </c>
      <c r="I85" s="14" t="e">
        <f t="shared" si="30"/>
        <v>#DIV/0!</v>
      </c>
      <c r="J85" s="14" t="e">
        <f t="shared" si="30"/>
        <v>#DIV/0!</v>
      </c>
      <c r="K85" s="14" t="e">
        <f t="shared" si="30"/>
        <v>#DIV/0!</v>
      </c>
      <c r="L85" s="14" t="e">
        <f t="shared" si="30"/>
        <v>#DIV/0!</v>
      </c>
      <c r="M85" s="14" t="e">
        <f t="shared" si="30"/>
        <v>#DIV/0!</v>
      </c>
      <c r="N85" s="14" t="e">
        <f t="shared" si="30"/>
        <v>#DIV/0!</v>
      </c>
      <c r="O85" s="14" t="e">
        <f t="shared" si="30"/>
        <v>#DIV/0!</v>
      </c>
      <c r="P85" s="14" t="e">
        <f t="shared" si="30"/>
        <v>#DIV/0!</v>
      </c>
      <c r="Q85" s="14" t="e">
        <f t="shared" si="30"/>
        <v>#DIV/0!</v>
      </c>
      <c r="R85" s="14" t="e">
        <f t="shared" si="30"/>
        <v>#DIV/0!</v>
      </c>
      <c r="S85" s="14" t="e">
        <f t="shared" si="30"/>
        <v>#DIV/0!</v>
      </c>
      <c r="T85" s="14" t="e">
        <f t="shared" si="30"/>
        <v>#DIV/0!</v>
      </c>
      <c r="U85" s="14" t="e">
        <f t="shared" si="30"/>
        <v>#DIV/0!</v>
      </c>
      <c r="V85" s="14" t="e">
        <f t="shared" si="30"/>
        <v>#DIV/0!</v>
      </c>
      <c r="W85" s="14" t="e">
        <f t="shared" si="30"/>
        <v>#DIV/0!</v>
      </c>
      <c r="X85" s="14" t="e">
        <f t="shared" si="30"/>
        <v>#DIV/0!</v>
      </c>
      <c r="Y85" s="14" t="e">
        <f t="shared" si="30"/>
        <v>#DIV/0!</v>
      </c>
      <c r="Z85" s="14" t="e">
        <f t="shared" si="30"/>
        <v>#DIV/0!</v>
      </c>
      <c r="AA85" s="14" t="e">
        <f t="shared" si="30"/>
        <v>#DIV/0!</v>
      </c>
      <c r="AB85" s="14" t="e">
        <f t="shared" si="30"/>
        <v>#DIV/0!</v>
      </c>
      <c r="AC85" s="14" t="e">
        <f t="shared" si="30"/>
        <v>#DIV/0!</v>
      </c>
      <c r="AD85" s="14" t="e">
        <f t="shared" si="30"/>
        <v>#DIV/0!</v>
      </c>
      <c r="AE85" s="14" t="e">
        <f t="shared" si="30"/>
        <v>#DIV/0!</v>
      </c>
      <c r="AF85" s="14" t="e">
        <f t="shared" si="30"/>
        <v>#DIV/0!</v>
      </c>
      <c r="AG85" s="14" t="e">
        <f t="shared" si="30"/>
        <v>#DIV/0!</v>
      </c>
      <c r="AH85" s="14" t="e">
        <f t="shared" si="30"/>
        <v>#DIV/0!</v>
      </c>
      <c r="AI85" s="14" t="e">
        <f t="shared" si="30"/>
        <v>#DIV/0!</v>
      </c>
      <c r="AJ85" s="14" t="e">
        <f t="shared" si="30"/>
        <v>#DIV/0!</v>
      </c>
      <c r="AK85" s="14" t="e">
        <f t="shared" si="30"/>
        <v>#DIV/0!</v>
      </c>
      <c r="AL85" s="14" t="e">
        <f t="shared" si="30"/>
        <v>#DIV/0!</v>
      </c>
    </row>
    <row r="86" spans="1:38" ht="21" hidden="1" customHeight="1" outlineLevel="1" thickBot="1" x14ac:dyDescent="0.4">
      <c r="A86" s="5">
        <f t="shared" si="25"/>
        <v>0</v>
      </c>
      <c r="B86" s="5">
        <f t="shared" si="25"/>
        <v>0</v>
      </c>
      <c r="C86" s="5">
        <f t="shared" si="25"/>
        <v>0</v>
      </c>
      <c r="D86" s="5">
        <f t="shared" si="25"/>
        <v>0</v>
      </c>
      <c r="E86" s="6">
        <f t="shared" si="21"/>
        <v>0</v>
      </c>
      <c r="F86" s="14" t="e">
        <f t="shared" ref="F86:AL86" si="31">F10*$C$78</f>
        <v>#DIV/0!</v>
      </c>
      <c r="G86" s="14" t="e">
        <f t="shared" si="31"/>
        <v>#DIV/0!</v>
      </c>
      <c r="H86" s="14" t="e">
        <f t="shared" si="31"/>
        <v>#DIV/0!</v>
      </c>
      <c r="I86" s="14" t="e">
        <f t="shared" si="31"/>
        <v>#DIV/0!</v>
      </c>
      <c r="J86" s="14" t="e">
        <f t="shared" si="31"/>
        <v>#DIV/0!</v>
      </c>
      <c r="K86" s="14" t="e">
        <f t="shared" si="31"/>
        <v>#DIV/0!</v>
      </c>
      <c r="L86" s="14" t="e">
        <f t="shared" si="31"/>
        <v>#DIV/0!</v>
      </c>
      <c r="M86" s="14" t="e">
        <f t="shared" si="31"/>
        <v>#DIV/0!</v>
      </c>
      <c r="N86" s="14" t="e">
        <f t="shared" si="31"/>
        <v>#DIV/0!</v>
      </c>
      <c r="O86" s="14" t="e">
        <f t="shared" si="31"/>
        <v>#DIV/0!</v>
      </c>
      <c r="P86" s="14" t="e">
        <f t="shared" si="31"/>
        <v>#DIV/0!</v>
      </c>
      <c r="Q86" s="14" t="e">
        <f t="shared" si="31"/>
        <v>#DIV/0!</v>
      </c>
      <c r="R86" s="14" t="e">
        <f t="shared" si="31"/>
        <v>#DIV/0!</v>
      </c>
      <c r="S86" s="14" t="e">
        <f t="shared" si="31"/>
        <v>#DIV/0!</v>
      </c>
      <c r="T86" s="14" t="e">
        <f t="shared" si="31"/>
        <v>#DIV/0!</v>
      </c>
      <c r="U86" s="14" t="e">
        <f t="shared" si="31"/>
        <v>#DIV/0!</v>
      </c>
      <c r="V86" s="14" t="e">
        <f t="shared" si="31"/>
        <v>#DIV/0!</v>
      </c>
      <c r="W86" s="14" t="e">
        <f t="shared" si="31"/>
        <v>#DIV/0!</v>
      </c>
      <c r="X86" s="14" t="e">
        <f t="shared" si="31"/>
        <v>#DIV/0!</v>
      </c>
      <c r="Y86" s="14" t="e">
        <f t="shared" si="31"/>
        <v>#DIV/0!</v>
      </c>
      <c r="Z86" s="14" t="e">
        <f t="shared" si="31"/>
        <v>#DIV/0!</v>
      </c>
      <c r="AA86" s="14" t="e">
        <f t="shared" si="31"/>
        <v>#DIV/0!</v>
      </c>
      <c r="AB86" s="14" t="e">
        <f t="shared" si="31"/>
        <v>#DIV/0!</v>
      </c>
      <c r="AC86" s="14" t="e">
        <f t="shared" si="31"/>
        <v>#DIV/0!</v>
      </c>
      <c r="AD86" s="14" t="e">
        <f t="shared" si="31"/>
        <v>#DIV/0!</v>
      </c>
      <c r="AE86" s="14" t="e">
        <f t="shared" si="31"/>
        <v>#DIV/0!</v>
      </c>
      <c r="AF86" s="14" t="e">
        <f t="shared" si="31"/>
        <v>#DIV/0!</v>
      </c>
      <c r="AG86" s="14" t="e">
        <f t="shared" si="31"/>
        <v>#DIV/0!</v>
      </c>
      <c r="AH86" s="14" t="e">
        <f t="shared" si="31"/>
        <v>#DIV/0!</v>
      </c>
      <c r="AI86" s="14" t="e">
        <f t="shared" si="31"/>
        <v>#DIV/0!</v>
      </c>
      <c r="AJ86" s="14" t="e">
        <f t="shared" si="31"/>
        <v>#DIV/0!</v>
      </c>
      <c r="AK86" s="14" t="e">
        <f t="shared" si="31"/>
        <v>#DIV/0!</v>
      </c>
      <c r="AL86" s="14" t="e">
        <f t="shared" si="31"/>
        <v>#DIV/0!</v>
      </c>
    </row>
    <row r="87" spans="1:38" ht="21" hidden="1" customHeight="1" outlineLevel="1" thickBot="1" x14ac:dyDescent="0.4">
      <c r="A87" s="5">
        <f t="shared" si="25"/>
        <v>0</v>
      </c>
      <c r="B87" s="5">
        <f t="shared" si="25"/>
        <v>0</v>
      </c>
      <c r="C87" s="5">
        <f t="shared" si="25"/>
        <v>0</v>
      </c>
      <c r="D87" s="5">
        <f t="shared" si="25"/>
        <v>0</v>
      </c>
      <c r="E87" s="6">
        <f t="shared" si="21"/>
        <v>0</v>
      </c>
      <c r="F87" s="14" t="e">
        <f t="shared" ref="F87:AL87" si="32">F11*$C$78</f>
        <v>#DIV/0!</v>
      </c>
      <c r="G87" s="14" t="e">
        <f t="shared" si="32"/>
        <v>#DIV/0!</v>
      </c>
      <c r="H87" s="14" t="e">
        <f t="shared" si="32"/>
        <v>#DIV/0!</v>
      </c>
      <c r="I87" s="14" t="e">
        <f t="shared" si="32"/>
        <v>#DIV/0!</v>
      </c>
      <c r="J87" s="14" t="e">
        <f t="shared" si="32"/>
        <v>#DIV/0!</v>
      </c>
      <c r="K87" s="14" t="e">
        <f t="shared" si="32"/>
        <v>#DIV/0!</v>
      </c>
      <c r="L87" s="14" t="e">
        <f t="shared" si="32"/>
        <v>#DIV/0!</v>
      </c>
      <c r="M87" s="14" t="e">
        <f t="shared" si="32"/>
        <v>#DIV/0!</v>
      </c>
      <c r="N87" s="14" t="e">
        <f t="shared" si="32"/>
        <v>#DIV/0!</v>
      </c>
      <c r="O87" s="14" t="e">
        <f t="shared" si="32"/>
        <v>#DIV/0!</v>
      </c>
      <c r="P87" s="14" t="e">
        <f t="shared" si="32"/>
        <v>#DIV/0!</v>
      </c>
      <c r="Q87" s="14" t="e">
        <f t="shared" si="32"/>
        <v>#DIV/0!</v>
      </c>
      <c r="R87" s="14" t="e">
        <f t="shared" si="32"/>
        <v>#DIV/0!</v>
      </c>
      <c r="S87" s="14" t="e">
        <f t="shared" si="32"/>
        <v>#DIV/0!</v>
      </c>
      <c r="T87" s="14" t="e">
        <f t="shared" si="32"/>
        <v>#DIV/0!</v>
      </c>
      <c r="U87" s="14" t="e">
        <f t="shared" si="32"/>
        <v>#DIV/0!</v>
      </c>
      <c r="V87" s="14" t="e">
        <f t="shared" si="32"/>
        <v>#DIV/0!</v>
      </c>
      <c r="W87" s="14" t="e">
        <f t="shared" si="32"/>
        <v>#DIV/0!</v>
      </c>
      <c r="X87" s="14" t="e">
        <f t="shared" si="32"/>
        <v>#DIV/0!</v>
      </c>
      <c r="Y87" s="14" t="e">
        <f t="shared" si="32"/>
        <v>#DIV/0!</v>
      </c>
      <c r="Z87" s="14" t="e">
        <f t="shared" si="32"/>
        <v>#DIV/0!</v>
      </c>
      <c r="AA87" s="14" t="e">
        <f t="shared" si="32"/>
        <v>#DIV/0!</v>
      </c>
      <c r="AB87" s="14" t="e">
        <f t="shared" si="32"/>
        <v>#DIV/0!</v>
      </c>
      <c r="AC87" s="14" t="e">
        <f t="shared" si="32"/>
        <v>#DIV/0!</v>
      </c>
      <c r="AD87" s="14" t="e">
        <f t="shared" si="32"/>
        <v>#DIV/0!</v>
      </c>
      <c r="AE87" s="14" t="e">
        <f t="shared" si="32"/>
        <v>#DIV/0!</v>
      </c>
      <c r="AF87" s="14" t="e">
        <f t="shared" si="32"/>
        <v>#DIV/0!</v>
      </c>
      <c r="AG87" s="14" t="e">
        <f t="shared" si="32"/>
        <v>#DIV/0!</v>
      </c>
      <c r="AH87" s="14" t="e">
        <f t="shared" si="32"/>
        <v>#DIV/0!</v>
      </c>
      <c r="AI87" s="14" t="e">
        <f t="shared" si="32"/>
        <v>#DIV/0!</v>
      </c>
      <c r="AJ87" s="14" t="e">
        <f t="shared" si="32"/>
        <v>#DIV/0!</v>
      </c>
      <c r="AK87" s="14" t="e">
        <f t="shared" si="32"/>
        <v>#DIV/0!</v>
      </c>
      <c r="AL87" s="14" t="e">
        <f t="shared" si="32"/>
        <v>#DIV/0!</v>
      </c>
    </row>
    <row r="88" spans="1:38" ht="21" hidden="1" customHeight="1" outlineLevel="1" thickBot="1" x14ac:dyDescent="0.4">
      <c r="A88" s="5">
        <f t="shared" si="25"/>
        <v>0</v>
      </c>
      <c r="B88" s="5">
        <f t="shared" si="25"/>
        <v>0</v>
      </c>
      <c r="C88" s="5">
        <f t="shared" si="25"/>
        <v>0</v>
      </c>
      <c r="D88" s="5">
        <f t="shared" si="25"/>
        <v>0</v>
      </c>
      <c r="E88" s="6">
        <f t="shared" si="21"/>
        <v>0</v>
      </c>
      <c r="F88" s="14" t="e">
        <f t="shared" ref="F88:AL88" si="33">F12*$C$78</f>
        <v>#DIV/0!</v>
      </c>
      <c r="G88" s="14" t="e">
        <f t="shared" si="33"/>
        <v>#DIV/0!</v>
      </c>
      <c r="H88" s="14" t="e">
        <f t="shared" si="33"/>
        <v>#DIV/0!</v>
      </c>
      <c r="I88" s="14" t="e">
        <f t="shared" si="33"/>
        <v>#DIV/0!</v>
      </c>
      <c r="J88" s="14" t="e">
        <f t="shared" si="33"/>
        <v>#DIV/0!</v>
      </c>
      <c r="K88" s="14" t="e">
        <f t="shared" si="33"/>
        <v>#DIV/0!</v>
      </c>
      <c r="L88" s="14" t="e">
        <f t="shared" si="33"/>
        <v>#DIV/0!</v>
      </c>
      <c r="M88" s="14" t="e">
        <f t="shared" si="33"/>
        <v>#DIV/0!</v>
      </c>
      <c r="N88" s="14" t="e">
        <f t="shared" si="33"/>
        <v>#DIV/0!</v>
      </c>
      <c r="O88" s="14" t="e">
        <f t="shared" si="33"/>
        <v>#DIV/0!</v>
      </c>
      <c r="P88" s="14" t="e">
        <f t="shared" si="33"/>
        <v>#DIV/0!</v>
      </c>
      <c r="Q88" s="14" t="e">
        <f t="shared" si="33"/>
        <v>#DIV/0!</v>
      </c>
      <c r="R88" s="14" t="e">
        <f t="shared" si="33"/>
        <v>#DIV/0!</v>
      </c>
      <c r="S88" s="14" t="e">
        <f t="shared" si="33"/>
        <v>#DIV/0!</v>
      </c>
      <c r="T88" s="14" t="e">
        <f t="shared" si="33"/>
        <v>#DIV/0!</v>
      </c>
      <c r="U88" s="14" t="e">
        <f t="shared" si="33"/>
        <v>#DIV/0!</v>
      </c>
      <c r="V88" s="14" t="e">
        <f t="shared" si="33"/>
        <v>#DIV/0!</v>
      </c>
      <c r="W88" s="14" t="e">
        <f t="shared" si="33"/>
        <v>#DIV/0!</v>
      </c>
      <c r="X88" s="14" t="e">
        <f t="shared" si="33"/>
        <v>#DIV/0!</v>
      </c>
      <c r="Y88" s="14" t="e">
        <f t="shared" si="33"/>
        <v>#DIV/0!</v>
      </c>
      <c r="Z88" s="14" t="e">
        <f t="shared" si="33"/>
        <v>#DIV/0!</v>
      </c>
      <c r="AA88" s="14" t="e">
        <f t="shared" si="33"/>
        <v>#DIV/0!</v>
      </c>
      <c r="AB88" s="14" t="e">
        <f t="shared" si="33"/>
        <v>#DIV/0!</v>
      </c>
      <c r="AC88" s="14" t="e">
        <f t="shared" si="33"/>
        <v>#DIV/0!</v>
      </c>
      <c r="AD88" s="14" t="e">
        <f t="shared" si="33"/>
        <v>#DIV/0!</v>
      </c>
      <c r="AE88" s="14" t="e">
        <f t="shared" si="33"/>
        <v>#DIV/0!</v>
      </c>
      <c r="AF88" s="14" t="e">
        <f t="shared" si="33"/>
        <v>#DIV/0!</v>
      </c>
      <c r="AG88" s="14" t="e">
        <f t="shared" si="33"/>
        <v>#DIV/0!</v>
      </c>
      <c r="AH88" s="14" t="e">
        <f t="shared" si="33"/>
        <v>#DIV/0!</v>
      </c>
      <c r="AI88" s="14" t="e">
        <f t="shared" si="33"/>
        <v>#DIV/0!</v>
      </c>
      <c r="AJ88" s="14" t="e">
        <f t="shared" si="33"/>
        <v>#DIV/0!</v>
      </c>
      <c r="AK88" s="14" t="e">
        <f t="shared" si="33"/>
        <v>#DIV/0!</v>
      </c>
      <c r="AL88" s="14" t="e">
        <f t="shared" si="33"/>
        <v>#DIV/0!</v>
      </c>
    </row>
    <row r="89" spans="1:38" ht="21" hidden="1" customHeight="1" outlineLevel="1" thickBot="1" x14ac:dyDescent="0.4">
      <c r="A89" s="5">
        <f t="shared" si="25"/>
        <v>0</v>
      </c>
      <c r="B89" s="5">
        <f t="shared" si="25"/>
        <v>0</v>
      </c>
      <c r="C89" s="5">
        <f t="shared" si="25"/>
        <v>0</v>
      </c>
      <c r="D89" s="5">
        <f t="shared" si="25"/>
        <v>0</v>
      </c>
      <c r="E89" s="6">
        <f t="shared" si="21"/>
        <v>0</v>
      </c>
      <c r="F89" s="14" t="e">
        <f t="shared" ref="F89:AL89" si="34">F13*$C$78</f>
        <v>#DIV/0!</v>
      </c>
      <c r="G89" s="14" t="e">
        <f t="shared" si="34"/>
        <v>#DIV/0!</v>
      </c>
      <c r="H89" s="14" t="e">
        <f t="shared" si="34"/>
        <v>#DIV/0!</v>
      </c>
      <c r="I89" s="14" t="e">
        <f t="shared" si="34"/>
        <v>#DIV/0!</v>
      </c>
      <c r="J89" s="14" t="e">
        <f t="shared" si="34"/>
        <v>#DIV/0!</v>
      </c>
      <c r="K89" s="14" t="e">
        <f t="shared" si="34"/>
        <v>#DIV/0!</v>
      </c>
      <c r="L89" s="14" t="e">
        <f t="shared" si="34"/>
        <v>#DIV/0!</v>
      </c>
      <c r="M89" s="14" t="e">
        <f t="shared" si="34"/>
        <v>#DIV/0!</v>
      </c>
      <c r="N89" s="14" t="e">
        <f t="shared" si="34"/>
        <v>#DIV/0!</v>
      </c>
      <c r="O89" s="14" t="e">
        <f t="shared" si="34"/>
        <v>#DIV/0!</v>
      </c>
      <c r="P89" s="14" t="e">
        <f t="shared" si="34"/>
        <v>#DIV/0!</v>
      </c>
      <c r="Q89" s="14" t="e">
        <f t="shared" si="34"/>
        <v>#DIV/0!</v>
      </c>
      <c r="R89" s="14" t="e">
        <f t="shared" si="34"/>
        <v>#DIV/0!</v>
      </c>
      <c r="S89" s="14" t="e">
        <f t="shared" si="34"/>
        <v>#DIV/0!</v>
      </c>
      <c r="T89" s="14" t="e">
        <f t="shared" si="34"/>
        <v>#DIV/0!</v>
      </c>
      <c r="U89" s="14" t="e">
        <f t="shared" si="34"/>
        <v>#DIV/0!</v>
      </c>
      <c r="V89" s="14" t="e">
        <f t="shared" si="34"/>
        <v>#DIV/0!</v>
      </c>
      <c r="W89" s="14" t="e">
        <f t="shared" si="34"/>
        <v>#DIV/0!</v>
      </c>
      <c r="X89" s="14" t="e">
        <f t="shared" si="34"/>
        <v>#DIV/0!</v>
      </c>
      <c r="Y89" s="14" t="e">
        <f t="shared" si="34"/>
        <v>#DIV/0!</v>
      </c>
      <c r="Z89" s="14" t="e">
        <f t="shared" si="34"/>
        <v>#DIV/0!</v>
      </c>
      <c r="AA89" s="14" t="e">
        <f t="shared" si="34"/>
        <v>#DIV/0!</v>
      </c>
      <c r="AB89" s="14" t="e">
        <f t="shared" si="34"/>
        <v>#DIV/0!</v>
      </c>
      <c r="AC89" s="14" t="e">
        <f t="shared" si="34"/>
        <v>#DIV/0!</v>
      </c>
      <c r="AD89" s="14" t="e">
        <f t="shared" si="34"/>
        <v>#DIV/0!</v>
      </c>
      <c r="AE89" s="14" t="e">
        <f t="shared" si="34"/>
        <v>#DIV/0!</v>
      </c>
      <c r="AF89" s="14" t="e">
        <f t="shared" si="34"/>
        <v>#DIV/0!</v>
      </c>
      <c r="AG89" s="14" t="e">
        <f t="shared" si="34"/>
        <v>#DIV/0!</v>
      </c>
      <c r="AH89" s="14" t="e">
        <f t="shared" si="34"/>
        <v>#DIV/0!</v>
      </c>
      <c r="AI89" s="14" t="e">
        <f t="shared" si="34"/>
        <v>#DIV/0!</v>
      </c>
      <c r="AJ89" s="14" t="e">
        <f t="shared" si="34"/>
        <v>#DIV/0!</v>
      </c>
      <c r="AK89" s="14" t="e">
        <f t="shared" si="34"/>
        <v>#DIV/0!</v>
      </c>
      <c r="AL89" s="14" t="e">
        <f t="shared" si="34"/>
        <v>#DIV/0!</v>
      </c>
    </row>
    <row r="90" spans="1:38" ht="21" hidden="1" customHeight="1" outlineLevel="1" thickBot="1" x14ac:dyDescent="0.4">
      <c r="A90" s="5">
        <f t="shared" si="25"/>
        <v>0</v>
      </c>
      <c r="B90" s="5">
        <f t="shared" si="25"/>
        <v>0</v>
      </c>
      <c r="C90" s="5">
        <f t="shared" si="25"/>
        <v>0</v>
      </c>
      <c r="D90" s="5">
        <f t="shared" si="25"/>
        <v>0</v>
      </c>
      <c r="E90" s="6">
        <f t="shared" si="21"/>
        <v>0</v>
      </c>
      <c r="F90" s="14" t="e">
        <f t="shared" ref="F90:AL90" si="35">F14*$C$78</f>
        <v>#DIV/0!</v>
      </c>
      <c r="G90" s="14" t="e">
        <f t="shared" si="35"/>
        <v>#DIV/0!</v>
      </c>
      <c r="H90" s="14" t="e">
        <f t="shared" si="35"/>
        <v>#DIV/0!</v>
      </c>
      <c r="I90" s="14" t="e">
        <f t="shared" si="35"/>
        <v>#DIV/0!</v>
      </c>
      <c r="J90" s="14" t="e">
        <f t="shared" si="35"/>
        <v>#DIV/0!</v>
      </c>
      <c r="K90" s="14" t="e">
        <f t="shared" si="35"/>
        <v>#DIV/0!</v>
      </c>
      <c r="L90" s="14" t="e">
        <f t="shared" si="35"/>
        <v>#DIV/0!</v>
      </c>
      <c r="M90" s="14" t="e">
        <f t="shared" si="35"/>
        <v>#DIV/0!</v>
      </c>
      <c r="N90" s="14" t="e">
        <f t="shared" si="35"/>
        <v>#DIV/0!</v>
      </c>
      <c r="O90" s="14" t="e">
        <f t="shared" si="35"/>
        <v>#DIV/0!</v>
      </c>
      <c r="P90" s="14" t="e">
        <f t="shared" si="35"/>
        <v>#DIV/0!</v>
      </c>
      <c r="Q90" s="14" t="e">
        <f t="shared" si="35"/>
        <v>#DIV/0!</v>
      </c>
      <c r="R90" s="14" t="e">
        <f t="shared" si="35"/>
        <v>#DIV/0!</v>
      </c>
      <c r="S90" s="14" t="e">
        <f t="shared" si="35"/>
        <v>#DIV/0!</v>
      </c>
      <c r="T90" s="14" t="e">
        <f t="shared" si="35"/>
        <v>#DIV/0!</v>
      </c>
      <c r="U90" s="14" t="e">
        <f t="shared" si="35"/>
        <v>#DIV/0!</v>
      </c>
      <c r="V90" s="14" t="e">
        <f t="shared" si="35"/>
        <v>#DIV/0!</v>
      </c>
      <c r="W90" s="14" t="e">
        <f t="shared" si="35"/>
        <v>#DIV/0!</v>
      </c>
      <c r="X90" s="14" t="e">
        <f t="shared" si="35"/>
        <v>#DIV/0!</v>
      </c>
      <c r="Y90" s="14" t="e">
        <f t="shared" si="35"/>
        <v>#DIV/0!</v>
      </c>
      <c r="Z90" s="14" t="e">
        <f t="shared" si="35"/>
        <v>#DIV/0!</v>
      </c>
      <c r="AA90" s="14" t="e">
        <f t="shared" si="35"/>
        <v>#DIV/0!</v>
      </c>
      <c r="AB90" s="14" t="e">
        <f t="shared" si="35"/>
        <v>#DIV/0!</v>
      </c>
      <c r="AC90" s="14" t="e">
        <f t="shared" si="35"/>
        <v>#DIV/0!</v>
      </c>
      <c r="AD90" s="14" t="e">
        <f t="shared" si="35"/>
        <v>#DIV/0!</v>
      </c>
      <c r="AE90" s="14" t="e">
        <f t="shared" si="35"/>
        <v>#DIV/0!</v>
      </c>
      <c r="AF90" s="14" t="e">
        <f t="shared" si="35"/>
        <v>#DIV/0!</v>
      </c>
      <c r="AG90" s="14" t="e">
        <f t="shared" si="35"/>
        <v>#DIV/0!</v>
      </c>
      <c r="AH90" s="14" t="e">
        <f t="shared" si="35"/>
        <v>#DIV/0!</v>
      </c>
      <c r="AI90" s="14" t="e">
        <f t="shared" si="35"/>
        <v>#DIV/0!</v>
      </c>
      <c r="AJ90" s="14" t="e">
        <f t="shared" si="35"/>
        <v>#DIV/0!</v>
      </c>
      <c r="AK90" s="14" t="e">
        <f t="shared" si="35"/>
        <v>#DIV/0!</v>
      </c>
      <c r="AL90" s="14" t="e">
        <f t="shared" si="35"/>
        <v>#DIV/0!</v>
      </c>
    </row>
    <row r="91" spans="1:38" ht="21" hidden="1" customHeight="1" outlineLevel="1" thickBot="1" x14ac:dyDescent="0.4">
      <c r="A91" s="5">
        <f t="shared" si="25"/>
        <v>0</v>
      </c>
      <c r="B91" s="5">
        <f t="shared" si="25"/>
        <v>0</v>
      </c>
      <c r="C91" s="5">
        <f t="shared" si="25"/>
        <v>0</v>
      </c>
      <c r="D91" s="5">
        <f t="shared" si="25"/>
        <v>0</v>
      </c>
      <c r="E91" s="6">
        <f t="shared" si="21"/>
        <v>0</v>
      </c>
      <c r="F91" s="14" t="e">
        <f t="shared" ref="F91:AL91" si="36">F15*$C$78</f>
        <v>#DIV/0!</v>
      </c>
      <c r="G91" s="14" t="e">
        <f t="shared" si="36"/>
        <v>#DIV/0!</v>
      </c>
      <c r="H91" s="14" t="e">
        <f t="shared" si="36"/>
        <v>#DIV/0!</v>
      </c>
      <c r="I91" s="14" t="e">
        <f t="shared" si="36"/>
        <v>#DIV/0!</v>
      </c>
      <c r="J91" s="14" t="e">
        <f t="shared" si="36"/>
        <v>#DIV/0!</v>
      </c>
      <c r="K91" s="14" t="e">
        <f t="shared" si="36"/>
        <v>#DIV/0!</v>
      </c>
      <c r="L91" s="14" t="e">
        <f t="shared" si="36"/>
        <v>#DIV/0!</v>
      </c>
      <c r="M91" s="14" t="e">
        <f t="shared" si="36"/>
        <v>#DIV/0!</v>
      </c>
      <c r="N91" s="14" t="e">
        <f t="shared" si="36"/>
        <v>#DIV/0!</v>
      </c>
      <c r="O91" s="14" t="e">
        <f t="shared" si="36"/>
        <v>#DIV/0!</v>
      </c>
      <c r="P91" s="14" t="e">
        <f t="shared" si="36"/>
        <v>#DIV/0!</v>
      </c>
      <c r="Q91" s="14" t="e">
        <f t="shared" si="36"/>
        <v>#DIV/0!</v>
      </c>
      <c r="R91" s="14" t="e">
        <f t="shared" si="36"/>
        <v>#DIV/0!</v>
      </c>
      <c r="S91" s="14" t="e">
        <f t="shared" si="36"/>
        <v>#DIV/0!</v>
      </c>
      <c r="T91" s="14" t="e">
        <f t="shared" si="36"/>
        <v>#DIV/0!</v>
      </c>
      <c r="U91" s="14" t="e">
        <f t="shared" si="36"/>
        <v>#DIV/0!</v>
      </c>
      <c r="V91" s="14" t="e">
        <f t="shared" si="36"/>
        <v>#DIV/0!</v>
      </c>
      <c r="W91" s="14" t="e">
        <f t="shared" si="36"/>
        <v>#DIV/0!</v>
      </c>
      <c r="X91" s="14" t="e">
        <f t="shared" si="36"/>
        <v>#DIV/0!</v>
      </c>
      <c r="Y91" s="14" t="e">
        <f t="shared" si="36"/>
        <v>#DIV/0!</v>
      </c>
      <c r="Z91" s="14" t="e">
        <f t="shared" si="36"/>
        <v>#DIV/0!</v>
      </c>
      <c r="AA91" s="14" t="e">
        <f t="shared" si="36"/>
        <v>#DIV/0!</v>
      </c>
      <c r="AB91" s="14" t="e">
        <f t="shared" si="36"/>
        <v>#DIV/0!</v>
      </c>
      <c r="AC91" s="14" t="e">
        <f t="shared" si="36"/>
        <v>#DIV/0!</v>
      </c>
      <c r="AD91" s="14" t="e">
        <f t="shared" si="36"/>
        <v>#DIV/0!</v>
      </c>
      <c r="AE91" s="14" t="e">
        <f t="shared" si="36"/>
        <v>#DIV/0!</v>
      </c>
      <c r="AF91" s="14" t="e">
        <f t="shared" si="36"/>
        <v>#DIV/0!</v>
      </c>
      <c r="AG91" s="14" t="e">
        <f t="shared" si="36"/>
        <v>#DIV/0!</v>
      </c>
      <c r="AH91" s="14" t="e">
        <f t="shared" si="36"/>
        <v>#DIV/0!</v>
      </c>
      <c r="AI91" s="14" t="e">
        <f t="shared" si="36"/>
        <v>#DIV/0!</v>
      </c>
      <c r="AJ91" s="14" t="e">
        <f t="shared" si="36"/>
        <v>#DIV/0!</v>
      </c>
      <c r="AK91" s="14" t="e">
        <f t="shared" si="36"/>
        <v>#DIV/0!</v>
      </c>
      <c r="AL91" s="14" t="e">
        <f t="shared" si="36"/>
        <v>#DIV/0!</v>
      </c>
    </row>
    <row r="92" spans="1:38" ht="21" hidden="1" customHeight="1" outlineLevel="1" thickBot="1" x14ac:dyDescent="0.4">
      <c r="A92" s="5">
        <f t="shared" si="25"/>
        <v>0</v>
      </c>
      <c r="B92" s="5">
        <f t="shared" si="25"/>
        <v>0</v>
      </c>
      <c r="C92" s="5">
        <f t="shared" si="25"/>
        <v>0</v>
      </c>
      <c r="D92" s="5">
        <f t="shared" si="25"/>
        <v>0</v>
      </c>
      <c r="E92" s="6">
        <f t="shared" si="21"/>
        <v>0</v>
      </c>
      <c r="F92" s="14" t="e">
        <f t="shared" ref="F92:AL92" si="37">F16*$C$78</f>
        <v>#DIV/0!</v>
      </c>
      <c r="G92" s="14" t="e">
        <f t="shared" si="37"/>
        <v>#DIV/0!</v>
      </c>
      <c r="H92" s="14" t="e">
        <f t="shared" si="37"/>
        <v>#DIV/0!</v>
      </c>
      <c r="I92" s="14" t="e">
        <f t="shared" si="37"/>
        <v>#DIV/0!</v>
      </c>
      <c r="J92" s="14" t="e">
        <f t="shared" si="37"/>
        <v>#DIV/0!</v>
      </c>
      <c r="K92" s="14" t="e">
        <f t="shared" si="37"/>
        <v>#DIV/0!</v>
      </c>
      <c r="L92" s="14" t="e">
        <f t="shared" si="37"/>
        <v>#DIV/0!</v>
      </c>
      <c r="M92" s="14" t="e">
        <f t="shared" si="37"/>
        <v>#DIV/0!</v>
      </c>
      <c r="N92" s="14" t="e">
        <f t="shared" si="37"/>
        <v>#DIV/0!</v>
      </c>
      <c r="O92" s="14" t="e">
        <f t="shared" si="37"/>
        <v>#DIV/0!</v>
      </c>
      <c r="P92" s="14" t="e">
        <f t="shared" si="37"/>
        <v>#DIV/0!</v>
      </c>
      <c r="Q92" s="14" t="e">
        <f t="shared" si="37"/>
        <v>#DIV/0!</v>
      </c>
      <c r="R92" s="14" t="e">
        <f t="shared" si="37"/>
        <v>#DIV/0!</v>
      </c>
      <c r="S92" s="14" t="e">
        <f t="shared" si="37"/>
        <v>#DIV/0!</v>
      </c>
      <c r="T92" s="14" t="e">
        <f t="shared" si="37"/>
        <v>#DIV/0!</v>
      </c>
      <c r="U92" s="14" t="e">
        <f t="shared" si="37"/>
        <v>#DIV/0!</v>
      </c>
      <c r="V92" s="14" t="e">
        <f t="shared" si="37"/>
        <v>#DIV/0!</v>
      </c>
      <c r="W92" s="14" t="e">
        <f t="shared" si="37"/>
        <v>#DIV/0!</v>
      </c>
      <c r="X92" s="14" t="e">
        <f t="shared" si="37"/>
        <v>#DIV/0!</v>
      </c>
      <c r="Y92" s="14" t="e">
        <f t="shared" si="37"/>
        <v>#DIV/0!</v>
      </c>
      <c r="Z92" s="14" t="e">
        <f t="shared" si="37"/>
        <v>#DIV/0!</v>
      </c>
      <c r="AA92" s="14" t="e">
        <f t="shared" si="37"/>
        <v>#DIV/0!</v>
      </c>
      <c r="AB92" s="14" t="e">
        <f t="shared" si="37"/>
        <v>#DIV/0!</v>
      </c>
      <c r="AC92" s="14" t="e">
        <f t="shared" si="37"/>
        <v>#DIV/0!</v>
      </c>
      <c r="AD92" s="14" t="e">
        <f t="shared" si="37"/>
        <v>#DIV/0!</v>
      </c>
      <c r="AE92" s="14" t="e">
        <f t="shared" si="37"/>
        <v>#DIV/0!</v>
      </c>
      <c r="AF92" s="14" t="e">
        <f t="shared" si="37"/>
        <v>#DIV/0!</v>
      </c>
      <c r="AG92" s="14" t="e">
        <f t="shared" si="37"/>
        <v>#DIV/0!</v>
      </c>
      <c r="AH92" s="14" t="e">
        <f t="shared" si="37"/>
        <v>#DIV/0!</v>
      </c>
      <c r="AI92" s="14" t="e">
        <f t="shared" si="37"/>
        <v>#DIV/0!</v>
      </c>
      <c r="AJ92" s="14" t="e">
        <f t="shared" si="37"/>
        <v>#DIV/0!</v>
      </c>
      <c r="AK92" s="14" t="e">
        <f t="shared" si="37"/>
        <v>#DIV/0!</v>
      </c>
      <c r="AL92" s="14" t="e">
        <f t="shared" si="37"/>
        <v>#DIV/0!</v>
      </c>
    </row>
    <row r="93" spans="1:38" ht="21" hidden="1" customHeight="1" outlineLevel="1" thickBot="1" x14ac:dyDescent="0.4">
      <c r="A93" s="5">
        <f t="shared" si="25"/>
        <v>0</v>
      </c>
      <c r="B93" s="5">
        <f t="shared" si="25"/>
        <v>0</v>
      </c>
      <c r="C93" s="5">
        <f t="shared" si="25"/>
        <v>0</v>
      </c>
      <c r="D93" s="5">
        <f t="shared" si="25"/>
        <v>0</v>
      </c>
      <c r="E93" s="6">
        <f t="shared" si="21"/>
        <v>0</v>
      </c>
      <c r="F93" s="14" t="e">
        <f t="shared" ref="F93:AL93" si="38">F17*$C$78</f>
        <v>#DIV/0!</v>
      </c>
      <c r="G93" s="14" t="e">
        <f t="shared" si="38"/>
        <v>#DIV/0!</v>
      </c>
      <c r="H93" s="14" t="e">
        <f t="shared" si="38"/>
        <v>#DIV/0!</v>
      </c>
      <c r="I93" s="14" t="e">
        <f t="shared" si="38"/>
        <v>#DIV/0!</v>
      </c>
      <c r="J93" s="14" t="e">
        <f t="shared" si="38"/>
        <v>#DIV/0!</v>
      </c>
      <c r="K93" s="14" t="e">
        <f t="shared" si="38"/>
        <v>#DIV/0!</v>
      </c>
      <c r="L93" s="14" t="e">
        <f t="shared" si="38"/>
        <v>#DIV/0!</v>
      </c>
      <c r="M93" s="14" t="e">
        <f t="shared" si="38"/>
        <v>#DIV/0!</v>
      </c>
      <c r="N93" s="14" t="e">
        <f t="shared" si="38"/>
        <v>#DIV/0!</v>
      </c>
      <c r="O93" s="14" t="e">
        <f t="shared" si="38"/>
        <v>#DIV/0!</v>
      </c>
      <c r="P93" s="14" t="e">
        <f t="shared" si="38"/>
        <v>#DIV/0!</v>
      </c>
      <c r="Q93" s="14" t="e">
        <f t="shared" si="38"/>
        <v>#DIV/0!</v>
      </c>
      <c r="R93" s="14" t="e">
        <f t="shared" si="38"/>
        <v>#DIV/0!</v>
      </c>
      <c r="S93" s="14" t="e">
        <f t="shared" si="38"/>
        <v>#DIV/0!</v>
      </c>
      <c r="T93" s="14" t="e">
        <f t="shared" si="38"/>
        <v>#DIV/0!</v>
      </c>
      <c r="U93" s="14" t="e">
        <f t="shared" si="38"/>
        <v>#DIV/0!</v>
      </c>
      <c r="V93" s="14" t="e">
        <f t="shared" si="38"/>
        <v>#DIV/0!</v>
      </c>
      <c r="W93" s="14" t="e">
        <f t="shared" si="38"/>
        <v>#DIV/0!</v>
      </c>
      <c r="X93" s="14" t="e">
        <f t="shared" si="38"/>
        <v>#DIV/0!</v>
      </c>
      <c r="Y93" s="14" t="e">
        <f t="shared" si="38"/>
        <v>#DIV/0!</v>
      </c>
      <c r="Z93" s="14" t="e">
        <f t="shared" si="38"/>
        <v>#DIV/0!</v>
      </c>
      <c r="AA93" s="14" t="e">
        <f t="shared" si="38"/>
        <v>#DIV/0!</v>
      </c>
      <c r="AB93" s="14" t="e">
        <f t="shared" si="38"/>
        <v>#DIV/0!</v>
      </c>
      <c r="AC93" s="14" t="e">
        <f t="shared" si="38"/>
        <v>#DIV/0!</v>
      </c>
      <c r="AD93" s="14" t="e">
        <f t="shared" si="38"/>
        <v>#DIV/0!</v>
      </c>
      <c r="AE93" s="14" t="e">
        <f t="shared" si="38"/>
        <v>#DIV/0!</v>
      </c>
      <c r="AF93" s="14" t="e">
        <f t="shared" si="38"/>
        <v>#DIV/0!</v>
      </c>
      <c r="AG93" s="14" t="e">
        <f t="shared" si="38"/>
        <v>#DIV/0!</v>
      </c>
      <c r="AH93" s="14" t="e">
        <f t="shared" si="38"/>
        <v>#DIV/0!</v>
      </c>
      <c r="AI93" s="14" t="e">
        <f t="shared" si="38"/>
        <v>#DIV/0!</v>
      </c>
      <c r="AJ93" s="14" t="e">
        <f t="shared" si="38"/>
        <v>#DIV/0!</v>
      </c>
      <c r="AK93" s="14" t="e">
        <f t="shared" si="38"/>
        <v>#DIV/0!</v>
      </c>
      <c r="AL93" s="14" t="e">
        <f t="shared" si="38"/>
        <v>#DIV/0!</v>
      </c>
    </row>
    <row r="94" spans="1:38" ht="21" hidden="1" customHeight="1" outlineLevel="1" thickBot="1" x14ac:dyDescent="0.4">
      <c r="A94" s="5">
        <f t="shared" si="25"/>
        <v>0</v>
      </c>
      <c r="B94" s="5">
        <f t="shared" si="25"/>
        <v>0</v>
      </c>
      <c r="C94" s="5">
        <f t="shared" si="25"/>
        <v>0</v>
      </c>
      <c r="D94" s="5">
        <f t="shared" si="25"/>
        <v>0</v>
      </c>
      <c r="E94" s="6">
        <f t="shared" si="21"/>
        <v>0</v>
      </c>
      <c r="F94" s="14" t="e">
        <f t="shared" ref="F94:AL94" si="39">F18*$C$78</f>
        <v>#DIV/0!</v>
      </c>
      <c r="G94" s="14" t="e">
        <f t="shared" si="39"/>
        <v>#DIV/0!</v>
      </c>
      <c r="H94" s="14" t="e">
        <f t="shared" si="39"/>
        <v>#DIV/0!</v>
      </c>
      <c r="I94" s="14" t="e">
        <f t="shared" si="39"/>
        <v>#DIV/0!</v>
      </c>
      <c r="J94" s="14" t="e">
        <f t="shared" si="39"/>
        <v>#DIV/0!</v>
      </c>
      <c r="K94" s="14" t="e">
        <f t="shared" si="39"/>
        <v>#DIV/0!</v>
      </c>
      <c r="L94" s="14" t="e">
        <f t="shared" si="39"/>
        <v>#DIV/0!</v>
      </c>
      <c r="M94" s="14" t="e">
        <f t="shared" si="39"/>
        <v>#DIV/0!</v>
      </c>
      <c r="N94" s="14" t="e">
        <f t="shared" si="39"/>
        <v>#DIV/0!</v>
      </c>
      <c r="O94" s="14" t="e">
        <f t="shared" si="39"/>
        <v>#DIV/0!</v>
      </c>
      <c r="P94" s="14" t="e">
        <f t="shared" si="39"/>
        <v>#DIV/0!</v>
      </c>
      <c r="Q94" s="14" t="e">
        <f t="shared" si="39"/>
        <v>#DIV/0!</v>
      </c>
      <c r="R94" s="14" t="e">
        <f t="shared" si="39"/>
        <v>#DIV/0!</v>
      </c>
      <c r="S94" s="14" t="e">
        <f t="shared" si="39"/>
        <v>#DIV/0!</v>
      </c>
      <c r="T94" s="14" t="e">
        <f t="shared" si="39"/>
        <v>#DIV/0!</v>
      </c>
      <c r="U94" s="14" t="e">
        <f t="shared" si="39"/>
        <v>#DIV/0!</v>
      </c>
      <c r="V94" s="14" t="e">
        <f t="shared" si="39"/>
        <v>#DIV/0!</v>
      </c>
      <c r="W94" s="14" t="e">
        <f t="shared" si="39"/>
        <v>#DIV/0!</v>
      </c>
      <c r="X94" s="14" t="e">
        <f t="shared" si="39"/>
        <v>#DIV/0!</v>
      </c>
      <c r="Y94" s="14" t="e">
        <f t="shared" si="39"/>
        <v>#DIV/0!</v>
      </c>
      <c r="Z94" s="14" t="e">
        <f t="shared" si="39"/>
        <v>#DIV/0!</v>
      </c>
      <c r="AA94" s="14" t="e">
        <f t="shared" si="39"/>
        <v>#DIV/0!</v>
      </c>
      <c r="AB94" s="14" t="e">
        <f t="shared" si="39"/>
        <v>#DIV/0!</v>
      </c>
      <c r="AC94" s="14" t="e">
        <f t="shared" si="39"/>
        <v>#DIV/0!</v>
      </c>
      <c r="AD94" s="14" t="e">
        <f t="shared" si="39"/>
        <v>#DIV/0!</v>
      </c>
      <c r="AE94" s="14" t="e">
        <f t="shared" si="39"/>
        <v>#DIV/0!</v>
      </c>
      <c r="AF94" s="14" t="e">
        <f t="shared" si="39"/>
        <v>#DIV/0!</v>
      </c>
      <c r="AG94" s="14" t="e">
        <f t="shared" si="39"/>
        <v>#DIV/0!</v>
      </c>
      <c r="AH94" s="14" t="e">
        <f t="shared" si="39"/>
        <v>#DIV/0!</v>
      </c>
      <c r="AI94" s="14" t="e">
        <f t="shared" si="39"/>
        <v>#DIV/0!</v>
      </c>
      <c r="AJ94" s="14" t="e">
        <f t="shared" si="39"/>
        <v>#DIV/0!</v>
      </c>
      <c r="AK94" s="14" t="e">
        <f t="shared" si="39"/>
        <v>#DIV/0!</v>
      </c>
      <c r="AL94" s="14" t="e">
        <f t="shared" si="39"/>
        <v>#DIV/0!</v>
      </c>
    </row>
    <row r="95" spans="1:38" ht="21" hidden="1" customHeight="1" outlineLevel="1" thickBot="1" x14ac:dyDescent="0.4">
      <c r="A95" s="5">
        <f t="shared" si="25"/>
        <v>0</v>
      </c>
      <c r="B95" s="5">
        <f t="shared" si="25"/>
        <v>0</v>
      </c>
      <c r="C95" s="5">
        <f t="shared" si="25"/>
        <v>0</v>
      </c>
      <c r="D95" s="5">
        <f t="shared" si="25"/>
        <v>0</v>
      </c>
      <c r="E95" s="6">
        <f t="shared" si="21"/>
        <v>0</v>
      </c>
      <c r="F95" s="14" t="e">
        <f t="shared" ref="F95:AL95" si="40">F19*$C$78</f>
        <v>#DIV/0!</v>
      </c>
      <c r="G95" s="14" t="e">
        <f t="shared" si="40"/>
        <v>#DIV/0!</v>
      </c>
      <c r="H95" s="14" t="e">
        <f t="shared" si="40"/>
        <v>#DIV/0!</v>
      </c>
      <c r="I95" s="14" t="e">
        <f t="shared" si="40"/>
        <v>#DIV/0!</v>
      </c>
      <c r="J95" s="14" t="e">
        <f t="shared" si="40"/>
        <v>#DIV/0!</v>
      </c>
      <c r="K95" s="14" t="e">
        <f t="shared" si="40"/>
        <v>#DIV/0!</v>
      </c>
      <c r="L95" s="14" t="e">
        <f t="shared" si="40"/>
        <v>#DIV/0!</v>
      </c>
      <c r="M95" s="14" t="e">
        <f t="shared" si="40"/>
        <v>#DIV/0!</v>
      </c>
      <c r="N95" s="14" t="e">
        <f t="shared" si="40"/>
        <v>#DIV/0!</v>
      </c>
      <c r="O95" s="14" t="e">
        <f t="shared" si="40"/>
        <v>#DIV/0!</v>
      </c>
      <c r="P95" s="14" t="e">
        <f t="shared" si="40"/>
        <v>#DIV/0!</v>
      </c>
      <c r="Q95" s="14" t="e">
        <f t="shared" si="40"/>
        <v>#DIV/0!</v>
      </c>
      <c r="R95" s="14" t="e">
        <f t="shared" si="40"/>
        <v>#DIV/0!</v>
      </c>
      <c r="S95" s="14" t="e">
        <f t="shared" si="40"/>
        <v>#DIV/0!</v>
      </c>
      <c r="T95" s="14" t="e">
        <f t="shared" si="40"/>
        <v>#DIV/0!</v>
      </c>
      <c r="U95" s="14" t="e">
        <f t="shared" si="40"/>
        <v>#DIV/0!</v>
      </c>
      <c r="V95" s="14" t="e">
        <f t="shared" si="40"/>
        <v>#DIV/0!</v>
      </c>
      <c r="W95" s="14" t="e">
        <f t="shared" si="40"/>
        <v>#DIV/0!</v>
      </c>
      <c r="X95" s="14" t="e">
        <f t="shared" si="40"/>
        <v>#DIV/0!</v>
      </c>
      <c r="Y95" s="14" t="e">
        <f t="shared" si="40"/>
        <v>#DIV/0!</v>
      </c>
      <c r="Z95" s="14" t="e">
        <f t="shared" si="40"/>
        <v>#DIV/0!</v>
      </c>
      <c r="AA95" s="14" t="e">
        <f t="shared" si="40"/>
        <v>#DIV/0!</v>
      </c>
      <c r="AB95" s="14" t="e">
        <f t="shared" si="40"/>
        <v>#DIV/0!</v>
      </c>
      <c r="AC95" s="14" t="e">
        <f t="shared" si="40"/>
        <v>#DIV/0!</v>
      </c>
      <c r="AD95" s="14" t="e">
        <f t="shared" si="40"/>
        <v>#DIV/0!</v>
      </c>
      <c r="AE95" s="14" t="e">
        <f t="shared" si="40"/>
        <v>#DIV/0!</v>
      </c>
      <c r="AF95" s="14" t="e">
        <f t="shared" si="40"/>
        <v>#DIV/0!</v>
      </c>
      <c r="AG95" s="14" t="e">
        <f t="shared" si="40"/>
        <v>#DIV/0!</v>
      </c>
      <c r="AH95" s="14" t="e">
        <f t="shared" si="40"/>
        <v>#DIV/0!</v>
      </c>
      <c r="AI95" s="14" t="e">
        <f t="shared" si="40"/>
        <v>#DIV/0!</v>
      </c>
      <c r="AJ95" s="14" t="e">
        <f t="shared" si="40"/>
        <v>#DIV/0!</v>
      </c>
      <c r="AK95" s="14" t="e">
        <f t="shared" si="40"/>
        <v>#DIV/0!</v>
      </c>
      <c r="AL95" s="14" t="e">
        <f t="shared" si="40"/>
        <v>#DIV/0!</v>
      </c>
    </row>
    <row r="96" spans="1:38" ht="21" hidden="1" customHeight="1" outlineLevel="1" thickBot="1" x14ac:dyDescent="0.4">
      <c r="A96" s="5">
        <f t="shared" si="25"/>
        <v>0</v>
      </c>
      <c r="B96" s="5">
        <f t="shared" si="25"/>
        <v>0</v>
      </c>
      <c r="C96" s="5">
        <f t="shared" si="25"/>
        <v>0</v>
      </c>
      <c r="D96" s="5">
        <f t="shared" si="25"/>
        <v>0</v>
      </c>
      <c r="E96" s="6">
        <f t="shared" si="21"/>
        <v>0</v>
      </c>
      <c r="F96" s="14" t="e">
        <f t="shared" ref="F96:AL96" si="41">F20*$C$78</f>
        <v>#DIV/0!</v>
      </c>
      <c r="G96" s="14" t="e">
        <f t="shared" si="41"/>
        <v>#DIV/0!</v>
      </c>
      <c r="H96" s="14" t="e">
        <f t="shared" si="41"/>
        <v>#DIV/0!</v>
      </c>
      <c r="I96" s="14" t="e">
        <f t="shared" si="41"/>
        <v>#DIV/0!</v>
      </c>
      <c r="J96" s="14" t="e">
        <f t="shared" si="41"/>
        <v>#DIV/0!</v>
      </c>
      <c r="K96" s="14" t="e">
        <f t="shared" si="41"/>
        <v>#DIV/0!</v>
      </c>
      <c r="L96" s="14" t="e">
        <f t="shared" si="41"/>
        <v>#DIV/0!</v>
      </c>
      <c r="M96" s="14" t="e">
        <f t="shared" si="41"/>
        <v>#DIV/0!</v>
      </c>
      <c r="N96" s="14" t="e">
        <f t="shared" si="41"/>
        <v>#DIV/0!</v>
      </c>
      <c r="O96" s="14" t="e">
        <f t="shared" si="41"/>
        <v>#DIV/0!</v>
      </c>
      <c r="P96" s="14" t="e">
        <f t="shared" si="41"/>
        <v>#DIV/0!</v>
      </c>
      <c r="Q96" s="14" t="e">
        <f t="shared" si="41"/>
        <v>#DIV/0!</v>
      </c>
      <c r="R96" s="14" t="e">
        <f t="shared" si="41"/>
        <v>#DIV/0!</v>
      </c>
      <c r="S96" s="14" t="e">
        <f t="shared" si="41"/>
        <v>#DIV/0!</v>
      </c>
      <c r="T96" s="14" t="e">
        <f t="shared" si="41"/>
        <v>#DIV/0!</v>
      </c>
      <c r="U96" s="14" t="e">
        <f t="shared" si="41"/>
        <v>#DIV/0!</v>
      </c>
      <c r="V96" s="14" t="e">
        <f t="shared" si="41"/>
        <v>#DIV/0!</v>
      </c>
      <c r="W96" s="14" t="e">
        <f t="shared" si="41"/>
        <v>#DIV/0!</v>
      </c>
      <c r="X96" s="14" t="e">
        <f t="shared" si="41"/>
        <v>#DIV/0!</v>
      </c>
      <c r="Y96" s="14" t="e">
        <f t="shared" si="41"/>
        <v>#DIV/0!</v>
      </c>
      <c r="Z96" s="14" t="e">
        <f t="shared" si="41"/>
        <v>#DIV/0!</v>
      </c>
      <c r="AA96" s="14" t="e">
        <f t="shared" si="41"/>
        <v>#DIV/0!</v>
      </c>
      <c r="AB96" s="14" t="e">
        <f t="shared" si="41"/>
        <v>#DIV/0!</v>
      </c>
      <c r="AC96" s="14" t="e">
        <f t="shared" si="41"/>
        <v>#DIV/0!</v>
      </c>
      <c r="AD96" s="14" t="e">
        <f t="shared" si="41"/>
        <v>#DIV/0!</v>
      </c>
      <c r="AE96" s="14" t="e">
        <f t="shared" si="41"/>
        <v>#DIV/0!</v>
      </c>
      <c r="AF96" s="14" t="e">
        <f t="shared" si="41"/>
        <v>#DIV/0!</v>
      </c>
      <c r="AG96" s="14" t="e">
        <f t="shared" si="41"/>
        <v>#DIV/0!</v>
      </c>
      <c r="AH96" s="14" t="e">
        <f t="shared" si="41"/>
        <v>#DIV/0!</v>
      </c>
      <c r="AI96" s="14" t="e">
        <f t="shared" si="41"/>
        <v>#DIV/0!</v>
      </c>
      <c r="AJ96" s="14" t="e">
        <f t="shared" si="41"/>
        <v>#DIV/0!</v>
      </c>
      <c r="AK96" s="14" t="e">
        <f t="shared" si="41"/>
        <v>#DIV/0!</v>
      </c>
      <c r="AL96" s="14" t="e">
        <f t="shared" si="41"/>
        <v>#DIV/0!</v>
      </c>
    </row>
    <row r="97" spans="1:54" ht="21" hidden="1" customHeight="1" outlineLevel="1" thickBot="1" x14ac:dyDescent="0.4">
      <c r="A97" s="5">
        <f t="shared" ref="A97:D109" si="42">A63</f>
        <v>0</v>
      </c>
      <c r="B97" s="5">
        <f t="shared" si="42"/>
        <v>0</v>
      </c>
      <c r="C97" s="5">
        <f t="shared" si="42"/>
        <v>0</v>
      </c>
      <c r="D97" s="5">
        <f t="shared" si="42"/>
        <v>0</v>
      </c>
      <c r="E97" s="6">
        <f t="shared" si="21"/>
        <v>0</v>
      </c>
      <c r="F97" s="14" t="e">
        <f t="shared" ref="F97:AL97" si="43">F21*$C$78</f>
        <v>#DIV/0!</v>
      </c>
      <c r="G97" s="14" t="e">
        <f t="shared" si="43"/>
        <v>#DIV/0!</v>
      </c>
      <c r="H97" s="14" t="e">
        <f t="shared" si="43"/>
        <v>#DIV/0!</v>
      </c>
      <c r="I97" s="14" t="e">
        <f t="shared" si="43"/>
        <v>#DIV/0!</v>
      </c>
      <c r="J97" s="14" t="e">
        <f t="shared" si="43"/>
        <v>#DIV/0!</v>
      </c>
      <c r="K97" s="14" t="e">
        <f t="shared" si="43"/>
        <v>#DIV/0!</v>
      </c>
      <c r="L97" s="14" t="e">
        <f t="shared" si="43"/>
        <v>#DIV/0!</v>
      </c>
      <c r="M97" s="14" t="e">
        <f t="shared" si="43"/>
        <v>#DIV/0!</v>
      </c>
      <c r="N97" s="14" t="e">
        <f t="shared" si="43"/>
        <v>#DIV/0!</v>
      </c>
      <c r="O97" s="14" t="e">
        <f t="shared" si="43"/>
        <v>#DIV/0!</v>
      </c>
      <c r="P97" s="14" t="e">
        <f t="shared" si="43"/>
        <v>#DIV/0!</v>
      </c>
      <c r="Q97" s="14" t="e">
        <f t="shared" si="43"/>
        <v>#DIV/0!</v>
      </c>
      <c r="R97" s="14" t="e">
        <f t="shared" si="43"/>
        <v>#DIV/0!</v>
      </c>
      <c r="S97" s="14" t="e">
        <f t="shared" si="43"/>
        <v>#DIV/0!</v>
      </c>
      <c r="T97" s="14" t="e">
        <f t="shared" si="43"/>
        <v>#DIV/0!</v>
      </c>
      <c r="U97" s="14" t="e">
        <f t="shared" si="43"/>
        <v>#DIV/0!</v>
      </c>
      <c r="V97" s="14" t="e">
        <f t="shared" si="43"/>
        <v>#DIV/0!</v>
      </c>
      <c r="W97" s="14" t="e">
        <f t="shared" si="43"/>
        <v>#DIV/0!</v>
      </c>
      <c r="X97" s="14" t="e">
        <f t="shared" si="43"/>
        <v>#DIV/0!</v>
      </c>
      <c r="Y97" s="14" t="e">
        <f t="shared" si="43"/>
        <v>#DIV/0!</v>
      </c>
      <c r="Z97" s="14" t="e">
        <f t="shared" si="43"/>
        <v>#DIV/0!</v>
      </c>
      <c r="AA97" s="14" t="e">
        <f t="shared" si="43"/>
        <v>#DIV/0!</v>
      </c>
      <c r="AB97" s="14" t="e">
        <f t="shared" si="43"/>
        <v>#DIV/0!</v>
      </c>
      <c r="AC97" s="14" t="e">
        <f t="shared" si="43"/>
        <v>#DIV/0!</v>
      </c>
      <c r="AD97" s="14" t="e">
        <f t="shared" si="43"/>
        <v>#DIV/0!</v>
      </c>
      <c r="AE97" s="14" t="e">
        <f t="shared" si="43"/>
        <v>#DIV/0!</v>
      </c>
      <c r="AF97" s="14" t="e">
        <f t="shared" si="43"/>
        <v>#DIV/0!</v>
      </c>
      <c r="AG97" s="14" t="e">
        <f t="shared" si="43"/>
        <v>#DIV/0!</v>
      </c>
      <c r="AH97" s="14" t="e">
        <f t="shared" si="43"/>
        <v>#DIV/0!</v>
      </c>
      <c r="AI97" s="14" t="e">
        <f t="shared" si="43"/>
        <v>#DIV/0!</v>
      </c>
      <c r="AJ97" s="14" t="e">
        <f t="shared" si="43"/>
        <v>#DIV/0!</v>
      </c>
      <c r="AK97" s="14" t="e">
        <f t="shared" si="43"/>
        <v>#DIV/0!</v>
      </c>
      <c r="AL97" s="14" t="e">
        <f t="shared" si="43"/>
        <v>#DIV/0!</v>
      </c>
    </row>
    <row r="98" spans="1:54" ht="21" hidden="1" customHeight="1" outlineLevel="1" thickBot="1" x14ac:dyDescent="0.4">
      <c r="A98" s="5">
        <f t="shared" si="42"/>
        <v>0</v>
      </c>
      <c r="B98" s="5">
        <f t="shared" si="42"/>
        <v>0</v>
      </c>
      <c r="C98" s="5">
        <f t="shared" si="42"/>
        <v>0</v>
      </c>
      <c r="D98" s="5">
        <f t="shared" si="42"/>
        <v>0</v>
      </c>
      <c r="E98" s="6">
        <f t="shared" si="21"/>
        <v>0</v>
      </c>
      <c r="F98" s="14" t="e">
        <f t="shared" ref="F98:AL98" si="44">F22*$C$78</f>
        <v>#DIV/0!</v>
      </c>
      <c r="G98" s="14" t="e">
        <f t="shared" si="44"/>
        <v>#DIV/0!</v>
      </c>
      <c r="H98" s="14" t="e">
        <f t="shared" si="44"/>
        <v>#DIV/0!</v>
      </c>
      <c r="I98" s="14" t="e">
        <f t="shared" si="44"/>
        <v>#DIV/0!</v>
      </c>
      <c r="J98" s="14" t="e">
        <f t="shared" si="44"/>
        <v>#DIV/0!</v>
      </c>
      <c r="K98" s="14" t="e">
        <f t="shared" si="44"/>
        <v>#DIV/0!</v>
      </c>
      <c r="L98" s="14" t="e">
        <f t="shared" si="44"/>
        <v>#DIV/0!</v>
      </c>
      <c r="M98" s="14" t="e">
        <f t="shared" si="44"/>
        <v>#DIV/0!</v>
      </c>
      <c r="N98" s="14" t="e">
        <f t="shared" si="44"/>
        <v>#DIV/0!</v>
      </c>
      <c r="O98" s="14" t="e">
        <f t="shared" si="44"/>
        <v>#DIV/0!</v>
      </c>
      <c r="P98" s="14" t="e">
        <f t="shared" si="44"/>
        <v>#DIV/0!</v>
      </c>
      <c r="Q98" s="14" t="e">
        <f t="shared" si="44"/>
        <v>#DIV/0!</v>
      </c>
      <c r="R98" s="14" t="e">
        <f t="shared" si="44"/>
        <v>#DIV/0!</v>
      </c>
      <c r="S98" s="14" t="e">
        <f t="shared" si="44"/>
        <v>#DIV/0!</v>
      </c>
      <c r="T98" s="14" t="e">
        <f t="shared" si="44"/>
        <v>#DIV/0!</v>
      </c>
      <c r="U98" s="14" t="e">
        <f t="shared" si="44"/>
        <v>#DIV/0!</v>
      </c>
      <c r="V98" s="14" t="e">
        <f t="shared" si="44"/>
        <v>#DIV/0!</v>
      </c>
      <c r="W98" s="14" t="e">
        <f t="shared" si="44"/>
        <v>#DIV/0!</v>
      </c>
      <c r="X98" s="14" t="e">
        <f t="shared" si="44"/>
        <v>#DIV/0!</v>
      </c>
      <c r="Y98" s="14" t="e">
        <f t="shared" si="44"/>
        <v>#DIV/0!</v>
      </c>
      <c r="Z98" s="14" t="e">
        <f t="shared" si="44"/>
        <v>#DIV/0!</v>
      </c>
      <c r="AA98" s="14" t="e">
        <f t="shared" si="44"/>
        <v>#DIV/0!</v>
      </c>
      <c r="AB98" s="14" t="e">
        <f t="shared" si="44"/>
        <v>#DIV/0!</v>
      </c>
      <c r="AC98" s="14" t="e">
        <f t="shared" si="44"/>
        <v>#DIV/0!</v>
      </c>
      <c r="AD98" s="14" t="e">
        <f t="shared" si="44"/>
        <v>#DIV/0!</v>
      </c>
      <c r="AE98" s="14" t="e">
        <f t="shared" si="44"/>
        <v>#DIV/0!</v>
      </c>
      <c r="AF98" s="14" t="e">
        <f t="shared" si="44"/>
        <v>#DIV/0!</v>
      </c>
      <c r="AG98" s="14" t="e">
        <f t="shared" si="44"/>
        <v>#DIV/0!</v>
      </c>
      <c r="AH98" s="14" t="e">
        <f t="shared" si="44"/>
        <v>#DIV/0!</v>
      </c>
      <c r="AI98" s="14" t="e">
        <f t="shared" si="44"/>
        <v>#DIV/0!</v>
      </c>
      <c r="AJ98" s="14" t="e">
        <f t="shared" si="44"/>
        <v>#DIV/0!</v>
      </c>
      <c r="AK98" s="14" t="e">
        <f t="shared" si="44"/>
        <v>#DIV/0!</v>
      </c>
      <c r="AL98" s="14" t="e">
        <f t="shared" si="44"/>
        <v>#DIV/0!</v>
      </c>
    </row>
    <row r="99" spans="1:54" ht="21" hidden="1" customHeight="1" outlineLevel="1" thickBot="1" x14ac:dyDescent="0.4">
      <c r="A99" s="5">
        <f t="shared" si="42"/>
        <v>0</v>
      </c>
      <c r="B99" s="5">
        <f t="shared" si="42"/>
        <v>0</v>
      </c>
      <c r="C99" s="5">
        <f t="shared" si="42"/>
        <v>0</v>
      </c>
      <c r="D99" s="5">
        <f t="shared" si="42"/>
        <v>0</v>
      </c>
      <c r="E99" s="6">
        <f t="shared" si="21"/>
        <v>0</v>
      </c>
      <c r="F99" s="14" t="e">
        <f t="shared" ref="F99:AL99" si="45">F23*$C$78</f>
        <v>#DIV/0!</v>
      </c>
      <c r="G99" s="14" t="e">
        <f t="shared" si="45"/>
        <v>#DIV/0!</v>
      </c>
      <c r="H99" s="14" t="e">
        <f t="shared" si="45"/>
        <v>#DIV/0!</v>
      </c>
      <c r="I99" s="14" t="e">
        <f t="shared" si="45"/>
        <v>#DIV/0!</v>
      </c>
      <c r="J99" s="14" t="e">
        <f t="shared" si="45"/>
        <v>#DIV/0!</v>
      </c>
      <c r="K99" s="14" t="e">
        <f t="shared" si="45"/>
        <v>#DIV/0!</v>
      </c>
      <c r="L99" s="14" t="e">
        <f t="shared" si="45"/>
        <v>#DIV/0!</v>
      </c>
      <c r="M99" s="14" t="e">
        <f t="shared" si="45"/>
        <v>#DIV/0!</v>
      </c>
      <c r="N99" s="14" t="e">
        <f t="shared" si="45"/>
        <v>#DIV/0!</v>
      </c>
      <c r="O99" s="14" t="e">
        <f t="shared" si="45"/>
        <v>#DIV/0!</v>
      </c>
      <c r="P99" s="14" t="e">
        <f t="shared" si="45"/>
        <v>#DIV/0!</v>
      </c>
      <c r="Q99" s="14" t="e">
        <f t="shared" si="45"/>
        <v>#DIV/0!</v>
      </c>
      <c r="R99" s="14" t="e">
        <f t="shared" si="45"/>
        <v>#DIV/0!</v>
      </c>
      <c r="S99" s="14" t="e">
        <f t="shared" si="45"/>
        <v>#DIV/0!</v>
      </c>
      <c r="T99" s="14" t="e">
        <f t="shared" si="45"/>
        <v>#DIV/0!</v>
      </c>
      <c r="U99" s="14" t="e">
        <f t="shared" si="45"/>
        <v>#DIV/0!</v>
      </c>
      <c r="V99" s="14" t="e">
        <f t="shared" si="45"/>
        <v>#DIV/0!</v>
      </c>
      <c r="W99" s="14" t="e">
        <f t="shared" si="45"/>
        <v>#DIV/0!</v>
      </c>
      <c r="X99" s="14" t="e">
        <f t="shared" si="45"/>
        <v>#DIV/0!</v>
      </c>
      <c r="Y99" s="14" t="e">
        <f t="shared" si="45"/>
        <v>#DIV/0!</v>
      </c>
      <c r="Z99" s="14" t="e">
        <f t="shared" si="45"/>
        <v>#DIV/0!</v>
      </c>
      <c r="AA99" s="14" t="e">
        <f t="shared" si="45"/>
        <v>#DIV/0!</v>
      </c>
      <c r="AB99" s="14" t="e">
        <f t="shared" si="45"/>
        <v>#DIV/0!</v>
      </c>
      <c r="AC99" s="14" t="e">
        <f t="shared" si="45"/>
        <v>#DIV/0!</v>
      </c>
      <c r="AD99" s="14" t="e">
        <f t="shared" si="45"/>
        <v>#DIV/0!</v>
      </c>
      <c r="AE99" s="14" t="e">
        <f t="shared" si="45"/>
        <v>#DIV/0!</v>
      </c>
      <c r="AF99" s="14" t="e">
        <f t="shared" si="45"/>
        <v>#DIV/0!</v>
      </c>
      <c r="AG99" s="14" t="e">
        <f t="shared" si="45"/>
        <v>#DIV/0!</v>
      </c>
      <c r="AH99" s="14" t="e">
        <f t="shared" si="45"/>
        <v>#DIV/0!</v>
      </c>
      <c r="AI99" s="14" t="e">
        <f t="shared" si="45"/>
        <v>#DIV/0!</v>
      </c>
      <c r="AJ99" s="14" t="e">
        <f t="shared" si="45"/>
        <v>#DIV/0!</v>
      </c>
      <c r="AK99" s="14" t="e">
        <f t="shared" si="45"/>
        <v>#DIV/0!</v>
      </c>
      <c r="AL99" s="14" t="e">
        <f t="shared" si="45"/>
        <v>#DIV/0!</v>
      </c>
    </row>
    <row r="100" spans="1:54" ht="21" hidden="1" customHeight="1" outlineLevel="1" thickBot="1" x14ac:dyDescent="0.4">
      <c r="A100" s="5">
        <f t="shared" si="42"/>
        <v>0</v>
      </c>
      <c r="B100" s="5">
        <f t="shared" si="42"/>
        <v>0</v>
      </c>
      <c r="C100" s="5">
        <f t="shared" si="42"/>
        <v>0</v>
      </c>
      <c r="D100" s="5">
        <f t="shared" si="42"/>
        <v>0</v>
      </c>
      <c r="E100" s="6">
        <f t="shared" si="21"/>
        <v>0</v>
      </c>
      <c r="F100" s="14" t="e">
        <f t="shared" ref="F100:AL100" si="46">F24*$C$78</f>
        <v>#DIV/0!</v>
      </c>
      <c r="G100" s="14" t="e">
        <f t="shared" si="46"/>
        <v>#DIV/0!</v>
      </c>
      <c r="H100" s="14" t="e">
        <f t="shared" si="46"/>
        <v>#DIV/0!</v>
      </c>
      <c r="I100" s="14" t="e">
        <f t="shared" si="46"/>
        <v>#DIV/0!</v>
      </c>
      <c r="J100" s="14" t="e">
        <f t="shared" si="46"/>
        <v>#DIV/0!</v>
      </c>
      <c r="K100" s="14" t="e">
        <f t="shared" si="46"/>
        <v>#DIV/0!</v>
      </c>
      <c r="L100" s="14" t="e">
        <f t="shared" si="46"/>
        <v>#DIV/0!</v>
      </c>
      <c r="M100" s="14" t="e">
        <f t="shared" si="46"/>
        <v>#DIV/0!</v>
      </c>
      <c r="N100" s="14" t="e">
        <f t="shared" si="46"/>
        <v>#DIV/0!</v>
      </c>
      <c r="O100" s="14" t="e">
        <f t="shared" si="46"/>
        <v>#DIV/0!</v>
      </c>
      <c r="P100" s="14" t="e">
        <f t="shared" si="46"/>
        <v>#DIV/0!</v>
      </c>
      <c r="Q100" s="14" t="e">
        <f t="shared" si="46"/>
        <v>#DIV/0!</v>
      </c>
      <c r="R100" s="14" t="e">
        <f t="shared" si="46"/>
        <v>#DIV/0!</v>
      </c>
      <c r="S100" s="14" t="e">
        <f t="shared" si="46"/>
        <v>#DIV/0!</v>
      </c>
      <c r="T100" s="14" t="e">
        <f t="shared" si="46"/>
        <v>#DIV/0!</v>
      </c>
      <c r="U100" s="14" t="e">
        <f t="shared" si="46"/>
        <v>#DIV/0!</v>
      </c>
      <c r="V100" s="14" t="e">
        <f t="shared" si="46"/>
        <v>#DIV/0!</v>
      </c>
      <c r="W100" s="14" t="e">
        <f t="shared" si="46"/>
        <v>#DIV/0!</v>
      </c>
      <c r="X100" s="14" t="e">
        <f t="shared" si="46"/>
        <v>#DIV/0!</v>
      </c>
      <c r="Y100" s="14" t="e">
        <f t="shared" si="46"/>
        <v>#DIV/0!</v>
      </c>
      <c r="Z100" s="14" t="e">
        <f t="shared" si="46"/>
        <v>#DIV/0!</v>
      </c>
      <c r="AA100" s="14" t="e">
        <f t="shared" si="46"/>
        <v>#DIV/0!</v>
      </c>
      <c r="AB100" s="14" t="e">
        <f t="shared" si="46"/>
        <v>#DIV/0!</v>
      </c>
      <c r="AC100" s="14" t="e">
        <f t="shared" si="46"/>
        <v>#DIV/0!</v>
      </c>
      <c r="AD100" s="14" t="e">
        <f t="shared" si="46"/>
        <v>#DIV/0!</v>
      </c>
      <c r="AE100" s="14" t="e">
        <f t="shared" si="46"/>
        <v>#DIV/0!</v>
      </c>
      <c r="AF100" s="14" t="e">
        <f t="shared" si="46"/>
        <v>#DIV/0!</v>
      </c>
      <c r="AG100" s="14" t="e">
        <f t="shared" si="46"/>
        <v>#DIV/0!</v>
      </c>
      <c r="AH100" s="14" t="e">
        <f t="shared" si="46"/>
        <v>#DIV/0!</v>
      </c>
      <c r="AI100" s="14" t="e">
        <f t="shared" si="46"/>
        <v>#DIV/0!</v>
      </c>
      <c r="AJ100" s="14" t="e">
        <f t="shared" si="46"/>
        <v>#DIV/0!</v>
      </c>
      <c r="AK100" s="14" t="e">
        <f t="shared" si="46"/>
        <v>#DIV/0!</v>
      </c>
      <c r="AL100" s="14" t="e">
        <f t="shared" si="46"/>
        <v>#DIV/0!</v>
      </c>
    </row>
    <row r="101" spans="1:54" ht="21" hidden="1" customHeight="1" outlineLevel="1" thickBot="1" x14ac:dyDescent="0.4">
      <c r="A101" s="5">
        <f t="shared" si="42"/>
        <v>0</v>
      </c>
      <c r="B101" s="5">
        <f t="shared" si="42"/>
        <v>0</v>
      </c>
      <c r="C101" s="5">
        <f t="shared" si="42"/>
        <v>0</v>
      </c>
      <c r="D101" s="5">
        <f t="shared" si="42"/>
        <v>0</v>
      </c>
      <c r="E101" s="6">
        <f t="shared" si="21"/>
        <v>0</v>
      </c>
      <c r="F101" s="14" t="e">
        <f t="shared" ref="F101:AL101" si="47">F25*$C$78</f>
        <v>#DIV/0!</v>
      </c>
      <c r="G101" s="14" t="e">
        <f t="shared" si="47"/>
        <v>#DIV/0!</v>
      </c>
      <c r="H101" s="14" t="e">
        <f t="shared" si="47"/>
        <v>#DIV/0!</v>
      </c>
      <c r="I101" s="14" t="e">
        <f t="shared" si="47"/>
        <v>#DIV/0!</v>
      </c>
      <c r="J101" s="14" t="e">
        <f t="shared" si="47"/>
        <v>#DIV/0!</v>
      </c>
      <c r="K101" s="14" t="e">
        <f t="shared" si="47"/>
        <v>#DIV/0!</v>
      </c>
      <c r="L101" s="14" t="e">
        <f t="shared" si="47"/>
        <v>#DIV/0!</v>
      </c>
      <c r="M101" s="14" t="e">
        <f t="shared" si="47"/>
        <v>#DIV/0!</v>
      </c>
      <c r="N101" s="14" t="e">
        <f t="shared" si="47"/>
        <v>#DIV/0!</v>
      </c>
      <c r="O101" s="14" t="e">
        <f t="shared" si="47"/>
        <v>#DIV/0!</v>
      </c>
      <c r="P101" s="14" t="e">
        <f t="shared" si="47"/>
        <v>#DIV/0!</v>
      </c>
      <c r="Q101" s="14" t="e">
        <f t="shared" si="47"/>
        <v>#DIV/0!</v>
      </c>
      <c r="R101" s="14" t="e">
        <f t="shared" si="47"/>
        <v>#DIV/0!</v>
      </c>
      <c r="S101" s="14" t="e">
        <f t="shared" si="47"/>
        <v>#DIV/0!</v>
      </c>
      <c r="T101" s="14" t="e">
        <f t="shared" si="47"/>
        <v>#DIV/0!</v>
      </c>
      <c r="U101" s="14" t="e">
        <f t="shared" si="47"/>
        <v>#DIV/0!</v>
      </c>
      <c r="V101" s="14" t="e">
        <f t="shared" si="47"/>
        <v>#DIV/0!</v>
      </c>
      <c r="W101" s="14" t="e">
        <f t="shared" si="47"/>
        <v>#DIV/0!</v>
      </c>
      <c r="X101" s="14" t="e">
        <f t="shared" si="47"/>
        <v>#DIV/0!</v>
      </c>
      <c r="Y101" s="14" t="e">
        <f t="shared" si="47"/>
        <v>#DIV/0!</v>
      </c>
      <c r="Z101" s="14" t="e">
        <f t="shared" si="47"/>
        <v>#DIV/0!</v>
      </c>
      <c r="AA101" s="14" t="e">
        <f t="shared" si="47"/>
        <v>#DIV/0!</v>
      </c>
      <c r="AB101" s="14" t="e">
        <f t="shared" si="47"/>
        <v>#DIV/0!</v>
      </c>
      <c r="AC101" s="14" t="e">
        <f t="shared" si="47"/>
        <v>#DIV/0!</v>
      </c>
      <c r="AD101" s="14" t="e">
        <f t="shared" si="47"/>
        <v>#DIV/0!</v>
      </c>
      <c r="AE101" s="14" t="e">
        <f t="shared" si="47"/>
        <v>#DIV/0!</v>
      </c>
      <c r="AF101" s="14" t="e">
        <f t="shared" si="47"/>
        <v>#DIV/0!</v>
      </c>
      <c r="AG101" s="14" t="e">
        <f t="shared" si="47"/>
        <v>#DIV/0!</v>
      </c>
      <c r="AH101" s="14" t="e">
        <f t="shared" si="47"/>
        <v>#DIV/0!</v>
      </c>
      <c r="AI101" s="14" t="e">
        <f t="shared" si="47"/>
        <v>#DIV/0!</v>
      </c>
      <c r="AJ101" s="14" t="e">
        <f t="shared" si="47"/>
        <v>#DIV/0!</v>
      </c>
      <c r="AK101" s="14" t="e">
        <f t="shared" si="47"/>
        <v>#DIV/0!</v>
      </c>
      <c r="AL101" s="14" t="e">
        <f t="shared" si="47"/>
        <v>#DIV/0!</v>
      </c>
    </row>
    <row r="102" spans="1:54" ht="21" hidden="1" customHeight="1" outlineLevel="1" thickBot="1" x14ac:dyDescent="0.4">
      <c r="A102" s="5">
        <f t="shared" si="42"/>
        <v>0</v>
      </c>
      <c r="B102" s="5">
        <f t="shared" si="42"/>
        <v>0</v>
      </c>
      <c r="C102" s="5">
        <f t="shared" si="42"/>
        <v>0</v>
      </c>
      <c r="D102" s="5">
        <f t="shared" si="42"/>
        <v>0</v>
      </c>
      <c r="E102" s="6">
        <f t="shared" si="21"/>
        <v>0</v>
      </c>
      <c r="F102" s="14" t="e">
        <f t="shared" ref="F102:AL102" si="48">F26*$C$78</f>
        <v>#DIV/0!</v>
      </c>
      <c r="G102" s="14" t="e">
        <f t="shared" si="48"/>
        <v>#DIV/0!</v>
      </c>
      <c r="H102" s="14" t="e">
        <f t="shared" si="48"/>
        <v>#DIV/0!</v>
      </c>
      <c r="I102" s="14" t="e">
        <f t="shared" si="48"/>
        <v>#DIV/0!</v>
      </c>
      <c r="J102" s="14" t="e">
        <f t="shared" si="48"/>
        <v>#DIV/0!</v>
      </c>
      <c r="K102" s="14" t="e">
        <f t="shared" si="48"/>
        <v>#DIV/0!</v>
      </c>
      <c r="L102" s="14" t="e">
        <f t="shared" si="48"/>
        <v>#DIV/0!</v>
      </c>
      <c r="M102" s="14" t="e">
        <f t="shared" si="48"/>
        <v>#DIV/0!</v>
      </c>
      <c r="N102" s="14" t="e">
        <f t="shared" si="48"/>
        <v>#DIV/0!</v>
      </c>
      <c r="O102" s="14" t="e">
        <f t="shared" si="48"/>
        <v>#DIV/0!</v>
      </c>
      <c r="P102" s="14" t="e">
        <f t="shared" si="48"/>
        <v>#DIV/0!</v>
      </c>
      <c r="Q102" s="14" t="e">
        <f t="shared" si="48"/>
        <v>#DIV/0!</v>
      </c>
      <c r="R102" s="14" t="e">
        <f t="shared" si="48"/>
        <v>#DIV/0!</v>
      </c>
      <c r="S102" s="14" t="e">
        <f t="shared" si="48"/>
        <v>#DIV/0!</v>
      </c>
      <c r="T102" s="14" t="e">
        <f t="shared" si="48"/>
        <v>#DIV/0!</v>
      </c>
      <c r="U102" s="14" t="e">
        <f t="shared" si="48"/>
        <v>#DIV/0!</v>
      </c>
      <c r="V102" s="14" t="e">
        <f t="shared" si="48"/>
        <v>#DIV/0!</v>
      </c>
      <c r="W102" s="14" t="e">
        <f t="shared" si="48"/>
        <v>#DIV/0!</v>
      </c>
      <c r="X102" s="14" t="e">
        <f t="shared" si="48"/>
        <v>#DIV/0!</v>
      </c>
      <c r="Y102" s="14" t="e">
        <f t="shared" si="48"/>
        <v>#DIV/0!</v>
      </c>
      <c r="Z102" s="14" t="e">
        <f t="shared" si="48"/>
        <v>#DIV/0!</v>
      </c>
      <c r="AA102" s="14" t="e">
        <f t="shared" si="48"/>
        <v>#DIV/0!</v>
      </c>
      <c r="AB102" s="14" t="e">
        <f t="shared" si="48"/>
        <v>#DIV/0!</v>
      </c>
      <c r="AC102" s="14" t="e">
        <f t="shared" si="48"/>
        <v>#DIV/0!</v>
      </c>
      <c r="AD102" s="14" t="e">
        <f t="shared" si="48"/>
        <v>#DIV/0!</v>
      </c>
      <c r="AE102" s="14" t="e">
        <f t="shared" si="48"/>
        <v>#DIV/0!</v>
      </c>
      <c r="AF102" s="14" t="e">
        <f t="shared" si="48"/>
        <v>#DIV/0!</v>
      </c>
      <c r="AG102" s="14" t="e">
        <f t="shared" si="48"/>
        <v>#DIV/0!</v>
      </c>
      <c r="AH102" s="14" t="e">
        <f t="shared" si="48"/>
        <v>#DIV/0!</v>
      </c>
      <c r="AI102" s="14" t="e">
        <f t="shared" si="48"/>
        <v>#DIV/0!</v>
      </c>
      <c r="AJ102" s="14" t="e">
        <f t="shared" si="48"/>
        <v>#DIV/0!</v>
      </c>
      <c r="AK102" s="14" t="e">
        <f t="shared" si="48"/>
        <v>#DIV/0!</v>
      </c>
      <c r="AL102" s="14" t="e">
        <f t="shared" si="48"/>
        <v>#DIV/0!</v>
      </c>
    </row>
    <row r="103" spans="1:54" ht="21" hidden="1" customHeight="1" outlineLevel="1" thickBot="1" x14ac:dyDescent="0.4">
      <c r="A103" s="5">
        <f t="shared" si="42"/>
        <v>0</v>
      </c>
      <c r="B103" s="5">
        <f t="shared" si="42"/>
        <v>0</v>
      </c>
      <c r="C103" s="5">
        <f t="shared" si="42"/>
        <v>0</v>
      </c>
      <c r="D103" s="5">
        <f t="shared" si="42"/>
        <v>0</v>
      </c>
      <c r="E103" s="6">
        <f t="shared" si="21"/>
        <v>0</v>
      </c>
      <c r="F103" s="14" t="e">
        <f t="shared" ref="F103:AL103" si="49">F27*$C$78</f>
        <v>#DIV/0!</v>
      </c>
      <c r="G103" s="14" t="e">
        <f t="shared" si="49"/>
        <v>#DIV/0!</v>
      </c>
      <c r="H103" s="14" t="e">
        <f t="shared" si="49"/>
        <v>#DIV/0!</v>
      </c>
      <c r="I103" s="14" t="e">
        <f t="shared" si="49"/>
        <v>#DIV/0!</v>
      </c>
      <c r="J103" s="14" t="e">
        <f t="shared" si="49"/>
        <v>#DIV/0!</v>
      </c>
      <c r="K103" s="14" t="e">
        <f t="shared" si="49"/>
        <v>#DIV/0!</v>
      </c>
      <c r="L103" s="14" t="e">
        <f t="shared" si="49"/>
        <v>#DIV/0!</v>
      </c>
      <c r="M103" s="14" t="e">
        <f t="shared" si="49"/>
        <v>#DIV/0!</v>
      </c>
      <c r="N103" s="14" t="e">
        <f t="shared" si="49"/>
        <v>#DIV/0!</v>
      </c>
      <c r="O103" s="14" t="e">
        <f t="shared" si="49"/>
        <v>#DIV/0!</v>
      </c>
      <c r="P103" s="14" t="e">
        <f t="shared" si="49"/>
        <v>#DIV/0!</v>
      </c>
      <c r="Q103" s="14" t="e">
        <f t="shared" si="49"/>
        <v>#DIV/0!</v>
      </c>
      <c r="R103" s="14" t="e">
        <f t="shared" si="49"/>
        <v>#DIV/0!</v>
      </c>
      <c r="S103" s="14" t="e">
        <f t="shared" si="49"/>
        <v>#DIV/0!</v>
      </c>
      <c r="T103" s="14" t="e">
        <f t="shared" si="49"/>
        <v>#DIV/0!</v>
      </c>
      <c r="U103" s="14" t="e">
        <f t="shared" si="49"/>
        <v>#DIV/0!</v>
      </c>
      <c r="V103" s="14" t="e">
        <f t="shared" si="49"/>
        <v>#DIV/0!</v>
      </c>
      <c r="W103" s="14" t="e">
        <f t="shared" si="49"/>
        <v>#DIV/0!</v>
      </c>
      <c r="X103" s="14" t="e">
        <f t="shared" si="49"/>
        <v>#DIV/0!</v>
      </c>
      <c r="Y103" s="14" t="e">
        <f t="shared" si="49"/>
        <v>#DIV/0!</v>
      </c>
      <c r="Z103" s="14" t="e">
        <f t="shared" si="49"/>
        <v>#DIV/0!</v>
      </c>
      <c r="AA103" s="14" t="e">
        <f t="shared" si="49"/>
        <v>#DIV/0!</v>
      </c>
      <c r="AB103" s="14" t="e">
        <f t="shared" si="49"/>
        <v>#DIV/0!</v>
      </c>
      <c r="AC103" s="14" t="e">
        <f t="shared" si="49"/>
        <v>#DIV/0!</v>
      </c>
      <c r="AD103" s="14" t="e">
        <f t="shared" si="49"/>
        <v>#DIV/0!</v>
      </c>
      <c r="AE103" s="14" t="e">
        <f t="shared" si="49"/>
        <v>#DIV/0!</v>
      </c>
      <c r="AF103" s="14" t="e">
        <f t="shared" si="49"/>
        <v>#DIV/0!</v>
      </c>
      <c r="AG103" s="14" t="e">
        <f t="shared" si="49"/>
        <v>#DIV/0!</v>
      </c>
      <c r="AH103" s="14" t="e">
        <f t="shared" si="49"/>
        <v>#DIV/0!</v>
      </c>
      <c r="AI103" s="14" t="e">
        <f t="shared" si="49"/>
        <v>#DIV/0!</v>
      </c>
      <c r="AJ103" s="14" t="e">
        <f t="shared" si="49"/>
        <v>#DIV/0!</v>
      </c>
      <c r="AK103" s="14" t="e">
        <f t="shared" si="49"/>
        <v>#DIV/0!</v>
      </c>
      <c r="AL103" s="14" t="e">
        <f t="shared" si="49"/>
        <v>#DIV/0!</v>
      </c>
    </row>
    <row r="104" spans="1:54" ht="21" hidden="1" customHeight="1" outlineLevel="1" thickBot="1" x14ac:dyDescent="0.4">
      <c r="A104" s="5">
        <f t="shared" si="42"/>
        <v>0</v>
      </c>
      <c r="B104" s="5">
        <f t="shared" si="42"/>
        <v>0</v>
      </c>
      <c r="C104" s="5">
        <f t="shared" si="42"/>
        <v>0</v>
      </c>
      <c r="D104" s="5">
        <f t="shared" si="42"/>
        <v>0</v>
      </c>
      <c r="E104" s="6">
        <f t="shared" si="21"/>
        <v>0</v>
      </c>
      <c r="F104" s="14" t="e">
        <f t="shared" ref="F104:AL104" si="50">F28*$C$78</f>
        <v>#DIV/0!</v>
      </c>
      <c r="G104" s="14" t="e">
        <f t="shared" si="50"/>
        <v>#DIV/0!</v>
      </c>
      <c r="H104" s="14" t="e">
        <f t="shared" si="50"/>
        <v>#DIV/0!</v>
      </c>
      <c r="I104" s="14" t="e">
        <f t="shared" si="50"/>
        <v>#DIV/0!</v>
      </c>
      <c r="J104" s="14" t="e">
        <f t="shared" si="50"/>
        <v>#DIV/0!</v>
      </c>
      <c r="K104" s="14" t="e">
        <f t="shared" si="50"/>
        <v>#DIV/0!</v>
      </c>
      <c r="L104" s="14" t="e">
        <f t="shared" si="50"/>
        <v>#DIV/0!</v>
      </c>
      <c r="M104" s="14" t="e">
        <f t="shared" si="50"/>
        <v>#DIV/0!</v>
      </c>
      <c r="N104" s="14" t="e">
        <f t="shared" si="50"/>
        <v>#DIV/0!</v>
      </c>
      <c r="O104" s="14" t="e">
        <f t="shared" si="50"/>
        <v>#DIV/0!</v>
      </c>
      <c r="P104" s="14" t="e">
        <f t="shared" si="50"/>
        <v>#DIV/0!</v>
      </c>
      <c r="Q104" s="14" t="e">
        <f t="shared" si="50"/>
        <v>#DIV/0!</v>
      </c>
      <c r="R104" s="14" t="e">
        <f t="shared" si="50"/>
        <v>#DIV/0!</v>
      </c>
      <c r="S104" s="14" t="e">
        <f t="shared" si="50"/>
        <v>#DIV/0!</v>
      </c>
      <c r="T104" s="14" t="e">
        <f t="shared" si="50"/>
        <v>#DIV/0!</v>
      </c>
      <c r="U104" s="14" t="e">
        <f t="shared" si="50"/>
        <v>#DIV/0!</v>
      </c>
      <c r="V104" s="14" t="e">
        <f t="shared" si="50"/>
        <v>#DIV/0!</v>
      </c>
      <c r="W104" s="14" t="e">
        <f t="shared" si="50"/>
        <v>#DIV/0!</v>
      </c>
      <c r="X104" s="14" t="e">
        <f t="shared" si="50"/>
        <v>#DIV/0!</v>
      </c>
      <c r="Y104" s="14" t="e">
        <f t="shared" si="50"/>
        <v>#DIV/0!</v>
      </c>
      <c r="Z104" s="14" t="e">
        <f t="shared" si="50"/>
        <v>#DIV/0!</v>
      </c>
      <c r="AA104" s="14" t="e">
        <f t="shared" si="50"/>
        <v>#DIV/0!</v>
      </c>
      <c r="AB104" s="14" t="e">
        <f t="shared" si="50"/>
        <v>#DIV/0!</v>
      </c>
      <c r="AC104" s="14" t="e">
        <f t="shared" si="50"/>
        <v>#DIV/0!</v>
      </c>
      <c r="AD104" s="14" t="e">
        <f t="shared" si="50"/>
        <v>#DIV/0!</v>
      </c>
      <c r="AE104" s="14" t="e">
        <f t="shared" si="50"/>
        <v>#DIV/0!</v>
      </c>
      <c r="AF104" s="14" t="e">
        <f t="shared" si="50"/>
        <v>#DIV/0!</v>
      </c>
      <c r="AG104" s="14" t="e">
        <f t="shared" si="50"/>
        <v>#DIV/0!</v>
      </c>
      <c r="AH104" s="14" t="e">
        <f t="shared" si="50"/>
        <v>#DIV/0!</v>
      </c>
      <c r="AI104" s="14" t="e">
        <f t="shared" si="50"/>
        <v>#DIV/0!</v>
      </c>
      <c r="AJ104" s="14" t="e">
        <f t="shared" si="50"/>
        <v>#DIV/0!</v>
      </c>
      <c r="AK104" s="14" t="e">
        <f t="shared" si="50"/>
        <v>#DIV/0!</v>
      </c>
      <c r="AL104" s="14" t="e">
        <f t="shared" si="50"/>
        <v>#DIV/0!</v>
      </c>
    </row>
    <row r="105" spans="1:54" ht="21" hidden="1" customHeight="1" outlineLevel="1" thickBot="1" x14ac:dyDescent="0.4">
      <c r="A105" s="5">
        <f t="shared" si="42"/>
        <v>0</v>
      </c>
      <c r="B105" s="5">
        <f t="shared" si="42"/>
        <v>0</v>
      </c>
      <c r="C105" s="5">
        <f t="shared" si="42"/>
        <v>0</v>
      </c>
      <c r="D105" s="5">
        <f t="shared" si="42"/>
        <v>0</v>
      </c>
      <c r="E105" s="6">
        <f t="shared" si="21"/>
        <v>0</v>
      </c>
      <c r="F105" s="14" t="e">
        <f t="shared" ref="F105:AL105" si="51">F29*$C$78</f>
        <v>#DIV/0!</v>
      </c>
      <c r="G105" s="14" t="e">
        <f t="shared" si="51"/>
        <v>#DIV/0!</v>
      </c>
      <c r="H105" s="14" t="e">
        <f t="shared" si="51"/>
        <v>#DIV/0!</v>
      </c>
      <c r="I105" s="14" t="e">
        <f t="shared" si="51"/>
        <v>#DIV/0!</v>
      </c>
      <c r="J105" s="14" t="e">
        <f t="shared" si="51"/>
        <v>#DIV/0!</v>
      </c>
      <c r="K105" s="14" t="e">
        <f t="shared" si="51"/>
        <v>#DIV/0!</v>
      </c>
      <c r="L105" s="14" t="e">
        <f t="shared" si="51"/>
        <v>#DIV/0!</v>
      </c>
      <c r="M105" s="14" t="e">
        <f t="shared" si="51"/>
        <v>#DIV/0!</v>
      </c>
      <c r="N105" s="14" t="e">
        <f t="shared" si="51"/>
        <v>#DIV/0!</v>
      </c>
      <c r="O105" s="14" t="e">
        <f t="shared" si="51"/>
        <v>#DIV/0!</v>
      </c>
      <c r="P105" s="14" t="e">
        <f t="shared" si="51"/>
        <v>#DIV/0!</v>
      </c>
      <c r="Q105" s="14" t="e">
        <f t="shared" si="51"/>
        <v>#DIV/0!</v>
      </c>
      <c r="R105" s="14" t="e">
        <f t="shared" si="51"/>
        <v>#DIV/0!</v>
      </c>
      <c r="S105" s="14" t="e">
        <f t="shared" si="51"/>
        <v>#DIV/0!</v>
      </c>
      <c r="T105" s="14" t="e">
        <f t="shared" si="51"/>
        <v>#DIV/0!</v>
      </c>
      <c r="U105" s="14" t="e">
        <f t="shared" si="51"/>
        <v>#DIV/0!</v>
      </c>
      <c r="V105" s="14" t="e">
        <f t="shared" si="51"/>
        <v>#DIV/0!</v>
      </c>
      <c r="W105" s="14" t="e">
        <f t="shared" si="51"/>
        <v>#DIV/0!</v>
      </c>
      <c r="X105" s="14" t="e">
        <f t="shared" si="51"/>
        <v>#DIV/0!</v>
      </c>
      <c r="Y105" s="14" t="e">
        <f t="shared" si="51"/>
        <v>#DIV/0!</v>
      </c>
      <c r="Z105" s="14" t="e">
        <f t="shared" si="51"/>
        <v>#DIV/0!</v>
      </c>
      <c r="AA105" s="14" t="e">
        <f t="shared" si="51"/>
        <v>#DIV/0!</v>
      </c>
      <c r="AB105" s="14" t="e">
        <f t="shared" si="51"/>
        <v>#DIV/0!</v>
      </c>
      <c r="AC105" s="14" t="e">
        <f t="shared" si="51"/>
        <v>#DIV/0!</v>
      </c>
      <c r="AD105" s="14" t="e">
        <f t="shared" si="51"/>
        <v>#DIV/0!</v>
      </c>
      <c r="AE105" s="14" t="e">
        <f t="shared" si="51"/>
        <v>#DIV/0!</v>
      </c>
      <c r="AF105" s="14" t="e">
        <f t="shared" si="51"/>
        <v>#DIV/0!</v>
      </c>
      <c r="AG105" s="14" t="e">
        <f t="shared" si="51"/>
        <v>#DIV/0!</v>
      </c>
      <c r="AH105" s="14" t="e">
        <f t="shared" si="51"/>
        <v>#DIV/0!</v>
      </c>
      <c r="AI105" s="14" t="e">
        <f t="shared" si="51"/>
        <v>#DIV/0!</v>
      </c>
      <c r="AJ105" s="14" t="e">
        <f t="shared" si="51"/>
        <v>#DIV/0!</v>
      </c>
      <c r="AK105" s="14" t="e">
        <f t="shared" si="51"/>
        <v>#DIV/0!</v>
      </c>
      <c r="AL105" s="14" t="e">
        <f t="shared" si="51"/>
        <v>#DIV/0!</v>
      </c>
    </row>
    <row r="106" spans="1:54" ht="21" hidden="1" customHeight="1" outlineLevel="1" thickBot="1" x14ac:dyDescent="0.4">
      <c r="A106" s="5">
        <f t="shared" si="42"/>
        <v>0</v>
      </c>
      <c r="B106" s="5">
        <f t="shared" si="42"/>
        <v>0</v>
      </c>
      <c r="C106" s="5">
        <f t="shared" si="42"/>
        <v>0</v>
      </c>
      <c r="D106" s="5">
        <f t="shared" si="42"/>
        <v>0</v>
      </c>
      <c r="E106" s="6">
        <f t="shared" si="21"/>
        <v>0</v>
      </c>
      <c r="F106" s="14" t="e">
        <f t="shared" ref="F106:AL106" si="52">F30*$C$78</f>
        <v>#DIV/0!</v>
      </c>
      <c r="G106" s="14" t="e">
        <f t="shared" si="52"/>
        <v>#DIV/0!</v>
      </c>
      <c r="H106" s="14" t="e">
        <f t="shared" si="52"/>
        <v>#DIV/0!</v>
      </c>
      <c r="I106" s="14" t="e">
        <f t="shared" si="52"/>
        <v>#DIV/0!</v>
      </c>
      <c r="J106" s="14" t="e">
        <f t="shared" si="52"/>
        <v>#DIV/0!</v>
      </c>
      <c r="K106" s="14" t="e">
        <f t="shared" si="52"/>
        <v>#DIV/0!</v>
      </c>
      <c r="L106" s="14" t="e">
        <f t="shared" si="52"/>
        <v>#DIV/0!</v>
      </c>
      <c r="M106" s="14" t="e">
        <f t="shared" si="52"/>
        <v>#DIV/0!</v>
      </c>
      <c r="N106" s="14" t="e">
        <f t="shared" si="52"/>
        <v>#DIV/0!</v>
      </c>
      <c r="O106" s="14" t="e">
        <f t="shared" si="52"/>
        <v>#DIV/0!</v>
      </c>
      <c r="P106" s="14" t="e">
        <f t="shared" si="52"/>
        <v>#DIV/0!</v>
      </c>
      <c r="Q106" s="14" t="e">
        <f t="shared" si="52"/>
        <v>#DIV/0!</v>
      </c>
      <c r="R106" s="14" t="e">
        <f t="shared" si="52"/>
        <v>#DIV/0!</v>
      </c>
      <c r="S106" s="14" t="e">
        <f t="shared" si="52"/>
        <v>#DIV/0!</v>
      </c>
      <c r="T106" s="14" t="e">
        <f t="shared" si="52"/>
        <v>#DIV/0!</v>
      </c>
      <c r="U106" s="14" t="e">
        <f t="shared" si="52"/>
        <v>#DIV/0!</v>
      </c>
      <c r="V106" s="14" t="e">
        <f t="shared" si="52"/>
        <v>#DIV/0!</v>
      </c>
      <c r="W106" s="14" t="e">
        <f t="shared" si="52"/>
        <v>#DIV/0!</v>
      </c>
      <c r="X106" s="14" t="e">
        <f t="shared" si="52"/>
        <v>#DIV/0!</v>
      </c>
      <c r="Y106" s="14" t="e">
        <f t="shared" si="52"/>
        <v>#DIV/0!</v>
      </c>
      <c r="Z106" s="14" t="e">
        <f t="shared" si="52"/>
        <v>#DIV/0!</v>
      </c>
      <c r="AA106" s="14" t="e">
        <f t="shared" si="52"/>
        <v>#DIV/0!</v>
      </c>
      <c r="AB106" s="14" t="e">
        <f t="shared" si="52"/>
        <v>#DIV/0!</v>
      </c>
      <c r="AC106" s="14" t="e">
        <f t="shared" si="52"/>
        <v>#DIV/0!</v>
      </c>
      <c r="AD106" s="14" t="e">
        <f t="shared" si="52"/>
        <v>#DIV/0!</v>
      </c>
      <c r="AE106" s="14" t="e">
        <f t="shared" si="52"/>
        <v>#DIV/0!</v>
      </c>
      <c r="AF106" s="14" t="e">
        <f t="shared" si="52"/>
        <v>#DIV/0!</v>
      </c>
      <c r="AG106" s="14" t="e">
        <f t="shared" si="52"/>
        <v>#DIV/0!</v>
      </c>
      <c r="AH106" s="14" t="e">
        <f t="shared" si="52"/>
        <v>#DIV/0!</v>
      </c>
      <c r="AI106" s="14" t="e">
        <f t="shared" si="52"/>
        <v>#DIV/0!</v>
      </c>
      <c r="AJ106" s="14" t="e">
        <f t="shared" si="52"/>
        <v>#DIV/0!</v>
      </c>
      <c r="AK106" s="14" t="e">
        <f t="shared" si="52"/>
        <v>#DIV/0!</v>
      </c>
      <c r="AL106" s="14" t="e">
        <f t="shared" si="52"/>
        <v>#DIV/0!</v>
      </c>
    </row>
    <row r="107" spans="1:54" ht="21" hidden="1" customHeight="1" outlineLevel="1" thickBot="1" x14ac:dyDescent="0.4">
      <c r="A107" s="5">
        <f t="shared" si="42"/>
        <v>0</v>
      </c>
      <c r="B107" s="5">
        <f t="shared" si="42"/>
        <v>0</v>
      </c>
      <c r="C107" s="5">
        <f t="shared" si="42"/>
        <v>0</v>
      </c>
      <c r="D107" s="5">
        <f t="shared" si="42"/>
        <v>0</v>
      </c>
      <c r="E107" s="6">
        <f t="shared" si="21"/>
        <v>0</v>
      </c>
      <c r="F107" s="14" t="e">
        <f t="shared" ref="F107:AL107" si="53">F31*$C$78</f>
        <v>#DIV/0!</v>
      </c>
      <c r="G107" s="14" t="e">
        <f t="shared" si="53"/>
        <v>#DIV/0!</v>
      </c>
      <c r="H107" s="14" t="e">
        <f t="shared" si="53"/>
        <v>#DIV/0!</v>
      </c>
      <c r="I107" s="14" t="e">
        <f t="shared" si="53"/>
        <v>#DIV/0!</v>
      </c>
      <c r="J107" s="14" t="e">
        <f t="shared" si="53"/>
        <v>#DIV/0!</v>
      </c>
      <c r="K107" s="14" t="e">
        <f t="shared" si="53"/>
        <v>#DIV/0!</v>
      </c>
      <c r="L107" s="14" t="e">
        <f t="shared" si="53"/>
        <v>#DIV/0!</v>
      </c>
      <c r="M107" s="14" t="e">
        <f t="shared" si="53"/>
        <v>#DIV/0!</v>
      </c>
      <c r="N107" s="14" t="e">
        <f t="shared" si="53"/>
        <v>#DIV/0!</v>
      </c>
      <c r="O107" s="14" t="e">
        <f t="shared" si="53"/>
        <v>#DIV/0!</v>
      </c>
      <c r="P107" s="14" t="e">
        <f t="shared" si="53"/>
        <v>#DIV/0!</v>
      </c>
      <c r="Q107" s="14" t="e">
        <f t="shared" si="53"/>
        <v>#DIV/0!</v>
      </c>
      <c r="R107" s="14" t="e">
        <f t="shared" si="53"/>
        <v>#DIV/0!</v>
      </c>
      <c r="S107" s="14" t="e">
        <f t="shared" si="53"/>
        <v>#DIV/0!</v>
      </c>
      <c r="T107" s="14" t="e">
        <f t="shared" si="53"/>
        <v>#DIV/0!</v>
      </c>
      <c r="U107" s="14" t="e">
        <f t="shared" si="53"/>
        <v>#DIV/0!</v>
      </c>
      <c r="V107" s="14" t="e">
        <f t="shared" si="53"/>
        <v>#DIV/0!</v>
      </c>
      <c r="W107" s="14" t="e">
        <f t="shared" si="53"/>
        <v>#DIV/0!</v>
      </c>
      <c r="X107" s="14" t="e">
        <f t="shared" si="53"/>
        <v>#DIV/0!</v>
      </c>
      <c r="Y107" s="14" t="e">
        <f t="shared" si="53"/>
        <v>#DIV/0!</v>
      </c>
      <c r="Z107" s="14" t="e">
        <f t="shared" si="53"/>
        <v>#DIV/0!</v>
      </c>
      <c r="AA107" s="14" t="e">
        <f t="shared" si="53"/>
        <v>#DIV/0!</v>
      </c>
      <c r="AB107" s="14" t="e">
        <f t="shared" si="53"/>
        <v>#DIV/0!</v>
      </c>
      <c r="AC107" s="14" t="e">
        <f t="shared" si="53"/>
        <v>#DIV/0!</v>
      </c>
      <c r="AD107" s="14" t="e">
        <f t="shared" si="53"/>
        <v>#DIV/0!</v>
      </c>
      <c r="AE107" s="14" t="e">
        <f t="shared" si="53"/>
        <v>#DIV/0!</v>
      </c>
      <c r="AF107" s="14" t="e">
        <f t="shared" si="53"/>
        <v>#DIV/0!</v>
      </c>
      <c r="AG107" s="14" t="e">
        <f t="shared" si="53"/>
        <v>#DIV/0!</v>
      </c>
      <c r="AH107" s="14" t="e">
        <f t="shared" si="53"/>
        <v>#DIV/0!</v>
      </c>
      <c r="AI107" s="14" t="e">
        <f t="shared" si="53"/>
        <v>#DIV/0!</v>
      </c>
      <c r="AJ107" s="14" t="e">
        <f t="shared" si="53"/>
        <v>#DIV/0!</v>
      </c>
      <c r="AK107" s="14" t="e">
        <f t="shared" si="53"/>
        <v>#DIV/0!</v>
      </c>
      <c r="AL107" s="14" t="e">
        <f t="shared" si="53"/>
        <v>#DIV/0!</v>
      </c>
    </row>
    <row r="108" spans="1:54" ht="21" hidden="1" customHeight="1" outlineLevel="1" thickBot="1" x14ac:dyDescent="0.4">
      <c r="A108" s="5">
        <f t="shared" si="42"/>
        <v>0</v>
      </c>
      <c r="B108" s="5">
        <f t="shared" si="42"/>
        <v>0</v>
      </c>
      <c r="C108" s="5">
        <f t="shared" si="42"/>
        <v>0</v>
      </c>
      <c r="D108" s="5">
        <f t="shared" si="42"/>
        <v>0</v>
      </c>
      <c r="E108" s="6">
        <f t="shared" si="21"/>
        <v>0</v>
      </c>
      <c r="F108" s="14" t="e">
        <f t="shared" ref="F108:AL108" si="54">F32*$C$78</f>
        <v>#DIV/0!</v>
      </c>
      <c r="G108" s="14" t="e">
        <f t="shared" si="54"/>
        <v>#DIV/0!</v>
      </c>
      <c r="H108" s="14" t="e">
        <f t="shared" si="54"/>
        <v>#DIV/0!</v>
      </c>
      <c r="I108" s="14" t="e">
        <f t="shared" si="54"/>
        <v>#DIV/0!</v>
      </c>
      <c r="J108" s="14" t="e">
        <f t="shared" si="54"/>
        <v>#DIV/0!</v>
      </c>
      <c r="K108" s="14" t="e">
        <f t="shared" si="54"/>
        <v>#DIV/0!</v>
      </c>
      <c r="L108" s="14" t="e">
        <f t="shared" si="54"/>
        <v>#DIV/0!</v>
      </c>
      <c r="M108" s="14" t="e">
        <f t="shared" si="54"/>
        <v>#DIV/0!</v>
      </c>
      <c r="N108" s="14" t="e">
        <f t="shared" si="54"/>
        <v>#DIV/0!</v>
      </c>
      <c r="O108" s="14" t="e">
        <f t="shared" si="54"/>
        <v>#DIV/0!</v>
      </c>
      <c r="P108" s="14" t="e">
        <f t="shared" si="54"/>
        <v>#DIV/0!</v>
      </c>
      <c r="Q108" s="14" t="e">
        <f t="shared" si="54"/>
        <v>#DIV/0!</v>
      </c>
      <c r="R108" s="14" t="e">
        <f t="shared" si="54"/>
        <v>#DIV/0!</v>
      </c>
      <c r="S108" s="14" t="e">
        <f t="shared" si="54"/>
        <v>#DIV/0!</v>
      </c>
      <c r="T108" s="14" t="e">
        <f t="shared" si="54"/>
        <v>#DIV/0!</v>
      </c>
      <c r="U108" s="14" t="e">
        <f t="shared" si="54"/>
        <v>#DIV/0!</v>
      </c>
      <c r="V108" s="14" t="e">
        <f t="shared" si="54"/>
        <v>#DIV/0!</v>
      </c>
      <c r="W108" s="14" t="e">
        <f t="shared" si="54"/>
        <v>#DIV/0!</v>
      </c>
      <c r="X108" s="14" t="e">
        <f t="shared" si="54"/>
        <v>#DIV/0!</v>
      </c>
      <c r="Y108" s="14" t="e">
        <f t="shared" si="54"/>
        <v>#DIV/0!</v>
      </c>
      <c r="Z108" s="14" t="e">
        <f t="shared" si="54"/>
        <v>#DIV/0!</v>
      </c>
      <c r="AA108" s="14" t="e">
        <f t="shared" si="54"/>
        <v>#DIV/0!</v>
      </c>
      <c r="AB108" s="14" t="e">
        <f t="shared" si="54"/>
        <v>#DIV/0!</v>
      </c>
      <c r="AC108" s="14" t="e">
        <f t="shared" si="54"/>
        <v>#DIV/0!</v>
      </c>
      <c r="AD108" s="14" t="e">
        <f t="shared" si="54"/>
        <v>#DIV/0!</v>
      </c>
      <c r="AE108" s="14" t="e">
        <f t="shared" si="54"/>
        <v>#DIV/0!</v>
      </c>
      <c r="AF108" s="14" t="e">
        <f t="shared" si="54"/>
        <v>#DIV/0!</v>
      </c>
      <c r="AG108" s="14" t="e">
        <f t="shared" si="54"/>
        <v>#DIV/0!</v>
      </c>
      <c r="AH108" s="14" t="e">
        <f t="shared" si="54"/>
        <v>#DIV/0!</v>
      </c>
      <c r="AI108" s="14" t="e">
        <f t="shared" si="54"/>
        <v>#DIV/0!</v>
      </c>
      <c r="AJ108" s="14" t="e">
        <f t="shared" si="54"/>
        <v>#DIV/0!</v>
      </c>
      <c r="AK108" s="14" t="e">
        <f t="shared" si="54"/>
        <v>#DIV/0!</v>
      </c>
      <c r="AL108" s="14" t="e">
        <f t="shared" si="54"/>
        <v>#DIV/0!</v>
      </c>
    </row>
    <row r="109" spans="1:54" ht="21" hidden="1" customHeight="1" outlineLevel="1" thickBot="1" x14ac:dyDescent="0.4">
      <c r="A109" s="5">
        <f t="shared" si="42"/>
        <v>0</v>
      </c>
      <c r="B109" s="5">
        <f t="shared" si="42"/>
        <v>0</v>
      </c>
      <c r="C109" s="5">
        <f t="shared" si="42"/>
        <v>0</v>
      </c>
      <c r="D109" s="5">
        <f t="shared" si="42"/>
        <v>0</v>
      </c>
      <c r="E109" s="6">
        <f t="shared" si="21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</row>
    <row r="111" spans="1:54" ht="21" customHeight="1" collapsed="1" x14ac:dyDescent="0.35"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</row>
    <row r="112" spans="1:54" ht="21" customHeight="1" thickBot="1" x14ac:dyDescent="0.45">
      <c r="A112" s="75"/>
      <c r="B112" s="75"/>
      <c r="C112" s="75"/>
      <c r="D112" s="75"/>
      <c r="E112" s="74" t="s">
        <v>23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94" t="s">
        <v>10</v>
      </c>
      <c r="B113" s="95"/>
      <c r="C113" s="23" t="s">
        <v>11</v>
      </c>
      <c r="D113" s="15" t="s">
        <v>12</v>
      </c>
      <c r="E113" s="15"/>
      <c r="F113" s="4">
        <f t="shared" ref="F113:AL113" si="55">F3</f>
        <v>0</v>
      </c>
      <c r="G113" s="4">
        <f t="shared" si="55"/>
        <v>0</v>
      </c>
      <c r="H113" s="4">
        <f t="shared" si="55"/>
        <v>0</v>
      </c>
      <c r="I113" s="4">
        <f t="shared" si="55"/>
        <v>0</v>
      </c>
      <c r="J113" s="4">
        <f t="shared" si="55"/>
        <v>0</v>
      </c>
      <c r="K113" s="4">
        <f t="shared" si="55"/>
        <v>0</v>
      </c>
      <c r="L113" s="4">
        <f t="shared" si="55"/>
        <v>0</v>
      </c>
      <c r="M113" s="4">
        <f t="shared" si="55"/>
        <v>0</v>
      </c>
      <c r="N113" s="4">
        <f t="shared" si="55"/>
        <v>0</v>
      </c>
      <c r="O113" s="4">
        <f t="shared" si="55"/>
        <v>0</v>
      </c>
      <c r="P113" s="4">
        <f t="shared" si="55"/>
        <v>0</v>
      </c>
      <c r="Q113" s="4">
        <f t="shared" si="55"/>
        <v>0</v>
      </c>
      <c r="R113" s="4">
        <f t="shared" si="55"/>
        <v>0</v>
      </c>
      <c r="S113" s="4">
        <f t="shared" si="55"/>
        <v>0</v>
      </c>
      <c r="T113" s="4">
        <f t="shared" si="55"/>
        <v>0</v>
      </c>
      <c r="U113" s="4">
        <f t="shared" si="55"/>
        <v>0</v>
      </c>
      <c r="V113" s="4">
        <f t="shared" si="55"/>
        <v>0</v>
      </c>
      <c r="W113" s="4">
        <f t="shared" si="55"/>
        <v>0</v>
      </c>
      <c r="X113" s="4">
        <f t="shared" si="55"/>
        <v>0</v>
      </c>
      <c r="Y113" s="4">
        <f t="shared" si="55"/>
        <v>0</v>
      </c>
      <c r="Z113" s="4">
        <f t="shared" si="55"/>
        <v>0</v>
      </c>
      <c r="AA113" s="4">
        <f t="shared" si="55"/>
        <v>0</v>
      </c>
      <c r="AB113" s="4">
        <f t="shared" si="55"/>
        <v>0</v>
      </c>
      <c r="AC113" s="4">
        <f t="shared" si="55"/>
        <v>0</v>
      </c>
      <c r="AD113" s="4">
        <f t="shared" si="55"/>
        <v>0</v>
      </c>
      <c r="AE113" s="4">
        <f t="shared" si="55"/>
        <v>0</v>
      </c>
      <c r="AF113" s="4">
        <f t="shared" si="55"/>
        <v>0</v>
      </c>
      <c r="AG113" s="4">
        <f t="shared" si="55"/>
        <v>0</v>
      </c>
      <c r="AH113" s="4">
        <f t="shared" si="55"/>
        <v>0</v>
      </c>
      <c r="AI113" s="4">
        <f t="shared" si="55"/>
        <v>0</v>
      </c>
      <c r="AJ113" s="4">
        <f t="shared" si="55"/>
        <v>0</v>
      </c>
      <c r="AK113" s="4">
        <f t="shared" si="55"/>
        <v>0</v>
      </c>
      <c r="AL113" s="4">
        <f t="shared" si="55"/>
        <v>0</v>
      </c>
    </row>
    <row r="114" spans="1:38" ht="21" customHeight="1" outlineLevel="1" thickTop="1" thickBot="1" x14ac:dyDescent="0.4">
      <c r="A114" s="21">
        <f>$A$2</f>
        <v>700</v>
      </c>
      <c r="B114" s="50" t="e">
        <f ca="1">MIN(MIN(F114:AL116),MIN(F41:AL41))</f>
        <v>#DIV/0!</v>
      </c>
      <c r="C114" s="24">
        <f>COUNTA(E114:E121)+1</f>
        <v>7</v>
      </c>
      <c r="E114" s="17" t="s">
        <v>34</v>
      </c>
      <c r="F114" s="52" t="e">
        <f t="shared" ref="F114:AL114" si="56">F$113*$B$2*SUMPRODUCT(F$85:F$94,F$51:F$60)/1000</f>
        <v>#DIV/0!</v>
      </c>
      <c r="G114" s="52" t="e">
        <f t="shared" si="56"/>
        <v>#DIV/0!</v>
      </c>
      <c r="H114" s="52" t="e">
        <f t="shared" si="56"/>
        <v>#DIV/0!</v>
      </c>
      <c r="I114" s="52" t="e">
        <f t="shared" si="56"/>
        <v>#DIV/0!</v>
      </c>
      <c r="J114" s="52" t="e">
        <f t="shared" si="56"/>
        <v>#DIV/0!</v>
      </c>
      <c r="K114" s="52" t="e">
        <f t="shared" si="56"/>
        <v>#DIV/0!</v>
      </c>
      <c r="L114" s="52" t="e">
        <f t="shared" si="56"/>
        <v>#DIV/0!</v>
      </c>
      <c r="M114" s="52" t="e">
        <f t="shared" si="56"/>
        <v>#DIV/0!</v>
      </c>
      <c r="N114" s="52" t="e">
        <f t="shared" si="56"/>
        <v>#DIV/0!</v>
      </c>
      <c r="O114" s="52" t="e">
        <f t="shared" si="56"/>
        <v>#DIV/0!</v>
      </c>
      <c r="P114" s="52" t="e">
        <f t="shared" si="56"/>
        <v>#DIV/0!</v>
      </c>
      <c r="Q114" s="52" t="e">
        <f t="shared" si="56"/>
        <v>#DIV/0!</v>
      </c>
      <c r="R114" s="52" t="e">
        <f t="shared" si="56"/>
        <v>#DIV/0!</v>
      </c>
      <c r="S114" s="52" t="e">
        <f t="shared" si="56"/>
        <v>#DIV/0!</v>
      </c>
      <c r="T114" s="52" t="e">
        <f t="shared" si="56"/>
        <v>#DIV/0!</v>
      </c>
      <c r="U114" s="52" t="e">
        <f t="shared" si="56"/>
        <v>#DIV/0!</v>
      </c>
      <c r="V114" s="52" t="e">
        <f t="shared" si="56"/>
        <v>#DIV/0!</v>
      </c>
      <c r="W114" s="52" t="e">
        <f t="shared" si="56"/>
        <v>#DIV/0!</v>
      </c>
      <c r="X114" s="52" t="e">
        <f t="shared" si="56"/>
        <v>#DIV/0!</v>
      </c>
      <c r="Y114" s="52" t="e">
        <f t="shared" si="56"/>
        <v>#DIV/0!</v>
      </c>
      <c r="Z114" s="52" t="e">
        <f t="shared" si="56"/>
        <v>#DIV/0!</v>
      </c>
      <c r="AA114" s="52" t="e">
        <f t="shared" si="56"/>
        <v>#DIV/0!</v>
      </c>
      <c r="AB114" s="52" t="e">
        <f t="shared" si="56"/>
        <v>#DIV/0!</v>
      </c>
      <c r="AC114" s="52" t="e">
        <f t="shared" si="56"/>
        <v>#DIV/0!</v>
      </c>
      <c r="AD114" s="52" t="e">
        <f t="shared" si="56"/>
        <v>#DIV/0!</v>
      </c>
      <c r="AE114" s="52" t="e">
        <f t="shared" si="56"/>
        <v>#DIV/0!</v>
      </c>
      <c r="AF114" s="52" t="e">
        <f t="shared" si="56"/>
        <v>#DIV/0!</v>
      </c>
      <c r="AG114" s="52" t="e">
        <f t="shared" si="56"/>
        <v>#DIV/0!</v>
      </c>
      <c r="AH114" s="52" t="e">
        <f t="shared" si="56"/>
        <v>#DIV/0!</v>
      </c>
      <c r="AI114" s="52" t="e">
        <f t="shared" si="56"/>
        <v>#DIV/0!</v>
      </c>
      <c r="AJ114" s="52" t="e">
        <f t="shared" si="56"/>
        <v>#DIV/0!</v>
      </c>
      <c r="AK114" s="52" t="e">
        <f t="shared" si="56"/>
        <v>#DIV/0!</v>
      </c>
      <c r="AL114" s="52" t="e">
        <f t="shared" si="56"/>
        <v>#DIV/0!</v>
      </c>
    </row>
    <row r="115" spans="1:38" ht="21" customHeight="1" outlineLevel="1" thickBot="1" x14ac:dyDescent="0.4">
      <c r="A115" s="22">
        <f>$A$114</f>
        <v>700</v>
      </c>
      <c r="B115" s="51" t="e">
        <f ca="1">MAX(MAX(F114:AL116),MAX(F41:AL41))</f>
        <v>#DIV/0!</v>
      </c>
      <c r="C115" s="25">
        <f xml:space="preserve"> COUNTIF(F113:AL113,"&lt;&gt;"&amp;0)</f>
        <v>0</v>
      </c>
      <c r="E115" s="17" t="s">
        <v>36</v>
      </c>
      <c r="F115" s="14" t="e">
        <f t="shared" ref="F115:AL115" si="57">F$113*$B$2*SUMPRODUCT(F$100:F$101,F$65:F$66)/1000</f>
        <v>#DIV/0!</v>
      </c>
      <c r="G115" s="14" t="e">
        <f t="shared" si="57"/>
        <v>#DIV/0!</v>
      </c>
      <c r="H115" s="14" t="e">
        <f t="shared" si="57"/>
        <v>#DIV/0!</v>
      </c>
      <c r="I115" s="14" t="e">
        <f t="shared" si="57"/>
        <v>#DIV/0!</v>
      </c>
      <c r="J115" s="14" t="e">
        <f t="shared" si="57"/>
        <v>#DIV/0!</v>
      </c>
      <c r="K115" s="14" t="e">
        <f t="shared" si="57"/>
        <v>#DIV/0!</v>
      </c>
      <c r="L115" s="14" t="e">
        <f t="shared" si="57"/>
        <v>#DIV/0!</v>
      </c>
      <c r="M115" s="14" t="e">
        <f t="shared" si="57"/>
        <v>#DIV/0!</v>
      </c>
      <c r="N115" s="14" t="e">
        <f t="shared" si="57"/>
        <v>#DIV/0!</v>
      </c>
      <c r="O115" s="14" t="e">
        <f t="shared" si="57"/>
        <v>#DIV/0!</v>
      </c>
      <c r="P115" s="14" t="e">
        <f t="shared" si="57"/>
        <v>#DIV/0!</v>
      </c>
      <c r="Q115" s="14" t="e">
        <f t="shared" si="57"/>
        <v>#DIV/0!</v>
      </c>
      <c r="R115" s="14" t="e">
        <f t="shared" si="57"/>
        <v>#DIV/0!</v>
      </c>
      <c r="S115" s="14" t="e">
        <f t="shared" si="57"/>
        <v>#DIV/0!</v>
      </c>
      <c r="T115" s="14" t="e">
        <f t="shared" si="57"/>
        <v>#DIV/0!</v>
      </c>
      <c r="U115" s="14" t="e">
        <f t="shared" si="57"/>
        <v>#DIV/0!</v>
      </c>
      <c r="V115" s="14" t="e">
        <f t="shared" si="57"/>
        <v>#DIV/0!</v>
      </c>
      <c r="W115" s="14" t="e">
        <f t="shared" si="57"/>
        <v>#DIV/0!</v>
      </c>
      <c r="X115" s="14" t="e">
        <f t="shared" si="57"/>
        <v>#DIV/0!</v>
      </c>
      <c r="Y115" s="14" t="e">
        <f t="shared" si="57"/>
        <v>#DIV/0!</v>
      </c>
      <c r="Z115" s="14" t="e">
        <f t="shared" si="57"/>
        <v>#DIV/0!</v>
      </c>
      <c r="AA115" s="14" t="e">
        <f t="shared" si="57"/>
        <v>#DIV/0!</v>
      </c>
      <c r="AB115" s="14" t="e">
        <f t="shared" si="57"/>
        <v>#DIV/0!</v>
      </c>
      <c r="AC115" s="14" t="e">
        <f t="shared" si="57"/>
        <v>#DIV/0!</v>
      </c>
      <c r="AD115" s="14" t="e">
        <f t="shared" si="57"/>
        <v>#DIV/0!</v>
      </c>
      <c r="AE115" s="14" t="e">
        <f t="shared" si="57"/>
        <v>#DIV/0!</v>
      </c>
      <c r="AF115" s="14" t="e">
        <f t="shared" si="57"/>
        <v>#DIV/0!</v>
      </c>
      <c r="AG115" s="14" t="e">
        <f t="shared" si="57"/>
        <v>#DIV/0!</v>
      </c>
      <c r="AH115" s="14" t="e">
        <f t="shared" si="57"/>
        <v>#DIV/0!</v>
      </c>
      <c r="AI115" s="14" t="e">
        <f t="shared" si="57"/>
        <v>#DIV/0!</v>
      </c>
      <c r="AJ115" s="14" t="e">
        <f t="shared" si="57"/>
        <v>#DIV/0!</v>
      </c>
      <c r="AK115" s="14" t="e">
        <f t="shared" si="57"/>
        <v>#DIV/0!</v>
      </c>
      <c r="AL115" s="14" t="e">
        <f t="shared" si="57"/>
        <v>#DIV/0!</v>
      </c>
    </row>
    <row r="116" spans="1:38" ht="21" customHeight="1" outlineLevel="1" thickBot="1" x14ac:dyDescent="0.4">
      <c r="E116" s="17" t="s">
        <v>14</v>
      </c>
      <c r="F116" s="14" t="e">
        <f t="shared" ref="F116:AL116" si="58">F$113*$B$2*SUMPRODUCT(F$82:F$83,F$48:F$49)/1000</f>
        <v>#DIV/0!</v>
      </c>
      <c r="G116" s="14" t="e">
        <f t="shared" si="58"/>
        <v>#DIV/0!</v>
      </c>
      <c r="H116" s="14" t="e">
        <f t="shared" si="58"/>
        <v>#DIV/0!</v>
      </c>
      <c r="I116" s="14" t="e">
        <f t="shared" si="58"/>
        <v>#DIV/0!</v>
      </c>
      <c r="J116" s="14" t="e">
        <f t="shared" si="58"/>
        <v>#DIV/0!</v>
      </c>
      <c r="K116" s="14" t="e">
        <f t="shared" si="58"/>
        <v>#DIV/0!</v>
      </c>
      <c r="L116" s="14" t="e">
        <f t="shared" si="58"/>
        <v>#DIV/0!</v>
      </c>
      <c r="M116" s="14" t="e">
        <f t="shared" si="58"/>
        <v>#DIV/0!</v>
      </c>
      <c r="N116" s="14" t="e">
        <f t="shared" si="58"/>
        <v>#DIV/0!</v>
      </c>
      <c r="O116" s="14" t="e">
        <f t="shared" si="58"/>
        <v>#DIV/0!</v>
      </c>
      <c r="P116" s="14" t="e">
        <f t="shared" si="58"/>
        <v>#DIV/0!</v>
      </c>
      <c r="Q116" s="14" t="e">
        <f t="shared" si="58"/>
        <v>#DIV/0!</v>
      </c>
      <c r="R116" s="14" t="e">
        <f t="shared" si="58"/>
        <v>#DIV/0!</v>
      </c>
      <c r="S116" s="14" t="e">
        <f t="shared" si="58"/>
        <v>#DIV/0!</v>
      </c>
      <c r="T116" s="14" t="e">
        <f t="shared" si="58"/>
        <v>#DIV/0!</v>
      </c>
      <c r="U116" s="14" t="e">
        <f t="shared" si="58"/>
        <v>#DIV/0!</v>
      </c>
      <c r="V116" s="14" t="e">
        <f t="shared" si="58"/>
        <v>#DIV/0!</v>
      </c>
      <c r="W116" s="14" t="e">
        <f t="shared" si="58"/>
        <v>#DIV/0!</v>
      </c>
      <c r="X116" s="14" t="e">
        <f t="shared" si="58"/>
        <v>#DIV/0!</v>
      </c>
      <c r="Y116" s="14" t="e">
        <f t="shared" si="58"/>
        <v>#DIV/0!</v>
      </c>
      <c r="Z116" s="14" t="e">
        <f t="shared" si="58"/>
        <v>#DIV/0!</v>
      </c>
      <c r="AA116" s="14" t="e">
        <f t="shared" si="58"/>
        <v>#DIV/0!</v>
      </c>
      <c r="AB116" s="14" t="e">
        <f t="shared" si="58"/>
        <v>#DIV/0!</v>
      </c>
      <c r="AC116" s="14" t="e">
        <f t="shared" si="58"/>
        <v>#DIV/0!</v>
      </c>
      <c r="AD116" s="14" t="e">
        <f t="shared" si="58"/>
        <v>#DIV/0!</v>
      </c>
      <c r="AE116" s="14" t="e">
        <f t="shared" si="58"/>
        <v>#DIV/0!</v>
      </c>
      <c r="AF116" s="14" t="e">
        <f t="shared" si="58"/>
        <v>#DIV/0!</v>
      </c>
      <c r="AG116" s="14" t="e">
        <f t="shared" si="58"/>
        <v>#DIV/0!</v>
      </c>
      <c r="AH116" s="14" t="e">
        <f t="shared" si="58"/>
        <v>#DIV/0!</v>
      </c>
      <c r="AI116" s="14" t="e">
        <f t="shared" si="58"/>
        <v>#DIV/0!</v>
      </c>
      <c r="AJ116" s="14" t="e">
        <f t="shared" si="58"/>
        <v>#DIV/0!</v>
      </c>
      <c r="AK116" s="14" t="e">
        <f t="shared" si="58"/>
        <v>#DIV/0!</v>
      </c>
      <c r="AL116" s="14" t="e">
        <f t="shared" si="58"/>
        <v>#DIV/0!</v>
      </c>
    </row>
    <row r="117" spans="1:38" ht="21" customHeight="1" outlineLevel="1" thickBot="1" x14ac:dyDescent="0.4">
      <c r="E117" s="17" t="s">
        <v>35</v>
      </c>
      <c r="F117" s="14" t="e">
        <f>F116+F114</f>
        <v>#DIV/0!</v>
      </c>
      <c r="G117" s="14" t="e">
        <f t="shared" ref="G117:AL117" si="59">G116+G114</f>
        <v>#DIV/0!</v>
      </c>
      <c r="H117" s="14" t="e">
        <f t="shared" si="59"/>
        <v>#DIV/0!</v>
      </c>
      <c r="I117" s="14" t="e">
        <f t="shared" si="59"/>
        <v>#DIV/0!</v>
      </c>
      <c r="J117" s="14" t="e">
        <f t="shared" si="59"/>
        <v>#DIV/0!</v>
      </c>
      <c r="K117" s="14" t="e">
        <f t="shared" si="59"/>
        <v>#DIV/0!</v>
      </c>
      <c r="L117" s="14" t="e">
        <f t="shared" si="59"/>
        <v>#DIV/0!</v>
      </c>
      <c r="M117" s="14" t="e">
        <f t="shared" si="59"/>
        <v>#DIV/0!</v>
      </c>
      <c r="N117" s="14" t="e">
        <f t="shared" si="59"/>
        <v>#DIV/0!</v>
      </c>
      <c r="O117" s="14" t="e">
        <f t="shared" si="59"/>
        <v>#DIV/0!</v>
      </c>
      <c r="P117" s="14" t="e">
        <f t="shared" si="59"/>
        <v>#DIV/0!</v>
      </c>
      <c r="Q117" s="14" t="e">
        <f t="shared" si="59"/>
        <v>#DIV/0!</v>
      </c>
      <c r="R117" s="14" t="e">
        <f t="shared" si="59"/>
        <v>#DIV/0!</v>
      </c>
      <c r="S117" s="14" t="e">
        <f t="shared" si="59"/>
        <v>#DIV/0!</v>
      </c>
      <c r="T117" s="14" t="e">
        <f t="shared" si="59"/>
        <v>#DIV/0!</v>
      </c>
      <c r="U117" s="14" t="e">
        <f t="shared" si="59"/>
        <v>#DIV/0!</v>
      </c>
      <c r="V117" s="14" t="e">
        <f t="shared" si="59"/>
        <v>#DIV/0!</v>
      </c>
      <c r="W117" s="14" t="e">
        <f t="shared" si="59"/>
        <v>#DIV/0!</v>
      </c>
      <c r="X117" s="14" t="e">
        <f t="shared" si="59"/>
        <v>#DIV/0!</v>
      </c>
      <c r="Y117" s="14" t="e">
        <f t="shared" si="59"/>
        <v>#DIV/0!</v>
      </c>
      <c r="Z117" s="14" t="e">
        <f t="shared" si="59"/>
        <v>#DIV/0!</v>
      </c>
      <c r="AA117" s="14" t="e">
        <f t="shared" si="59"/>
        <v>#DIV/0!</v>
      </c>
      <c r="AB117" s="14" t="e">
        <f t="shared" si="59"/>
        <v>#DIV/0!</v>
      </c>
      <c r="AC117" s="14" t="e">
        <f t="shared" si="59"/>
        <v>#DIV/0!</v>
      </c>
      <c r="AD117" s="14" t="e">
        <f t="shared" si="59"/>
        <v>#DIV/0!</v>
      </c>
      <c r="AE117" s="14" t="e">
        <f t="shared" si="59"/>
        <v>#DIV/0!</v>
      </c>
      <c r="AF117" s="14" t="e">
        <f t="shared" si="59"/>
        <v>#DIV/0!</v>
      </c>
      <c r="AG117" s="14" t="e">
        <f t="shared" si="59"/>
        <v>#DIV/0!</v>
      </c>
      <c r="AH117" s="14" t="e">
        <f t="shared" si="59"/>
        <v>#DIV/0!</v>
      </c>
      <c r="AI117" s="14" t="e">
        <f t="shared" si="59"/>
        <v>#DIV/0!</v>
      </c>
      <c r="AJ117" s="14" t="e">
        <f t="shared" si="59"/>
        <v>#DIV/0!</v>
      </c>
      <c r="AK117" s="14" t="e">
        <f t="shared" si="59"/>
        <v>#DIV/0!</v>
      </c>
      <c r="AL117" s="14" t="e">
        <f t="shared" si="59"/>
        <v>#DIV/0!</v>
      </c>
    </row>
    <row r="118" spans="1:38" ht="21" customHeight="1" outlineLevel="1" thickBot="1" x14ac:dyDescent="0.4">
      <c r="E118" s="17" t="s">
        <v>37</v>
      </c>
      <c r="F118" s="14" t="e">
        <f>F116+F115</f>
        <v>#DIV/0!</v>
      </c>
      <c r="G118" s="14" t="e">
        <f t="shared" ref="G118:AL118" si="60">G116+G115</f>
        <v>#DIV/0!</v>
      </c>
      <c r="H118" s="14" t="e">
        <f t="shared" si="60"/>
        <v>#DIV/0!</v>
      </c>
      <c r="I118" s="14" t="e">
        <f t="shared" si="60"/>
        <v>#DIV/0!</v>
      </c>
      <c r="J118" s="14" t="e">
        <f t="shared" si="60"/>
        <v>#DIV/0!</v>
      </c>
      <c r="K118" s="14" t="e">
        <f t="shared" si="60"/>
        <v>#DIV/0!</v>
      </c>
      <c r="L118" s="14" t="e">
        <f t="shared" si="60"/>
        <v>#DIV/0!</v>
      </c>
      <c r="M118" s="14" t="e">
        <f t="shared" si="60"/>
        <v>#DIV/0!</v>
      </c>
      <c r="N118" s="14" t="e">
        <f t="shared" si="60"/>
        <v>#DIV/0!</v>
      </c>
      <c r="O118" s="14" t="e">
        <f t="shared" si="60"/>
        <v>#DIV/0!</v>
      </c>
      <c r="P118" s="14" t="e">
        <f t="shared" si="60"/>
        <v>#DIV/0!</v>
      </c>
      <c r="Q118" s="14" t="e">
        <f t="shared" si="60"/>
        <v>#DIV/0!</v>
      </c>
      <c r="R118" s="14" t="e">
        <f t="shared" si="60"/>
        <v>#DIV/0!</v>
      </c>
      <c r="S118" s="14" t="e">
        <f t="shared" si="60"/>
        <v>#DIV/0!</v>
      </c>
      <c r="T118" s="14" t="e">
        <f t="shared" si="60"/>
        <v>#DIV/0!</v>
      </c>
      <c r="U118" s="14" t="e">
        <f t="shared" si="60"/>
        <v>#DIV/0!</v>
      </c>
      <c r="V118" s="14" t="e">
        <f t="shared" si="60"/>
        <v>#DIV/0!</v>
      </c>
      <c r="W118" s="14" t="e">
        <f t="shared" si="60"/>
        <v>#DIV/0!</v>
      </c>
      <c r="X118" s="14" t="e">
        <f t="shared" si="60"/>
        <v>#DIV/0!</v>
      </c>
      <c r="Y118" s="14" t="e">
        <f t="shared" si="60"/>
        <v>#DIV/0!</v>
      </c>
      <c r="Z118" s="14" t="e">
        <f t="shared" si="60"/>
        <v>#DIV/0!</v>
      </c>
      <c r="AA118" s="14" t="e">
        <f t="shared" si="60"/>
        <v>#DIV/0!</v>
      </c>
      <c r="AB118" s="14" t="e">
        <f t="shared" si="60"/>
        <v>#DIV/0!</v>
      </c>
      <c r="AC118" s="14" t="e">
        <f t="shared" si="60"/>
        <v>#DIV/0!</v>
      </c>
      <c r="AD118" s="14" t="e">
        <f t="shared" si="60"/>
        <v>#DIV/0!</v>
      </c>
      <c r="AE118" s="14" t="e">
        <f t="shared" si="60"/>
        <v>#DIV/0!</v>
      </c>
      <c r="AF118" s="14" t="e">
        <f t="shared" si="60"/>
        <v>#DIV/0!</v>
      </c>
      <c r="AG118" s="14" t="e">
        <f t="shared" si="60"/>
        <v>#DIV/0!</v>
      </c>
      <c r="AH118" s="14" t="e">
        <f t="shared" si="60"/>
        <v>#DIV/0!</v>
      </c>
      <c r="AI118" s="14" t="e">
        <f t="shared" si="60"/>
        <v>#DIV/0!</v>
      </c>
      <c r="AJ118" s="14" t="e">
        <f t="shared" si="60"/>
        <v>#DIV/0!</v>
      </c>
      <c r="AK118" s="14" t="e">
        <f t="shared" si="60"/>
        <v>#DIV/0!</v>
      </c>
      <c r="AL118" s="14" t="e">
        <f t="shared" si="60"/>
        <v>#DIV/0!</v>
      </c>
    </row>
    <row r="119" spans="1:38" ht="21" customHeight="1" outlineLevel="1" x14ac:dyDescent="0.35">
      <c r="E119" s="90" t="s">
        <v>40</v>
      </c>
      <c r="F119" s="91" t="e">
        <f>SUM(F114:F116)</f>
        <v>#DIV/0!</v>
      </c>
      <c r="G119" s="91" t="e">
        <f t="shared" ref="G119:AL119" si="61">SUM(G114:G116)</f>
        <v>#DIV/0!</v>
      </c>
      <c r="H119" s="91" t="e">
        <f t="shared" si="61"/>
        <v>#DIV/0!</v>
      </c>
      <c r="I119" s="91" t="e">
        <f t="shared" si="61"/>
        <v>#DIV/0!</v>
      </c>
      <c r="J119" s="91" t="e">
        <f t="shared" si="61"/>
        <v>#DIV/0!</v>
      </c>
      <c r="K119" s="91" t="e">
        <f t="shared" si="61"/>
        <v>#DIV/0!</v>
      </c>
      <c r="L119" s="91" t="e">
        <f t="shared" si="61"/>
        <v>#DIV/0!</v>
      </c>
      <c r="M119" s="91" t="e">
        <f t="shared" si="61"/>
        <v>#DIV/0!</v>
      </c>
      <c r="N119" s="91" t="e">
        <f t="shared" si="61"/>
        <v>#DIV/0!</v>
      </c>
      <c r="O119" s="91" t="e">
        <f t="shared" si="61"/>
        <v>#DIV/0!</v>
      </c>
      <c r="P119" s="91" t="e">
        <f t="shared" si="61"/>
        <v>#DIV/0!</v>
      </c>
      <c r="Q119" s="91" t="e">
        <f t="shared" si="61"/>
        <v>#DIV/0!</v>
      </c>
      <c r="R119" s="91" t="e">
        <f t="shared" si="61"/>
        <v>#DIV/0!</v>
      </c>
      <c r="S119" s="91" t="e">
        <f t="shared" si="61"/>
        <v>#DIV/0!</v>
      </c>
      <c r="T119" s="91" t="e">
        <f t="shared" si="61"/>
        <v>#DIV/0!</v>
      </c>
      <c r="U119" s="91" t="e">
        <f t="shared" si="61"/>
        <v>#DIV/0!</v>
      </c>
      <c r="V119" s="91" t="e">
        <f t="shared" si="61"/>
        <v>#DIV/0!</v>
      </c>
      <c r="W119" s="91" t="e">
        <f t="shared" si="61"/>
        <v>#DIV/0!</v>
      </c>
      <c r="X119" s="91" t="e">
        <f t="shared" si="61"/>
        <v>#DIV/0!</v>
      </c>
      <c r="Y119" s="91" t="e">
        <f t="shared" si="61"/>
        <v>#DIV/0!</v>
      </c>
      <c r="Z119" s="91" t="e">
        <f t="shared" si="61"/>
        <v>#DIV/0!</v>
      </c>
      <c r="AA119" s="91" t="e">
        <f t="shared" si="61"/>
        <v>#DIV/0!</v>
      </c>
      <c r="AB119" s="91" t="e">
        <f t="shared" si="61"/>
        <v>#DIV/0!</v>
      </c>
      <c r="AC119" s="91" t="e">
        <f t="shared" si="61"/>
        <v>#DIV/0!</v>
      </c>
      <c r="AD119" s="91" t="e">
        <f t="shared" si="61"/>
        <v>#DIV/0!</v>
      </c>
      <c r="AE119" s="91" t="e">
        <f t="shared" si="61"/>
        <v>#DIV/0!</v>
      </c>
      <c r="AF119" s="91" t="e">
        <f t="shared" si="61"/>
        <v>#DIV/0!</v>
      </c>
      <c r="AG119" s="91" t="e">
        <f t="shared" si="61"/>
        <v>#DIV/0!</v>
      </c>
      <c r="AH119" s="91" t="e">
        <f t="shared" si="61"/>
        <v>#DIV/0!</v>
      </c>
      <c r="AI119" s="91" t="e">
        <f t="shared" si="61"/>
        <v>#DIV/0!</v>
      </c>
      <c r="AJ119" s="91" t="e">
        <f t="shared" si="61"/>
        <v>#DIV/0!</v>
      </c>
      <c r="AK119" s="91" t="e">
        <f t="shared" si="61"/>
        <v>#DIV/0!</v>
      </c>
      <c r="AL119" s="91" t="e">
        <f t="shared" si="61"/>
        <v>#DIV/0!</v>
      </c>
    </row>
    <row r="120" spans="1:38" ht="21" customHeight="1" outlineLevel="1" x14ac:dyDescent="0.35"/>
    <row r="121" spans="1:38" ht="21" customHeight="1" outlineLevel="1" thickBot="1" x14ac:dyDescent="0.4">
      <c r="E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65">
        <f ca="1"/>
        <v>0</v>
      </c>
      <c r="V122" s="66">
        <f ca="1"/>
        <v>0</v>
      </c>
      <c r="W122" s="68">
        <f ca="1"/>
        <v>0</v>
      </c>
      <c r="X122" s="62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</row>
    <row r="123" spans="1:38" ht="21" customHeight="1" outlineLevel="1" thickTop="1" thickBot="1" x14ac:dyDescent="0.4">
      <c r="E123" s="17" t="str">
        <f ca="1"/>
        <v xml:space="preserve">Раствор 1(тв): </v>
      </c>
      <c r="F123" s="55" t="str">
        <f ca="1"/>
        <v xml:space="preserve">Раствор 1(тв): </v>
      </c>
      <c r="G123" s="55" t="str">
        <f ca="1"/>
        <v xml:space="preserve">Раствор 1(тв): </v>
      </c>
      <c r="H123" s="55" t="str">
        <f ca="1"/>
        <v xml:space="preserve">Раствор 1(тв): </v>
      </c>
      <c r="I123" s="55" t="str">
        <f ca="1"/>
        <v xml:space="preserve">Раствор 1(тв): </v>
      </c>
      <c r="J123" s="55" t="str">
        <f ca="1"/>
        <v xml:space="preserve">Раствор 1(тв): </v>
      </c>
      <c r="K123" s="55" t="str">
        <f ca="1"/>
        <v xml:space="preserve">Раствор 1(тв): </v>
      </c>
      <c r="L123" s="55" t="str">
        <f ca="1"/>
        <v xml:space="preserve">Раствор 1(тв): </v>
      </c>
      <c r="M123" s="55" t="str">
        <f ca="1"/>
        <v xml:space="preserve">Раствор 1(тв): </v>
      </c>
      <c r="N123" s="55" t="str">
        <f ca="1"/>
        <v xml:space="preserve">Раствор 1(тв): </v>
      </c>
      <c r="O123" s="55" t="str">
        <f ca="1"/>
        <v xml:space="preserve">Раствор 1(тв): </v>
      </c>
      <c r="P123" s="55" t="str">
        <f ca="1"/>
        <v xml:space="preserve">Раствор 1(тв): </v>
      </c>
      <c r="Q123" s="55" t="str">
        <f ca="1"/>
        <v xml:space="preserve">Раствор 1(тв): </v>
      </c>
      <c r="R123" s="55" t="str">
        <f ca="1"/>
        <v xml:space="preserve">Раствор 1(тв): </v>
      </c>
      <c r="S123" s="55" t="str">
        <f ca="1"/>
        <v xml:space="preserve">Раствор 1(тв): </v>
      </c>
      <c r="T123" s="55" t="str">
        <f ca="1"/>
        <v xml:space="preserve">Раствор 1(тв): </v>
      </c>
      <c r="U123" s="55" t="str">
        <f ca="1"/>
        <v xml:space="preserve">Раствор 1(тв): </v>
      </c>
      <c r="V123" s="55" t="str">
        <f ca="1"/>
        <v xml:space="preserve">Раствор 1(тв): </v>
      </c>
      <c r="W123" s="55" t="str">
        <f ca="1"/>
        <v xml:space="preserve">Раствор 1(тв): </v>
      </c>
      <c r="X123" s="55" t="str">
        <f ca="1"/>
        <v xml:space="preserve">Раствор 1(тв): </v>
      </c>
      <c r="Y123" s="55" t="str">
        <f ca="1"/>
        <v xml:space="preserve">Раствор 1(тв): </v>
      </c>
      <c r="Z123" s="55" t="str">
        <f ca="1"/>
        <v xml:space="preserve">Раствор 1(тв): </v>
      </c>
      <c r="AA123" s="55" t="str">
        <f ca="1"/>
        <v xml:space="preserve">Раствор 1(тв): </v>
      </c>
      <c r="AB123" s="55" t="str">
        <f ca="1"/>
        <v xml:space="preserve">Раствор 1(тв): </v>
      </c>
      <c r="AC123" s="55" t="str">
        <f ca="1"/>
        <v xml:space="preserve">Раствор 1(тв): </v>
      </c>
      <c r="AD123" s="55" t="str">
        <f ca="1"/>
        <v xml:space="preserve">Раствор 1(тв): </v>
      </c>
      <c r="AE123" s="55" t="str">
        <f ca="1"/>
        <v xml:space="preserve">Раствор 1(тв): </v>
      </c>
      <c r="AF123" s="55" t="str">
        <f ca="1"/>
        <v xml:space="preserve">Раствор 1(тв): </v>
      </c>
      <c r="AG123" s="55" t="str">
        <f ca="1"/>
        <v xml:space="preserve">Раствор 1(тв): </v>
      </c>
      <c r="AH123" s="55" t="str">
        <f ca="1"/>
        <v xml:space="preserve">Раствор 1(тв): </v>
      </c>
      <c r="AI123" s="55" t="str">
        <f ca="1"/>
        <v xml:space="preserve">Раствор 1(тв): </v>
      </c>
      <c r="AJ123" s="55" t="str">
        <f ca="1"/>
        <v xml:space="preserve">Раствор 1(тв): </v>
      </c>
      <c r="AK123" s="55" t="str">
        <f ca="1"/>
        <v xml:space="preserve">Раствор 1(тв): </v>
      </c>
      <c r="AL123" s="55" t="str">
        <f ca="1"/>
        <v xml:space="preserve">Раствор 1(тв): </v>
      </c>
    </row>
    <row r="124" spans="1:38" ht="21" customHeight="1" outlineLevel="1" thickBot="1" x14ac:dyDescent="0.4">
      <c r="E124" s="17" t="str">
        <f ca="1"/>
        <v xml:space="preserve">Раствор 3 (жид): </v>
      </c>
      <c r="F124" s="55" t="str">
        <f ca="1"/>
        <v xml:space="preserve">Раствор 3 (жид): </v>
      </c>
      <c r="G124" s="55" t="str">
        <f ca="1"/>
        <v xml:space="preserve">Раствор 3 (жид): </v>
      </c>
      <c r="H124" s="55" t="str">
        <f ca="1"/>
        <v xml:space="preserve">Раствор 3 (жид): </v>
      </c>
      <c r="I124" s="55" t="str">
        <f ca="1"/>
        <v xml:space="preserve">Раствор 3 (жид): </v>
      </c>
      <c r="J124" s="55" t="str">
        <f ca="1"/>
        <v xml:space="preserve">Раствор 3 (жид): </v>
      </c>
      <c r="K124" s="55" t="str">
        <f ca="1"/>
        <v xml:space="preserve">Раствор 3 (жид): </v>
      </c>
      <c r="L124" s="55" t="str">
        <f ca="1"/>
        <v xml:space="preserve">Раствор 3 (жид): </v>
      </c>
      <c r="M124" s="55" t="str">
        <f ca="1"/>
        <v xml:space="preserve">Раствор 3 (жид): </v>
      </c>
      <c r="N124" s="55" t="str">
        <f ca="1"/>
        <v xml:space="preserve">Раствор 3 (жид): </v>
      </c>
      <c r="O124" s="55" t="str">
        <f ca="1"/>
        <v xml:space="preserve">Раствор 3 (жид): </v>
      </c>
      <c r="P124" s="55" t="str">
        <f ca="1"/>
        <v xml:space="preserve">Раствор 3 (жид): </v>
      </c>
      <c r="Q124" s="55" t="str">
        <f ca="1"/>
        <v xml:space="preserve">Раствор 3 (жид): </v>
      </c>
      <c r="R124" s="55" t="str">
        <f ca="1"/>
        <v xml:space="preserve">Раствор 3 (жид): </v>
      </c>
      <c r="S124" s="55" t="str">
        <f ca="1"/>
        <v xml:space="preserve">Раствор 3 (жид): </v>
      </c>
      <c r="T124" s="55" t="str">
        <f ca="1"/>
        <v xml:space="preserve">Раствор 3 (жид): </v>
      </c>
      <c r="U124" s="55" t="str">
        <f ca="1"/>
        <v xml:space="preserve">Раствор 3 (жид): </v>
      </c>
      <c r="V124" s="55" t="str">
        <f ca="1"/>
        <v xml:space="preserve">Раствор 3 (жид): </v>
      </c>
      <c r="W124" s="55" t="str">
        <f ca="1"/>
        <v xml:space="preserve">Раствор 3 (жид): </v>
      </c>
      <c r="X124" s="55" t="str">
        <f ca="1"/>
        <v xml:space="preserve">Раствор 3 (жид): </v>
      </c>
      <c r="Y124" s="55" t="str">
        <f ca="1"/>
        <v xml:space="preserve">Раствор 3 (жид): </v>
      </c>
      <c r="Z124" s="55" t="str">
        <f ca="1"/>
        <v xml:space="preserve">Раствор 3 (жид): </v>
      </c>
      <c r="AA124" s="55" t="str">
        <f ca="1"/>
        <v xml:space="preserve">Раствор 3 (жид): </v>
      </c>
      <c r="AB124" s="55" t="str">
        <f ca="1"/>
        <v xml:space="preserve">Раствор 3 (жид): </v>
      </c>
      <c r="AC124" s="55" t="str">
        <f ca="1"/>
        <v xml:space="preserve">Раствор 3 (жид): </v>
      </c>
      <c r="AD124" s="55" t="str">
        <f ca="1"/>
        <v xml:space="preserve">Раствор 3 (жид): </v>
      </c>
      <c r="AE124" s="55" t="str">
        <f ca="1"/>
        <v xml:space="preserve">Раствор 3 (жид): </v>
      </c>
      <c r="AF124" s="55" t="str">
        <f ca="1"/>
        <v xml:space="preserve">Раствор 3 (жид): </v>
      </c>
      <c r="AG124" s="55" t="str">
        <f ca="1"/>
        <v xml:space="preserve">Раствор 3 (жид): </v>
      </c>
      <c r="AH124" s="55" t="str">
        <f ca="1"/>
        <v xml:space="preserve">Раствор 3 (жид): </v>
      </c>
      <c r="AI124" s="55" t="str">
        <f ca="1"/>
        <v xml:space="preserve">Раствор 3 (жид): </v>
      </c>
      <c r="AJ124" s="55" t="str">
        <f ca="1"/>
        <v xml:space="preserve">Раствор 3 (жид): </v>
      </c>
      <c r="AK124" s="55" t="str">
        <f ca="1"/>
        <v xml:space="preserve">Раствор 3 (жид): </v>
      </c>
      <c r="AL124" s="55" t="str">
        <f ca="1"/>
        <v xml:space="preserve">Раствор 3 (жид): </v>
      </c>
    </row>
    <row r="125" spans="1:38" ht="21" customHeight="1" outlineLevel="1" thickBot="1" x14ac:dyDescent="0.4">
      <c r="E125" s="17" t="str">
        <f ca="1"/>
        <v xml:space="preserve">Газовая без Ar: </v>
      </c>
      <c r="F125" s="55" t="str">
        <f ca="1"/>
        <v xml:space="preserve">Газовая без Ar: </v>
      </c>
      <c r="G125" s="55" t="str">
        <f ca="1"/>
        <v xml:space="preserve">Газовая без Ar: </v>
      </c>
      <c r="H125" s="55" t="str">
        <f ca="1"/>
        <v xml:space="preserve">Газовая без Ar: </v>
      </c>
      <c r="I125" s="55" t="str">
        <f ca="1"/>
        <v xml:space="preserve">Газовая без Ar: </v>
      </c>
      <c r="J125" s="55" t="str">
        <f ca="1"/>
        <v xml:space="preserve">Газовая без Ar: </v>
      </c>
      <c r="K125" s="55" t="str">
        <f ca="1"/>
        <v xml:space="preserve">Газовая без Ar: </v>
      </c>
      <c r="L125" s="55" t="str">
        <f ca="1"/>
        <v xml:space="preserve">Газовая без Ar: </v>
      </c>
      <c r="M125" s="55" t="str">
        <f ca="1"/>
        <v xml:space="preserve">Газовая без Ar: </v>
      </c>
      <c r="N125" s="55" t="str">
        <f ca="1"/>
        <v xml:space="preserve">Газовая без Ar: </v>
      </c>
      <c r="O125" s="55" t="str">
        <f ca="1"/>
        <v xml:space="preserve">Газовая без Ar: </v>
      </c>
      <c r="P125" s="55" t="str">
        <f ca="1"/>
        <v xml:space="preserve">Газовая без Ar: </v>
      </c>
      <c r="Q125" s="55" t="str">
        <f ca="1"/>
        <v xml:space="preserve">Газовая без Ar: </v>
      </c>
      <c r="R125" s="55" t="str">
        <f ca="1"/>
        <v xml:space="preserve">Газовая без Ar: </v>
      </c>
      <c r="S125" s="55" t="str">
        <f ca="1"/>
        <v xml:space="preserve">Газовая без Ar: </v>
      </c>
      <c r="T125" s="55" t="str">
        <f ca="1"/>
        <v xml:space="preserve">Газовая без Ar: </v>
      </c>
      <c r="U125" s="55" t="str">
        <f ca="1"/>
        <v xml:space="preserve">Газовая без Ar: </v>
      </c>
      <c r="V125" s="55" t="str">
        <f ca="1"/>
        <v xml:space="preserve">Газовая без Ar: </v>
      </c>
      <c r="W125" s="55" t="str">
        <f ca="1"/>
        <v xml:space="preserve">Газовая без Ar: </v>
      </c>
      <c r="X125" s="55" t="str">
        <f ca="1"/>
        <v xml:space="preserve">Газовая без Ar: </v>
      </c>
      <c r="Y125" s="55" t="str">
        <f ca="1"/>
        <v xml:space="preserve">Газовая без Ar: </v>
      </c>
      <c r="Z125" s="55" t="str">
        <f ca="1"/>
        <v xml:space="preserve">Газовая без Ar: </v>
      </c>
      <c r="AA125" s="55" t="str">
        <f ca="1"/>
        <v xml:space="preserve">Газовая без Ar: </v>
      </c>
      <c r="AB125" s="55" t="str">
        <f ca="1"/>
        <v xml:space="preserve">Газовая без Ar: </v>
      </c>
      <c r="AC125" s="55" t="str">
        <f ca="1"/>
        <v xml:space="preserve">Газовая без Ar: </v>
      </c>
      <c r="AD125" s="55" t="str">
        <f ca="1"/>
        <v xml:space="preserve">Газовая без Ar: </v>
      </c>
      <c r="AE125" s="55" t="str">
        <f ca="1"/>
        <v xml:space="preserve">Газовая без Ar: </v>
      </c>
      <c r="AF125" s="55" t="str">
        <f ca="1"/>
        <v xml:space="preserve">Газовая без Ar: </v>
      </c>
      <c r="AG125" s="55" t="str">
        <f ca="1"/>
        <v xml:space="preserve">Газовая без Ar: </v>
      </c>
      <c r="AH125" s="55" t="str">
        <f ca="1"/>
        <v xml:space="preserve">Газовая без Ar: </v>
      </c>
      <c r="AI125" s="55" t="str">
        <f ca="1"/>
        <v xml:space="preserve">Газовая без Ar: </v>
      </c>
      <c r="AJ125" s="55" t="str">
        <f ca="1"/>
        <v xml:space="preserve">Газовая без Ar: </v>
      </c>
      <c r="AK125" s="55" t="str">
        <f ca="1"/>
        <v xml:space="preserve">Газовая без Ar: </v>
      </c>
      <c r="AL125" s="55" t="str">
        <f ca="1"/>
        <v xml:space="preserve">Газовая без Ar: </v>
      </c>
    </row>
    <row r="126" spans="1:38" ht="21" customHeight="1" outlineLevel="1" thickBot="1" x14ac:dyDescent="0.4">
      <c r="E126" s="17" t="str">
        <f ca="1"/>
        <v xml:space="preserve">Раствор 1 + газовая без Ar: </v>
      </c>
      <c r="F126" s="55" t="str">
        <f ca="1"/>
        <v xml:space="preserve">Раствор 1 + газовая без Ar: </v>
      </c>
      <c r="G126" s="55" t="str">
        <f ca="1"/>
        <v xml:space="preserve">Раствор 1 + газовая без Ar: </v>
      </c>
      <c r="H126" s="55" t="str">
        <f ca="1"/>
        <v xml:space="preserve">Раствор 1 + газовая без Ar: </v>
      </c>
      <c r="I126" s="55" t="str">
        <f ca="1"/>
        <v xml:space="preserve">Раствор 1 + газовая без Ar: </v>
      </c>
      <c r="J126" s="55" t="str">
        <f ca="1"/>
        <v xml:space="preserve">Раствор 1 + газовая без Ar: </v>
      </c>
      <c r="K126" s="55" t="str">
        <f ca="1"/>
        <v xml:space="preserve">Раствор 1 + газовая без Ar: </v>
      </c>
      <c r="L126" s="55" t="str">
        <f ca="1"/>
        <v xml:space="preserve">Раствор 1 + газовая без Ar: </v>
      </c>
      <c r="M126" s="55" t="str">
        <f ca="1"/>
        <v xml:space="preserve">Раствор 1 + газовая без Ar: </v>
      </c>
      <c r="N126" s="55" t="str">
        <f ca="1"/>
        <v xml:space="preserve">Раствор 1 + газовая без Ar: </v>
      </c>
      <c r="O126" s="55" t="str">
        <f ca="1"/>
        <v xml:space="preserve">Раствор 1 + газовая без Ar: </v>
      </c>
      <c r="P126" s="55" t="str">
        <f ca="1"/>
        <v xml:space="preserve">Раствор 1 + газовая без Ar: </v>
      </c>
      <c r="Q126" s="55" t="str">
        <f ca="1"/>
        <v xml:space="preserve">Раствор 1 + газовая без Ar: </v>
      </c>
      <c r="R126" s="55" t="str">
        <f ca="1"/>
        <v xml:space="preserve">Раствор 1 + газовая без Ar: </v>
      </c>
      <c r="S126" s="55" t="str">
        <f ca="1"/>
        <v xml:space="preserve">Раствор 1 + газовая без Ar: </v>
      </c>
      <c r="T126" s="55" t="str">
        <f ca="1"/>
        <v xml:space="preserve">Раствор 1 + газовая без Ar: </v>
      </c>
      <c r="U126" s="55" t="str">
        <f ca="1"/>
        <v xml:space="preserve">Раствор 1 + газовая без Ar: </v>
      </c>
      <c r="V126" s="55" t="str">
        <f ca="1"/>
        <v xml:space="preserve">Раствор 1 + газовая без Ar: </v>
      </c>
      <c r="W126" s="55" t="str">
        <f ca="1"/>
        <v xml:space="preserve">Раствор 1 + газовая без Ar: </v>
      </c>
      <c r="X126" s="55" t="str">
        <f ca="1"/>
        <v xml:space="preserve">Раствор 1 + газовая без Ar: </v>
      </c>
      <c r="Y126" s="55" t="str">
        <f ca="1"/>
        <v xml:space="preserve">Раствор 1 + газовая без Ar: </v>
      </c>
      <c r="Z126" s="55" t="str">
        <f ca="1"/>
        <v xml:space="preserve">Раствор 1 + газовая без Ar: </v>
      </c>
      <c r="AA126" s="55" t="str">
        <f ca="1"/>
        <v xml:space="preserve">Раствор 1 + газовая без Ar: </v>
      </c>
      <c r="AB126" s="55" t="str">
        <f ca="1"/>
        <v xml:space="preserve">Раствор 1 + газовая без Ar: </v>
      </c>
      <c r="AC126" s="55" t="str">
        <f ca="1"/>
        <v xml:space="preserve">Раствор 1 + газовая без Ar: </v>
      </c>
      <c r="AD126" s="55" t="str">
        <f ca="1"/>
        <v xml:space="preserve">Раствор 1 + газовая без Ar: </v>
      </c>
      <c r="AE126" s="55" t="str">
        <f ca="1"/>
        <v xml:space="preserve">Раствор 1 + газовая без Ar: </v>
      </c>
      <c r="AF126" s="55" t="str">
        <f ca="1"/>
        <v xml:space="preserve">Раствор 1 + газовая без Ar: </v>
      </c>
      <c r="AG126" s="55" t="str">
        <f ca="1"/>
        <v xml:space="preserve">Раствор 1 + газовая без Ar: </v>
      </c>
      <c r="AH126" s="55" t="str">
        <f ca="1"/>
        <v xml:space="preserve">Раствор 1 + газовая без Ar: </v>
      </c>
      <c r="AI126" s="55" t="str">
        <f ca="1"/>
        <v xml:space="preserve">Раствор 1 + газовая без Ar: </v>
      </c>
      <c r="AJ126" s="55" t="str">
        <f ca="1"/>
        <v xml:space="preserve">Раствор 1 + газовая без Ar: </v>
      </c>
      <c r="AK126" s="55" t="str">
        <f ca="1"/>
        <v xml:space="preserve">Раствор 1 + газовая без Ar: </v>
      </c>
      <c r="AL126" s="55" t="str">
        <f ca="1"/>
        <v xml:space="preserve">Раствор 1 + газовая без Ar: </v>
      </c>
    </row>
    <row r="127" spans="1:38" ht="21" customHeight="1" outlineLevel="1" thickBot="1" x14ac:dyDescent="0.4">
      <c r="E127" s="17" t="str">
        <f ca="1"/>
        <v xml:space="preserve">Раствор 3 + газовая без Ar: </v>
      </c>
      <c r="F127" s="55" t="str">
        <f ca="1"/>
        <v xml:space="preserve">Раствор 3 + газовая без Ar: </v>
      </c>
      <c r="G127" s="55" t="str">
        <f ca="1"/>
        <v xml:space="preserve">Раствор 3 + газовая без Ar: </v>
      </c>
      <c r="H127" s="55" t="str">
        <f ca="1"/>
        <v xml:space="preserve">Раствор 3 + газовая без Ar: </v>
      </c>
      <c r="I127" s="55" t="str">
        <f ca="1"/>
        <v xml:space="preserve">Раствор 3 + газовая без Ar: </v>
      </c>
      <c r="J127" s="55" t="str">
        <f ca="1"/>
        <v xml:space="preserve">Раствор 3 + газовая без Ar: </v>
      </c>
      <c r="K127" s="55" t="str">
        <f ca="1"/>
        <v xml:space="preserve">Раствор 3 + газовая без Ar: </v>
      </c>
      <c r="L127" s="55" t="str">
        <f ca="1"/>
        <v xml:space="preserve">Раствор 3 + газовая без Ar: </v>
      </c>
      <c r="M127" s="55" t="str">
        <f ca="1"/>
        <v xml:space="preserve">Раствор 3 + газовая без Ar: </v>
      </c>
      <c r="N127" s="55" t="str">
        <f ca="1"/>
        <v xml:space="preserve">Раствор 3 + газовая без Ar: </v>
      </c>
      <c r="O127" s="55" t="str">
        <f ca="1"/>
        <v xml:space="preserve">Раствор 3 + газовая без Ar: </v>
      </c>
      <c r="P127" s="55" t="str">
        <f ca="1"/>
        <v xml:space="preserve">Раствор 3 + газовая без Ar: </v>
      </c>
      <c r="Q127" s="55" t="str">
        <f ca="1"/>
        <v xml:space="preserve">Раствор 3 + газовая без Ar: </v>
      </c>
      <c r="R127" s="55" t="str">
        <f ca="1"/>
        <v xml:space="preserve">Раствор 3 + газовая без Ar: </v>
      </c>
      <c r="S127" s="55" t="str">
        <f ca="1"/>
        <v xml:space="preserve">Раствор 3 + газовая без Ar: </v>
      </c>
      <c r="T127" s="55" t="str">
        <f ca="1"/>
        <v xml:space="preserve">Раствор 3 + газовая без Ar: </v>
      </c>
      <c r="U127" s="55" t="str">
        <f ca="1"/>
        <v xml:space="preserve">Раствор 3 + газовая без Ar: </v>
      </c>
      <c r="V127" s="55" t="str">
        <f ca="1"/>
        <v xml:space="preserve">Раствор 3 + газовая без Ar: </v>
      </c>
      <c r="W127" s="55" t="str">
        <f ca="1"/>
        <v xml:space="preserve">Раствор 3 + газовая без Ar: </v>
      </c>
      <c r="X127" s="55" t="str">
        <f ca="1"/>
        <v xml:space="preserve">Раствор 3 + газовая без Ar: </v>
      </c>
      <c r="Y127" s="55" t="str">
        <f ca="1"/>
        <v xml:space="preserve">Раствор 3 + газовая без Ar: </v>
      </c>
      <c r="Z127" s="55" t="str">
        <f ca="1"/>
        <v xml:space="preserve">Раствор 3 + газовая без Ar: </v>
      </c>
      <c r="AA127" s="55" t="str">
        <f ca="1"/>
        <v xml:space="preserve">Раствор 3 + газовая без Ar: </v>
      </c>
      <c r="AB127" s="55" t="str">
        <f ca="1"/>
        <v xml:space="preserve">Раствор 3 + газовая без Ar: </v>
      </c>
      <c r="AC127" s="55" t="str">
        <f ca="1"/>
        <v xml:space="preserve">Раствор 3 + газовая без Ar: </v>
      </c>
      <c r="AD127" s="55" t="str">
        <f ca="1"/>
        <v xml:space="preserve">Раствор 3 + газовая без Ar: </v>
      </c>
      <c r="AE127" s="55" t="str">
        <f ca="1"/>
        <v xml:space="preserve">Раствор 3 + газовая без Ar: </v>
      </c>
      <c r="AF127" s="55" t="str">
        <f ca="1"/>
        <v xml:space="preserve">Раствор 3 + газовая без Ar: </v>
      </c>
      <c r="AG127" s="55" t="str">
        <f ca="1"/>
        <v xml:space="preserve">Раствор 3 + газовая без Ar: </v>
      </c>
      <c r="AH127" s="55" t="str">
        <f ca="1"/>
        <v xml:space="preserve">Раствор 3 + газовая без Ar: </v>
      </c>
      <c r="AI127" s="55" t="str">
        <f ca="1"/>
        <v xml:space="preserve">Раствор 3 + газовая без Ar: </v>
      </c>
      <c r="AJ127" s="55" t="str">
        <f ca="1"/>
        <v xml:space="preserve">Раствор 3 + газовая без Ar: </v>
      </c>
      <c r="AK127" s="55" t="str">
        <f ca="1"/>
        <v xml:space="preserve">Раствор 3 + газовая без Ar: </v>
      </c>
      <c r="AL127" s="55" t="str">
        <f ca="1"/>
        <v xml:space="preserve">Раствор 3 + газовая без Ar: </v>
      </c>
    </row>
    <row r="128" spans="1:38" ht="21" customHeight="1" outlineLevel="1" thickBot="1" x14ac:dyDescent="0.4">
      <c r="E128" s="17" t="str">
        <f ca="1"/>
        <v>Р1+Р3+газ без Ar</v>
      </c>
      <c r="F128" s="55" t="str">
        <f ca="1"/>
        <v>Р1+Р3+газ без Ar</v>
      </c>
      <c r="G128" s="55" t="str">
        <f ca="1"/>
        <v>Р1+Р3+газ без Ar</v>
      </c>
      <c r="H128" s="55" t="str">
        <f ca="1"/>
        <v>Р1+Р3+газ без Ar</v>
      </c>
      <c r="I128" s="55" t="str">
        <f ca="1"/>
        <v>Р1+Р3+газ без Ar</v>
      </c>
      <c r="J128" s="55" t="str">
        <f ca="1"/>
        <v>Р1+Р3+газ без Ar</v>
      </c>
      <c r="K128" s="55" t="str">
        <f ca="1"/>
        <v>Р1+Р3+газ без Ar</v>
      </c>
      <c r="L128" s="55" t="str">
        <f ca="1"/>
        <v>Р1+Р3+газ без Ar</v>
      </c>
      <c r="M128" s="55" t="str">
        <f ca="1"/>
        <v>Р1+Р3+газ без Ar</v>
      </c>
      <c r="N128" s="55" t="str">
        <f ca="1"/>
        <v>Р1+Р3+газ без Ar</v>
      </c>
      <c r="O128" s="55" t="str">
        <f ca="1"/>
        <v>Р1+Р3+газ без Ar</v>
      </c>
      <c r="P128" s="55" t="str">
        <f ca="1"/>
        <v>Р1+Р3+газ без Ar</v>
      </c>
      <c r="Q128" s="55" t="str">
        <f ca="1"/>
        <v>Р1+Р3+газ без Ar</v>
      </c>
      <c r="R128" s="55" t="str">
        <f ca="1"/>
        <v>Р1+Р3+газ без Ar</v>
      </c>
      <c r="S128" s="55" t="str">
        <f ca="1"/>
        <v>Р1+Р3+газ без Ar</v>
      </c>
      <c r="T128" s="55" t="str">
        <f ca="1"/>
        <v>Р1+Р3+газ без Ar</v>
      </c>
      <c r="U128" s="55" t="str">
        <f ca="1"/>
        <v>Р1+Р3+газ без Ar</v>
      </c>
      <c r="V128" s="55" t="str">
        <f ca="1"/>
        <v>Р1+Р3+газ без Ar</v>
      </c>
      <c r="W128" s="55" t="str">
        <f ca="1"/>
        <v>Р1+Р3+газ без Ar</v>
      </c>
      <c r="X128" s="55" t="str">
        <f ca="1"/>
        <v>Р1+Р3+газ без Ar</v>
      </c>
      <c r="Y128" s="55" t="str">
        <f ca="1"/>
        <v>Р1+Р3+газ без Ar</v>
      </c>
      <c r="Z128" s="55" t="str">
        <f ca="1"/>
        <v>Р1+Р3+газ без Ar</v>
      </c>
      <c r="AA128" s="55" t="str">
        <f ca="1"/>
        <v>Р1+Р3+газ без Ar</v>
      </c>
      <c r="AB128" s="55" t="str">
        <f ca="1"/>
        <v>Р1+Р3+газ без Ar</v>
      </c>
      <c r="AC128" s="55" t="str">
        <f ca="1"/>
        <v>Р1+Р3+газ без Ar</v>
      </c>
      <c r="AD128" s="55" t="str">
        <f ca="1"/>
        <v>Р1+Р3+газ без Ar</v>
      </c>
      <c r="AE128" s="55" t="str">
        <f ca="1"/>
        <v>Р1+Р3+газ без Ar</v>
      </c>
      <c r="AF128" s="55" t="str">
        <f ca="1"/>
        <v>Р1+Р3+газ без Ar</v>
      </c>
      <c r="AG128" s="55" t="str">
        <f ca="1"/>
        <v>Р1+Р3+газ без Ar</v>
      </c>
      <c r="AH128" s="55" t="str">
        <f ca="1"/>
        <v>Р1+Р3+газ без Ar</v>
      </c>
      <c r="AI128" s="55" t="str">
        <f ca="1"/>
        <v>Р1+Р3+газ без Ar</v>
      </c>
      <c r="AJ128" s="55" t="str">
        <f ca="1"/>
        <v>Р1+Р3+газ без Ar</v>
      </c>
      <c r="AK128" s="55" t="str">
        <f ca="1"/>
        <v>Р1+Р3+газ без Ar</v>
      </c>
      <c r="AL128" s="55" t="str">
        <f ca="1"/>
        <v>Р1+Р3+газ без Ar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13:B113"/>
    <mergeCell ref="A1:BB1"/>
  </mergeCells>
  <conditionalFormatting sqref="A4:D33">
    <cfRule type="cellIs" dxfId="9" priority="66" operator="equal">
      <formula>0</formula>
    </cfRule>
  </conditionalFormatting>
  <conditionalFormatting sqref="A80:D109">
    <cfRule type="cellIs" dxfId="8" priority="64" operator="equal">
      <formula>0</formula>
    </cfRule>
  </conditionalFormatting>
  <conditionalFormatting sqref="F32:AL32">
    <cfRule type="colorScale" priority="52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AK7">
    <cfRule type="colorScale" priority="25">
      <colorScale>
        <cfvo type="min"/>
        <cfvo type="max"/>
        <color rgb="FFFFEF9C"/>
        <color rgb="FF63BE7B"/>
      </colorScale>
    </cfRule>
  </conditionalFormatting>
  <conditionalFormatting sqref="F4:AK4">
    <cfRule type="colorScale" priority="24">
      <colorScale>
        <cfvo type="min"/>
        <cfvo type="max"/>
        <color rgb="FFFFEF9C"/>
        <color rgb="FF63BE7B"/>
      </colorScale>
    </cfRule>
  </conditionalFormatting>
  <conditionalFormatting sqref="F5:AK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AK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AK8">
    <cfRule type="colorScale" priority="19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AK9">
    <cfRule type="colorScale" priority="18">
      <colorScale>
        <cfvo type="min"/>
        <cfvo type="max"/>
        <color rgb="FFFFEF9C"/>
        <color rgb="FF63BE7B"/>
      </colorScale>
    </cfRule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AK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AK11">
    <cfRule type="colorScale" priority="16">
      <colorScale>
        <cfvo type="min"/>
        <cfvo type="max"/>
        <color rgb="FFFFEF9C"/>
        <color rgb="FF63BE7B"/>
      </colorScale>
    </cfRule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AK12">
    <cfRule type="colorScale" priority="15">
      <colorScale>
        <cfvo type="min"/>
        <cfvo type="max"/>
        <color rgb="FFFFEF9C"/>
        <color rgb="FF63BE7B"/>
      </colorScale>
    </cfRule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AK13">
    <cfRule type="colorScale" priority="14">
      <colorScale>
        <cfvo type="min"/>
        <cfvo type="max"/>
        <color rgb="FFFFEF9C"/>
        <color rgb="FF63BE7B"/>
      </colorScale>
    </cfRule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AK14">
    <cfRule type="colorScale" priority="13">
      <colorScale>
        <cfvo type="min"/>
        <cfvo type="max"/>
        <color rgb="FFFFEF9C"/>
        <color rgb="FF63BE7B"/>
      </colorScale>
    </cfRule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AK15">
    <cfRule type="colorScale" priority="12">
      <colorScale>
        <cfvo type="min"/>
        <cfvo type="max"/>
        <color rgb="FFFFEF9C"/>
        <color rgb="FF63BE7B"/>
      </colorScale>
    </cfRule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AK16">
    <cfRule type="colorScale" priority="11">
      <colorScale>
        <cfvo type="min"/>
        <cfvo type="max"/>
        <color rgb="FFFFEF9C"/>
        <color rgb="FF63BE7B"/>
      </colorScale>
    </cfRule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AK17">
    <cfRule type="colorScale" priority="10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AK18">
    <cfRule type="colorScale" priority="9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AK19">
    <cfRule type="colorScale" priority="8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19D5A7E-518A-40C7-85F9-06AF713815A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ALL!F29:AK29</xm:f>
              <xm:sqref>AL29</xm:sqref>
            </x14:sparkline>
            <x14:sparkline>
              <xm:f>ALL!F30:AK30</xm:f>
              <xm:sqref>AL30</xm:sqref>
            </x14:sparkline>
            <x14:sparkline>
              <xm:f>ALL!F31:AK31</xm:f>
              <xm:sqref>AL31</xm:sqref>
            </x14:sparkline>
            <x14:sparkline>
              <xm:f>ALL!F32:AK32</xm:f>
              <xm:sqref>AL32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BB136"/>
  <sheetViews>
    <sheetView zoomScale="85" zoomScaleNormal="85" zoomScaleSheetLayoutView="25" workbookViewId="0">
      <selection activeCell="BA13" sqref="BA13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97" t="s">
        <v>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19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0</v>
      </c>
      <c r="C4" s="44">
        <f t="shared" si="0"/>
        <v>0</v>
      </c>
      <c r="D4" s="44">
        <f t="shared" si="0"/>
        <v>0</v>
      </c>
      <c r="E4" s="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0</v>
      </c>
      <c r="D5" s="44">
        <f t="shared" si="0"/>
        <v>0</v>
      </c>
      <c r="E5" s="6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0</v>
      </c>
      <c r="C6" s="44">
        <f t="shared" si="0"/>
        <v>0</v>
      </c>
      <c r="D6" s="44">
        <f t="shared" si="0"/>
        <v>0</v>
      </c>
      <c r="E6" s="6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0</v>
      </c>
      <c r="D7" s="44">
        <f t="shared" si="0"/>
        <v>0</v>
      </c>
      <c r="E7" s="6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0</v>
      </c>
      <c r="C8" s="44">
        <f t="shared" si="0"/>
        <v>0</v>
      </c>
      <c r="D8" s="44">
        <f t="shared" si="0"/>
        <v>0</v>
      </c>
      <c r="E8" s="6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0</v>
      </c>
      <c r="C9" s="44">
        <f t="shared" si="0"/>
        <v>0</v>
      </c>
      <c r="D9" s="44">
        <f t="shared" si="0"/>
        <v>0</v>
      </c>
      <c r="E9" s="6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0</v>
      </c>
      <c r="C10" s="44">
        <f t="shared" si="0"/>
        <v>0</v>
      </c>
      <c r="D10" s="44">
        <f t="shared" si="0"/>
        <v>0</v>
      </c>
      <c r="E10" s="6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0</v>
      </c>
      <c r="C11" s="44">
        <f t="shared" si="0"/>
        <v>0</v>
      </c>
      <c r="D11" s="44">
        <f t="shared" si="0"/>
        <v>0</v>
      </c>
      <c r="E11" s="6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0</v>
      </c>
      <c r="C12" s="44">
        <f t="shared" si="0"/>
        <v>0</v>
      </c>
      <c r="D12" s="44">
        <f t="shared" si="0"/>
        <v>0</v>
      </c>
      <c r="E12" s="6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0</v>
      </c>
      <c r="C13" s="44">
        <f t="shared" si="0"/>
        <v>0</v>
      </c>
      <c r="D13" s="44">
        <f t="shared" si="0"/>
        <v>0</v>
      </c>
      <c r="E13" s="6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0</v>
      </c>
      <c r="E15" s="6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0</v>
      </c>
      <c r="D16" s="44">
        <f t="shared" si="0"/>
        <v>0</v>
      </c>
      <c r="E16" s="6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6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0</v>
      </c>
      <c r="D18" s="44">
        <f t="shared" si="0"/>
        <v>0</v>
      </c>
      <c r="E18" s="6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0</v>
      </c>
      <c r="D19" s="44">
        <f t="shared" si="0"/>
        <v>0</v>
      </c>
      <c r="E19" s="6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0</v>
      </c>
      <c r="D20" s="44">
        <f t="shared" si="1"/>
        <v>0</v>
      </c>
      <c r="E20" s="6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27</v>
      </c>
      <c r="D34" s="47">
        <v>14</v>
      </c>
      <c r="E34" s="11">
        <f ca="1">OFFSET($E$3:$AL$3,$D34,0)</f>
        <v>0</v>
      </c>
      <c r="F34" s="14">
        <f t="shared" ref="F34:AL37" ca="1" si="3">OFFSET($E$3:$AL$3,$D34,0)</f>
        <v>0</v>
      </c>
      <c r="G34" s="14">
        <f t="shared" ca="1" si="3"/>
        <v>0</v>
      </c>
      <c r="H34" s="14">
        <f t="shared" ca="1" si="3"/>
        <v>0</v>
      </c>
      <c r="I34" s="14">
        <f t="shared" ca="1" si="3"/>
        <v>0</v>
      </c>
      <c r="J34" s="14">
        <f t="shared" ca="1" si="3"/>
        <v>0</v>
      </c>
      <c r="K34" s="14">
        <f t="shared" ca="1" si="3"/>
        <v>0</v>
      </c>
      <c r="L34" s="14">
        <f t="shared" ca="1" si="3"/>
        <v>0</v>
      </c>
      <c r="M34" s="14">
        <f t="shared" ca="1" si="3"/>
        <v>0</v>
      </c>
      <c r="N34" s="14">
        <f t="shared" ca="1" si="3"/>
        <v>0</v>
      </c>
      <c r="O34" s="14">
        <f t="shared" ca="1" si="3"/>
        <v>0</v>
      </c>
      <c r="P34" s="14">
        <f t="shared" ca="1" si="3"/>
        <v>0</v>
      </c>
      <c r="Q34" s="14">
        <f t="shared" ca="1" si="3"/>
        <v>0</v>
      </c>
      <c r="R34" s="14">
        <f t="shared" ca="1" si="3"/>
        <v>0</v>
      </c>
      <c r="S34" s="14">
        <f t="shared" ca="1" si="3"/>
        <v>0</v>
      </c>
      <c r="T34" s="14">
        <f t="shared" ca="1" si="3"/>
        <v>0</v>
      </c>
      <c r="U34" s="14">
        <f t="shared" ca="1" si="3"/>
        <v>0</v>
      </c>
      <c r="V34" s="14">
        <f t="shared" ca="1" si="3"/>
        <v>0</v>
      </c>
      <c r="W34" s="14">
        <f t="shared" ca="1" si="3"/>
        <v>0</v>
      </c>
      <c r="X34" s="14">
        <f t="shared" ca="1" si="3"/>
        <v>0</v>
      </c>
      <c r="Y34" s="14">
        <f t="shared" ca="1" si="3"/>
        <v>0</v>
      </c>
      <c r="Z34" s="14">
        <f t="shared" ca="1" si="3"/>
        <v>0</v>
      </c>
      <c r="AA34" s="14">
        <f t="shared" ca="1" si="3"/>
        <v>0</v>
      </c>
      <c r="AB34" s="14">
        <f t="shared" ca="1" si="3"/>
        <v>0</v>
      </c>
      <c r="AC34" s="14">
        <f t="shared" ca="1" si="3"/>
        <v>0</v>
      </c>
      <c r="AD34" s="14">
        <f t="shared" ca="1" si="3"/>
        <v>0</v>
      </c>
      <c r="AE34" s="14">
        <f t="shared" ca="1" si="3"/>
        <v>0</v>
      </c>
      <c r="AF34" s="14">
        <f t="shared" ca="1" si="3"/>
        <v>0</v>
      </c>
      <c r="AG34" s="14">
        <f t="shared" ca="1" si="3"/>
        <v>0</v>
      </c>
      <c r="AH34" s="14">
        <f t="shared" ca="1" si="3"/>
        <v>0</v>
      </c>
      <c r="AI34" s="14">
        <f t="shared" ca="1" si="3"/>
        <v>0</v>
      </c>
      <c r="AJ34" s="14">
        <f t="shared" ca="1" si="3"/>
        <v>0</v>
      </c>
      <c r="AK34" s="14">
        <f t="shared" ca="1" si="3"/>
        <v>0</v>
      </c>
      <c r="AL34" s="14">
        <f t="shared" ca="1" si="3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 t="e">
        <f t="shared" ref="D35:D37" si="4">MATCH(C35,$E$4:$E$33)</f>
        <v>#N/A</v>
      </c>
      <c r="E35" s="11" t="e">
        <f t="shared" ref="E35:E37" ca="1" si="5">OFFSET($E$3:$AL$3,$D35,0)</f>
        <v>#N/A</v>
      </c>
      <c r="F35" s="14" t="e">
        <f t="shared" ca="1" si="3"/>
        <v>#N/A</v>
      </c>
      <c r="G35" s="14" t="e">
        <f t="shared" ca="1" si="3"/>
        <v>#N/A</v>
      </c>
      <c r="H35" s="14" t="e">
        <f t="shared" ca="1" si="3"/>
        <v>#N/A</v>
      </c>
      <c r="I35" s="14" t="e">
        <f t="shared" ca="1" si="3"/>
        <v>#N/A</v>
      </c>
      <c r="J35" s="14" t="e">
        <f t="shared" ca="1" si="3"/>
        <v>#N/A</v>
      </c>
      <c r="K35" s="14" t="e">
        <f t="shared" ca="1" si="3"/>
        <v>#N/A</v>
      </c>
      <c r="L35" s="14" t="e">
        <f t="shared" ca="1" si="3"/>
        <v>#N/A</v>
      </c>
      <c r="M35" s="14" t="e">
        <f t="shared" ca="1" si="3"/>
        <v>#N/A</v>
      </c>
      <c r="N35" s="14" t="e">
        <f t="shared" ca="1" si="3"/>
        <v>#N/A</v>
      </c>
      <c r="O35" s="14" t="e">
        <f t="shared" ca="1" si="3"/>
        <v>#N/A</v>
      </c>
      <c r="P35" s="14" t="e">
        <f t="shared" ca="1" si="3"/>
        <v>#N/A</v>
      </c>
      <c r="Q35" s="14" t="e">
        <f t="shared" ca="1" si="3"/>
        <v>#N/A</v>
      </c>
      <c r="R35" s="14" t="e">
        <f t="shared" ca="1" si="3"/>
        <v>#N/A</v>
      </c>
      <c r="S35" s="14" t="e">
        <f t="shared" ca="1" si="3"/>
        <v>#N/A</v>
      </c>
      <c r="T35" s="14" t="e">
        <f t="shared" ca="1" si="3"/>
        <v>#N/A</v>
      </c>
      <c r="U35" s="14" t="e">
        <f t="shared" ca="1" si="3"/>
        <v>#N/A</v>
      </c>
      <c r="V35" s="14" t="e">
        <f t="shared" ca="1" si="3"/>
        <v>#N/A</v>
      </c>
      <c r="W35" s="14" t="e">
        <f t="shared" ca="1" si="3"/>
        <v>#N/A</v>
      </c>
      <c r="X35" s="14" t="e">
        <f t="shared" ca="1" si="3"/>
        <v>#N/A</v>
      </c>
      <c r="Y35" s="14" t="e">
        <f t="shared" ca="1" si="3"/>
        <v>#N/A</v>
      </c>
      <c r="Z35" s="14" t="e">
        <f t="shared" ca="1" si="3"/>
        <v>#N/A</v>
      </c>
      <c r="AA35" s="14" t="e">
        <f t="shared" ca="1" si="3"/>
        <v>#N/A</v>
      </c>
      <c r="AB35" s="14" t="e">
        <f t="shared" ca="1" si="3"/>
        <v>#N/A</v>
      </c>
      <c r="AC35" s="14" t="e">
        <f t="shared" ca="1" si="3"/>
        <v>#N/A</v>
      </c>
      <c r="AD35" s="14" t="e">
        <f t="shared" ca="1" si="3"/>
        <v>#N/A</v>
      </c>
      <c r="AE35" s="14" t="e">
        <f t="shared" ca="1" si="3"/>
        <v>#N/A</v>
      </c>
      <c r="AF35" s="14" t="e">
        <f t="shared" ca="1" si="3"/>
        <v>#N/A</v>
      </c>
      <c r="AG35" s="14" t="e">
        <f t="shared" ca="1" si="3"/>
        <v>#N/A</v>
      </c>
      <c r="AH35" s="14" t="e">
        <f t="shared" ca="1" si="3"/>
        <v>#N/A</v>
      </c>
      <c r="AI35" s="14" t="e">
        <f t="shared" ca="1" si="3"/>
        <v>#N/A</v>
      </c>
      <c r="AJ35" s="14" t="e">
        <f t="shared" ca="1" si="3"/>
        <v>#N/A</v>
      </c>
      <c r="AK35" s="14" t="e">
        <f t="shared" ca="1" si="3"/>
        <v>#N/A</v>
      </c>
      <c r="AL35" s="14" t="e">
        <f t="shared" ca="1" si="3"/>
        <v>#N/A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 t="e">
        <f t="shared" si="4"/>
        <v>#N/A</v>
      </c>
      <c r="E36" s="11" t="e">
        <f t="shared" ca="1" si="5"/>
        <v>#N/A</v>
      </c>
      <c r="F36" s="14" t="e">
        <f t="shared" ca="1" si="3"/>
        <v>#N/A</v>
      </c>
      <c r="G36" s="14" t="e">
        <f t="shared" ca="1" si="3"/>
        <v>#N/A</v>
      </c>
      <c r="H36" s="14" t="e">
        <f t="shared" ca="1" si="3"/>
        <v>#N/A</v>
      </c>
      <c r="I36" s="14" t="e">
        <f t="shared" ca="1" si="3"/>
        <v>#N/A</v>
      </c>
      <c r="J36" s="14" t="e">
        <f t="shared" ca="1" si="3"/>
        <v>#N/A</v>
      </c>
      <c r="K36" s="14" t="e">
        <f t="shared" ca="1" si="3"/>
        <v>#N/A</v>
      </c>
      <c r="L36" s="14" t="e">
        <f t="shared" ca="1" si="3"/>
        <v>#N/A</v>
      </c>
      <c r="M36" s="14" t="e">
        <f t="shared" ca="1" si="3"/>
        <v>#N/A</v>
      </c>
      <c r="N36" s="14" t="e">
        <f t="shared" ca="1" si="3"/>
        <v>#N/A</v>
      </c>
      <c r="O36" s="14" t="e">
        <f t="shared" ca="1" si="3"/>
        <v>#N/A</v>
      </c>
      <c r="P36" s="14" t="e">
        <f t="shared" ca="1" si="3"/>
        <v>#N/A</v>
      </c>
      <c r="Q36" s="14" t="e">
        <f t="shared" ca="1" si="3"/>
        <v>#N/A</v>
      </c>
      <c r="R36" s="14" t="e">
        <f t="shared" ca="1" si="3"/>
        <v>#N/A</v>
      </c>
      <c r="S36" s="14" t="e">
        <f t="shared" ca="1" si="3"/>
        <v>#N/A</v>
      </c>
      <c r="T36" s="14" t="e">
        <f t="shared" ca="1" si="3"/>
        <v>#N/A</v>
      </c>
      <c r="U36" s="14" t="e">
        <f t="shared" ca="1" si="3"/>
        <v>#N/A</v>
      </c>
      <c r="V36" s="14" t="e">
        <f t="shared" ca="1" si="3"/>
        <v>#N/A</v>
      </c>
      <c r="W36" s="14" t="e">
        <f t="shared" ca="1" si="3"/>
        <v>#N/A</v>
      </c>
      <c r="X36" s="14" t="e">
        <f t="shared" ca="1" si="3"/>
        <v>#N/A</v>
      </c>
      <c r="Y36" s="14" t="e">
        <f t="shared" ca="1" si="3"/>
        <v>#N/A</v>
      </c>
      <c r="Z36" s="14" t="e">
        <f t="shared" ca="1" si="3"/>
        <v>#N/A</v>
      </c>
      <c r="AA36" s="14" t="e">
        <f t="shared" ca="1" si="3"/>
        <v>#N/A</v>
      </c>
      <c r="AB36" s="14" t="e">
        <f t="shared" ca="1" si="3"/>
        <v>#N/A</v>
      </c>
      <c r="AC36" s="14" t="e">
        <f t="shared" ca="1" si="3"/>
        <v>#N/A</v>
      </c>
      <c r="AD36" s="14" t="e">
        <f t="shared" ca="1" si="3"/>
        <v>#N/A</v>
      </c>
      <c r="AE36" s="14" t="e">
        <f t="shared" ca="1" si="3"/>
        <v>#N/A</v>
      </c>
      <c r="AF36" s="14" t="e">
        <f t="shared" ca="1" si="3"/>
        <v>#N/A</v>
      </c>
      <c r="AG36" s="14" t="e">
        <f t="shared" ca="1" si="3"/>
        <v>#N/A</v>
      </c>
      <c r="AH36" s="14" t="e">
        <f t="shared" ca="1" si="3"/>
        <v>#N/A</v>
      </c>
      <c r="AI36" s="14" t="e">
        <f t="shared" ca="1" si="3"/>
        <v>#N/A</v>
      </c>
      <c r="AJ36" s="14" t="e">
        <f t="shared" ca="1" si="3"/>
        <v>#N/A</v>
      </c>
      <c r="AK36" s="14" t="e">
        <f t="shared" ca="1" si="3"/>
        <v>#N/A</v>
      </c>
      <c r="AL36" s="14" t="e">
        <f t="shared" ca="1" si="3"/>
        <v>#N/A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 t="e">
        <f t="shared" si="4"/>
        <v>#N/A</v>
      </c>
      <c r="E37" s="11" t="e">
        <f t="shared" ca="1" si="5"/>
        <v>#N/A</v>
      </c>
      <c r="F37" s="14" t="e">
        <f t="shared" ca="1" si="3"/>
        <v>#N/A</v>
      </c>
      <c r="G37" s="14" t="e">
        <f t="shared" ca="1" si="3"/>
        <v>#N/A</v>
      </c>
      <c r="H37" s="14" t="e">
        <f t="shared" ca="1" si="3"/>
        <v>#N/A</v>
      </c>
      <c r="I37" s="14" t="e">
        <f t="shared" ca="1" si="3"/>
        <v>#N/A</v>
      </c>
      <c r="J37" s="14" t="e">
        <f t="shared" ca="1" si="3"/>
        <v>#N/A</v>
      </c>
      <c r="K37" s="14" t="e">
        <f t="shared" ca="1" si="3"/>
        <v>#N/A</v>
      </c>
      <c r="L37" s="14" t="e">
        <f t="shared" ca="1" si="3"/>
        <v>#N/A</v>
      </c>
      <c r="M37" s="14" t="e">
        <f t="shared" ca="1" si="3"/>
        <v>#N/A</v>
      </c>
      <c r="N37" s="14" t="e">
        <f t="shared" ca="1" si="3"/>
        <v>#N/A</v>
      </c>
      <c r="O37" s="14" t="e">
        <f t="shared" ca="1" si="3"/>
        <v>#N/A</v>
      </c>
      <c r="P37" s="14" t="e">
        <f t="shared" ca="1" si="3"/>
        <v>#N/A</v>
      </c>
      <c r="Q37" s="14" t="e">
        <f t="shared" ca="1" si="3"/>
        <v>#N/A</v>
      </c>
      <c r="R37" s="14" t="e">
        <f t="shared" ca="1" si="3"/>
        <v>#N/A</v>
      </c>
      <c r="S37" s="14" t="e">
        <f t="shared" ca="1" si="3"/>
        <v>#N/A</v>
      </c>
      <c r="T37" s="14" t="e">
        <f t="shared" ca="1" si="3"/>
        <v>#N/A</v>
      </c>
      <c r="U37" s="14" t="e">
        <f t="shared" ca="1" si="3"/>
        <v>#N/A</v>
      </c>
      <c r="V37" s="14" t="e">
        <f t="shared" ca="1" si="3"/>
        <v>#N/A</v>
      </c>
      <c r="W37" s="14" t="e">
        <f t="shared" ca="1" si="3"/>
        <v>#N/A</v>
      </c>
      <c r="X37" s="14" t="e">
        <f t="shared" ca="1" si="3"/>
        <v>#N/A</v>
      </c>
      <c r="Y37" s="14" t="e">
        <f t="shared" ca="1" si="3"/>
        <v>#N/A</v>
      </c>
      <c r="Z37" s="14" t="e">
        <f t="shared" ca="1" si="3"/>
        <v>#N/A</v>
      </c>
      <c r="AA37" s="14" t="e">
        <f t="shared" ca="1" si="3"/>
        <v>#N/A</v>
      </c>
      <c r="AB37" s="14" t="e">
        <f t="shared" ca="1" si="3"/>
        <v>#N/A</v>
      </c>
      <c r="AC37" s="14" t="e">
        <f t="shared" ca="1" si="3"/>
        <v>#N/A</v>
      </c>
      <c r="AD37" s="14" t="e">
        <f t="shared" ca="1" si="3"/>
        <v>#N/A</v>
      </c>
      <c r="AE37" s="14" t="e">
        <f t="shared" ca="1" si="3"/>
        <v>#N/A</v>
      </c>
      <c r="AF37" s="14" t="e">
        <f t="shared" ca="1" si="3"/>
        <v>#N/A</v>
      </c>
      <c r="AG37" s="14" t="e">
        <f t="shared" ca="1" si="3"/>
        <v>#N/A</v>
      </c>
      <c r="AH37" s="14" t="e">
        <f t="shared" ca="1" si="3"/>
        <v>#N/A</v>
      </c>
      <c r="AI37" s="14" t="e">
        <f t="shared" ca="1" si="3"/>
        <v>#N/A</v>
      </c>
      <c r="AJ37" s="14" t="e">
        <f t="shared" ca="1" si="3"/>
        <v>#N/A</v>
      </c>
      <c r="AK37" s="14" t="e">
        <f t="shared" ca="1" si="3"/>
        <v>#N/A</v>
      </c>
      <c r="AL37" s="14" t="e">
        <f t="shared" ca="1" si="3"/>
        <v>#N/A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20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AL40" si="6">G3</f>
        <v>0</v>
      </c>
      <c r="H40" s="8">
        <f t="shared" si="6"/>
        <v>0</v>
      </c>
      <c r="I40" s="8">
        <f t="shared" si="6"/>
        <v>0</v>
      </c>
      <c r="J40" s="8">
        <f t="shared" si="6"/>
        <v>0</v>
      </c>
      <c r="K40" s="8">
        <f t="shared" si="6"/>
        <v>0</v>
      </c>
      <c r="L40" s="8">
        <f t="shared" si="6"/>
        <v>0</v>
      </c>
      <c r="M40" s="8">
        <f t="shared" si="6"/>
        <v>0</v>
      </c>
      <c r="N40" s="8">
        <f t="shared" si="6"/>
        <v>0</v>
      </c>
      <c r="O40" s="8">
        <f t="shared" si="6"/>
        <v>0</v>
      </c>
      <c r="P40" s="8">
        <f t="shared" si="6"/>
        <v>0</v>
      </c>
      <c r="Q40" s="8">
        <f t="shared" si="6"/>
        <v>0</v>
      </c>
      <c r="R40" s="8">
        <f t="shared" si="6"/>
        <v>0</v>
      </c>
      <c r="S40" s="8">
        <f t="shared" si="6"/>
        <v>0</v>
      </c>
      <c r="T40" s="8">
        <f t="shared" si="6"/>
        <v>0</v>
      </c>
      <c r="U40" s="8">
        <f t="shared" si="6"/>
        <v>0</v>
      </c>
      <c r="V40" s="8">
        <f t="shared" si="6"/>
        <v>0</v>
      </c>
      <c r="W40" s="8">
        <f t="shared" si="6"/>
        <v>0</v>
      </c>
      <c r="X40" s="8">
        <f t="shared" si="6"/>
        <v>0</v>
      </c>
      <c r="Y40" s="8">
        <f t="shared" si="6"/>
        <v>0</v>
      </c>
      <c r="Z40" s="8">
        <f t="shared" si="6"/>
        <v>0</v>
      </c>
      <c r="AA40" s="8">
        <f t="shared" si="6"/>
        <v>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AL41" ca="1" si="7">($B$41*H.Ge+$C$41*H.Ga+$D$41*H.Se)*F$40*$B$2/1000</f>
        <v>#DIV/0!</v>
      </c>
      <c r="G41" s="10" t="e">
        <f t="shared" ca="1" si="7"/>
        <v>#DIV/0!</v>
      </c>
      <c r="H41" s="10" t="e">
        <f t="shared" ca="1" si="7"/>
        <v>#DIV/0!</v>
      </c>
      <c r="I41" s="10" t="e">
        <f t="shared" ca="1" si="7"/>
        <v>#DIV/0!</v>
      </c>
      <c r="J41" s="10" t="e">
        <f t="shared" ca="1" si="7"/>
        <v>#DIV/0!</v>
      </c>
      <c r="K41" s="10" t="e">
        <f t="shared" ca="1" si="7"/>
        <v>#DIV/0!</v>
      </c>
      <c r="L41" s="10" t="e">
        <f t="shared" ca="1" si="7"/>
        <v>#DIV/0!</v>
      </c>
      <c r="M41" s="10" t="e">
        <f t="shared" ca="1" si="7"/>
        <v>#DIV/0!</v>
      </c>
      <c r="N41" s="10" t="e">
        <f t="shared" ca="1" si="7"/>
        <v>#DIV/0!</v>
      </c>
      <c r="O41" s="10" t="e">
        <f t="shared" ca="1" si="7"/>
        <v>#DIV/0!</v>
      </c>
      <c r="P41" s="10" t="e">
        <f t="shared" ca="1" si="7"/>
        <v>#DIV/0!</v>
      </c>
      <c r="Q41" s="10" t="e">
        <f t="shared" ca="1" si="7"/>
        <v>#DIV/0!</v>
      </c>
      <c r="R41" s="10" t="e">
        <f t="shared" ca="1" si="7"/>
        <v>#DIV/0!</v>
      </c>
      <c r="S41" s="10" t="e">
        <f t="shared" ca="1" si="7"/>
        <v>#DIV/0!</v>
      </c>
      <c r="T41" s="10" t="e">
        <f t="shared" ca="1" si="7"/>
        <v>#DIV/0!</v>
      </c>
      <c r="U41" s="10" t="e">
        <f t="shared" ca="1" si="7"/>
        <v>#DIV/0!</v>
      </c>
      <c r="V41" s="10" t="e">
        <f t="shared" ca="1" si="7"/>
        <v>#DIV/0!</v>
      </c>
      <c r="W41" s="10" t="e">
        <f t="shared" ca="1" si="7"/>
        <v>#DIV/0!</v>
      </c>
      <c r="X41" s="10" t="e">
        <f t="shared" ca="1" si="7"/>
        <v>#DIV/0!</v>
      </c>
      <c r="Y41" s="10" t="e">
        <f t="shared" ca="1" si="7"/>
        <v>#DIV/0!</v>
      </c>
      <c r="Z41" s="10" t="e">
        <f t="shared" ca="1" si="7"/>
        <v>#DIV/0!</v>
      </c>
      <c r="AA41" s="10" t="e">
        <f t="shared" ca="1" si="7"/>
        <v>#DIV/0!</v>
      </c>
      <c r="AB41" s="10" t="e">
        <f t="shared" ca="1" si="7"/>
        <v>#DIV/0!</v>
      </c>
      <c r="AC41" s="10" t="e">
        <f t="shared" ca="1" si="7"/>
        <v>#DIV/0!</v>
      </c>
      <c r="AD41" s="10" t="e">
        <f t="shared" ca="1" si="7"/>
        <v>#DIV/0!</v>
      </c>
      <c r="AE41" s="10" t="e">
        <f t="shared" ca="1" si="7"/>
        <v>#DIV/0!</v>
      </c>
      <c r="AF41" s="10" t="e">
        <f t="shared" ca="1" si="7"/>
        <v>#DIV/0!</v>
      </c>
      <c r="AG41" s="10" t="e">
        <f t="shared" ca="1" si="7"/>
        <v>#DIV/0!</v>
      </c>
      <c r="AH41" s="10" t="e">
        <f t="shared" ca="1" si="7"/>
        <v>#DIV/0!</v>
      </c>
      <c r="AI41" s="10" t="e">
        <f t="shared" ca="1" si="7"/>
        <v>#DIV/0!</v>
      </c>
      <c r="AJ41" s="10" t="e">
        <f t="shared" ca="1" si="7"/>
        <v>#DIV/0!</v>
      </c>
      <c r="AK41" s="10" t="e">
        <f t="shared" ca="1" si="7"/>
        <v>#DIV/0!</v>
      </c>
      <c r="AL41" s="10" t="e">
        <f t="shared" ca="1" si="7"/>
        <v>#DIV/0!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x14ac:dyDescent="0.4">
      <c r="A44" s="75"/>
      <c r="B44" s="75"/>
      <c r="C44" s="75"/>
      <c r="D44" s="75"/>
      <c r="E44" s="74" t="s">
        <v>21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8">E3</f>
        <v>0</v>
      </c>
      <c r="F45" s="3">
        <f t="shared" si="8"/>
        <v>0</v>
      </c>
      <c r="G45" s="3">
        <f t="shared" si="8"/>
        <v>0</v>
      </c>
      <c r="H45" s="3">
        <f t="shared" si="8"/>
        <v>0</v>
      </c>
      <c r="I45" s="3">
        <f t="shared" si="8"/>
        <v>0</v>
      </c>
      <c r="J45" s="3">
        <f t="shared" si="8"/>
        <v>0</v>
      </c>
      <c r="K45" s="3">
        <f t="shared" si="8"/>
        <v>0</v>
      </c>
      <c r="L45" s="3">
        <f t="shared" si="8"/>
        <v>0</v>
      </c>
      <c r="M45" s="3">
        <f t="shared" si="8"/>
        <v>0</v>
      </c>
      <c r="N45" s="3">
        <f t="shared" si="8"/>
        <v>0</v>
      </c>
      <c r="O45" s="3">
        <f t="shared" si="8"/>
        <v>0</v>
      </c>
      <c r="P45" s="3">
        <f t="shared" si="8"/>
        <v>0</v>
      </c>
      <c r="Q45" s="3">
        <f t="shared" si="8"/>
        <v>0</v>
      </c>
      <c r="R45" s="3">
        <f t="shared" si="8"/>
        <v>0</v>
      </c>
      <c r="S45" s="3">
        <f t="shared" si="8"/>
        <v>0</v>
      </c>
      <c r="T45" s="3">
        <f t="shared" si="8"/>
        <v>0</v>
      </c>
      <c r="U45" s="3">
        <f t="shared" si="8"/>
        <v>0</v>
      </c>
      <c r="V45" s="3">
        <f t="shared" si="8"/>
        <v>0</v>
      </c>
      <c r="W45" s="3">
        <f t="shared" si="8"/>
        <v>0</v>
      </c>
      <c r="X45" s="3">
        <f t="shared" si="8"/>
        <v>0</v>
      </c>
      <c r="Y45" s="3">
        <f t="shared" si="8"/>
        <v>0</v>
      </c>
      <c r="Z45" s="3">
        <f t="shared" si="8"/>
        <v>0</v>
      </c>
      <c r="AA45" s="3">
        <f t="shared" si="8"/>
        <v>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hidden="1" customHeight="1" outlineLevel="1" thickTop="1" thickBot="1" x14ac:dyDescent="0.4">
      <c r="A46" s="5">
        <f t="shared" ref="A46:E55" si="9">A4</f>
        <v>0</v>
      </c>
      <c r="B46" s="5">
        <f t="shared" si="9"/>
        <v>0</v>
      </c>
      <c r="C46" s="5">
        <f t="shared" si="9"/>
        <v>0</v>
      </c>
      <c r="D46" s="5">
        <f t="shared" si="9"/>
        <v>0</v>
      </c>
      <c r="E46" s="6">
        <f t="shared" si="9"/>
        <v>0</v>
      </c>
      <c r="F46" s="14" t="e">
        <f t="shared" ref="F46:U55" ca="1" si="10">$A46*H.Ar + $B46*H.Se + $C46*H.Ge + $D46*H.Ga</f>
        <v>#N/A</v>
      </c>
      <c r="G46" s="14" t="e">
        <f t="shared" ca="1" si="10"/>
        <v>#N/A</v>
      </c>
      <c r="H46" s="14" t="e">
        <f t="shared" ca="1" si="10"/>
        <v>#N/A</v>
      </c>
      <c r="I46" s="14" t="e">
        <f t="shared" ca="1" si="10"/>
        <v>#N/A</v>
      </c>
      <c r="J46" s="14" t="e">
        <f t="shared" ca="1" si="10"/>
        <v>#N/A</v>
      </c>
      <c r="K46" s="14" t="e">
        <f t="shared" ca="1" si="10"/>
        <v>#N/A</v>
      </c>
      <c r="L46" s="14" t="e">
        <f t="shared" ca="1" si="10"/>
        <v>#N/A</v>
      </c>
      <c r="M46" s="14" t="e">
        <f t="shared" ca="1" si="10"/>
        <v>#N/A</v>
      </c>
      <c r="N46" s="14" t="e">
        <f t="shared" ca="1" si="10"/>
        <v>#N/A</v>
      </c>
      <c r="O46" s="14" t="e">
        <f t="shared" ca="1" si="10"/>
        <v>#N/A</v>
      </c>
      <c r="P46" s="14" t="e">
        <f t="shared" ca="1" si="10"/>
        <v>#N/A</v>
      </c>
      <c r="Q46" s="14" t="e">
        <f t="shared" ca="1" si="10"/>
        <v>#N/A</v>
      </c>
      <c r="R46" s="14" t="e">
        <f t="shared" ca="1" si="10"/>
        <v>#N/A</v>
      </c>
      <c r="S46" s="14" t="e">
        <f t="shared" ca="1" si="10"/>
        <v>#N/A</v>
      </c>
      <c r="T46" s="14" t="e">
        <f t="shared" ca="1" si="10"/>
        <v>#N/A</v>
      </c>
      <c r="U46" s="14" t="e">
        <f t="shared" ca="1" si="10"/>
        <v>#N/A</v>
      </c>
      <c r="V46" s="14" t="e">
        <f t="shared" ref="V46:AL46" ca="1" si="11">$A46*H.Ar + $B46*H.Se + $C46*H.Ge + $D46*H.Ga</f>
        <v>#N/A</v>
      </c>
      <c r="W46" s="14" t="e">
        <f t="shared" ca="1" si="11"/>
        <v>#N/A</v>
      </c>
      <c r="X46" s="14" t="e">
        <f t="shared" ca="1" si="11"/>
        <v>#N/A</v>
      </c>
      <c r="Y46" s="14" t="e">
        <f t="shared" ca="1" si="11"/>
        <v>#N/A</v>
      </c>
      <c r="Z46" s="14" t="e">
        <f t="shared" ca="1" si="11"/>
        <v>#N/A</v>
      </c>
      <c r="AA46" s="14" t="e">
        <f t="shared" ca="1" si="11"/>
        <v>#N/A</v>
      </c>
      <c r="AB46" s="14" t="e">
        <f t="shared" ca="1" si="11"/>
        <v>#N/A</v>
      </c>
      <c r="AC46" s="14" t="e">
        <f t="shared" ca="1" si="11"/>
        <v>#N/A</v>
      </c>
      <c r="AD46" s="14" t="e">
        <f t="shared" ca="1" si="11"/>
        <v>#N/A</v>
      </c>
      <c r="AE46" s="14" t="e">
        <f t="shared" ca="1" si="11"/>
        <v>#N/A</v>
      </c>
      <c r="AF46" s="14" t="e">
        <f t="shared" ca="1" si="11"/>
        <v>#N/A</v>
      </c>
      <c r="AG46" s="14" t="e">
        <f t="shared" ca="1" si="11"/>
        <v>#N/A</v>
      </c>
      <c r="AH46" s="14" t="e">
        <f t="shared" ca="1" si="11"/>
        <v>#N/A</v>
      </c>
      <c r="AI46" s="14" t="e">
        <f t="shared" ca="1" si="11"/>
        <v>#N/A</v>
      </c>
      <c r="AJ46" s="14" t="e">
        <f t="shared" ca="1" si="11"/>
        <v>#N/A</v>
      </c>
      <c r="AK46" s="14" t="e">
        <f t="shared" ca="1" si="11"/>
        <v>#N/A</v>
      </c>
      <c r="AL46" s="14" t="e">
        <f t="shared" ca="1" si="11"/>
        <v>#N/A</v>
      </c>
    </row>
    <row r="47" spans="1:54" ht="21" hidden="1" customHeight="1" outlineLevel="1" thickBot="1" x14ac:dyDescent="0.4">
      <c r="A47" s="5">
        <f t="shared" si="9"/>
        <v>0</v>
      </c>
      <c r="B47" s="5">
        <f t="shared" si="9"/>
        <v>0</v>
      </c>
      <c r="C47" s="5">
        <f t="shared" si="9"/>
        <v>0</v>
      </c>
      <c r="D47" s="5">
        <f t="shared" si="9"/>
        <v>0</v>
      </c>
      <c r="E47" s="6">
        <f t="shared" si="9"/>
        <v>0</v>
      </c>
      <c r="F47" s="14" t="e">
        <f t="shared" ca="1" si="10"/>
        <v>#N/A</v>
      </c>
      <c r="G47" s="14" t="e">
        <f t="shared" ref="G47:AL54" ca="1" si="12">$A47*H.Ar + $B47*H.Se + $C47*H.Ge + $D47*H.Ga</f>
        <v>#N/A</v>
      </c>
      <c r="H47" s="14" t="e">
        <f t="shared" ca="1" si="12"/>
        <v>#N/A</v>
      </c>
      <c r="I47" s="14" t="e">
        <f t="shared" ca="1" si="12"/>
        <v>#N/A</v>
      </c>
      <c r="J47" s="14" t="e">
        <f t="shared" ca="1" si="12"/>
        <v>#N/A</v>
      </c>
      <c r="K47" s="14" t="e">
        <f t="shared" ca="1" si="12"/>
        <v>#N/A</v>
      </c>
      <c r="L47" s="14" t="e">
        <f t="shared" ca="1" si="12"/>
        <v>#N/A</v>
      </c>
      <c r="M47" s="14" t="e">
        <f t="shared" ca="1" si="12"/>
        <v>#N/A</v>
      </c>
      <c r="N47" s="14" t="e">
        <f t="shared" ca="1" si="12"/>
        <v>#N/A</v>
      </c>
      <c r="O47" s="14" t="e">
        <f t="shared" ca="1" si="12"/>
        <v>#N/A</v>
      </c>
      <c r="P47" s="14" t="e">
        <f t="shared" ca="1" si="12"/>
        <v>#N/A</v>
      </c>
      <c r="Q47" s="14" t="e">
        <f t="shared" ca="1" si="12"/>
        <v>#N/A</v>
      </c>
      <c r="R47" s="14" t="e">
        <f t="shared" ca="1" si="12"/>
        <v>#N/A</v>
      </c>
      <c r="S47" s="14" t="e">
        <f t="shared" ca="1" si="12"/>
        <v>#N/A</v>
      </c>
      <c r="T47" s="14" t="e">
        <f t="shared" ca="1" si="12"/>
        <v>#N/A</v>
      </c>
      <c r="U47" s="14" t="e">
        <f t="shared" ca="1" si="12"/>
        <v>#N/A</v>
      </c>
      <c r="V47" s="14" t="e">
        <f t="shared" ca="1" si="12"/>
        <v>#N/A</v>
      </c>
      <c r="W47" s="14" t="e">
        <f t="shared" ca="1" si="12"/>
        <v>#N/A</v>
      </c>
      <c r="X47" s="14" t="e">
        <f t="shared" ca="1" si="12"/>
        <v>#N/A</v>
      </c>
      <c r="Y47" s="14" t="e">
        <f t="shared" ca="1" si="12"/>
        <v>#N/A</v>
      </c>
      <c r="Z47" s="14" t="e">
        <f t="shared" ca="1" si="12"/>
        <v>#N/A</v>
      </c>
      <c r="AA47" s="14" t="e">
        <f t="shared" ca="1" si="12"/>
        <v>#N/A</v>
      </c>
      <c r="AB47" s="14" t="e">
        <f t="shared" ca="1" si="12"/>
        <v>#N/A</v>
      </c>
      <c r="AC47" s="14" t="e">
        <f t="shared" ca="1" si="12"/>
        <v>#N/A</v>
      </c>
      <c r="AD47" s="14" t="e">
        <f t="shared" ca="1" si="12"/>
        <v>#N/A</v>
      </c>
      <c r="AE47" s="14" t="e">
        <f t="shared" ca="1" si="12"/>
        <v>#N/A</v>
      </c>
      <c r="AF47" s="14" t="e">
        <f t="shared" ca="1" si="12"/>
        <v>#N/A</v>
      </c>
      <c r="AG47" s="14" t="e">
        <f t="shared" ca="1" si="12"/>
        <v>#N/A</v>
      </c>
      <c r="AH47" s="14" t="e">
        <f t="shared" ca="1" si="12"/>
        <v>#N/A</v>
      </c>
      <c r="AI47" s="14" t="e">
        <f t="shared" ca="1" si="12"/>
        <v>#N/A</v>
      </c>
      <c r="AJ47" s="14" t="e">
        <f t="shared" ca="1" si="12"/>
        <v>#N/A</v>
      </c>
      <c r="AK47" s="14" t="e">
        <f t="shared" ca="1" si="12"/>
        <v>#N/A</v>
      </c>
      <c r="AL47" s="14" t="e">
        <f t="shared" ca="1" si="12"/>
        <v>#N/A</v>
      </c>
    </row>
    <row r="48" spans="1:54" ht="21" hidden="1" customHeight="1" outlineLevel="1" thickBot="1" x14ac:dyDescent="0.4">
      <c r="A48" s="5">
        <f t="shared" si="9"/>
        <v>0</v>
      </c>
      <c r="B48" s="5">
        <f t="shared" si="9"/>
        <v>0</v>
      </c>
      <c r="C48" s="5">
        <f t="shared" si="9"/>
        <v>0</v>
      </c>
      <c r="D48" s="5">
        <f t="shared" si="9"/>
        <v>0</v>
      </c>
      <c r="E48" s="6">
        <f t="shared" si="9"/>
        <v>0</v>
      </c>
      <c r="F48" s="14" t="e">
        <f t="shared" ca="1" si="10"/>
        <v>#N/A</v>
      </c>
      <c r="G48" s="14" t="e">
        <f t="shared" ca="1" si="12"/>
        <v>#N/A</v>
      </c>
      <c r="H48" s="14" t="e">
        <f t="shared" ca="1" si="12"/>
        <v>#N/A</v>
      </c>
      <c r="I48" s="14" t="e">
        <f t="shared" ca="1" si="12"/>
        <v>#N/A</v>
      </c>
      <c r="J48" s="14" t="e">
        <f t="shared" ca="1" si="12"/>
        <v>#N/A</v>
      </c>
      <c r="K48" s="14" t="e">
        <f t="shared" ca="1" si="12"/>
        <v>#N/A</v>
      </c>
      <c r="L48" s="14" t="e">
        <f t="shared" ca="1" si="12"/>
        <v>#N/A</v>
      </c>
      <c r="M48" s="14" t="e">
        <f t="shared" ca="1" si="12"/>
        <v>#N/A</v>
      </c>
      <c r="N48" s="14" t="e">
        <f t="shared" ca="1" si="12"/>
        <v>#N/A</v>
      </c>
      <c r="O48" s="14" t="e">
        <f t="shared" ca="1" si="12"/>
        <v>#N/A</v>
      </c>
      <c r="P48" s="14" t="e">
        <f t="shared" ca="1" si="12"/>
        <v>#N/A</v>
      </c>
      <c r="Q48" s="14" t="e">
        <f t="shared" ca="1" si="12"/>
        <v>#N/A</v>
      </c>
      <c r="R48" s="14" t="e">
        <f t="shared" ca="1" si="12"/>
        <v>#N/A</v>
      </c>
      <c r="S48" s="14" t="e">
        <f t="shared" ca="1" si="12"/>
        <v>#N/A</v>
      </c>
      <c r="T48" s="14" t="e">
        <f t="shared" ca="1" si="12"/>
        <v>#N/A</v>
      </c>
      <c r="U48" s="14" t="e">
        <f t="shared" ca="1" si="12"/>
        <v>#N/A</v>
      </c>
      <c r="V48" s="14" t="e">
        <f t="shared" ca="1" si="12"/>
        <v>#N/A</v>
      </c>
      <c r="W48" s="14" t="e">
        <f t="shared" ca="1" si="12"/>
        <v>#N/A</v>
      </c>
      <c r="X48" s="14" t="e">
        <f t="shared" ca="1" si="12"/>
        <v>#N/A</v>
      </c>
      <c r="Y48" s="14" t="e">
        <f t="shared" ca="1" si="12"/>
        <v>#N/A</v>
      </c>
      <c r="Z48" s="14" t="e">
        <f t="shared" ca="1" si="12"/>
        <v>#N/A</v>
      </c>
      <c r="AA48" s="14" t="e">
        <f t="shared" ca="1" si="12"/>
        <v>#N/A</v>
      </c>
      <c r="AB48" s="14" t="e">
        <f t="shared" ca="1" si="12"/>
        <v>#N/A</v>
      </c>
      <c r="AC48" s="14" t="e">
        <f t="shared" ca="1" si="12"/>
        <v>#N/A</v>
      </c>
      <c r="AD48" s="14" t="e">
        <f t="shared" ca="1" si="12"/>
        <v>#N/A</v>
      </c>
      <c r="AE48" s="14" t="e">
        <f t="shared" ca="1" si="12"/>
        <v>#N/A</v>
      </c>
      <c r="AF48" s="14" t="e">
        <f t="shared" ca="1" si="12"/>
        <v>#N/A</v>
      </c>
      <c r="AG48" s="14" t="e">
        <f t="shared" ca="1" si="12"/>
        <v>#N/A</v>
      </c>
      <c r="AH48" s="14" t="e">
        <f t="shared" ca="1" si="12"/>
        <v>#N/A</v>
      </c>
      <c r="AI48" s="14" t="e">
        <f t="shared" ca="1" si="12"/>
        <v>#N/A</v>
      </c>
      <c r="AJ48" s="14" t="e">
        <f t="shared" ca="1" si="12"/>
        <v>#N/A</v>
      </c>
      <c r="AK48" s="14" t="e">
        <f t="shared" ca="1" si="12"/>
        <v>#N/A</v>
      </c>
      <c r="AL48" s="14" t="e">
        <f t="shared" ca="1" si="12"/>
        <v>#N/A</v>
      </c>
    </row>
    <row r="49" spans="1:38" ht="21" hidden="1" customHeight="1" outlineLevel="1" thickBot="1" x14ac:dyDescent="0.4">
      <c r="A49" s="5">
        <f t="shared" si="9"/>
        <v>0</v>
      </c>
      <c r="B49" s="5">
        <f t="shared" si="9"/>
        <v>0</v>
      </c>
      <c r="C49" s="5">
        <f t="shared" si="9"/>
        <v>0</v>
      </c>
      <c r="D49" s="5">
        <f t="shared" si="9"/>
        <v>0</v>
      </c>
      <c r="E49" s="6">
        <f t="shared" si="9"/>
        <v>0</v>
      </c>
      <c r="F49" s="14" t="e">
        <f t="shared" ca="1" si="10"/>
        <v>#N/A</v>
      </c>
      <c r="G49" s="14" t="e">
        <f t="shared" ca="1" si="12"/>
        <v>#N/A</v>
      </c>
      <c r="H49" s="14" t="e">
        <f t="shared" ca="1" si="12"/>
        <v>#N/A</v>
      </c>
      <c r="I49" s="14" t="e">
        <f t="shared" ca="1" si="12"/>
        <v>#N/A</v>
      </c>
      <c r="J49" s="14" t="e">
        <f t="shared" ca="1" si="12"/>
        <v>#N/A</v>
      </c>
      <c r="K49" s="14" t="e">
        <f t="shared" ca="1" si="12"/>
        <v>#N/A</v>
      </c>
      <c r="L49" s="14" t="e">
        <f t="shared" ca="1" si="12"/>
        <v>#N/A</v>
      </c>
      <c r="M49" s="14" t="e">
        <f t="shared" ca="1" si="12"/>
        <v>#N/A</v>
      </c>
      <c r="N49" s="14" t="e">
        <f t="shared" ca="1" si="12"/>
        <v>#N/A</v>
      </c>
      <c r="O49" s="14" t="e">
        <f t="shared" ca="1" si="12"/>
        <v>#N/A</v>
      </c>
      <c r="P49" s="14" t="e">
        <f t="shared" ca="1" si="12"/>
        <v>#N/A</v>
      </c>
      <c r="Q49" s="14" t="e">
        <f t="shared" ca="1" si="12"/>
        <v>#N/A</v>
      </c>
      <c r="R49" s="14" t="e">
        <f t="shared" ca="1" si="12"/>
        <v>#N/A</v>
      </c>
      <c r="S49" s="14" t="e">
        <f t="shared" ca="1" si="12"/>
        <v>#N/A</v>
      </c>
      <c r="T49" s="14" t="e">
        <f t="shared" ca="1" si="12"/>
        <v>#N/A</v>
      </c>
      <c r="U49" s="14" t="e">
        <f t="shared" ca="1" si="12"/>
        <v>#N/A</v>
      </c>
      <c r="V49" s="14" t="e">
        <f t="shared" ca="1" si="12"/>
        <v>#N/A</v>
      </c>
      <c r="W49" s="14" t="e">
        <f t="shared" ca="1" si="12"/>
        <v>#N/A</v>
      </c>
      <c r="X49" s="14" t="e">
        <f t="shared" ca="1" si="12"/>
        <v>#N/A</v>
      </c>
      <c r="Y49" s="14" t="e">
        <f t="shared" ca="1" si="12"/>
        <v>#N/A</v>
      </c>
      <c r="Z49" s="14" t="e">
        <f t="shared" ca="1" si="12"/>
        <v>#N/A</v>
      </c>
      <c r="AA49" s="14" t="e">
        <f t="shared" ca="1" si="12"/>
        <v>#N/A</v>
      </c>
      <c r="AB49" s="14" t="e">
        <f t="shared" ca="1" si="12"/>
        <v>#N/A</v>
      </c>
      <c r="AC49" s="14" t="e">
        <f t="shared" ca="1" si="12"/>
        <v>#N/A</v>
      </c>
      <c r="AD49" s="14" t="e">
        <f t="shared" ca="1" si="12"/>
        <v>#N/A</v>
      </c>
      <c r="AE49" s="14" t="e">
        <f t="shared" ca="1" si="12"/>
        <v>#N/A</v>
      </c>
      <c r="AF49" s="14" t="e">
        <f t="shared" ca="1" si="12"/>
        <v>#N/A</v>
      </c>
      <c r="AG49" s="14" t="e">
        <f t="shared" ca="1" si="12"/>
        <v>#N/A</v>
      </c>
      <c r="AH49" s="14" t="e">
        <f t="shared" ca="1" si="12"/>
        <v>#N/A</v>
      </c>
      <c r="AI49" s="14" t="e">
        <f t="shared" ca="1" si="12"/>
        <v>#N/A</v>
      </c>
      <c r="AJ49" s="14" t="e">
        <f t="shared" ca="1" si="12"/>
        <v>#N/A</v>
      </c>
      <c r="AK49" s="14" t="e">
        <f t="shared" ca="1" si="12"/>
        <v>#N/A</v>
      </c>
      <c r="AL49" s="14" t="e">
        <f t="shared" ca="1" si="12"/>
        <v>#N/A</v>
      </c>
    </row>
    <row r="50" spans="1:38" ht="21" hidden="1" customHeight="1" outlineLevel="1" thickBot="1" x14ac:dyDescent="0.4">
      <c r="A50" s="5">
        <f t="shared" si="9"/>
        <v>0</v>
      </c>
      <c r="B50" s="5">
        <f t="shared" si="9"/>
        <v>0</v>
      </c>
      <c r="C50" s="5">
        <f t="shared" si="9"/>
        <v>0</v>
      </c>
      <c r="D50" s="5">
        <f t="shared" si="9"/>
        <v>0</v>
      </c>
      <c r="E50" s="6">
        <f t="shared" si="9"/>
        <v>0</v>
      </c>
      <c r="F50" s="14" t="e">
        <f t="shared" ca="1" si="10"/>
        <v>#N/A</v>
      </c>
      <c r="G50" s="14" t="e">
        <f t="shared" ca="1" si="12"/>
        <v>#N/A</v>
      </c>
      <c r="H50" s="14" t="e">
        <f t="shared" ca="1" si="12"/>
        <v>#N/A</v>
      </c>
      <c r="I50" s="14" t="e">
        <f t="shared" ca="1" si="12"/>
        <v>#N/A</v>
      </c>
      <c r="J50" s="14" t="e">
        <f t="shared" ca="1" si="12"/>
        <v>#N/A</v>
      </c>
      <c r="K50" s="14" t="e">
        <f t="shared" ca="1" si="12"/>
        <v>#N/A</v>
      </c>
      <c r="L50" s="14" t="e">
        <f t="shared" ca="1" si="12"/>
        <v>#N/A</v>
      </c>
      <c r="M50" s="14" t="e">
        <f t="shared" ca="1" si="12"/>
        <v>#N/A</v>
      </c>
      <c r="N50" s="14" t="e">
        <f t="shared" ca="1" si="12"/>
        <v>#N/A</v>
      </c>
      <c r="O50" s="14" t="e">
        <f t="shared" ca="1" si="12"/>
        <v>#N/A</v>
      </c>
      <c r="P50" s="14" t="e">
        <f t="shared" ca="1" si="12"/>
        <v>#N/A</v>
      </c>
      <c r="Q50" s="14" t="e">
        <f t="shared" ca="1" si="12"/>
        <v>#N/A</v>
      </c>
      <c r="R50" s="14" t="e">
        <f t="shared" ca="1" si="12"/>
        <v>#N/A</v>
      </c>
      <c r="S50" s="14" t="e">
        <f t="shared" ca="1" si="12"/>
        <v>#N/A</v>
      </c>
      <c r="T50" s="14" t="e">
        <f t="shared" ca="1" si="12"/>
        <v>#N/A</v>
      </c>
      <c r="U50" s="14" t="e">
        <f t="shared" ca="1" si="12"/>
        <v>#N/A</v>
      </c>
      <c r="V50" s="14" t="e">
        <f t="shared" ca="1" si="12"/>
        <v>#N/A</v>
      </c>
      <c r="W50" s="14" t="e">
        <f t="shared" ca="1" si="12"/>
        <v>#N/A</v>
      </c>
      <c r="X50" s="14" t="e">
        <f t="shared" ca="1" si="12"/>
        <v>#N/A</v>
      </c>
      <c r="Y50" s="14" t="e">
        <f t="shared" ca="1" si="12"/>
        <v>#N/A</v>
      </c>
      <c r="Z50" s="14" t="e">
        <f t="shared" ca="1" si="12"/>
        <v>#N/A</v>
      </c>
      <c r="AA50" s="14" t="e">
        <f t="shared" ca="1" si="12"/>
        <v>#N/A</v>
      </c>
      <c r="AB50" s="14" t="e">
        <f t="shared" ca="1" si="12"/>
        <v>#N/A</v>
      </c>
      <c r="AC50" s="14" t="e">
        <f t="shared" ca="1" si="12"/>
        <v>#N/A</v>
      </c>
      <c r="AD50" s="14" t="e">
        <f t="shared" ca="1" si="12"/>
        <v>#N/A</v>
      </c>
      <c r="AE50" s="14" t="e">
        <f t="shared" ca="1" si="12"/>
        <v>#N/A</v>
      </c>
      <c r="AF50" s="14" t="e">
        <f t="shared" ca="1" si="12"/>
        <v>#N/A</v>
      </c>
      <c r="AG50" s="14" t="e">
        <f t="shared" ca="1" si="12"/>
        <v>#N/A</v>
      </c>
      <c r="AH50" s="14" t="e">
        <f t="shared" ca="1" si="12"/>
        <v>#N/A</v>
      </c>
      <c r="AI50" s="14" t="e">
        <f t="shared" ca="1" si="12"/>
        <v>#N/A</v>
      </c>
      <c r="AJ50" s="14" t="e">
        <f t="shared" ca="1" si="12"/>
        <v>#N/A</v>
      </c>
      <c r="AK50" s="14" t="e">
        <f t="shared" ca="1" si="12"/>
        <v>#N/A</v>
      </c>
      <c r="AL50" s="14" t="e">
        <f t="shared" ca="1" si="12"/>
        <v>#N/A</v>
      </c>
    </row>
    <row r="51" spans="1:38" ht="21" hidden="1" customHeight="1" outlineLevel="1" thickBot="1" x14ac:dyDescent="0.4">
      <c r="A51" s="5">
        <f t="shared" si="9"/>
        <v>0</v>
      </c>
      <c r="B51" s="5">
        <f t="shared" si="9"/>
        <v>0</v>
      </c>
      <c r="C51" s="5">
        <f t="shared" si="9"/>
        <v>0</v>
      </c>
      <c r="D51" s="5">
        <f t="shared" si="9"/>
        <v>0</v>
      </c>
      <c r="E51" s="6">
        <f t="shared" si="9"/>
        <v>0</v>
      </c>
      <c r="F51" s="14" t="e">
        <f t="shared" ca="1" si="10"/>
        <v>#N/A</v>
      </c>
      <c r="G51" s="14" t="e">
        <f t="shared" ca="1" si="12"/>
        <v>#N/A</v>
      </c>
      <c r="H51" s="14" t="e">
        <f t="shared" ca="1" si="12"/>
        <v>#N/A</v>
      </c>
      <c r="I51" s="14" t="e">
        <f t="shared" ca="1" si="12"/>
        <v>#N/A</v>
      </c>
      <c r="J51" s="14" t="e">
        <f t="shared" ca="1" si="12"/>
        <v>#N/A</v>
      </c>
      <c r="K51" s="14" t="e">
        <f t="shared" ca="1" si="12"/>
        <v>#N/A</v>
      </c>
      <c r="L51" s="14" t="e">
        <f t="shared" ca="1" si="12"/>
        <v>#N/A</v>
      </c>
      <c r="M51" s="14" t="e">
        <f t="shared" ca="1" si="12"/>
        <v>#N/A</v>
      </c>
      <c r="N51" s="14" t="e">
        <f t="shared" ca="1" si="12"/>
        <v>#N/A</v>
      </c>
      <c r="O51" s="14" t="e">
        <f t="shared" ca="1" si="12"/>
        <v>#N/A</v>
      </c>
      <c r="P51" s="14" t="e">
        <f t="shared" ca="1" si="12"/>
        <v>#N/A</v>
      </c>
      <c r="Q51" s="14" t="e">
        <f t="shared" ca="1" si="12"/>
        <v>#N/A</v>
      </c>
      <c r="R51" s="14" t="e">
        <f t="shared" ca="1" si="12"/>
        <v>#N/A</v>
      </c>
      <c r="S51" s="14" t="e">
        <f t="shared" ca="1" si="12"/>
        <v>#N/A</v>
      </c>
      <c r="T51" s="14" t="e">
        <f t="shared" ca="1" si="12"/>
        <v>#N/A</v>
      </c>
      <c r="U51" s="14" t="e">
        <f t="shared" ca="1" si="12"/>
        <v>#N/A</v>
      </c>
      <c r="V51" s="14" t="e">
        <f t="shared" ca="1" si="12"/>
        <v>#N/A</v>
      </c>
      <c r="W51" s="14" t="e">
        <f t="shared" ca="1" si="12"/>
        <v>#N/A</v>
      </c>
      <c r="X51" s="14" t="e">
        <f t="shared" ca="1" si="12"/>
        <v>#N/A</v>
      </c>
      <c r="Y51" s="14" t="e">
        <f t="shared" ca="1" si="12"/>
        <v>#N/A</v>
      </c>
      <c r="Z51" s="14" t="e">
        <f t="shared" ca="1" si="12"/>
        <v>#N/A</v>
      </c>
      <c r="AA51" s="14" t="e">
        <f t="shared" ca="1" si="12"/>
        <v>#N/A</v>
      </c>
      <c r="AB51" s="14" t="e">
        <f t="shared" ca="1" si="12"/>
        <v>#N/A</v>
      </c>
      <c r="AC51" s="14" t="e">
        <f t="shared" ca="1" si="12"/>
        <v>#N/A</v>
      </c>
      <c r="AD51" s="14" t="e">
        <f t="shared" ca="1" si="12"/>
        <v>#N/A</v>
      </c>
      <c r="AE51" s="14" t="e">
        <f t="shared" ca="1" si="12"/>
        <v>#N/A</v>
      </c>
      <c r="AF51" s="14" t="e">
        <f t="shared" ca="1" si="12"/>
        <v>#N/A</v>
      </c>
      <c r="AG51" s="14" t="e">
        <f t="shared" ca="1" si="12"/>
        <v>#N/A</v>
      </c>
      <c r="AH51" s="14" t="e">
        <f t="shared" ca="1" si="12"/>
        <v>#N/A</v>
      </c>
      <c r="AI51" s="14" t="e">
        <f t="shared" ca="1" si="12"/>
        <v>#N/A</v>
      </c>
      <c r="AJ51" s="14" t="e">
        <f t="shared" ca="1" si="12"/>
        <v>#N/A</v>
      </c>
      <c r="AK51" s="14" t="e">
        <f t="shared" ca="1" si="12"/>
        <v>#N/A</v>
      </c>
      <c r="AL51" s="14" t="e">
        <f t="shared" ca="1" si="12"/>
        <v>#N/A</v>
      </c>
    </row>
    <row r="52" spans="1:38" ht="21" hidden="1" customHeight="1" outlineLevel="1" thickBot="1" x14ac:dyDescent="0.4">
      <c r="A52" s="5">
        <f t="shared" si="9"/>
        <v>0</v>
      </c>
      <c r="B52" s="5">
        <f t="shared" si="9"/>
        <v>0</v>
      </c>
      <c r="C52" s="5">
        <f t="shared" si="9"/>
        <v>0</v>
      </c>
      <c r="D52" s="5">
        <f t="shared" si="9"/>
        <v>0</v>
      </c>
      <c r="E52" s="6">
        <f t="shared" si="9"/>
        <v>0</v>
      </c>
      <c r="F52" s="14" t="e">
        <f t="shared" ca="1" si="10"/>
        <v>#N/A</v>
      </c>
      <c r="G52" s="14" t="e">
        <f t="shared" ca="1" si="12"/>
        <v>#N/A</v>
      </c>
      <c r="H52" s="14" t="e">
        <f t="shared" ca="1" si="12"/>
        <v>#N/A</v>
      </c>
      <c r="I52" s="14" t="e">
        <f t="shared" ca="1" si="12"/>
        <v>#N/A</v>
      </c>
      <c r="J52" s="14" t="e">
        <f t="shared" ca="1" si="12"/>
        <v>#N/A</v>
      </c>
      <c r="K52" s="14" t="e">
        <f t="shared" ca="1" si="12"/>
        <v>#N/A</v>
      </c>
      <c r="L52" s="14" t="e">
        <f t="shared" ca="1" si="12"/>
        <v>#N/A</v>
      </c>
      <c r="M52" s="14" t="e">
        <f t="shared" ca="1" si="12"/>
        <v>#N/A</v>
      </c>
      <c r="N52" s="14" t="e">
        <f t="shared" ca="1" si="12"/>
        <v>#N/A</v>
      </c>
      <c r="O52" s="14" t="e">
        <f t="shared" ca="1" si="12"/>
        <v>#N/A</v>
      </c>
      <c r="P52" s="14" t="e">
        <f t="shared" ca="1" si="12"/>
        <v>#N/A</v>
      </c>
      <c r="Q52" s="14" t="e">
        <f t="shared" ca="1" si="12"/>
        <v>#N/A</v>
      </c>
      <c r="R52" s="14" t="e">
        <f t="shared" ca="1" si="12"/>
        <v>#N/A</v>
      </c>
      <c r="S52" s="14" t="e">
        <f t="shared" ca="1" si="12"/>
        <v>#N/A</v>
      </c>
      <c r="T52" s="14" t="e">
        <f t="shared" ca="1" si="12"/>
        <v>#N/A</v>
      </c>
      <c r="U52" s="14" t="e">
        <f t="shared" ca="1" si="12"/>
        <v>#N/A</v>
      </c>
      <c r="V52" s="14" t="e">
        <f t="shared" ca="1" si="12"/>
        <v>#N/A</v>
      </c>
      <c r="W52" s="14" t="e">
        <f t="shared" ca="1" si="12"/>
        <v>#N/A</v>
      </c>
      <c r="X52" s="14" t="e">
        <f t="shared" ca="1" si="12"/>
        <v>#N/A</v>
      </c>
      <c r="Y52" s="14" t="e">
        <f t="shared" ca="1" si="12"/>
        <v>#N/A</v>
      </c>
      <c r="Z52" s="14" t="e">
        <f t="shared" ca="1" si="12"/>
        <v>#N/A</v>
      </c>
      <c r="AA52" s="14" t="e">
        <f t="shared" ca="1" si="12"/>
        <v>#N/A</v>
      </c>
      <c r="AB52" s="14" t="e">
        <f t="shared" ca="1" si="12"/>
        <v>#N/A</v>
      </c>
      <c r="AC52" s="14" t="e">
        <f t="shared" ca="1" si="12"/>
        <v>#N/A</v>
      </c>
      <c r="AD52" s="14" t="e">
        <f t="shared" ca="1" si="12"/>
        <v>#N/A</v>
      </c>
      <c r="AE52" s="14" t="e">
        <f t="shared" ca="1" si="12"/>
        <v>#N/A</v>
      </c>
      <c r="AF52" s="14" t="e">
        <f t="shared" ca="1" si="12"/>
        <v>#N/A</v>
      </c>
      <c r="AG52" s="14" t="e">
        <f t="shared" ca="1" si="12"/>
        <v>#N/A</v>
      </c>
      <c r="AH52" s="14" t="e">
        <f t="shared" ca="1" si="12"/>
        <v>#N/A</v>
      </c>
      <c r="AI52" s="14" t="e">
        <f t="shared" ca="1" si="12"/>
        <v>#N/A</v>
      </c>
      <c r="AJ52" s="14" t="e">
        <f t="shared" ca="1" si="12"/>
        <v>#N/A</v>
      </c>
      <c r="AK52" s="14" t="e">
        <f t="shared" ca="1" si="12"/>
        <v>#N/A</v>
      </c>
      <c r="AL52" s="14" t="e">
        <f t="shared" ca="1" si="12"/>
        <v>#N/A</v>
      </c>
    </row>
    <row r="53" spans="1:38" ht="21" hidden="1" customHeight="1" outlineLevel="1" thickBot="1" x14ac:dyDescent="0.4">
      <c r="A53" s="5">
        <f t="shared" si="9"/>
        <v>0</v>
      </c>
      <c r="B53" s="5">
        <f t="shared" si="9"/>
        <v>0</v>
      </c>
      <c r="C53" s="5">
        <f t="shared" si="9"/>
        <v>0</v>
      </c>
      <c r="D53" s="5">
        <f t="shared" si="9"/>
        <v>0</v>
      </c>
      <c r="E53" s="6">
        <f t="shared" si="9"/>
        <v>0</v>
      </c>
      <c r="F53" s="14" t="e">
        <f t="shared" ca="1" si="10"/>
        <v>#N/A</v>
      </c>
      <c r="G53" s="14" t="e">
        <f t="shared" ca="1" si="12"/>
        <v>#N/A</v>
      </c>
      <c r="H53" s="14" t="e">
        <f t="shared" ca="1" si="12"/>
        <v>#N/A</v>
      </c>
      <c r="I53" s="14" t="e">
        <f t="shared" ca="1" si="12"/>
        <v>#N/A</v>
      </c>
      <c r="J53" s="14" t="e">
        <f t="shared" ca="1" si="12"/>
        <v>#N/A</v>
      </c>
      <c r="K53" s="14" t="e">
        <f t="shared" ca="1" si="12"/>
        <v>#N/A</v>
      </c>
      <c r="L53" s="14" t="e">
        <f t="shared" ca="1" si="12"/>
        <v>#N/A</v>
      </c>
      <c r="M53" s="14" t="e">
        <f t="shared" ca="1" si="12"/>
        <v>#N/A</v>
      </c>
      <c r="N53" s="14" t="e">
        <f t="shared" ca="1" si="12"/>
        <v>#N/A</v>
      </c>
      <c r="O53" s="14" t="e">
        <f t="shared" ca="1" si="12"/>
        <v>#N/A</v>
      </c>
      <c r="P53" s="14" t="e">
        <f t="shared" ca="1" si="12"/>
        <v>#N/A</v>
      </c>
      <c r="Q53" s="14" t="e">
        <f t="shared" ca="1" si="12"/>
        <v>#N/A</v>
      </c>
      <c r="R53" s="14" t="e">
        <f t="shared" ca="1" si="12"/>
        <v>#N/A</v>
      </c>
      <c r="S53" s="14" t="e">
        <f t="shared" ca="1" si="12"/>
        <v>#N/A</v>
      </c>
      <c r="T53" s="14" t="e">
        <f t="shared" ca="1" si="12"/>
        <v>#N/A</v>
      </c>
      <c r="U53" s="14" t="e">
        <f t="shared" ca="1" si="12"/>
        <v>#N/A</v>
      </c>
      <c r="V53" s="14" t="e">
        <f t="shared" ca="1" si="12"/>
        <v>#N/A</v>
      </c>
      <c r="W53" s="14" t="e">
        <f t="shared" ca="1" si="12"/>
        <v>#N/A</v>
      </c>
      <c r="X53" s="14" t="e">
        <f t="shared" ca="1" si="12"/>
        <v>#N/A</v>
      </c>
      <c r="Y53" s="14" t="e">
        <f t="shared" ca="1" si="12"/>
        <v>#N/A</v>
      </c>
      <c r="Z53" s="14" t="e">
        <f t="shared" ca="1" si="12"/>
        <v>#N/A</v>
      </c>
      <c r="AA53" s="14" t="e">
        <f t="shared" ca="1" si="12"/>
        <v>#N/A</v>
      </c>
      <c r="AB53" s="14" t="e">
        <f t="shared" ca="1" si="12"/>
        <v>#N/A</v>
      </c>
      <c r="AC53" s="14" t="e">
        <f t="shared" ca="1" si="12"/>
        <v>#N/A</v>
      </c>
      <c r="AD53" s="14" t="e">
        <f t="shared" ca="1" si="12"/>
        <v>#N/A</v>
      </c>
      <c r="AE53" s="14" t="e">
        <f t="shared" ca="1" si="12"/>
        <v>#N/A</v>
      </c>
      <c r="AF53" s="14" t="e">
        <f t="shared" ca="1" si="12"/>
        <v>#N/A</v>
      </c>
      <c r="AG53" s="14" t="e">
        <f t="shared" ca="1" si="12"/>
        <v>#N/A</v>
      </c>
      <c r="AH53" s="14" t="e">
        <f t="shared" ca="1" si="12"/>
        <v>#N/A</v>
      </c>
      <c r="AI53" s="14" t="e">
        <f t="shared" ca="1" si="12"/>
        <v>#N/A</v>
      </c>
      <c r="AJ53" s="14" t="e">
        <f t="shared" ca="1" si="12"/>
        <v>#N/A</v>
      </c>
      <c r="AK53" s="14" t="e">
        <f t="shared" ca="1" si="12"/>
        <v>#N/A</v>
      </c>
      <c r="AL53" s="14" t="e">
        <f t="shared" ca="1" si="12"/>
        <v>#N/A</v>
      </c>
    </row>
    <row r="54" spans="1:38" ht="21" hidden="1" customHeight="1" outlineLevel="1" thickBot="1" x14ac:dyDescent="0.4">
      <c r="A54" s="5">
        <f t="shared" si="9"/>
        <v>0</v>
      </c>
      <c r="B54" s="5">
        <f t="shared" si="9"/>
        <v>0</v>
      </c>
      <c r="C54" s="5">
        <f t="shared" si="9"/>
        <v>0</v>
      </c>
      <c r="D54" s="5">
        <f t="shared" si="9"/>
        <v>0</v>
      </c>
      <c r="E54" s="6">
        <f t="shared" si="9"/>
        <v>0</v>
      </c>
      <c r="F54" s="14" t="e">
        <f t="shared" ca="1" si="10"/>
        <v>#N/A</v>
      </c>
      <c r="G54" s="14" t="e">
        <f t="shared" ca="1" si="12"/>
        <v>#N/A</v>
      </c>
      <c r="H54" s="14" t="e">
        <f t="shared" ca="1" si="12"/>
        <v>#N/A</v>
      </c>
      <c r="I54" s="14" t="e">
        <f t="shared" ca="1" si="12"/>
        <v>#N/A</v>
      </c>
      <c r="J54" s="14" t="e">
        <f t="shared" ca="1" si="12"/>
        <v>#N/A</v>
      </c>
      <c r="K54" s="14" t="e">
        <f t="shared" ca="1" si="12"/>
        <v>#N/A</v>
      </c>
      <c r="L54" s="14" t="e">
        <f t="shared" ca="1" si="12"/>
        <v>#N/A</v>
      </c>
      <c r="M54" s="14" t="e">
        <f t="shared" ca="1" si="12"/>
        <v>#N/A</v>
      </c>
      <c r="N54" s="14" t="e">
        <f t="shared" ca="1" si="12"/>
        <v>#N/A</v>
      </c>
      <c r="O54" s="14" t="e">
        <f t="shared" ca="1" si="12"/>
        <v>#N/A</v>
      </c>
      <c r="P54" s="14" t="e">
        <f t="shared" ca="1" si="12"/>
        <v>#N/A</v>
      </c>
      <c r="Q54" s="14" t="e">
        <f t="shared" ca="1" si="12"/>
        <v>#N/A</v>
      </c>
      <c r="R54" s="14" t="e">
        <f t="shared" ca="1" si="12"/>
        <v>#N/A</v>
      </c>
      <c r="S54" s="14" t="e">
        <f t="shared" ca="1" si="12"/>
        <v>#N/A</v>
      </c>
      <c r="T54" s="14" t="e">
        <f t="shared" ca="1" si="12"/>
        <v>#N/A</v>
      </c>
      <c r="U54" s="14" t="e">
        <f t="shared" ref="U54:AL54" ca="1" si="13">$A54*H.Ar + $B54*H.Se + $C54*H.Ge + $D54*H.Ga</f>
        <v>#N/A</v>
      </c>
      <c r="V54" s="14" t="e">
        <f t="shared" ca="1" si="13"/>
        <v>#N/A</v>
      </c>
      <c r="W54" s="14" t="e">
        <f t="shared" ca="1" si="13"/>
        <v>#N/A</v>
      </c>
      <c r="X54" s="14" t="e">
        <f t="shared" ca="1" si="13"/>
        <v>#N/A</v>
      </c>
      <c r="Y54" s="14" t="e">
        <f t="shared" ca="1" si="13"/>
        <v>#N/A</v>
      </c>
      <c r="Z54" s="14" t="e">
        <f t="shared" ca="1" si="13"/>
        <v>#N/A</v>
      </c>
      <c r="AA54" s="14" t="e">
        <f t="shared" ca="1" si="13"/>
        <v>#N/A</v>
      </c>
      <c r="AB54" s="14" t="e">
        <f t="shared" ca="1" si="13"/>
        <v>#N/A</v>
      </c>
      <c r="AC54" s="14" t="e">
        <f t="shared" ca="1" si="13"/>
        <v>#N/A</v>
      </c>
      <c r="AD54" s="14" t="e">
        <f t="shared" ca="1" si="13"/>
        <v>#N/A</v>
      </c>
      <c r="AE54" s="14" t="e">
        <f t="shared" ca="1" si="13"/>
        <v>#N/A</v>
      </c>
      <c r="AF54" s="14" t="e">
        <f t="shared" ca="1" si="13"/>
        <v>#N/A</v>
      </c>
      <c r="AG54" s="14" t="e">
        <f t="shared" ca="1" si="13"/>
        <v>#N/A</v>
      </c>
      <c r="AH54" s="14" t="e">
        <f t="shared" ca="1" si="13"/>
        <v>#N/A</v>
      </c>
      <c r="AI54" s="14" t="e">
        <f t="shared" ca="1" si="13"/>
        <v>#N/A</v>
      </c>
      <c r="AJ54" s="14" t="e">
        <f t="shared" ca="1" si="13"/>
        <v>#N/A</v>
      </c>
      <c r="AK54" s="14" t="e">
        <f t="shared" ca="1" si="13"/>
        <v>#N/A</v>
      </c>
      <c r="AL54" s="14" t="e">
        <f t="shared" ca="1" si="13"/>
        <v>#N/A</v>
      </c>
    </row>
    <row r="55" spans="1:38" ht="21" hidden="1" customHeight="1" outlineLevel="1" thickBot="1" x14ac:dyDescent="0.4">
      <c r="A55" s="5">
        <f t="shared" si="9"/>
        <v>0</v>
      </c>
      <c r="B55" s="5">
        <f t="shared" si="9"/>
        <v>0</v>
      </c>
      <c r="C55" s="5">
        <f t="shared" si="9"/>
        <v>0</v>
      </c>
      <c r="D55" s="5">
        <f t="shared" si="9"/>
        <v>0</v>
      </c>
      <c r="E55" s="6">
        <f t="shared" si="9"/>
        <v>0</v>
      </c>
      <c r="F55" s="14" t="e">
        <f t="shared" ca="1" si="10"/>
        <v>#N/A</v>
      </c>
      <c r="G55" s="14" t="e">
        <f t="shared" ref="G55:AL62" ca="1" si="14">$A55*H.Ar + $B55*H.Se + $C55*H.Ge + $D55*H.Ga</f>
        <v>#N/A</v>
      </c>
      <c r="H55" s="14" t="e">
        <f t="shared" ca="1" si="14"/>
        <v>#N/A</v>
      </c>
      <c r="I55" s="14" t="e">
        <f t="shared" ca="1" si="14"/>
        <v>#N/A</v>
      </c>
      <c r="J55" s="14" t="e">
        <f t="shared" ca="1" si="14"/>
        <v>#N/A</v>
      </c>
      <c r="K55" s="14" t="e">
        <f t="shared" ca="1" si="14"/>
        <v>#N/A</v>
      </c>
      <c r="L55" s="14" t="e">
        <f t="shared" ca="1" si="14"/>
        <v>#N/A</v>
      </c>
      <c r="M55" s="14" t="e">
        <f t="shared" ca="1" si="14"/>
        <v>#N/A</v>
      </c>
      <c r="N55" s="14" t="e">
        <f t="shared" ca="1" si="14"/>
        <v>#N/A</v>
      </c>
      <c r="O55" s="14" t="e">
        <f t="shared" ca="1" si="14"/>
        <v>#N/A</v>
      </c>
      <c r="P55" s="14" t="e">
        <f t="shared" ca="1" si="14"/>
        <v>#N/A</v>
      </c>
      <c r="Q55" s="14" t="e">
        <f t="shared" ca="1" si="14"/>
        <v>#N/A</v>
      </c>
      <c r="R55" s="14" t="e">
        <f t="shared" ca="1" si="14"/>
        <v>#N/A</v>
      </c>
      <c r="S55" s="14" t="e">
        <f t="shared" ca="1" si="14"/>
        <v>#N/A</v>
      </c>
      <c r="T55" s="14" t="e">
        <f t="shared" ca="1" si="14"/>
        <v>#N/A</v>
      </c>
      <c r="U55" s="14" t="e">
        <f t="shared" ca="1" si="14"/>
        <v>#N/A</v>
      </c>
      <c r="V55" s="14" t="e">
        <f t="shared" ca="1" si="14"/>
        <v>#N/A</v>
      </c>
      <c r="W55" s="14" t="e">
        <f t="shared" ca="1" si="14"/>
        <v>#N/A</v>
      </c>
      <c r="X55" s="14" t="e">
        <f t="shared" ca="1" si="14"/>
        <v>#N/A</v>
      </c>
      <c r="Y55" s="14" t="e">
        <f t="shared" ca="1" si="14"/>
        <v>#N/A</v>
      </c>
      <c r="Z55" s="14" t="e">
        <f t="shared" ca="1" si="14"/>
        <v>#N/A</v>
      </c>
      <c r="AA55" s="14" t="e">
        <f t="shared" ca="1" si="14"/>
        <v>#N/A</v>
      </c>
      <c r="AB55" s="14" t="e">
        <f t="shared" ca="1" si="14"/>
        <v>#N/A</v>
      </c>
      <c r="AC55" s="14" t="e">
        <f t="shared" ca="1" si="14"/>
        <v>#N/A</v>
      </c>
      <c r="AD55" s="14" t="e">
        <f t="shared" ca="1" si="14"/>
        <v>#N/A</v>
      </c>
      <c r="AE55" s="14" t="e">
        <f t="shared" ca="1" si="14"/>
        <v>#N/A</v>
      </c>
      <c r="AF55" s="14" t="e">
        <f t="shared" ca="1" si="14"/>
        <v>#N/A</v>
      </c>
      <c r="AG55" s="14" t="e">
        <f t="shared" ca="1" si="14"/>
        <v>#N/A</v>
      </c>
      <c r="AH55" s="14" t="e">
        <f t="shared" ca="1" si="14"/>
        <v>#N/A</v>
      </c>
      <c r="AI55" s="14" t="e">
        <f t="shared" ca="1" si="14"/>
        <v>#N/A</v>
      </c>
      <c r="AJ55" s="14" t="e">
        <f t="shared" ca="1" si="14"/>
        <v>#N/A</v>
      </c>
      <c r="AK55" s="14" t="e">
        <f t="shared" ca="1" si="14"/>
        <v>#N/A</v>
      </c>
      <c r="AL55" s="14" t="e">
        <f t="shared" ca="1" si="14"/>
        <v>#N/A</v>
      </c>
    </row>
    <row r="56" spans="1:38" ht="21" hidden="1" customHeight="1" outlineLevel="1" thickBot="1" x14ac:dyDescent="0.4">
      <c r="A56" s="5">
        <f t="shared" ref="A56:E65" si="15">A14</f>
        <v>0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>
        <f t="shared" si="15"/>
        <v>0</v>
      </c>
      <c r="F56" s="14" t="e">
        <f t="shared" ref="F56:U65" ca="1" si="16">$A56*H.Ar + $B56*H.Se + $C56*H.Ge + $D56*H.Ga</f>
        <v>#N/A</v>
      </c>
      <c r="G56" s="14" t="e">
        <f t="shared" ca="1" si="16"/>
        <v>#N/A</v>
      </c>
      <c r="H56" s="14" t="e">
        <f t="shared" ca="1" si="16"/>
        <v>#N/A</v>
      </c>
      <c r="I56" s="14" t="e">
        <f t="shared" ca="1" si="16"/>
        <v>#N/A</v>
      </c>
      <c r="J56" s="14" t="e">
        <f t="shared" ca="1" si="16"/>
        <v>#N/A</v>
      </c>
      <c r="K56" s="14" t="e">
        <f t="shared" ca="1" si="16"/>
        <v>#N/A</v>
      </c>
      <c r="L56" s="14" t="e">
        <f t="shared" ca="1" si="16"/>
        <v>#N/A</v>
      </c>
      <c r="M56" s="14" t="e">
        <f t="shared" ca="1" si="16"/>
        <v>#N/A</v>
      </c>
      <c r="N56" s="14" t="e">
        <f t="shared" ca="1" si="16"/>
        <v>#N/A</v>
      </c>
      <c r="O56" s="14" t="e">
        <f t="shared" ca="1" si="16"/>
        <v>#N/A</v>
      </c>
      <c r="P56" s="14" t="e">
        <f t="shared" ca="1" si="16"/>
        <v>#N/A</v>
      </c>
      <c r="Q56" s="14" t="e">
        <f t="shared" ca="1" si="16"/>
        <v>#N/A</v>
      </c>
      <c r="R56" s="14" t="e">
        <f t="shared" ca="1" si="16"/>
        <v>#N/A</v>
      </c>
      <c r="S56" s="14" t="e">
        <f t="shared" ca="1" si="16"/>
        <v>#N/A</v>
      </c>
      <c r="T56" s="14" t="e">
        <f t="shared" ca="1" si="16"/>
        <v>#N/A</v>
      </c>
      <c r="U56" s="14" t="e">
        <f t="shared" ca="1" si="16"/>
        <v>#N/A</v>
      </c>
      <c r="V56" s="14" t="e">
        <f t="shared" ca="1" si="14"/>
        <v>#N/A</v>
      </c>
      <c r="W56" s="14" t="e">
        <f t="shared" ca="1" si="14"/>
        <v>#N/A</v>
      </c>
      <c r="X56" s="14" t="e">
        <f t="shared" ca="1" si="14"/>
        <v>#N/A</v>
      </c>
      <c r="Y56" s="14" t="e">
        <f t="shared" ca="1" si="14"/>
        <v>#N/A</v>
      </c>
      <c r="Z56" s="14" t="e">
        <f t="shared" ca="1" si="14"/>
        <v>#N/A</v>
      </c>
      <c r="AA56" s="14" t="e">
        <f t="shared" ca="1" si="14"/>
        <v>#N/A</v>
      </c>
      <c r="AB56" s="14" t="e">
        <f t="shared" ca="1" si="14"/>
        <v>#N/A</v>
      </c>
      <c r="AC56" s="14" t="e">
        <f t="shared" ca="1" si="14"/>
        <v>#N/A</v>
      </c>
      <c r="AD56" s="14" t="e">
        <f t="shared" ca="1" si="14"/>
        <v>#N/A</v>
      </c>
      <c r="AE56" s="14" t="e">
        <f t="shared" ca="1" si="14"/>
        <v>#N/A</v>
      </c>
      <c r="AF56" s="14" t="e">
        <f t="shared" ca="1" si="14"/>
        <v>#N/A</v>
      </c>
      <c r="AG56" s="14" t="e">
        <f t="shared" ca="1" si="14"/>
        <v>#N/A</v>
      </c>
      <c r="AH56" s="14" t="e">
        <f t="shared" ca="1" si="14"/>
        <v>#N/A</v>
      </c>
      <c r="AI56" s="14" t="e">
        <f t="shared" ca="1" si="14"/>
        <v>#N/A</v>
      </c>
      <c r="AJ56" s="14" t="e">
        <f t="shared" ca="1" si="14"/>
        <v>#N/A</v>
      </c>
      <c r="AK56" s="14" t="e">
        <f t="shared" ca="1" si="14"/>
        <v>#N/A</v>
      </c>
      <c r="AL56" s="14" t="e">
        <f t="shared" ca="1" si="14"/>
        <v>#N/A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0</v>
      </c>
      <c r="E57" s="6">
        <f t="shared" si="15"/>
        <v>0</v>
      </c>
      <c r="F57" s="14" t="e">
        <f t="shared" ca="1" si="16"/>
        <v>#N/A</v>
      </c>
      <c r="G57" s="14" t="e">
        <f t="shared" ca="1" si="14"/>
        <v>#N/A</v>
      </c>
      <c r="H57" s="14" t="e">
        <f t="shared" ca="1" si="14"/>
        <v>#N/A</v>
      </c>
      <c r="I57" s="14" t="e">
        <f t="shared" ca="1" si="14"/>
        <v>#N/A</v>
      </c>
      <c r="J57" s="14" t="e">
        <f t="shared" ca="1" si="14"/>
        <v>#N/A</v>
      </c>
      <c r="K57" s="14" t="e">
        <f t="shared" ca="1" si="14"/>
        <v>#N/A</v>
      </c>
      <c r="L57" s="14" t="e">
        <f t="shared" ca="1" si="14"/>
        <v>#N/A</v>
      </c>
      <c r="M57" s="14" t="e">
        <f t="shared" ca="1" si="14"/>
        <v>#N/A</v>
      </c>
      <c r="N57" s="14" t="e">
        <f t="shared" ca="1" si="14"/>
        <v>#N/A</v>
      </c>
      <c r="O57" s="14" t="e">
        <f t="shared" ca="1" si="14"/>
        <v>#N/A</v>
      </c>
      <c r="P57" s="14" t="e">
        <f t="shared" ca="1" si="14"/>
        <v>#N/A</v>
      </c>
      <c r="Q57" s="14" t="e">
        <f t="shared" ca="1" si="14"/>
        <v>#N/A</v>
      </c>
      <c r="R57" s="14" t="e">
        <f t="shared" ca="1" si="14"/>
        <v>#N/A</v>
      </c>
      <c r="S57" s="14" t="e">
        <f t="shared" ca="1" si="14"/>
        <v>#N/A</v>
      </c>
      <c r="T57" s="14" t="e">
        <f t="shared" ca="1" si="14"/>
        <v>#N/A</v>
      </c>
      <c r="U57" s="14" t="e">
        <f t="shared" ca="1" si="14"/>
        <v>#N/A</v>
      </c>
      <c r="V57" s="14" t="e">
        <f t="shared" ca="1" si="14"/>
        <v>#N/A</v>
      </c>
      <c r="W57" s="14" t="e">
        <f t="shared" ca="1" si="14"/>
        <v>#N/A</v>
      </c>
      <c r="X57" s="14" t="e">
        <f t="shared" ca="1" si="14"/>
        <v>#N/A</v>
      </c>
      <c r="Y57" s="14" t="e">
        <f t="shared" ca="1" si="14"/>
        <v>#N/A</v>
      </c>
      <c r="Z57" s="14" t="e">
        <f t="shared" ca="1" si="14"/>
        <v>#N/A</v>
      </c>
      <c r="AA57" s="14" t="e">
        <f t="shared" ca="1" si="14"/>
        <v>#N/A</v>
      </c>
      <c r="AB57" s="14" t="e">
        <f t="shared" ca="1" si="14"/>
        <v>#N/A</v>
      </c>
      <c r="AC57" s="14" t="e">
        <f t="shared" ca="1" si="14"/>
        <v>#N/A</v>
      </c>
      <c r="AD57" s="14" t="e">
        <f t="shared" ca="1" si="14"/>
        <v>#N/A</v>
      </c>
      <c r="AE57" s="14" t="e">
        <f t="shared" ca="1" si="14"/>
        <v>#N/A</v>
      </c>
      <c r="AF57" s="14" t="e">
        <f t="shared" ca="1" si="14"/>
        <v>#N/A</v>
      </c>
      <c r="AG57" s="14" t="e">
        <f t="shared" ca="1" si="14"/>
        <v>#N/A</v>
      </c>
      <c r="AH57" s="14" t="e">
        <f t="shared" ca="1" si="14"/>
        <v>#N/A</v>
      </c>
      <c r="AI57" s="14" t="e">
        <f t="shared" ca="1" si="14"/>
        <v>#N/A</v>
      </c>
      <c r="AJ57" s="14" t="e">
        <f t="shared" ca="1" si="14"/>
        <v>#N/A</v>
      </c>
      <c r="AK57" s="14" t="e">
        <f t="shared" ca="1" si="14"/>
        <v>#N/A</v>
      </c>
      <c r="AL57" s="14" t="e">
        <f t="shared" ca="1" si="14"/>
        <v>#N/A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0</v>
      </c>
      <c r="D58" s="5">
        <f t="shared" si="15"/>
        <v>0</v>
      </c>
      <c r="E58" s="6">
        <f t="shared" si="15"/>
        <v>0</v>
      </c>
      <c r="F58" s="14" t="e">
        <f t="shared" ca="1" si="16"/>
        <v>#N/A</v>
      </c>
      <c r="G58" s="14" t="e">
        <f t="shared" ca="1" si="14"/>
        <v>#N/A</v>
      </c>
      <c r="H58" s="14" t="e">
        <f t="shared" ca="1" si="14"/>
        <v>#N/A</v>
      </c>
      <c r="I58" s="14" t="e">
        <f t="shared" ca="1" si="14"/>
        <v>#N/A</v>
      </c>
      <c r="J58" s="14" t="e">
        <f t="shared" ca="1" si="14"/>
        <v>#N/A</v>
      </c>
      <c r="K58" s="14" t="e">
        <f t="shared" ca="1" si="14"/>
        <v>#N/A</v>
      </c>
      <c r="L58" s="14" t="e">
        <f t="shared" ca="1" si="14"/>
        <v>#N/A</v>
      </c>
      <c r="M58" s="14" t="e">
        <f t="shared" ca="1" si="14"/>
        <v>#N/A</v>
      </c>
      <c r="N58" s="14" t="e">
        <f t="shared" ca="1" si="14"/>
        <v>#N/A</v>
      </c>
      <c r="O58" s="14" t="e">
        <f t="shared" ca="1" si="14"/>
        <v>#N/A</v>
      </c>
      <c r="P58" s="14" t="e">
        <f t="shared" ca="1" si="14"/>
        <v>#N/A</v>
      </c>
      <c r="Q58" s="14" t="e">
        <f t="shared" ca="1" si="14"/>
        <v>#N/A</v>
      </c>
      <c r="R58" s="14" t="e">
        <f t="shared" ca="1" si="14"/>
        <v>#N/A</v>
      </c>
      <c r="S58" s="14" t="e">
        <f t="shared" ca="1" si="14"/>
        <v>#N/A</v>
      </c>
      <c r="T58" s="14" t="e">
        <f t="shared" ca="1" si="14"/>
        <v>#N/A</v>
      </c>
      <c r="U58" s="14" t="e">
        <f t="shared" ca="1" si="14"/>
        <v>#N/A</v>
      </c>
      <c r="V58" s="14" t="e">
        <f t="shared" ca="1" si="14"/>
        <v>#N/A</v>
      </c>
      <c r="W58" s="14" t="e">
        <f t="shared" ca="1" si="14"/>
        <v>#N/A</v>
      </c>
      <c r="X58" s="14" t="e">
        <f t="shared" ca="1" si="14"/>
        <v>#N/A</v>
      </c>
      <c r="Y58" s="14" t="e">
        <f t="shared" ca="1" si="14"/>
        <v>#N/A</v>
      </c>
      <c r="Z58" s="14" t="e">
        <f t="shared" ca="1" si="14"/>
        <v>#N/A</v>
      </c>
      <c r="AA58" s="14" t="e">
        <f t="shared" ca="1" si="14"/>
        <v>#N/A</v>
      </c>
      <c r="AB58" s="14" t="e">
        <f t="shared" ca="1" si="14"/>
        <v>#N/A</v>
      </c>
      <c r="AC58" s="14" t="e">
        <f t="shared" ca="1" si="14"/>
        <v>#N/A</v>
      </c>
      <c r="AD58" s="14" t="e">
        <f t="shared" ca="1" si="14"/>
        <v>#N/A</v>
      </c>
      <c r="AE58" s="14" t="e">
        <f t="shared" ca="1" si="14"/>
        <v>#N/A</v>
      </c>
      <c r="AF58" s="14" t="e">
        <f t="shared" ca="1" si="14"/>
        <v>#N/A</v>
      </c>
      <c r="AG58" s="14" t="e">
        <f t="shared" ca="1" si="14"/>
        <v>#N/A</v>
      </c>
      <c r="AH58" s="14" t="e">
        <f t="shared" ca="1" si="14"/>
        <v>#N/A</v>
      </c>
      <c r="AI58" s="14" t="e">
        <f t="shared" ca="1" si="14"/>
        <v>#N/A</v>
      </c>
      <c r="AJ58" s="14" t="e">
        <f t="shared" ca="1" si="14"/>
        <v>#N/A</v>
      </c>
      <c r="AK58" s="14" t="e">
        <f t="shared" ca="1" si="14"/>
        <v>#N/A</v>
      </c>
      <c r="AL58" s="14" t="e">
        <f t="shared" ca="1" si="14"/>
        <v>#N/A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0</v>
      </c>
      <c r="D59" s="5">
        <f t="shared" si="15"/>
        <v>0</v>
      </c>
      <c r="E59" s="6">
        <f t="shared" si="15"/>
        <v>0</v>
      </c>
      <c r="F59" s="14" t="e">
        <f t="shared" ca="1" si="16"/>
        <v>#N/A</v>
      </c>
      <c r="G59" s="14" t="e">
        <f t="shared" ca="1" si="14"/>
        <v>#N/A</v>
      </c>
      <c r="H59" s="14" t="e">
        <f t="shared" ca="1" si="14"/>
        <v>#N/A</v>
      </c>
      <c r="I59" s="14" t="e">
        <f t="shared" ca="1" si="14"/>
        <v>#N/A</v>
      </c>
      <c r="J59" s="14" t="e">
        <f t="shared" ca="1" si="14"/>
        <v>#N/A</v>
      </c>
      <c r="K59" s="14" t="e">
        <f t="shared" ca="1" si="14"/>
        <v>#N/A</v>
      </c>
      <c r="L59" s="14" t="e">
        <f t="shared" ca="1" si="14"/>
        <v>#N/A</v>
      </c>
      <c r="M59" s="14" t="e">
        <f t="shared" ca="1" si="14"/>
        <v>#N/A</v>
      </c>
      <c r="N59" s="14" t="e">
        <f t="shared" ca="1" si="14"/>
        <v>#N/A</v>
      </c>
      <c r="O59" s="14" t="e">
        <f t="shared" ca="1" si="14"/>
        <v>#N/A</v>
      </c>
      <c r="P59" s="14" t="e">
        <f t="shared" ca="1" si="14"/>
        <v>#N/A</v>
      </c>
      <c r="Q59" s="14" t="e">
        <f t="shared" ca="1" si="14"/>
        <v>#N/A</v>
      </c>
      <c r="R59" s="14" t="e">
        <f t="shared" ca="1" si="14"/>
        <v>#N/A</v>
      </c>
      <c r="S59" s="14" t="e">
        <f t="shared" ca="1" si="14"/>
        <v>#N/A</v>
      </c>
      <c r="T59" s="14" t="e">
        <f t="shared" ca="1" si="14"/>
        <v>#N/A</v>
      </c>
      <c r="U59" s="14" t="e">
        <f t="shared" ca="1" si="14"/>
        <v>#N/A</v>
      </c>
      <c r="V59" s="14" t="e">
        <f t="shared" ca="1" si="14"/>
        <v>#N/A</v>
      </c>
      <c r="W59" s="14" t="e">
        <f t="shared" ca="1" si="14"/>
        <v>#N/A</v>
      </c>
      <c r="X59" s="14" t="e">
        <f t="shared" ca="1" si="14"/>
        <v>#N/A</v>
      </c>
      <c r="Y59" s="14" t="e">
        <f t="shared" ca="1" si="14"/>
        <v>#N/A</v>
      </c>
      <c r="Z59" s="14" t="e">
        <f t="shared" ca="1" si="14"/>
        <v>#N/A</v>
      </c>
      <c r="AA59" s="14" t="e">
        <f t="shared" ca="1" si="14"/>
        <v>#N/A</v>
      </c>
      <c r="AB59" s="14" t="e">
        <f t="shared" ca="1" si="14"/>
        <v>#N/A</v>
      </c>
      <c r="AC59" s="14" t="e">
        <f t="shared" ca="1" si="14"/>
        <v>#N/A</v>
      </c>
      <c r="AD59" s="14" t="e">
        <f t="shared" ca="1" si="14"/>
        <v>#N/A</v>
      </c>
      <c r="AE59" s="14" t="e">
        <f t="shared" ca="1" si="14"/>
        <v>#N/A</v>
      </c>
      <c r="AF59" s="14" t="e">
        <f t="shared" ca="1" si="14"/>
        <v>#N/A</v>
      </c>
      <c r="AG59" s="14" t="e">
        <f t="shared" ca="1" si="14"/>
        <v>#N/A</v>
      </c>
      <c r="AH59" s="14" t="e">
        <f t="shared" ca="1" si="14"/>
        <v>#N/A</v>
      </c>
      <c r="AI59" s="14" t="e">
        <f t="shared" ca="1" si="14"/>
        <v>#N/A</v>
      </c>
      <c r="AJ59" s="14" t="e">
        <f t="shared" ca="1" si="14"/>
        <v>#N/A</v>
      </c>
      <c r="AK59" s="14" t="e">
        <f t="shared" ca="1" si="14"/>
        <v>#N/A</v>
      </c>
      <c r="AL59" s="14" t="e">
        <f t="shared" ca="1" si="14"/>
        <v>#N/A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0</v>
      </c>
      <c r="D60" s="5">
        <f t="shared" si="15"/>
        <v>0</v>
      </c>
      <c r="E60" s="6">
        <f t="shared" si="15"/>
        <v>0</v>
      </c>
      <c r="F60" s="14" t="e">
        <f t="shared" ca="1" si="16"/>
        <v>#N/A</v>
      </c>
      <c r="G60" s="14" t="e">
        <f t="shared" ca="1" si="14"/>
        <v>#N/A</v>
      </c>
      <c r="H60" s="14" t="e">
        <f t="shared" ca="1" si="14"/>
        <v>#N/A</v>
      </c>
      <c r="I60" s="14" t="e">
        <f t="shared" ca="1" si="14"/>
        <v>#N/A</v>
      </c>
      <c r="J60" s="14" t="e">
        <f t="shared" ca="1" si="14"/>
        <v>#N/A</v>
      </c>
      <c r="K60" s="14" t="e">
        <f t="shared" ca="1" si="14"/>
        <v>#N/A</v>
      </c>
      <c r="L60" s="14" t="e">
        <f t="shared" ca="1" si="14"/>
        <v>#N/A</v>
      </c>
      <c r="M60" s="14" t="e">
        <f t="shared" ca="1" si="14"/>
        <v>#N/A</v>
      </c>
      <c r="N60" s="14" t="e">
        <f t="shared" ca="1" si="14"/>
        <v>#N/A</v>
      </c>
      <c r="O60" s="14" t="e">
        <f t="shared" ca="1" si="14"/>
        <v>#N/A</v>
      </c>
      <c r="P60" s="14" t="e">
        <f t="shared" ca="1" si="14"/>
        <v>#N/A</v>
      </c>
      <c r="Q60" s="14" t="e">
        <f t="shared" ca="1" si="14"/>
        <v>#N/A</v>
      </c>
      <c r="R60" s="14" t="e">
        <f t="shared" ca="1" si="14"/>
        <v>#N/A</v>
      </c>
      <c r="S60" s="14" t="e">
        <f t="shared" ca="1" si="14"/>
        <v>#N/A</v>
      </c>
      <c r="T60" s="14" t="e">
        <f t="shared" ca="1" si="14"/>
        <v>#N/A</v>
      </c>
      <c r="U60" s="14" t="e">
        <f t="shared" ca="1" si="14"/>
        <v>#N/A</v>
      </c>
      <c r="V60" s="14" t="e">
        <f t="shared" ca="1" si="14"/>
        <v>#N/A</v>
      </c>
      <c r="W60" s="14" t="e">
        <f t="shared" ca="1" si="14"/>
        <v>#N/A</v>
      </c>
      <c r="X60" s="14" t="e">
        <f t="shared" ca="1" si="14"/>
        <v>#N/A</v>
      </c>
      <c r="Y60" s="14" t="e">
        <f t="shared" ca="1" si="14"/>
        <v>#N/A</v>
      </c>
      <c r="Z60" s="14" t="e">
        <f t="shared" ca="1" si="14"/>
        <v>#N/A</v>
      </c>
      <c r="AA60" s="14" t="e">
        <f t="shared" ca="1" si="14"/>
        <v>#N/A</v>
      </c>
      <c r="AB60" s="14" t="e">
        <f t="shared" ca="1" si="14"/>
        <v>#N/A</v>
      </c>
      <c r="AC60" s="14" t="e">
        <f t="shared" ca="1" si="14"/>
        <v>#N/A</v>
      </c>
      <c r="AD60" s="14" t="e">
        <f t="shared" ca="1" si="14"/>
        <v>#N/A</v>
      </c>
      <c r="AE60" s="14" t="e">
        <f t="shared" ca="1" si="14"/>
        <v>#N/A</v>
      </c>
      <c r="AF60" s="14" t="e">
        <f t="shared" ca="1" si="14"/>
        <v>#N/A</v>
      </c>
      <c r="AG60" s="14" t="e">
        <f t="shared" ca="1" si="14"/>
        <v>#N/A</v>
      </c>
      <c r="AH60" s="14" t="e">
        <f t="shared" ca="1" si="14"/>
        <v>#N/A</v>
      </c>
      <c r="AI60" s="14" t="e">
        <f t="shared" ca="1" si="14"/>
        <v>#N/A</v>
      </c>
      <c r="AJ60" s="14" t="e">
        <f t="shared" ca="1" si="14"/>
        <v>#N/A</v>
      </c>
      <c r="AK60" s="14" t="e">
        <f t="shared" ca="1" si="14"/>
        <v>#N/A</v>
      </c>
      <c r="AL60" s="14" t="e">
        <f t="shared" ca="1" si="14"/>
        <v>#N/A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0</v>
      </c>
      <c r="D61" s="5">
        <f t="shared" si="15"/>
        <v>0</v>
      </c>
      <c r="E61" s="6">
        <f t="shared" si="15"/>
        <v>0</v>
      </c>
      <c r="F61" s="14" t="e">
        <f t="shared" ca="1" si="16"/>
        <v>#N/A</v>
      </c>
      <c r="G61" s="14" t="e">
        <f t="shared" ca="1" si="14"/>
        <v>#N/A</v>
      </c>
      <c r="H61" s="14" t="e">
        <f t="shared" ca="1" si="14"/>
        <v>#N/A</v>
      </c>
      <c r="I61" s="14" t="e">
        <f t="shared" ca="1" si="14"/>
        <v>#N/A</v>
      </c>
      <c r="J61" s="14" t="e">
        <f t="shared" ca="1" si="14"/>
        <v>#N/A</v>
      </c>
      <c r="K61" s="14" t="e">
        <f t="shared" ca="1" si="14"/>
        <v>#N/A</v>
      </c>
      <c r="L61" s="14" t="e">
        <f t="shared" ca="1" si="14"/>
        <v>#N/A</v>
      </c>
      <c r="M61" s="14" t="e">
        <f t="shared" ca="1" si="14"/>
        <v>#N/A</v>
      </c>
      <c r="N61" s="14" t="e">
        <f t="shared" ca="1" si="14"/>
        <v>#N/A</v>
      </c>
      <c r="O61" s="14" t="e">
        <f t="shared" ca="1" si="14"/>
        <v>#N/A</v>
      </c>
      <c r="P61" s="14" t="e">
        <f t="shared" ca="1" si="14"/>
        <v>#N/A</v>
      </c>
      <c r="Q61" s="14" t="e">
        <f t="shared" ca="1" si="14"/>
        <v>#N/A</v>
      </c>
      <c r="R61" s="14" t="e">
        <f t="shared" ca="1" si="14"/>
        <v>#N/A</v>
      </c>
      <c r="S61" s="14" t="e">
        <f t="shared" ca="1" si="14"/>
        <v>#N/A</v>
      </c>
      <c r="T61" s="14" t="e">
        <f t="shared" ca="1" si="14"/>
        <v>#N/A</v>
      </c>
      <c r="U61" s="14" t="e">
        <f t="shared" ca="1" si="14"/>
        <v>#N/A</v>
      </c>
      <c r="V61" s="14" t="e">
        <f t="shared" ca="1" si="14"/>
        <v>#N/A</v>
      </c>
      <c r="W61" s="14" t="e">
        <f t="shared" ca="1" si="14"/>
        <v>#N/A</v>
      </c>
      <c r="X61" s="14" t="e">
        <f t="shared" ca="1" si="14"/>
        <v>#N/A</v>
      </c>
      <c r="Y61" s="14" t="e">
        <f t="shared" ca="1" si="14"/>
        <v>#N/A</v>
      </c>
      <c r="Z61" s="14" t="e">
        <f t="shared" ca="1" si="14"/>
        <v>#N/A</v>
      </c>
      <c r="AA61" s="14" t="e">
        <f t="shared" ca="1" si="14"/>
        <v>#N/A</v>
      </c>
      <c r="AB61" s="14" t="e">
        <f t="shared" ca="1" si="14"/>
        <v>#N/A</v>
      </c>
      <c r="AC61" s="14" t="e">
        <f t="shared" ca="1" si="14"/>
        <v>#N/A</v>
      </c>
      <c r="AD61" s="14" t="e">
        <f t="shared" ca="1" si="14"/>
        <v>#N/A</v>
      </c>
      <c r="AE61" s="14" t="e">
        <f t="shared" ca="1" si="14"/>
        <v>#N/A</v>
      </c>
      <c r="AF61" s="14" t="e">
        <f t="shared" ca="1" si="14"/>
        <v>#N/A</v>
      </c>
      <c r="AG61" s="14" t="e">
        <f t="shared" ca="1" si="14"/>
        <v>#N/A</v>
      </c>
      <c r="AH61" s="14" t="e">
        <f t="shared" ca="1" si="14"/>
        <v>#N/A</v>
      </c>
      <c r="AI61" s="14" t="e">
        <f t="shared" ca="1" si="14"/>
        <v>#N/A</v>
      </c>
      <c r="AJ61" s="14" t="e">
        <f t="shared" ca="1" si="14"/>
        <v>#N/A</v>
      </c>
      <c r="AK61" s="14" t="e">
        <f t="shared" ca="1" si="14"/>
        <v>#N/A</v>
      </c>
      <c r="AL61" s="14" t="e">
        <f t="shared" ca="1" si="14"/>
        <v>#N/A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0</v>
      </c>
      <c r="D62" s="5">
        <f t="shared" si="15"/>
        <v>0</v>
      </c>
      <c r="E62" s="6">
        <f t="shared" si="15"/>
        <v>0</v>
      </c>
      <c r="F62" s="14" t="e">
        <f t="shared" ca="1" si="16"/>
        <v>#N/A</v>
      </c>
      <c r="G62" s="14" t="e">
        <f t="shared" ca="1" si="14"/>
        <v>#N/A</v>
      </c>
      <c r="H62" s="14" t="e">
        <f t="shared" ca="1" si="14"/>
        <v>#N/A</v>
      </c>
      <c r="I62" s="14" t="e">
        <f t="shared" ca="1" si="14"/>
        <v>#N/A</v>
      </c>
      <c r="J62" s="14" t="e">
        <f t="shared" ca="1" si="14"/>
        <v>#N/A</v>
      </c>
      <c r="K62" s="14" t="e">
        <f t="shared" ca="1" si="14"/>
        <v>#N/A</v>
      </c>
      <c r="L62" s="14" t="e">
        <f t="shared" ca="1" si="14"/>
        <v>#N/A</v>
      </c>
      <c r="M62" s="14" t="e">
        <f t="shared" ca="1" si="14"/>
        <v>#N/A</v>
      </c>
      <c r="N62" s="14" t="e">
        <f t="shared" ca="1" si="14"/>
        <v>#N/A</v>
      </c>
      <c r="O62" s="14" t="e">
        <f t="shared" ca="1" si="14"/>
        <v>#N/A</v>
      </c>
      <c r="P62" s="14" t="e">
        <f t="shared" ca="1" si="14"/>
        <v>#N/A</v>
      </c>
      <c r="Q62" s="14" t="e">
        <f t="shared" ca="1" si="14"/>
        <v>#N/A</v>
      </c>
      <c r="R62" s="14" t="e">
        <f t="shared" ca="1" si="14"/>
        <v>#N/A</v>
      </c>
      <c r="S62" s="14" t="e">
        <f t="shared" ca="1" si="14"/>
        <v>#N/A</v>
      </c>
      <c r="T62" s="14" t="e">
        <f t="shared" ca="1" si="14"/>
        <v>#N/A</v>
      </c>
      <c r="U62" s="14" t="e">
        <f t="shared" ca="1" si="14"/>
        <v>#N/A</v>
      </c>
      <c r="V62" s="14" t="e">
        <f t="shared" ca="1" si="14"/>
        <v>#N/A</v>
      </c>
      <c r="W62" s="14" t="e">
        <f t="shared" ca="1" si="14"/>
        <v>#N/A</v>
      </c>
      <c r="X62" s="14" t="e">
        <f t="shared" ca="1" si="14"/>
        <v>#N/A</v>
      </c>
      <c r="Y62" s="14" t="e">
        <f t="shared" ca="1" si="14"/>
        <v>#N/A</v>
      </c>
      <c r="Z62" s="14" t="e">
        <f t="shared" ca="1" si="14"/>
        <v>#N/A</v>
      </c>
      <c r="AA62" s="14" t="e">
        <f t="shared" ca="1" si="14"/>
        <v>#N/A</v>
      </c>
      <c r="AB62" s="14" t="e">
        <f t="shared" ca="1" si="14"/>
        <v>#N/A</v>
      </c>
      <c r="AC62" s="14" t="e">
        <f t="shared" ca="1" si="14"/>
        <v>#N/A</v>
      </c>
      <c r="AD62" s="14" t="e">
        <f t="shared" ca="1" si="14"/>
        <v>#N/A</v>
      </c>
      <c r="AE62" s="14" t="e">
        <f t="shared" ca="1" si="14"/>
        <v>#N/A</v>
      </c>
      <c r="AF62" s="14" t="e">
        <f t="shared" ca="1" si="14"/>
        <v>#N/A</v>
      </c>
      <c r="AG62" s="14" t="e">
        <f t="shared" ca="1" si="14"/>
        <v>#N/A</v>
      </c>
      <c r="AH62" s="14" t="e">
        <f t="shared" ca="1" si="14"/>
        <v>#N/A</v>
      </c>
      <c r="AI62" s="14" t="e">
        <f t="shared" ref="AI62:AL62" ca="1" si="17">$A62*H.Ar + $B62*H.Se + $C62*H.Ge + $D62*H.Ga</f>
        <v>#N/A</v>
      </c>
      <c r="AJ62" s="14" t="e">
        <f t="shared" ca="1" si="17"/>
        <v>#N/A</v>
      </c>
      <c r="AK62" s="14" t="e">
        <f t="shared" ca="1" si="17"/>
        <v>#N/A</v>
      </c>
      <c r="AL62" s="14" t="e">
        <f t="shared" ca="1" si="17"/>
        <v>#N/A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 t="e">
        <f t="shared" ca="1" si="16"/>
        <v>#N/A</v>
      </c>
      <c r="G63" s="14" t="e">
        <f t="shared" ref="G63:AL71" ca="1" si="18">$A63*H.Ar + $B63*H.Se + $C63*H.Ge + $D63*H.Ga</f>
        <v>#N/A</v>
      </c>
      <c r="H63" s="14" t="e">
        <f t="shared" ca="1" si="18"/>
        <v>#N/A</v>
      </c>
      <c r="I63" s="14" t="e">
        <f t="shared" ca="1" si="18"/>
        <v>#N/A</v>
      </c>
      <c r="J63" s="14" t="e">
        <f t="shared" ca="1" si="18"/>
        <v>#N/A</v>
      </c>
      <c r="K63" s="14" t="e">
        <f t="shared" ca="1" si="18"/>
        <v>#N/A</v>
      </c>
      <c r="L63" s="14" t="e">
        <f t="shared" ca="1" si="18"/>
        <v>#N/A</v>
      </c>
      <c r="M63" s="14" t="e">
        <f t="shared" ca="1" si="18"/>
        <v>#N/A</v>
      </c>
      <c r="N63" s="14" t="e">
        <f t="shared" ca="1" si="18"/>
        <v>#N/A</v>
      </c>
      <c r="O63" s="14" t="e">
        <f t="shared" ca="1" si="18"/>
        <v>#N/A</v>
      </c>
      <c r="P63" s="14" t="e">
        <f t="shared" ca="1" si="18"/>
        <v>#N/A</v>
      </c>
      <c r="Q63" s="14" t="e">
        <f t="shared" ca="1" si="18"/>
        <v>#N/A</v>
      </c>
      <c r="R63" s="14" t="e">
        <f t="shared" ca="1" si="18"/>
        <v>#N/A</v>
      </c>
      <c r="S63" s="14" t="e">
        <f t="shared" ca="1" si="18"/>
        <v>#N/A</v>
      </c>
      <c r="T63" s="14" t="e">
        <f t="shared" ca="1" si="18"/>
        <v>#N/A</v>
      </c>
      <c r="U63" s="14" t="e">
        <f t="shared" ca="1" si="18"/>
        <v>#N/A</v>
      </c>
      <c r="V63" s="14" t="e">
        <f t="shared" ca="1" si="18"/>
        <v>#N/A</v>
      </c>
      <c r="W63" s="14" t="e">
        <f t="shared" ca="1" si="18"/>
        <v>#N/A</v>
      </c>
      <c r="X63" s="14" t="e">
        <f t="shared" ca="1" si="18"/>
        <v>#N/A</v>
      </c>
      <c r="Y63" s="14" t="e">
        <f t="shared" ca="1" si="18"/>
        <v>#N/A</v>
      </c>
      <c r="Z63" s="14" t="e">
        <f t="shared" ca="1" si="18"/>
        <v>#N/A</v>
      </c>
      <c r="AA63" s="14" t="e">
        <f t="shared" ca="1" si="18"/>
        <v>#N/A</v>
      </c>
      <c r="AB63" s="14" t="e">
        <f t="shared" ca="1" si="18"/>
        <v>#N/A</v>
      </c>
      <c r="AC63" s="14" t="e">
        <f t="shared" ca="1" si="18"/>
        <v>#N/A</v>
      </c>
      <c r="AD63" s="14" t="e">
        <f t="shared" ca="1" si="18"/>
        <v>#N/A</v>
      </c>
      <c r="AE63" s="14" t="e">
        <f t="shared" ca="1" si="18"/>
        <v>#N/A</v>
      </c>
      <c r="AF63" s="14" t="e">
        <f t="shared" ca="1" si="18"/>
        <v>#N/A</v>
      </c>
      <c r="AG63" s="14" t="e">
        <f t="shared" ca="1" si="18"/>
        <v>#N/A</v>
      </c>
      <c r="AH63" s="14" t="e">
        <f t="shared" ca="1" si="18"/>
        <v>#N/A</v>
      </c>
      <c r="AI63" s="14" t="e">
        <f t="shared" ca="1" si="18"/>
        <v>#N/A</v>
      </c>
      <c r="AJ63" s="14" t="e">
        <f t="shared" ca="1" si="18"/>
        <v>#N/A</v>
      </c>
      <c r="AK63" s="14" t="e">
        <f t="shared" ca="1" si="18"/>
        <v>#N/A</v>
      </c>
      <c r="AL63" s="14" t="e">
        <f t="shared" ca="1" si="18"/>
        <v>#N/A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 t="e">
        <f t="shared" ca="1" si="16"/>
        <v>#N/A</v>
      </c>
      <c r="G64" s="14" t="e">
        <f t="shared" ca="1" si="18"/>
        <v>#N/A</v>
      </c>
      <c r="H64" s="14" t="e">
        <f t="shared" ca="1" si="18"/>
        <v>#N/A</v>
      </c>
      <c r="I64" s="14" t="e">
        <f t="shared" ca="1" si="18"/>
        <v>#N/A</v>
      </c>
      <c r="J64" s="14" t="e">
        <f t="shared" ca="1" si="18"/>
        <v>#N/A</v>
      </c>
      <c r="K64" s="14" t="e">
        <f t="shared" ca="1" si="18"/>
        <v>#N/A</v>
      </c>
      <c r="L64" s="14" t="e">
        <f t="shared" ca="1" si="18"/>
        <v>#N/A</v>
      </c>
      <c r="M64" s="14" t="e">
        <f t="shared" ca="1" si="18"/>
        <v>#N/A</v>
      </c>
      <c r="N64" s="14" t="e">
        <f t="shared" ca="1" si="18"/>
        <v>#N/A</v>
      </c>
      <c r="O64" s="14" t="e">
        <f t="shared" ca="1" si="18"/>
        <v>#N/A</v>
      </c>
      <c r="P64" s="14" t="e">
        <f t="shared" ca="1" si="18"/>
        <v>#N/A</v>
      </c>
      <c r="Q64" s="14" t="e">
        <f t="shared" ca="1" si="18"/>
        <v>#N/A</v>
      </c>
      <c r="R64" s="14" t="e">
        <f t="shared" ca="1" si="18"/>
        <v>#N/A</v>
      </c>
      <c r="S64" s="14" t="e">
        <f t="shared" ca="1" si="18"/>
        <v>#N/A</v>
      </c>
      <c r="T64" s="14" t="e">
        <f t="shared" ca="1" si="18"/>
        <v>#N/A</v>
      </c>
      <c r="U64" s="14" t="e">
        <f t="shared" ca="1" si="18"/>
        <v>#N/A</v>
      </c>
      <c r="V64" s="14" t="e">
        <f t="shared" ca="1" si="18"/>
        <v>#N/A</v>
      </c>
      <c r="W64" s="14" t="e">
        <f t="shared" ca="1" si="18"/>
        <v>#N/A</v>
      </c>
      <c r="X64" s="14" t="e">
        <f t="shared" ca="1" si="18"/>
        <v>#N/A</v>
      </c>
      <c r="Y64" s="14" t="e">
        <f t="shared" ca="1" si="18"/>
        <v>#N/A</v>
      </c>
      <c r="Z64" s="14" t="e">
        <f t="shared" ca="1" si="18"/>
        <v>#N/A</v>
      </c>
      <c r="AA64" s="14" t="e">
        <f t="shared" ca="1" si="18"/>
        <v>#N/A</v>
      </c>
      <c r="AB64" s="14" t="e">
        <f t="shared" ca="1" si="18"/>
        <v>#N/A</v>
      </c>
      <c r="AC64" s="14" t="e">
        <f t="shared" ca="1" si="18"/>
        <v>#N/A</v>
      </c>
      <c r="AD64" s="14" t="e">
        <f t="shared" ca="1" si="18"/>
        <v>#N/A</v>
      </c>
      <c r="AE64" s="14" t="e">
        <f t="shared" ca="1" si="18"/>
        <v>#N/A</v>
      </c>
      <c r="AF64" s="14" t="e">
        <f t="shared" ca="1" si="18"/>
        <v>#N/A</v>
      </c>
      <c r="AG64" s="14" t="e">
        <f t="shared" ca="1" si="18"/>
        <v>#N/A</v>
      </c>
      <c r="AH64" s="14" t="e">
        <f t="shared" ca="1" si="18"/>
        <v>#N/A</v>
      </c>
      <c r="AI64" s="14" t="e">
        <f t="shared" ca="1" si="18"/>
        <v>#N/A</v>
      </c>
      <c r="AJ64" s="14" t="e">
        <f t="shared" ca="1" si="18"/>
        <v>#N/A</v>
      </c>
      <c r="AK64" s="14" t="e">
        <f t="shared" ca="1" si="18"/>
        <v>#N/A</v>
      </c>
      <c r="AL64" s="14" t="e">
        <f t="shared" ca="1" si="18"/>
        <v>#N/A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 t="e">
        <f t="shared" ca="1" si="16"/>
        <v>#N/A</v>
      </c>
      <c r="G65" s="14" t="e">
        <f t="shared" ca="1" si="18"/>
        <v>#N/A</v>
      </c>
      <c r="H65" s="14" t="e">
        <f t="shared" ca="1" si="18"/>
        <v>#N/A</v>
      </c>
      <c r="I65" s="14" t="e">
        <f t="shared" ca="1" si="18"/>
        <v>#N/A</v>
      </c>
      <c r="J65" s="14" t="e">
        <f t="shared" ca="1" si="18"/>
        <v>#N/A</v>
      </c>
      <c r="K65" s="14" t="e">
        <f t="shared" ca="1" si="18"/>
        <v>#N/A</v>
      </c>
      <c r="L65" s="14" t="e">
        <f t="shared" ca="1" si="18"/>
        <v>#N/A</v>
      </c>
      <c r="M65" s="14" t="e">
        <f t="shared" ca="1" si="18"/>
        <v>#N/A</v>
      </c>
      <c r="N65" s="14" t="e">
        <f t="shared" ca="1" si="18"/>
        <v>#N/A</v>
      </c>
      <c r="O65" s="14" t="e">
        <f t="shared" ca="1" si="18"/>
        <v>#N/A</v>
      </c>
      <c r="P65" s="14" t="e">
        <f t="shared" ca="1" si="18"/>
        <v>#N/A</v>
      </c>
      <c r="Q65" s="14" t="e">
        <f t="shared" ca="1" si="18"/>
        <v>#N/A</v>
      </c>
      <c r="R65" s="14" t="e">
        <f t="shared" ca="1" si="18"/>
        <v>#N/A</v>
      </c>
      <c r="S65" s="14" t="e">
        <f t="shared" ca="1" si="18"/>
        <v>#N/A</v>
      </c>
      <c r="T65" s="14" t="e">
        <f t="shared" ca="1" si="18"/>
        <v>#N/A</v>
      </c>
      <c r="U65" s="14" t="e">
        <f t="shared" ca="1" si="18"/>
        <v>#N/A</v>
      </c>
      <c r="V65" s="14" t="e">
        <f t="shared" ca="1" si="18"/>
        <v>#N/A</v>
      </c>
      <c r="W65" s="14" t="e">
        <f t="shared" ca="1" si="18"/>
        <v>#N/A</v>
      </c>
      <c r="X65" s="14" t="e">
        <f t="shared" ca="1" si="18"/>
        <v>#N/A</v>
      </c>
      <c r="Y65" s="14" t="e">
        <f t="shared" ca="1" si="18"/>
        <v>#N/A</v>
      </c>
      <c r="Z65" s="14" t="e">
        <f t="shared" ca="1" si="18"/>
        <v>#N/A</v>
      </c>
      <c r="AA65" s="14" t="e">
        <f t="shared" ca="1" si="18"/>
        <v>#N/A</v>
      </c>
      <c r="AB65" s="14" t="e">
        <f t="shared" ca="1" si="18"/>
        <v>#N/A</v>
      </c>
      <c r="AC65" s="14" t="e">
        <f t="shared" ca="1" si="18"/>
        <v>#N/A</v>
      </c>
      <c r="AD65" s="14" t="e">
        <f t="shared" ca="1" si="18"/>
        <v>#N/A</v>
      </c>
      <c r="AE65" s="14" t="e">
        <f t="shared" ca="1" si="18"/>
        <v>#N/A</v>
      </c>
      <c r="AF65" s="14" t="e">
        <f t="shared" ca="1" si="18"/>
        <v>#N/A</v>
      </c>
      <c r="AG65" s="14" t="e">
        <f t="shared" ca="1" si="18"/>
        <v>#N/A</v>
      </c>
      <c r="AH65" s="14" t="e">
        <f t="shared" ca="1" si="18"/>
        <v>#N/A</v>
      </c>
      <c r="AI65" s="14" t="e">
        <f t="shared" ca="1" si="18"/>
        <v>#N/A</v>
      </c>
      <c r="AJ65" s="14" t="e">
        <f t="shared" ca="1" si="18"/>
        <v>#N/A</v>
      </c>
      <c r="AK65" s="14" t="e">
        <f t="shared" ca="1" si="18"/>
        <v>#N/A</v>
      </c>
      <c r="AL65" s="14" t="e">
        <f t="shared" ca="1" si="18"/>
        <v>#N/A</v>
      </c>
    </row>
    <row r="66" spans="1:54" ht="21" hidden="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 t="e">
        <f t="shared" ref="F66:U74" ca="1" si="20">$A66*H.Ar + $B66*H.Se + $C66*H.Ge + $D66*H.Ga</f>
        <v>#N/A</v>
      </c>
      <c r="G66" s="14" t="e">
        <f t="shared" ca="1" si="20"/>
        <v>#N/A</v>
      </c>
      <c r="H66" s="14" t="e">
        <f t="shared" ca="1" si="20"/>
        <v>#N/A</v>
      </c>
      <c r="I66" s="14" t="e">
        <f t="shared" ca="1" si="20"/>
        <v>#N/A</v>
      </c>
      <c r="J66" s="14" t="e">
        <f t="shared" ca="1" si="20"/>
        <v>#N/A</v>
      </c>
      <c r="K66" s="14" t="e">
        <f t="shared" ca="1" si="20"/>
        <v>#N/A</v>
      </c>
      <c r="L66" s="14" t="e">
        <f t="shared" ca="1" si="20"/>
        <v>#N/A</v>
      </c>
      <c r="M66" s="14" t="e">
        <f t="shared" ca="1" si="20"/>
        <v>#N/A</v>
      </c>
      <c r="N66" s="14" t="e">
        <f t="shared" ca="1" si="20"/>
        <v>#N/A</v>
      </c>
      <c r="O66" s="14" t="e">
        <f t="shared" ca="1" si="20"/>
        <v>#N/A</v>
      </c>
      <c r="P66" s="14" t="e">
        <f t="shared" ca="1" si="20"/>
        <v>#N/A</v>
      </c>
      <c r="Q66" s="14" t="e">
        <f t="shared" ca="1" si="20"/>
        <v>#N/A</v>
      </c>
      <c r="R66" s="14" t="e">
        <f t="shared" ca="1" si="20"/>
        <v>#N/A</v>
      </c>
      <c r="S66" s="14" t="e">
        <f t="shared" ca="1" si="20"/>
        <v>#N/A</v>
      </c>
      <c r="T66" s="14" t="e">
        <f t="shared" ca="1" si="20"/>
        <v>#N/A</v>
      </c>
      <c r="U66" s="14" t="e">
        <f t="shared" ca="1" si="20"/>
        <v>#N/A</v>
      </c>
      <c r="V66" s="14" t="e">
        <f t="shared" ca="1" si="18"/>
        <v>#N/A</v>
      </c>
      <c r="W66" s="14" t="e">
        <f t="shared" ca="1" si="18"/>
        <v>#N/A</v>
      </c>
      <c r="X66" s="14" t="e">
        <f t="shared" ca="1" si="18"/>
        <v>#N/A</v>
      </c>
      <c r="Y66" s="14" t="e">
        <f t="shared" ca="1" si="18"/>
        <v>#N/A</v>
      </c>
      <c r="Z66" s="14" t="e">
        <f t="shared" ca="1" si="18"/>
        <v>#N/A</v>
      </c>
      <c r="AA66" s="14" t="e">
        <f t="shared" ca="1" si="18"/>
        <v>#N/A</v>
      </c>
      <c r="AB66" s="14" t="e">
        <f t="shared" ca="1" si="18"/>
        <v>#N/A</v>
      </c>
      <c r="AC66" s="14" t="e">
        <f t="shared" ca="1" si="18"/>
        <v>#N/A</v>
      </c>
      <c r="AD66" s="14" t="e">
        <f t="shared" ca="1" si="18"/>
        <v>#N/A</v>
      </c>
      <c r="AE66" s="14" t="e">
        <f t="shared" ca="1" si="18"/>
        <v>#N/A</v>
      </c>
      <c r="AF66" s="14" t="e">
        <f t="shared" ca="1" si="18"/>
        <v>#N/A</v>
      </c>
      <c r="AG66" s="14" t="e">
        <f t="shared" ca="1" si="18"/>
        <v>#N/A</v>
      </c>
      <c r="AH66" s="14" t="e">
        <f t="shared" ca="1" si="18"/>
        <v>#N/A</v>
      </c>
      <c r="AI66" s="14" t="e">
        <f t="shared" ca="1" si="18"/>
        <v>#N/A</v>
      </c>
      <c r="AJ66" s="14" t="e">
        <f t="shared" ca="1" si="18"/>
        <v>#N/A</v>
      </c>
      <c r="AK66" s="14" t="e">
        <f t="shared" ca="1" si="18"/>
        <v>#N/A</v>
      </c>
      <c r="AL66" s="14" t="e">
        <f t="shared" ca="1" si="18"/>
        <v>#N/A</v>
      </c>
    </row>
    <row r="67" spans="1:54" ht="21" hidden="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 t="e">
        <f t="shared" ca="1" si="20"/>
        <v>#N/A</v>
      </c>
      <c r="G67" s="14" t="e">
        <f t="shared" ca="1" si="18"/>
        <v>#N/A</v>
      </c>
      <c r="H67" s="14" t="e">
        <f t="shared" ca="1" si="18"/>
        <v>#N/A</v>
      </c>
      <c r="I67" s="14" t="e">
        <f t="shared" ca="1" si="18"/>
        <v>#N/A</v>
      </c>
      <c r="J67" s="14" t="e">
        <f t="shared" ca="1" si="18"/>
        <v>#N/A</v>
      </c>
      <c r="K67" s="14" t="e">
        <f t="shared" ca="1" si="18"/>
        <v>#N/A</v>
      </c>
      <c r="L67" s="14" t="e">
        <f t="shared" ca="1" si="18"/>
        <v>#N/A</v>
      </c>
      <c r="M67" s="14" t="e">
        <f t="shared" ca="1" si="18"/>
        <v>#N/A</v>
      </c>
      <c r="N67" s="14" t="e">
        <f t="shared" ca="1" si="18"/>
        <v>#N/A</v>
      </c>
      <c r="O67" s="14" t="e">
        <f t="shared" ca="1" si="18"/>
        <v>#N/A</v>
      </c>
      <c r="P67" s="14" t="e">
        <f t="shared" ca="1" si="18"/>
        <v>#N/A</v>
      </c>
      <c r="Q67" s="14" t="e">
        <f t="shared" ca="1" si="18"/>
        <v>#N/A</v>
      </c>
      <c r="R67" s="14" t="e">
        <f t="shared" ca="1" si="18"/>
        <v>#N/A</v>
      </c>
      <c r="S67" s="14" t="e">
        <f t="shared" ca="1" si="18"/>
        <v>#N/A</v>
      </c>
      <c r="T67" s="14" t="e">
        <f t="shared" ca="1" si="18"/>
        <v>#N/A</v>
      </c>
      <c r="U67" s="14" t="e">
        <f t="shared" ca="1" si="18"/>
        <v>#N/A</v>
      </c>
      <c r="V67" s="14" t="e">
        <f t="shared" ca="1" si="18"/>
        <v>#N/A</v>
      </c>
      <c r="W67" s="14" t="e">
        <f t="shared" ca="1" si="18"/>
        <v>#N/A</v>
      </c>
      <c r="X67" s="14" t="e">
        <f t="shared" ca="1" si="18"/>
        <v>#N/A</v>
      </c>
      <c r="Y67" s="14" t="e">
        <f t="shared" ca="1" si="18"/>
        <v>#N/A</v>
      </c>
      <c r="Z67" s="14" t="e">
        <f t="shared" ca="1" si="18"/>
        <v>#N/A</v>
      </c>
      <c r="AA67" s="14" t="e">
        <f t="shared" ca="1" si="18"/>
        <v>#N/A</v>
      </c>
      <c r="AB67" s="14" t="e">
        <f t="shared" ca="1" si="18"/>
        <v>#N/A</v>
      </c>
      <c r="AC67" s="14" t="e">
        <f t="shared" ca="1" si="18"/>
        <v>#N/A</v>
      </c>
      <c r="AD67" s="14" t="e">
        <f t="shared" ca="1" si="18"/>
        <v>#N/A</v>
      </c>
      <c r="AE67" s="14" t="e">
        <f t="shared" ca="1" si="18"/>
        <v>#N/A</v>
      </c>
      <c r="AF67" s="14" t="e">
        <f t="shared" ca="1" si="18"/>
        <v>#N/A</v>
      </c>
      <c r="AG67" s="14" t="e">
        <f t="shared" ca="1" si="18"/>
        <v>#N/A</v>
      </c>
      <c r="AH67" s="14" t="e">
        <f t="shared" ca="1" si="18"/>
        <v>#N/A</v>
      </c>
      <c r="AI67" s="14" t="e">
        <f t="shared" ca="1" si="18"/>
        <v>#N/A</v>
      </c>
      <c r="AJ67" s="14" t="e">
        <f t="shared" ca="1" si="18"/>
        <v>#N/A</v>
      </c>
      <c r="AK67" s="14" t="e">
        <f t="shared" ca="1" si="18"/>
        <v>#N/A</v>
      </c>
      <c r="AL67" s="14" t="e">
        <f t="shared" ca="1" si="18"/>
        <v>#N/A</v>
      </c>
    </row>
    <row r="68" spans="1:54" ht="21" hidden="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 t="e">
        <f t="shared" ca="1" si="20"/>
        <v>#N/A</v>
      </c>
      <c r="G68" s="14" t="e">
        <f t="shared" ca="1" si="18"/>
        <v>#N/A</v>
      </c>
      <c r="H68" s="14" t="e">
        <f t="shared" ca="1" si="18"/>
        <v>#N/A</v>
      </c>
      <c r="I68" s="14" t="e">
        <f t="shared" ca="1" si="18"/>
        <v>#N/A</v>
      </c>
      <c r="J68" s="14" t="e">
        <f t="shared" ca="1" si="18"/>
        <v>#N/A</v>
      </c>
      <c r="K68" s="14" t="e">
        <f t="shared" ca="1" si="18"/>
        <v>#N/A</v>
      </c>
      <c r="L68" s="14" t="e">
        <f t="shared" ca="1" si="18"/>
        <v>#N/A</v>
      </c>
      <c r="M68" s="14" t="e">
        <f t="shared" ca="1" si="18"/>
        <v>#N/A</v>
      </c>
      <c r="N68" s="14" t="e">
        <f t="shared" ca="1" si="18"/>
        <v>#N/A</v>
      </c>
      <c r="O68" s="14" t="e">
        <f t="shared" ca="1" si="18"/>
        <v>#N/A</v>
      </c>
      <c r="P68" s="14" t="e">
        <f t="shared" ca="1" si="18"/>
        <v>#N/A</v>
      </c>
      <c r="Q68" s="14" t="e">
        <f t="shared" ca="1" si="18"/>
        <v>#N/A</v>
      </c>
      <c r="R68" s="14" t="e">
        <f t="shared" ca="1" si="18"/>
        <v>#N/A</v>
      </c>
      <c r="S68" s="14" t="e">
        <f t="shared" ca="1" si="18"/>
        <v>#N/A</v>
      </c>
      <c r="T68" s="14" t="e">
        <f t="shared" ca="1" si="18"/>
        <v>#N/A</v>
      </c>
      <c r="U68" s="14" t="e">
        <f t="shared" ca="1" si="18"/>
        <v>#N/A</v>
      </c>
      <c r="V68" s="14" t="e">
        <f t="shared" ca="1" si="18"/>
        <v>#N/A</v>
      </c>
      <c r="W68" s="14" t="e">
        <f t="shared" ca="1" si="18"/>
        <v>#N/A</v>
      </c>
      <c r="X68" s="14" t="e">
        <f t="shared" ca="1" si="18"/>
        <v>#N/A</v>
      </c>
      <c r="Y68" s="14" t="e">
        <f t="shared" ca="1" si="18"/>
        <v>#N/A</v>
      </c>
      <c r="Z68" s="14" t="e">
        <f t="shared" ca="1" si="18"/>
        <v>#N/A</v>
      </c>
      <c r="AA68" s="14" t="e">
        <f t="shared" ca="1" si="18"/>
        <v>#N/A</v>
      </c>
      <c r="AB68" s="14" t="e">
        <f t="shared" ca="1" si="18"/>
        <v>#N/A</v>
      </c>
      <c r="AC68" s="14" t="e">
        <f t="shared" ca="1" si="18"/>
        <v>#N/A</v>
      </c>
      <c r="AD68" s="14" t="e">
        <f t="shared" ca="1" si="18"/>
        <v>#N/A</v>
      </c>
      <c r="AE68" s="14" t="e">
        <f t="shared" ca="1" si="18"/>
        <v>#N/A</v>
      </c>
      <c r="AF68" s="14" t="e">
        <f t="shared" ca="1" si="18"/>
        <v>#N/A</v>
      </c>
      <c r="AG68" s="14" t="e">
        <f t="shared" ca="1" si="18"/>
        <v>#N/A</v>
      </c>
      <c r="AH68" s="14" t="e">
        <f t="shared" ca="1" si="18"/>
        <v>#N/A</v>
      </c>
      <c r="AI68" s="14" t="e">
        <f t="shared" ca="1" si="18"/>
        <v>#N/A</v>
      </c>
      <c r="AJ68" s="14" t="e">
        <f t="shared" ca="1" si="18"/>
        <v>#N/A</v>
      </c>
      <c r="AK68" s="14" t="e">
        <f t="shared" ca="1" si="18"/>
        <v>#N/A</v>
      </c>
      <c r="AL68" s="14" t="e">
        <f t="shared" ca="1" si="18"/>
        <v>#N/A</v>
      </c>
    </row>
    <row r="69" spans="1:54" ht="21" hidden="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 t="e">
        <f t="shared" ca="1" si="20"/>
        <v>#N/A</v>
      </c>
      <c r="G69" s="14" t="e">
        <f t="shared" ca="1" si="18"/>
        <v>#N/A</v>
      </c>
      <c r="H69" s="14" t="e">
        <f t="shared" ca="1" si="18"/>
        <v>#N/A</v>
      </c>
      <c r="I69" s="14" t="e">
        <f t="shared" ca="1" si="18"/>
        <v>#N/A</v>
      </c>
      <c r="J69" s="14" t="e">
        <f t="shared" ca="1" si="18"/>
        <v>#N/A</v>
      </c>
      <c r="K69" s="14" t="e">
        <f t="shared" ca="1" si="18"/>
        <v>#N/A</v>
      </c>
      <c r="L69" s="14" t="e">
        <f t="shared" ca="1" si="18"/>
        <v>#N/A</v>
      </c>
      <c r="M69" s="14" t="e">
        <f t="shared" ca="1" si="18"/>
        <v>#N/A</v>
      </c>
      <c r="N69" s="14" t="e">
        <f t="shared" ca="1" si="18"/>
        <v>#N/A</v>
      </c>
      <c r="O69" s="14" t="e">
        <f t="shared" ca="1" si="18"/>
        <v>#N/A</v>
      </c>
      <c r="P69" s="14" t="e">
        <f t="shared" ca="1" si="18"/>
        <v>#N/A</v>
      </c>
      <c r="Q69" s="14" t="e">
        <f t="shared" ca="1" si="18"/>
        <v>#N/A</v>
      </c>
      <c r="R69" s="14" t="e">
        <f t="shared" ca="1" si="18"/>
        <v>#N/A</v>
      </c>
      <c r="S69" s="14" t="e">
        <f t="shared" ca="1" si="18"/>
        <v>#N/A</v>
      </c>
      <c r="T69" s="14" t="e">
        <f t="shared" ca="1" si="18"/>
        <v>#N/A</v>
      </c>
      <c r="U69" s="14" t="e">
        <f t="shared" ca="1" si="18"/>
        <v>#N/A</v>
      </c>
      <c r="V69" s="14" t="e">
        <f t="shared" ca="1" si="18"/>
        <v>#N/A</v>
      </c>
      <c r="W69" s="14" t="e">
        <f t="shared" ca="1" si="18"/>
        <v>#N/A</v>
      </c>
      <c r="X69" s="14" t="e">
        <f t="shared" ca="1" si="18"/>
        <v>#N/A</v>
      </c>
      <c r="Y69" s="14" t="e">
        <f t="shared" ca="1" si="18"/>
        <v>#N/A</v>
      </c>
      <c r="Z69" s="14" t="e">
        <f t="shared" ca="1" si="18"/>
        <v>#N/A</v>
      </c>
      <c r="AA69" s="14" t="e">
        <f t="shared" ca="1" si="18"/>
        <v>#N/A</v>
      </c>
      <c r="AB69" s="14" t="e">
        <f t="shared" ca="1" si="18"/>
        <v>#N/A</v>
      </c>
      <c r="AC69" s="14" t="e">
        <f t="shared" ca="1" si="18"/>
        <v>#N/A</v>
      </c>
      <c r="AD69" s="14" t="e">
        <f t="shared" ca="1" si="18"/>
        <v>#N/A</v>
      </c>
      <c r="AE69" s="14" t="e">
        <f t="shared" ca="1" si="18"/>
        <v>#N/A</v>
      </c>
      <c r="AF69" s="14" t="e">
        <f t="shared" ca="1" si="18"/>
        <v>#N/A</v>
      </c>
      <c r="AG69" s="14" t="e">
        <f t="shared" ca="1" si="18"/>
        <v>#N/A</v>
      </c>
      <c r="AH69" s="14" t="e">
        <f t="shared" ca="1" si="18"/>
        <v>#N/A</v>
      </c>
      <c r="AI69" s="14" t="e">
        <f t="shared" ca="1" si="18"/>
        <v>#N/A</v>
      </c>
      <c r="AJ69" s="14" t="e">
        <f t="shared" ca="1" si="18"/>
        <v>#N/A</v>
      </c>
      <c r="AK69" s="14" t="e">
        <f t="shared" ca="1" si="18"/>
        <v>#N/A</v>
      </c>
      <c r="AL69" s="14" t="e">
        <f t="shared" ca="1" si="18"/>
        <v>#N/A</v>
      </c>
    </row>
    <row r="70" spans="1:54" ht="21" hidden="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 t="e">
        <f t="shared" ca="1" si="20"/>
        <v>#N/A</v>
      </c>
      <c r="G70" s="14" t="e">
        <f t="shared" ca="1" si="18"/>
        <v>#N/A</v>
      </c>
      <c r="H70" s="14" t="e">
        <f t="shared" ca="1" si="18"/>
        <v>#N/A</v>
      </c>
      <c r="I70" s="14" t="e">
        <f t="shared" ca="1" si="18"/>
        <v>#N/A</v>
      </c>
      <c r="J70" s="14" t="e">
        <f t="shared" ca="1" si="18"/>
        <v>#N/A</v>
      </c>
      <c r="K70" s="14" t="e">
        <f t="shared" ca="1" si="18"/>
        <v>#N/A</v>
      </c>
      <c r="L70" s="14" t="e">
        <f t="shared" ca="1" si="18"/>
        <v>#N/A</v>
      </c>
      <c r="M70" s="14" t="e">
        <f t="shared" ca="1" si="18"/>
        <v>#N/A</v>
      </c>
      <c r="N70" s="14" t="e">
        <f t="shared" ca="1" si="18"/>
        <v>#N/A</v>
      </c>
      <c r="O70" s="14" t="e">
        <f t="shared" ca="1" si="18"/>
        <v>#N/A</v>
      </c>
      <c r="P70" s="14" t="e">
        <f t="shared" ca="1" si="18"/>
        <v>#N/A</v>
      </c>
      <c r="Q70" s="14" t="e">
        <f t="shared" ca="1" si="18"/>
        <v>#N/A</v>
      </c>
      <c r="R70" s="14" t="e">
        <f t="shared" ca="1" si="18"/>
        <v>#N/A</v>
      </c>
      <c r="S70" s="14" t="e">
        <f t="shared" ca="1" si="18"/>
        <v>#N/A</v>
      </c>
      <c r="T70" s="14" t="e">
        <f t="shared" ca="1" si="18"/>
        <v>#N/A</v>
      </c>
      <c r="U70" s="14" t="e">
        <f t="shared" ca="1" si="18"/>
        <v>#N/A</v>
      </c>
      <c r="V70" s="14" t="e">
        <f t="shared" ca="1" si="18"/>
        <v>#N/A</v>
      </c>
      <c r="W70" s="14" t="e">
        <f t="shared" ca="1" si="18"/>
        <v>#N/A</v>
      </c>
      <c r="X70" s="14" t="e">
        <f t="shared" ca="1" si="18"/>
        <v>#N/A</v>
      </c>
      <c r="Y70" s="14" t="e">
        <f t="shared" ca="1" si="18"/>
        <v>#N/A</v>
      </c>
      <c r="Z70" s="14" t="e">
        <f t="shared" ca="1" si="18"/>
        <v>#N/A</v>
      </c>
      <c r="AA70" s="14" t="e">
        <f t="shared" ca="1" si="18"/>
        <v>#N/A</v>
      </c>
      <c r="AB70" s="14" t="e">
        <f t="shared" ca="1" si="18"/>
        <v>#N/A</v>
      </c>
      <c r="AC70" s="14" t="e">
        <f t="shared" ca="1" si="18"/>
        <v>#N/A</v>
      </c>
      <c r="AD70" s="14" t="e">
        <f t="shared" ca="1" si="18"/>
        <v>#N/A</v>
      </c>
      <c r="AE70" s="14" t="e">
        <f t="shared" ca="1" si="18"/>
        <v>#N/A</v>
      </c>
      <c r="AF70" s="14" t="e">
        <f t="shared" ca="1" si="18"/>
        <v>#N/A</v>
      </c>
      <c r="AG70" s="14" t="e">
        <f t="shared" ca="1" si="18"/>
        <v>#N/A</v>
      </c>
      <c r="AH70" s="14" t="e">
        <f t="shared" ca="1" si="18"/>
        <v>#N/A</v>
      </c>
      <c r="AI70" s="14" t="e">
        <f t="shared" ca="1" si="18"/>
        <v>#N/A</v>
      </c>
      <c r="AJ70" s="14" t="e">
        <f t="shared" ca="1" si="18"/>
        <v>#N/A</v>
      </c>
      <c r="AK70" s="14" t="e">
        <f t="shared" ca="1" si="18"/>
        <v>#N/A</v>
      </c>
      <c r="AL70" s="14" t="e">
        <f t="shared" ca="1" si="18"/>
        <v>#N/A</v>
      </c>
    </row>
    <row r="71" spans="1:54" ht="21" hidden="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 t="e">
        <f t="shared" ca="1" si="20"/>
        <v>#N/A</v>
      </c>
      <c r="G71" s="14" t="e">
        <f t="shared" ca="1" si="18"/>
        <v>#N/A</v>
      </c>
      <c r="H71" s="14" t="e">
        <f t="shared" ca="1" si="18"/>
        <v>#N/A</v>
      </c>
      <c r="I71" s="14" t="e">
        <f t="shared" ca="1" si="18"/>
        <v>#N/A</v>
      </c>
      <c r="J71" s="14" t="e">
        <f t="shared" ca="1" si="18"/>
        <v>#N/A</v>
      </c>
      <c r="K71" s="14" t="e">
        <f t="shared" ca="1" si="18"/>
        <v>#N/A</v>
      </c>
      <c r="L71" s="14" t="e">
        <f t="shared" ca="1" si="18"/>
        <v>#N/A</v>
      </c>
      <c r="M71" s="14" t="e">
        <f t="shared" ca="1" si="18"/>
        <v>#N/A</v>
      </c>
      <c r="N71" s="14" t="e">
        <f t="shared" ca="1" si="18"/>
        <v>#N/A</v>
      </c>
      <c r="O71" s="14" t="e">
        <f t="shared" ca="1" si="18"/>
        <v>#N/A</v>
      </c>
      <c r="P71" s="14" t="e">
        <f t="shared" ca="1" si="18"/>
        <v>#N/A</v>
      </c>
      <c r="Q71" s="14" t="e">
        <f t="shared" ref="Q71:AL71" ca="1" si="21">$A71*H.Ar + $B71*H.Se + $C71*H.Ge + $D71*H.Ga</f>
        <v>#N/A</v>
      </c>
      <c r="R71" s="14" t="e">
        <f t="shared" ca="1" si="21"/>
        <v>#N/A</v>
      </c>
      <c r="S71" s="14" t="e">
        <f t="shared" ca="1" si="21"/>
        <v>#N/A</v>
      </c>
      <c r="T71" s="14" t="e">
        <f t="shared" ca="1" si="21"/>
        <v>#N/A</v>
      </c>
      <c r="U71" s="14" t="e">
        <f t="shared" ca="1" si="21"/>
        <v>#N/A</v>
      </c>
      <c r="V71" s="14" t="e">
        <f t="shared" ca="1" si="21"/>
        <v>#N/A</v>
      </c>
      <c r="W71" s="14" t="e">
        <f t="shared" ca="1" si="21"/>
        <v>#N/A</v>
      </c>
      <c r="X71" s="14" t="e">
        <f t="shared" ca="1" si="21"/>
        <v>#N/A</v>
      </c>
      <c r="Y71" s="14" t="e">
        <f t="shared" ca="1" si="21"/>
        <v>#N/A</v>
      </c>
      <c r="Z71" s="14" t="e">
        <f t="shared" ca="1" si="21"/>
        <v>#N/A</v>
      </c>
      <c r="AA71" s="14" t="e">
        <f t="shared" ca="1" si="21"/>
        <v>#N/A</v>
      </c>
      <c r="AB71" s="14" t="e">
        <f t="shared" ca="1" si="21"/>
        <v>#N/A</v>
      </c>
      <c r="AC71" s="14" t="e">
        <f t="shared" ca="1" si="21"/>
        <v>#N/A</v>
      </c>
      <c r="AD71" s="14" t="e">
        <f t="shared" ca="1" si="21"/>
        <v>#N/A</v>
      </c>
      <c r="AE71" s="14" t="e">
        <f t="shared" ca="1" si="21"/>
        <v>#N/A</v>
      </c>
      <c r="AF71" s="14" t="e">
        <f t="shared" ca="1" si="21"/>
        <v>#N/A</v>
      </c>
      <c r="AG71" s="14" t="e">
        <f t="shared" ca="1" si="21"/>
        <v>#N/A</v>
      </c>
      <c r="AH71" s="14" t="e">
        <f t="shared" ca="1" si="21"/>
        <v>#N/A</v>
      </c>
      <c r="AI71" s="14" t="e">
        <f t="shared" ca="1" si="21"/>
        <v>#N/A</v>
      </c>
      <c r="AJ71" s="14" t="e">
        <f t="shared" ca="1" si="21"/>
        <v>#N/A</v>
      </c>
      <c r="AK71" s="14" t="e">
        <f t="shared" ca="1" si="21"/>
        <v>#N/A</v>
      </c>
      <c r="AL71" s="14" t="e">
        <f t="shared" ca="1" si="21"/>
        <v>#N/A</v>
      </c>
    </row>
    <row r="72" spans="1:54" ht="21" hidden="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 t="e">
        <f t="shared" ca="1" si="20"/>
        <v>#N/A</v>
      </c>
      <c r="G72" s="14" t="e">
        <f t="shared" ref="G72:AL74" ca="1" si="22">$A72*H.Ar + $B72*H.Se + $C72*H.Ge + $D72*H.Ga</f>
        <v>#N/A</v>
      </c>
      <c r="H72" s="14" t="e">
        <f t="shared" ca="1" si="22"/>
        <v>#N/A</v>
      </c>
      <c r="I72" s="14" t="e">
        <f t="shared" ca="1" si="22"/>
        <v>#N/A</v>
      </c>
      <c r="J72" s="14" t="e">
        <f t="shared" ca="1" si="22"/>
        <v>#N/A</v>
      </c>
      <c r="K72" s="14" t="e">
        <f t="shared" ca="1" si="22"/>
        <v>#N/A</v>
      </c>
      <c r="L72" s="14" t="e">
        <f t="shared" ca="1" si="22"/>
        <v>#N/A</v>
      </c>
      <c r="M72" s="14" t="e">
        <f t="shared" ca="1" si="22"/>
        <v>#N/A</v>
      </c>
      <c r="N72" s="14" t="e">
        <f t="shared" ca="1" si="22"/>
        <v>#N/A</v>
      </c>
      <c r="O72" s="14" t="e">
        <f t="shared" ca="1" si="22"/>
        <v>#N/A</v>
      </c>
      <c r="P72" s="14" t="e">
        <f t="shared" ca="1" si="22"/>
        <v>#N/A</v>
      </c>
      <c r="Q72" s="14" t="e">
        <f t="shared" ca="1" si="22"/>
        <v>#N/A</v>
      </c>
      <c r="R72" s="14" t="e">
        <f t="shared" ca="1" si="22"/>
        <v>#N/A</v>
      </c>
      <c r="S72" s="14" t="e">
        <f t="shared" ca="1" si="22"/>
        <v>#N/A</v>
      </c>
      <c r="T72" s="14" t="e">
        <f t="shared" ca="1" si="22"/>
        <v>#N/A</v>
      </c>
      <c r="U72" s="14" t="e">
        <f t="shared" ca="1" si="22"/>
        <v>#N/A</v>
      </c>
      <c r="V72" s="14" t="e">
        <f t="shared" ca="1" si="22"/>
        <v>#N/A</v>
      </c>
      <c r="W72" s="14" t="e">
        <f t="shared" ca="1" si="22"/>
        <v>#N/A</v>
      </c>
      <c r="X72" s="14" t="e">
        <f t="shared" ca="1" si="22"/>
        <v>#N/A</v>
      </c>
      <c r="Y72" s="14" t="e">
        <f t="shared" ca="1" si="22"/>
        <v>#N/A</v>
      </c>
      <c r="Z72" s="14" t="e">
        <f t="shared" ca="1" si="22"/>
        <v>#N/A</v>
      </c>
      <c r="AA72" s="14" t="e">
        <f t="shared" ca="1" si="22"/>
        <v>#N/A</v>
      </c>
      <c r="AB72" s="14" t="e">
        <f t="shared" ca="1" si="22"/>
        <v>#N/A</v>
      </c>
      <c r="AC72" s="14" t="e">
        <f t="shared" ca="1" si="22"/>
        <v>#N/A</v>
      </c>
      <c r="AD72" s="14" t="e">
        <f t="shared" ca="1" si="22"/>
        <v>#N/A</v>
      </c>
      <c r="AE72" s="14" t="e">
        <f t="shared" ca="1" si="22"/>
        <v>#N/A</v>
      </c>
      <c r="AF72" s="14" t="e">
        <f t="shared" ca="1" si="22"/>
        <v>#N/A</v>
      </c>
      <c r="AG72" s="14" t="e">
        <f t="shared" ca="1" si="22"/>
        <v>#N/A</v>
      </c>
      <c r="AH72" s="14" t="e">
        <f t="shared" ca="1" si="22"/>
        <v>#N/A</v>
      </c>
      <c r="AI72" s="14" t="e">
        <f t="shared" ca="1" si="22"/>
        <v>#N/A</v>
      </c>
      <c r="AJ72" s="14" t="e">
        <f t="shared" ca="1" si="22"/>
        <v>#N/A</v>
      </c>
      <c r="AK72" s="14" t="e">
        <f t="shared" ca="1" si="22"/>
        <v>#N/A</v>
      </c>
      <c r="AL72" s="14" t="e">
        <f t="shared" ca="1" si="22"/>
        <v>#N/A</v>
      </c>
    </row>
    <row r="73" spans="1:54" ht="21" hidden="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 t="e">
        <f t="shared" ca="1" si="20"/>
        <v>#N/A</v>
      </c>
      <c r="G73" s="14" t="e">
        <f t="shared" ca="1" si="22"/>
        <v>#N/A</v>
      </c>
      <c r="H73" s="14" t="e">
        <f t="shared" ca="1" si="22"/>
        <v>#N/A</v>
      </c>
      <c r="I73" s="14" t="e">
        <f t="shared" ca="1" si="22"/>
        <v>#N/A</v>
      </c>
      <c r="J73" s="14" t="e">
        <f t="shared" ca="1" si="22"/>
        <v>#N/A</v>
      </c>
      <c r="K73" s="14" t="e">
        <f t="shared" ca="1" si="22"/>
        <v>#N/A</v>
      </c>
      <c r="L73" s="14" t="e">
        <f t="shared" ca="1" si="22"/>
        <v>#N/A</v>
      </c>
      <c r="M73" s="14" t="e">
        <f t="shared" ca="1" si="22"/>
        <v>#N/A</v>
      </c>
      <c r="N73" s="14" t="e">
        <f t="shared" ca="1" si="22"/>
        <v>#N/A</v>
      </c>
      <c r="O73" s="14" t="e">
        <f t="shared" ca="1" si="22"/>
        <v>#N/A</v>
      </c>
      <c r="P73" s="14" t="e">
        <f t="shared" ca="1" si="22"/>
        <v>#N/A</v>
      </c>
      <c r="Q73" s="14" t="e">
        <f t="shared" ca="1" si="22"/>
        <v>#N/A</v>
      </c>
      <c r="R73" s="14" t="e">
        <f t="shared" ca="1" si="22"/>
        <v>#N/A</v>
      </c>
      <c r="S73" s="14" t="e">
        <f t="shared" ca="1" si="22"/>
        <v>#N/A</v>
      </c>
      <c r="T73" s="14" t="e">
        <f t="shared" ca="1" si="22"/>
        <v>#N/A</v>
      </c>
      <c r="U73" s="14" t="e">
        <f t="shared" ca="1" si="22"/>
        <v>#N/A</v>
      </c>
      <c r="V73" s="14" t="e">
        <f t="shared" ca="1" si="22"/>
        <v>#N/A</v>
      </c>
      <c r="W73" s="14" t="e">
        <f t="shared" ca="1" si="22"/>
        <v>#N/A</v>
      </c>
      <c r="X73" s="14" t="e">
        <f t="shared" ca="1" si="22"/>
        <v>#N/A</v>
      </c>
      <c r="Y73" s="14" t="e">
        <f t="shared" ca="1" si="22"/>
        <v>#N/A</v>
      </c>
      <c r="Z73" s="14" t="e">
        <f t="shared" ca="1" si="22"/>
        <v>#N/A</v>
      </c>
      <c r="AA73" s="14" t="e">
        <f t="shared" ca="1" si="22"/>
        <v>#N/A</v>
      </c>
      <c r="AB73" s="14" t="e">
        <f t="shared" ca="1" si="22"/>
        <v>#N/A</v>
      </c>
      <c r="AC73" s="14" t="e">
        <f t="shared" ca="1" si="22"/>
        <v>#N/A</v>
      </c>
      <c r="AD73" s="14" t="e">
        <f t="shared" ca="1" si="22"/>
        <v>#N/A</v>
      </c>
      <c r="AE73" s="14" t="e">
        <f t="shared" ca="1" si="22"/>
        <v>#N/A</v>
      </c>
      <c r="AF73" s="14" t="e">
        <f t="shared" ca="1" si="22"/>
        <v>#N/A</v>
      </c>
      <c r="AG73" s="14" t="e">
        <f t="shared" ca="1" si="22"/>
        <v>#N/A</v>
      </c>
      <c r="AH73" s="14" t="e">
        <f t="shared" ca="1" si="22"/>
        <v>#N/A</v>
      </c>
      <c r="AI73" s="14" t="e">
        <f t="shared" ca="1" si="22"/>
        <v>#N/A</v>
      </c>
      <c r="AJ73" s="14" t="e">
        <f t="shared" ca="1" si="22"/>
        <v>#N/A</v>
      </c>
      <c r="AK73" s="14" t="e">
        <f t="shared" ca="1" si="22"/>
        <v>#N/A</v>
      </c>
      <c r="AL73" s="14" t="e">
        <f t="shared" ca="1" si="22"/>
        <v>#N/A</v>
      </c>
    </row>
    <row r="74" spans="1:54" ht="21" hidden="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 t="e">
        <f t="shared" ca="1" si="20"/>
        <v>#N/A</v>
      </c>
      <c r="G74" s="14" t="e">
        <f t="shared" ca="1" si="22"/>
        <v>#N/A</v>
      </c>
      <c r="H74" s="14" t="e">
        <f t="shared" ca="1" si="22"/>
        <v>#N/A</v>
      </c>
      <c r="I74" s="14" t="e">
        <f t="shared" ca="1" si="22"/>
        <v>#N/A</v>
      </c>
      <c r="J74" s="14" t="e">
        <f t="shared" ca="1" si="22"/>
        <v>#N/A</v>
      </c>
      <c r="K74" s="14" t="e">
        <f t="shared" ca="1" si="22"/>
        <v>#N/A</v>
      </c>
      <c r="L74" s="14" t="e">
        <f t="shared" ca="1" si="22"/>
        <v>#N/A</v>
      </c>
      <c r="M74" s="14" t="e">
        <f t="shared" ca="1" si="22"/>
        <v>#N/A</v>
      </c>
      <c r="N74" s="14" t="e">
        <f t="shared" ca="1" si="22"/>
        <v>#N/A</v>
      </c>
      <c r="O74" s="14" t="e">
        <f t="shared" ca="1" si="22"/>
        <v>#N/A</v>
      </c>
      <c r="P74" s="14" t="e">
        <f t="shared" ca="1" si="22"/>
        <v>#N/A</v>
      </c>
      <c r="Q74" s="14" t="e">
        <f t="shared" ca="1" si="22"/>
        <v>#N/A</v>
      </c>
      <c r="R74" s="14" t="e">
        <f t="shared" ca="1" si="22"/>
        <v>#N/A</v>
      </c>
      <c r="S74" s="14" t="e">
        <f t="shared" ca="1" si="22"/>
        <v>#N/A</v>
      </c>
      <c r="T74" s="14" t="e">
        <f t="shared" ca="1" si="22"/>
        <v>#N/A</v>
      </c>
      <c r="U74" s="14" t="e">
        <f t="shared" ca="1" si="22"/>
        <v>#N/A</v>
      </c>
      <c r="V74" s="14" t="e">
        <f t="shared" ca="1" si="22"/>
        <v>#N/A</v>
      </c>
      <c r="W74" s="14" t="e">
        <f t="shared" ca="1" si="22"/>
        <v>#N/A</v>
      </c>
      <c r="X74" s="14" t="e">
        <f t="shared" ca="1" si="22"/>
        <v>#N/A</v>
      </c>
      <c r="Y74" s="14" t="e">
        <f t="shared" ca="1" si="22"/>
        <v>#N/A</v>
      </c>
      <c r="Z74" s="14" t="e">
        <f t="shared" ca="1" si="22"/>
        <v>#N/A</v>
      </c>
      <c r="AA74" s="14" t="e">
        <f t="shared" ca="1" si="22"/>
        <v>#N/A</v>
      </c>
      <c r="AB74" s="14" t="e">
        <f t="shared" ca="1" si="22"/>
        <v>#N/A</v>
      </c>
      <c r="AC74" s="14" t="e">
        <f t="shared" ca="1" si="22"/>
        <v>#N/A</v>
      </c>
      <c r="AD74" s="14" t="e">
        <f t="shared" ca="1" si="22"/>
        <v>#N/A</v>
      </c>
      <c r="AE74" s="14" t="e">
        <f t="shared" ca="1" si="22"/>
        <v>#N/A</v>
      </c>
      <c r="AF74" s="14" t="e">
        <f t="shared" ca="1" si="22"/>
        <v>#N/A</v>
      </c>
      <c r="AG74" s="14" t="e">
        <f t="shared" ca="1" si="22"/>
        <v>#N/A</v>
      </c>
      <c r="AH74" s="14" t="e">
        <f t="shared" ca="1" si="22"/>
        <v>#N/A</v>
      </c>
      <c r="AI74" s="14" t="e">
        <f t="shared" ca="1" si="22"/>
        <v>#N/A</v>
      </c>
      <c r="AJ74" s="14" t="e">
        <f t="shared" ca="1" si="22"/>
        <v>#N/A</v>
      </c>
      <c r="AK74" s="14" t="e">
        <f t="shared" ca="1" si="22"/>
        <v>#N/A</v>
      </c>
      <c r="AL74" s="14" t="e">
        <f t="shared" ca="1" si="22"/>
        <v>#N/A</v>
      </c>
    </row>
    <row r="75" spans="1:54" ht="21" hidden="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8"/>
      <c r="B78" s="88"/>
      <c r="C78" s="89" t="e">
        <f>E41</f>
        <v>#DIV/0!</v>
      </c>
      <c r="D78" s="75"/>
      <c r="E78" s="74" t="s">
        <v>22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3">E45</f>
        <v>0</v>
      </c>
      <c r="F79" s="3">
        <f t="shared" ref="F79:AL79" si="24">F3</f>
        <v>0</v>
      </c>
      <c r="G79" s="3">
        <f t="shared" si="24"/>
        <v>0</v>
      </c>
      <c r="H79" s="3">
        <f t="shared" si="24"/>
        <v>0</v>
      </c>
      <c r="I79" s="3">
        <f t="shared" si="24"/>
        <v>0</v>
      </c>
      <c r="J79" s="3">
        <f t="shared" si="24"/>
        <v>0</v>
      </c>
      <c r="K79" s="3">
        <f t="shared" si="24"/>
        <v>0</v>
      </c>
      <c r="L79" s="3">
        <f t="shared" si="24"/>
        <v>0</v>
      </c>
      <c r="M79" s="3">
        <f t="shared" si="24"/>
        <v>0</v>
      </c>
      <c r="N79" s="3">
        <f t="shared" si="24"/>
        <v>0</v>
      </c>
      <c r="O79" s="3">
        <f t="shared" si="24"/>
        <v>0</v>
      </c>
      <c r="P79" s="3">
        <f t="shared" si="24"/>
        <v>0</v>
      </c>
      <c r="Q79" s="3">
        <f t="shared" si="24"/>
        <v>0</v>
      </c>
      <c r="R79" s="3">
        <f t="shared" si="24"/>
        <v>0</v>
      </c>
      <c r="S79" s="3">
        <f t="shared" si="24"/>
        <v>0</v>
      </c>
      <c r="T79" s="3">
        <f t="shared" si="24"/>
        <v>0</v>
      </c>
      <c r="U79" s="3">
        <f t="shared" si="24"/>
        <v>0</v>
      </c>
      <c r="V79" s="3">
        <f t="shared" si="24"/>
        <v>0</v>
      </c>
      <c r="W79" s="3">
        <f t="shared" si="24"/>
        <v>0</v>
      </c>
      <c r="X79" s="3">
        <f t="shared" si="24"/>
        <v>0</v>
      </c>
      <c r="Y79" s="3">
        <f t="shared" si="24"/>
        <v>0</v>
      </c>
      <c r="Z79" s="3">
        <f t="shared" si="24"/>
        <v>0</v>
      </c>
      <c r="AA79" s="3">
        <f t="shared" si="24"/>
        <v>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5">B46</f>
        <v>0</v>
      </c>
      <c r="C80" s="5">
        <f t="shared" si="25"/>
        <v>0</v>
      </c>
      <c r="D80" s="5">
        <f t="shared" si="25"/>
        <v>0</v>
      </c>
      <c r="E80" s="6">
        <f t="shared" si="23"/>
        <v>0</v>
      </c>
      <c r="F80" s="14" t="e">
        <f t="shared" ref="F80:AL80" si="26">F4*$C$78</f>
        <v>#DIV/0!</v>
      </c>
      <c r="G80" s="14" t="e">
        <f t="shared" si="26"/>
        <v>#DIV/0!</v>
      </c>
      <c r="H80" s="14" t="e">
        <f t="shared" si="26"/>
        <v>#DIV/0!</v>
      </c>
      <c r="I80" s="14" t="e">
        <f t="shared" si="26"/>
        <v>#DIV/0!</v>
      </c>
      <c r="J80" s="14" t="e">
        <f t="shared" si="26"/>
        <v>#DIV/0!</v>
      </c>
      <c r="K80" s="14" t="e">
        <f t="shared" si="26"/>
        <v>#DIV/0!</v>
      </c>
      <c r="L80" s="14" t="e">
        <f t="shared" si="26"/>
        <v>#DIV/0!</v>
      </c>
      <c r="M80" s="14" t="e">
        <f t="shared" si="26"/>
        <v>#DIV/0!</v>
      </c>
      <c r="N80" s="14" t="e">
        <f t="shared" si="26"/>
        <v>#DIV/0!</v>
      </c>
      <c r="O80" s="14" t="e">
        <f t="shared" si="26"/>
        <v>#DIV/0!</v>
      </c>
      <c r="P80" s="14" t="e">
        <f t="shared" si="26"/>
        <v>#DIV/0!</v>
      </c>
      <c r="Q80" s="14" t="e">
        <f t="shared" si="26"/>
        <v>#DIV/0!</v>
      </c>
      <c r="R80" s="14" t="e">
        <f t="shared" si="26"/>
        <v>#DIV/0!</v>
      </c>
      <c r="S80" s="14" t="e">
        <f t="shared" si="26"/>
        <v>#DIV/0!</v>
      </c>
      <c r="T80" s="14" t="e">
        <f t="shared" si="26"/>
        <v>#DIV/0!</v>
      </c>
      <c r="U80" s="14" t="e">
        <f t="shared" si="26"/>
        <v>#DIV/0!</v>
      </c>
      <c r="V80" s="14" t="e">
        <f t="shared" si="26"/>
        <v>#DIV/0!</v>
      </c>
      <c r="W80" s="14" t="e">
        <f t="shared" si="26"/>
        <v>#DIV/0!</v>
      </c>
      <c r="X80" s="14" t="e">
        <f t="shared" si="26"/>
        <v>#DIV/0!</v>
      </c>
      <c r="Y80" s="14" t="e">
        <f t="shared" si="26"/>
        <v>#DIV/0!</v>
      </c>
      <c r="Z80" s="14" t="e">
        <f t="shared" si="26"/>
        <v>#DIV/0!</v>
      </c>
      <c r="AA80" s="14" t="e">
        <f t="shared" si="26"/>
        <v>#DIV/0!</v>
      </c>
      <c r="AB80" s="14" t="e">
        <f t="shared" si="26"/>
        <v>#DIV/0!</v>
      </c>
      <c r="AC80" s="14" t="e">
        <f t="shared" si="26"/>
        <v>#DIV/0!</v>
      </c>
      <c r="AD80" s="14" t="e">
        <f t="shared" si="26"/>
        <v>#DIV/0!</v>
      </c>
      <c r="AE80" s="14" t="e">
        <f t="shared" si="26"/>
        <v>#DIV/0!</v>
      </c>
      <c r="AF80" s="14" t="e">
        <f t="shared" si="26"/>
        <v>#DIV/0!</v>
      </c>
      <c r="AG80" s="14" t="e">
        <f t="shared" si="26"/>
        <v>#DIV/0!</v>
      </c>
      <c r="AH80" s="14" t="e">
        <f t="shared" si="26"/>
        <v>#DIV/0!</v>
      </c>
      <c r="AI80" s="14" t="e">
        <f t="shared" si="26"/>
        <v>#DIV/0!</v>
      </c>
      <c r="AJ80" s="14" t="e">
        <f t="shared" si="26"/>
        <v>#DIV/0!</v>
      </c>
      <c r="AK80" s="14" t="e">
        <f t="shared" si="26"/>
        <v>#DIV/0!</v>
      </c>
      <c r="AL80" s="14" t="e">
        <f t="shared" si="26"/>
        <v>#DIV/0!</v>
      </c>
    </row>
    <row r="81" spans="1:38" ht="21" hidden="1" customHeight="1" outlineLevel="1" thickBot="1" x14ac:dyDescent="0.4">
      <c r="A81" s="5">
        <f t="shared" ref="A81:D96" si="27">A47</f>
        <v>0</v>
      </c>
      <c r="B81" s="5">
        <f t="shared" si="27"/>
        <v>0</v>
      </c>
      <c r="C81" s="5">
        <f t="shared" si="27"/>
        <v>0</v>
      </c>
      <c r="D81" s="5">
        <f t="shared" si="27"/>
        <v>0</v>
      </c>
      <c r="E81" s="6">
        <f t="shared" si="23"/>
        <v>0</v>
      </c>
      <c r="F81" s="14" t="e">
        <f t="shared" ref="F81:AL81" si="28">F5*$C$78</f>
        <v>#DIV/0!</v>
      </c>
      <c r="G81" s="14" t="e">
        <f t="shared" si="28"/>
        <v>#DIV/0!</v>
      </c>
      <c r="H81" s="14" t="e">
        <f t="shared" si="28"/>
        <v>#DIV/0!</v>
      </c>
      <c r="I81" s="14" t="e">
        <f t="shared" si="28"/>
        <v>#DIV/0!</v>
      </c>
      <c r="J81" s="14" t="e">
        <f t="shared" si="28"/>
        <v>#DIV/0!</v>
      </c>
      <c r="K81" s="14" t="e">
        <f t="shared" si="28"/>
        <v>#DIV/0!</v>
      </c>
      <c r="L81" s="14" t="e">
        <f t="shared" si="28"/>
        <v>#DIV/0!</v>
      </c>
      <c r="M81" s="14" t="e">
        <f t="shared" si="28"/>
        <v>#DIV/0!</v>
      </c>
      <c r="N81" s="14" t="e">
        <f t="shared" si="28"/>
        <v>#DIV/0!</v>
      </c>
      <c r="O81" s="14" t="e">
        <f t="shared" si="28"/>
        <v>#DIV/0!</v>
      </c>
      <c r="P81" s="14" t="e">
        <f t="shared" si="28"/>
        <v>#DIV/0!</v>
      </c>
      <c r="Q81" s="14" t="e">
        <f t="shared" si="28"/>
        <v>#DIV/0!</v>
      </c>
      <c r="R81" s="14" t="e">
        <f t="shared" si="28"/>
        <v>#DIV/0!</v>
      </c>
      <c r="S81" s="14" t="e">
        <f t="shared" si="28"/>
        <v>#DIV/0!</v>
      </c>
      <c r="T81" s="14" t="e">
        <f t="shared" si="28"/>
        <v>#DIV/0!</v>
      </c>
      <c r="U81" s="14" t="e">
        <f t="shared" si="28"/>
        <v>#DIV/0!</v>
      </c>
      <c r="V81" s="14" t="e">
        <f t="shared" si="28"/>
        <v>#DIV/0!</v>
      </c>
      <c r="W81" s="14" t="e">
        <f t="shared" si="28"/>
        <v>#DIV/0!</v>
      </c>
      <c r="X81" s="14" t="e">
        <f t="shared" si="28"/>
        <v>#DIV/0!</v>
      </c>
      <c r="Y81" s="14" t="e">
        <f t="shared" si="28"/>
        <v>#DIV/0!</v>
      </c>
      <c r="Z81" s="14" t="e">
        <f t="shared" si="28"/>
        <v>#DIV/0!</v>
      </c>
      <c r="AA81" s="14" t="e">
        <f t="shared" si="28"/>
        <v>#DIV/0!</v>
      </c>
      <c r="AB81" s="14" t="e">
        <f t="shared" si="28"/>
        <v>#DIV/0!</v>
      </c>
      <c r="AC81" s="14" t="e">
        <f t="shared" si="28"/>
        <v>#DIV/0!</v>
      </c>
      <c r="AD81" s="14" t="e">
        <f t="shared" si="28"/>
        <v>#DIV/0!</v>
      </c>
      <c r="AE81" s="14" t="e">
        <f t="shared" si="28"/>
        <v>#DIV/0!</v>
      </c>
      <c r="AF81" s="14" t="e">
        <f t="shared" si="28"/>
        <v>#DIV/0!</v>
      </c>
      <c r="AG81" s="14" t="e">
        <f t="shared" si="28"/>
        <v>#DIV/0!</v>
      </c>
      <c r="AH81" s="14" t="e">
        <f t="shared" si="28"/>
        <v>#DIV/0!</v>
      </c>
      <c r="AI81" s="14" t="e">
        <f t="shared" si="28"/>
        <v>#DIV/0!</v>
      </c>
      <c r="AJ81" s="14" t="e">
        <f t="shared" si="28"/>
        <v>#DIV/0!</v>
      </c>
      <c r="AK81" s="14" t="e">
        <f t="shared" si="28"/>
        <v>#DIV/0!</v>
      </c>
      <c r="AL81" s="14" t="e">
        <f t="shared" si="28"/>
        <v>#DIV/0!</v>
      </c>
    </row>
    <row r="82" spans="1:38" ht="21" hidden="1" customHeight="1" outlineLevel="1" thickBot="1" x14ac:dyDescent="0.4">
      <c r="A82" s="5">
        <f t="shared" si="27"/>
        <v>0</v>
      </c>
      <c r="B82" s="5">
        <f t="shared" si="27"/>
        <v>0</v>
      </c>
      <c r="C82" s="5">
        <f t="shared" si="27"/>
        <v>0</v>
      </c>
      <c r="D82" s="5">
        <f t="shared" si="27"/>
        <v>0</v>
      </c>
      <c r="E82" s="6">
        <f t="shared" si="23"/>
        <v>0</v>
      </c>
      <c r="F82" s="14" t="e">
        <f t="shared" ref="F82:AL82" si="29">F6*$C$78</f>
        <v>#DIV/0!</v>
      </c>
      <c r="G82" s="14" t="e">
        <f t="shared" si="29"/>
        <v>#DIV/0!</v>
      </c>
      <c r="H82" s="14" t="e">
        <f t="shared" si="29"/>
        <v>#DIV/0!</v>
      </c>
      <c r="I82" s="14" t="e">
        <f t="shared" si="29"/>
        <v>#DIV/0!</v>
      </c>
      <c r="J82" s="14" t="e">
        <f t="shared" si="29"/>
        <v>#DIV/0!</v>
      </c>
      <c r="K82" s="14" t="e">
        <f t="shared" si="29"/>
        <v>#DIV/0!</v>
      </c>
      <c r="L82" s="14" t="e">
        <f t="shared" si="29"/>
        <v>#DIV/0!</v>
      </c>
      <c r="M82" s="14" t="e">
        <f t="shared" si="29"/>
        <v>#DIV/0!</v>
      </c>
      <c r="N82" s="14" t="e">
        <f t="shared" si="29"/>
        <v>#DIV/0!</v>
      </c>
      <c r="O82" s="14" t="e">
        <f t="shared" si="29"/>
        <v>#DIV/0!</v>
      </c>
      <c r="P82" s="14" t="e">
        <f t="shared" si="29"/>
        <v>#DIV/0!</v>
      </c>
      <c r="Q82" s="14" t="e">
        <f t="shared" si="29"/>
        <v>#DIV/0!</v>
      </c>
      <c r="R82" s="14" t="e">
        <f t="shared" si="29"/>
        <v>#DIV/0!</v>
      </c>
      <c r="S82" s="14" t="e">
        <f t="shared" si="29"/>
        <v>#DIV/0!</v>
      </c>
      <c r="T82" s="14" t="e">
        <f t="shared" si="29"/>
        <v>#DIV/0!</v>
      </c>
      <c r="U82" s="14" t="e">
        <f t="shared" si="29"/>
        <v>#DIV/0!</v>
      </c>
      <c r="V82" s="14" t="e">
        <f t="shared" si="29"/>
        <v>#DIV/0!</v>
      </c>
      <c r="W82" s="14" t="e">
        <f t="shared" si="29"/>
        <v>#DIV/0!</v>
      </c>
      <c r="X82" s="14" t="e">
        <f t="shared" si="29"/>
        <v>#DIV/0!</v>
      </c>
      <c r="Y82" s="14" t="e">
        <f t="shared" si="29"/>
        <v>#DIV/0!</v>
      </c>
      <c r="Z82" s="14" t="e">
        <f t="shared" si="29"/>
        <v>#DIV/0!</v>
      </c>
      <c r="AA82" s="14" t="e">
        <f t="shared" si="29"/>
        <v>#DIV/0!</v>
      </c>
      <c r="AB82" s="14" t="e">
        <f t="shared" si="29"/>
        <v>#DIV/0!</v>
      </c>
      <c r="AC82" s="14" t="e">
        <f t="shared" si="29"/>
        <v>#DIV/0!</v>
      </c>
      <c r="AD82" s="14" t="e">
        <f t="shared" si="29"/>
        <v>#DIV/0!</v>
      </c>
      <c r="AE82" s="14" t="e">
        <f t="shared" si="29"/>
        <v>#DIV/0!</v>
      </c>
      <c r="AF82" s="14" t="e">
        <f t="shared" si="29"/>
        <v>#DIV/0!</v>
      </c>
      <c r="AG82" s="14" t="e">
        <f t="shared" si="29"/>
        <v>#DIV/0!</v>
      </c>
      <c r="AH82" s="14" t="e">
        <f t="shared" si="29"/>
        <v>#DIV/0!</v>
      </c>
      <c r="AI82" s="14" t="e">
        <f t="shared" si="29"/>
        <v>#DIV/0!</v>
      </c>
      <c r="AJ82" s="14" t="e">
        <f t="shared" si="29"/>
        <v>#DIV/0!</v>
      </c>
      <c r="AK82" s="14" t="e">
        <f t="shared" si="29"/>
        <v>#DIV/0!</v>
      </c>
      <c r="AL82" s="14" t="e">
        <f t="shared" si="29"/>
        <v>#DIV/0!</v>
      </c>
    </row>
    <row r="83" spans="1:38" ht="21" hidden="1" customHeight="1" outlineLevel="1" thickBot="1" x14ac:dyDescent="0.4">
      <c r="A83" s="5">
        <f t="shared" si="27"/>
        <v>0</v>
      </c>
      <c r="B83" s="5">
        <f t="shared" si="27"/>
        <v>0</v>
      </c>
      <c r="C83" s="5">
        <f t="shared" si="27"/>
        <v>0</v>
      </c>
      <c r="D83" s="5">
        <f t="shared" si="27"/>
        <v>0</v>
      </c>
      <c r="E83" s="6">
        <f t="shared" si="23"/>
        <v>0</v>
      </c>
      <c r="F83" s="14" t="e">
        <f t="shared" ref="F83:AL83" si="30">F7*$C$78</f>
        <v>#DIV/0!</v>
      </c>
      <c r="G83" s="14" t="e">
        <f t="shared" si="30"/>
        <v>#DIV/0!</v>
      </c>
      <c r="H83" s="14" t="e">
        <f t="shared" si="30"/>
        <v>#DIV/0!</v>
      </c>
      <c r="I83" s="14" t="e">
        <f t="shared" si="30"/>
        <v>#DIV/0!</v>
      </c>
      <c r="J83" s="14" t="e">
        <f t="shared" si="30"/>
        <v>#DIV/0!</v>
      </c>
      <c r="K83" s="14" t="e">
        <f t="shared" si="30"/>
        <v>#DIV/0!</v>
      </c>
      <c r="L83" s="14" t="e">
        <f t="shared" si="30"/>
        <v>#DIV/0!</v>
      </c>
      <c r="M83" s="14" t="e">
        <f t="shared" si="30"/>
        <v>#DIV/0!</v>
      </c>
      <c r="N83" s="14" t="e">
        <f t="shared" si="30"/>
        <v>#DIV/0!</v>
      </c>
      <c r="O83" s="14" t="e">
        <f t="shared" si="30"/>
        <v>#DIV/0!</v>
      </c>
      <c r="P83" s="14" t="e">
        <f t="shared" si="30"/>
        <v>#DIV/0!</v>
      </c>
      <c r="Q83" s="14" t="e">
        <f t="shared" si="30"/>
        <v>#DIV/0!</v>
      </c>
      <c r="R83" s="14" t="e">
        <f t="shared" si="30"/>
        <v>#DIV/0!</v>
      </c>
      <c r="S83" s="14" t="e">
        <f t="shared" si="30"/>
        <v>#DIV/0!</v>
      </c>
      <c r="T83" s="14" t="e">
        <f t="shared" si="30"/>
        <v>#DIV/0!</v>
      </c>
      <c r="U83" s="14" t="e">
        <f t="shared" si="30"/>
        <v>#DIV/0!</v>
      </c>
      <c r="V83" s="14" t="e">
        <f t="shared" si="30"/>
        <v>#DIV/0!</v>
      </c>
      <c r="W83" s="14" t="e">
        <f t="shared" si="30"/>
        <v>#DIV/0!</v>
      </c>
      <c r="X83" s="14" t="e">
        <f t="shared" si="30"/>
        <v>#DIV/0!</v>
      </c>
      <c r="Y83" s="14" t="e">
        <f t="shared" si="30"/>
        <v>#DIV/0!</v>
      </c>
      <c r="Z83" s="14" t="e">
        <f t="shared" si="30"/>
        <v>#DIV/0!</v>
      </c>
      <c r="AA83" s="14" t="e">
        <f t="shared" si="30"/>
        <v>#DIV/0!</v>
      </c>
      <c r="AB83" s="14" t="e">
        <f t="shared" si="30"/>
        <v>#DIV/0!</v>
      </c>
      <c r="AC83" s="14" t="e">
        <f t="shared" si="30"/>
        <v>#DIV/0!</v>
      </c>
      <c r="AD83" s="14" t="e">
        <f t="shared" si="30"/>
        <v>#DIV/0!</v>
      </c>
      <c r="AE83" s="14" t="e">
        <f t="shared" si="30"/>
        <v>#DIV/0!</v>
      </c>
      <c r="AF83" s="14" t="e">
        <f t="shared" si="30"/>
        <v>#DIV/0!</v>
      </c>
      <c r="AG83" s="14" t="e">
        <f t="shared" si="30"/>
        <v>#DIV/0!</v>
      </c>
      <c r="AH83" s="14" t="e">
        <f t="shared" si="30"/>
        <v>#DIV/0!</v>
      </c>
      <c r="AI83" s="14" t="e">
        <f t="shared" si="30"/>
        <v>#DIV/0!</v>
      </c>
      <c r="AJ83" s="14" t="e">
        <f t="shared" si="30"/>
        <v>#DIV/0!</v>
      </c>
      <c r="AK83" s="14" t="e">
        <f t="shared" si="30"/>
        <v>#DIV/0!</v>
      </c>
      <c r="AL83" s="14" t="e">
        <f t="shared" si="30"/>
        <v>#DIV/0!</v>
      </c>
    </row>
    <row r="84" spans="1:38" ht="21" hidden="1" customHeight="1" outlineLevel="1" thickBot="1" x14ac:dyDescent="0.4">
      <c r="A84" s="5">
        <f t="shared" si="27"/>
        <v>0</v>
      </c>
      <c r="B84" s="5">
        <f t="shared" si="27"/>
        <v>0</v>
      </c>
      <c r="C84" s="5">
        <f t="shared" si="27"/>
        <v>0</v>
      </c>
      <c r="D84" s="5">
        <f t="shared" si="27"/>
        <v>0</v>
      </c>
      <c r="E84" s="6">
        <f t="shared" si="23"/>
        <v>0</v>
      </c>
      <c r="F84" s="14" t="e">
        <f t="shared" ref="F84:AL84" si="31">F8*$C$78</f>
        <v>#DIV/0!</v>
      </c>
      <c r="G84" s="14" t="e">
        <f t="shared" si="31"/>
        <v>#DIV/0!</v>
      </c>
      <c r="H84" s="14" t="e">
        <f t="shared" si="31"/>
        <v>#DIV/0!</v>
      </c>
      <c r="I84" s="14" t="e">
        <f t="shared" si="31"/>
        <v>#DIV/0!</v>
      </c>
      <c r="J84" s="14" t="e">
        <f t="shared" si="31"/>
        <v>#DIV/0!</v>
      </c>
      <c r="K84" s="14" t="e">
        <f t="shared" si="31"/>
        <v>#DIV/0!</v>
      </c>
      <c r="L84" s="14" t="e">
        <f t="shared" si="31"/>
        <v>#DIV/0!</v>
      </c>
      <c r="M84" s="14" t="e">
        <f t="shared" si="31"/>
        <v>#DIV/0!</v>
      </c>
      <c r="N84" s="14" t="e">
        <f t="shared" si="31"/>
        <v>#DIV/0!</v>
      </c>
      <c r="O84" s="14" t="e">
        <f t="shared" si="31"/>
        <v>#DIV/0!</v>
      </c>
      <c r="P84" s="14" t="e">
        <f t="shared" si="31"/>
        <v>#DIV/0!</v>
      </c>
      <c r="Q84" s="14" t="e">
        <f t="shared" si="31"/>
        <v>#DIV/0!</v>
      </c>
      <c r="R84" s="14" t="e">
        <f t="shared" si="31"/>
        <v>#DIV/0!</v>
      </c>
      <c r="S84" s="14" t="e">
        <f t="shared" si="31"/>
        <v>#DIV/0!</v>
      </c>
      <c r="T84" s="14" t="e">
        <f t="shared" si="31"/>
        <v>#DIV/0!</v>
      </c>
      <c r="U84" s="14" t="e">
        <f t="shared" si="31"/>
        <v>#DIV/0!</v>
      </c>
      <c r="V84" s="14" t="e">
        <f t="shared" si="31"/>
        <v>#DIV/0!</v>
      </c>
      <c r="W84" s="14" t="e">
        <f t="shared" si="31"/>
        <v>#DIV/0!</v>
      </c>
      <c r="X84" s="14" t="e">
        <f t="shared" si="31"/>
        <v>#DIV/0!</v>
      </c>
      <c r="Y84" s="14" t="e">
        <f t="shared" si="31"/>
        <v>#DIV/0!</v>
      </c>
      <c r="Z84" s="14" t="e">
        <f t="shared" si="31"/>
        <v>#DIV/0!</v>
      </c>
      <c r="AA84" s="14" t="e">
        <f t="shared" si="31"/>
        <v>#DIV/0!</v>
      </c>
      <c r="AB84" s="14" t="e">
        <f t="shared" si="31"/>
        <v>#DIV/0!</v>
      </c>
      <c r="AC84" s="14" t="e">
        <f t="shared" si="31"/>
        <v>#DIV/0!</v>
      </c>
      <c r="AD84" s="14" t="e">
        <f t="shared" si="31"/>
        <v>#DIV/0!</v>
      </c>
      <c r="AE84" s="14" t="e">
        <f t="shared" si="31"/>
        <v>#DIV/0!</v>
      </c>
      <c r="AF84" s="14" t="e">
        <f t="shared" si="31"/>
        <v>#DIV/0!</v>
      </c>
      <c r="AG84" s="14" t="e">
        <f t="shared" si="31"/>
        <v>#DIV/0!</v>
      </c>
      <c r="AH84" s="14" t="e">
        <f t="shared" si="31"/>
        <v>#DIV/0!</v>
      </c>
      <c r="AI84" s="14" t="e">
        <f t="shared" si="31"/>
        <v>#DIV/0!</v>
      </c>
      <c r="AJ84" s="14" t="e">
        <f t="shared" si="31"/>
        <v>#DIV/0!</v>
      </c>
      <c r="AK84" s="14" t="e">
        <f t="shared" si="31"/>
        <v>#DIV/0!</v>
      </c>
      <c r="AL84" s="14" t="e">
        <f t="shared" si="31"/>
        <v>#DIV/0!</v>
      </c>
    </row>
    <row r="85" spans="1:38" ht="21" hidden="1" customHeight="1" outlineLevel="1" thickBot="1" x14ac:dyDescent="0.4">
      <c r="A85" s="5">
        <f t="shared" si="27"/>
        <v>0</v>
      </c>
      <c r="B85" s="5">
        <f t="shared" si="27"/>
        <v>0</v>
      </c>
      <c r="C85" s="5">
        <f t="shared" si="27"/>
        <v>0</v>
      </c>
      <c r="D85" s="5">
        <f t="shared" si="27"/>
        <v>0</v>
      </c>
      <c r="E85" s="6">
        <f t="shared" si="23"/>
        <v>0</v>
      </c>
      <c r="F85" s="14" t="e">
        <f t="shared" ref="F85:AL85" si="32">F9*$C$78</f>
        <v>#DIV/0!</v>
      </c>
      <c r="G85" s="14" t="e">
        <f t="shared" si="32"/>
        <v>#DIV/0!</v>
      </c>
      <c r="H85" s="14" t="e">
        <f t="shared" si="32"/>
        <v>#DIV/0!</v>
      </c>
      <c r="I85" s="14" t="e">
        <f t="shared" si="32"/>
        <v>#DIV/0!</v>
      </c>
      <c r="J85" s="14" t="e">
        <f t="shared" si="32"/>
        <v>#DIV/0!</v>
      </c>
      <c r="K85" s="14" t="e">
        <f t="shared" si="32"/>
        <v>#DIV/0!</v>
      </c>
      <c r="L85" s="14" t="e">
        <f t="shared" si="32"/>
        <v>#DIV/0!</v>
      </c>
      <c r="M85" s="14" t="e">
        <f t="shared" si="32"/>
        <v>#DIV/0!</v>
      </c>
      <c r="N85" s="14" t="e">
        <f t="shared" si="32"/>
        <v>#DIV/0!</v>
      </c>
      <c r="O85" s="14" t="e">
        <f t="shared" si="32"/>
        <v>#DIV/0!</v>
      </c>
      <c r="P85" s="14" t="e">
        <f t="shared" si="32"/>
        <v>#DIV/0!</v>
      </c>
      <c r="Q85" s="14" t="e">
        <f t="shared" si="32"/>
        <v>#DIV/0!</v>
      </c>
      <c r="R85" s="14" t="e">
        <f t="shared" si="32"/>
        <v>#DIV/0!</v>
      </c>
      <c r="S85" s="14" t="e">
        <f t="shared" si="32"/>
        <v>#DIV/0!</v>
      </c>
      <c r="T85" s="14" t="e">
        <f t="shared" si="32"/>
        <v>#DIV/0!</v>
      </c>
      <c r="U85" s="14" t="e">
        <f t="shared" si="32"/>
        <v>#DIV/0!</v>
      </c>
      <c r="V85" s="14" t="e">
        <f t="shared" si="32"/>
        <v>#DIV/0!</v>
      </c>
      <c r="W85" s="14" t="e">
        <f t="shared" si="32"/>
        <v>#DIV/0!</v>
      </c>
      <c r="X85" s="14" t="e">
        <f t="shared" si="32"/>
        <v>#DIV/0!</v>
      </c>
      <c r="Y85" s="14" t="e">
        <f t="shared" si="32"/>
        <v>#DIV/0!</v>
      </c>
      <c r="Z85" s="14" t="e">
        <f t="shared" si="32"/>
        <v>#DIV/0!</v>
      </c>
      <c r="AA85" s="14" t="e">
        <f t="shared" si="32"/>
        <v>#DIV/0!</v>
      </c>
      <c r="AB85" s="14" t="e">
        <f t="shared" si="32"/>
        <v>#DIV/0!</v>
      </c>
      <c r="AC85" s="14" t="e">
        <f t="shared" si="32"/>
        <v>#DIV/0!</v>
      </c>
      <c r="AD85" s="14" t="e">
        <f t="shared" si="32"/>
        <v>#DIV/0!</v>
      </c>
      <c r="AE85" s="14" t="e">
        <f t="shared" si="32"/>
        <v>#DIV/0!</v>
      </c>
      <c r="AF85" s="14" t="e">
        <f t="shared" si="32"/>
        <v>#DIV/0!</v>
      </c>
      <c r="AG85" s="14" t="e">
        <f t="shared" si="32"/>
        <v>#DIV/0!</v>
      </c>
      <c r="AH85" s="14" t="e">
        <f t="shared" si="32"/>
        <v>#DIV/0!</v>
      </c>
      <c r="AI85" s="14" t="e">
        <f t="shared" si="32"/>
        <v>#DIV/0!</v>
      </c>
      <c r="AJ85" s="14" t="e">
        <f t="shared" si="32"/>
        <v>#DIV/0!</v>
      </c>
      <c r="AK85" s="14" t="e">
        <f t="shared" si="32"/>
        <v>#DIV/0!</v>
      </c>
      <c r="AL85" s="14" t="e">
        <f t="shared" si="32"/>
        <v>#DIV/0!</v>
      </c>
    </row>
    <row r="86" spans="1:38" ht="21" hidden="1" customHeight="1" outlineLevel="1" thickBot="1" x14ac:dyDescent="0.4">
      <c r="A86" s="5">
        <f t="shared" si="27"/>
        <v>0</v>
      </c>
      <c r="B86" s="5">
        <f t="shared" si="27"/>
        <v>0</v>
      </c>
      <c r="C86" s="5">
        <f t="shared" si="27"/>
        <v>0</v>
      </c>
      <c r="D86" s="5">
        <f t="shared" si="27"/>
        <v>0</v>
      </c>
      <c r="E86" s="6">
        <f t="shared" si="23"/>
        <v>0</v>
      </c>
      <c r="F86" s="14" t="e">
        <f t="shared" ref="F86:AL86" si="33">F10*$C$78</f>
        <v>#DIV/0!</v>
      </c>
      <c r="G86" s="14" t="e">
        <f t="shared" si="33"/>
        <v>#DIV/0!</v>
      </c>
      <c r="H86" s="14" t="e">
        <f t="shared" si="33"/>
        <v>#DIV/0!</v>
      </c>
      <c r="I86" s="14" t="e">
        <f t="shared" si="33"/>
        <v>#DIV/0!</v>
      </c>
      <c r="J86" s="14" t="e">
        <f t="shared" si="33"/>
        <v>#DIV/0!</v>
      </c>
      <c r="K86" s="14" t="e">
        <f t="shared" si="33"/>
        <v>#DIV/0!</v>
      </c>
      <c r="L86" s="14" t="e">
        <f t="shared" si="33"/>
        <v>#DIV/0!</v>
      </c>
      <c r="M86" s="14" t="e">
        <f t="shared" si="33"/>
        <v>#DIV/0!</v>
      </c>
      <c r="N86" s="14" t="e">
        <f t="shared" si="33"/>
        <v>#DIV/0!</v>
      </c>
      <c r="O86" s="14" t="e">
        <f t="shared" si="33"/>
        <v>#DIV/0!</v>
      </c>
      <c r="P86" s="14" t="e">
        <f t="shared" si="33"/>
        <v>#DIV/0!</v>
      </c>
      <c r="Q86" s="14" t="e">
        <f t="shared" si="33"/>
        <v>#DIV/0!</v>
      </c>
      <c r="R86" s="14" t="e">
        <f t="shared" si="33"/>
        <v>#DIV/0!</v>
      </c>
      <c r="S86" s="14" t="e">
        <f t="shared" si="33"/>
        <v>#DIV/0!</v>
      </c>
      <c r="T86" s="14" t="e">
        <f t="shared" si="33"/>
        <v>#DIV/0!</v>
      </c>
      <c r="U86" s="14" t="e">
        <f t="shared" si="33"/>
        <v>#DIV/0!</v>
      </c>
      <c r="V86" s="14" t="e">
        <f t="shared" si="33"/>
        <v>#DIV/0!</v>
      </c>
      <c r="W86" s="14" t="e">
        <f t="shared" si="33"/>
        <v>#DIV/0!</v>
      </c>
      <c r="X86" s="14" t="e">
        <f t="shared" si="33"/>
        <v>#DIV/0!</v>
      </c>
      <c r="Y86" s="14" t="e">
        <f t="shared" si="33"/>
        <v>#DIV/0!</v>
      </c>
      <c r="Z86" s="14" t="e">
        <f t="shared" si="33"/>
        <v>#DIV/0!</v>
      </c>
      <c r="AA86" s="14" t="e">
        <f t="shared" si="33"/>
        <v>#DIV/0!</v>
      </c>
      <c r="AB86" s="14" t="e">
        <f t="shared" si="33"/>
        <v>#DIV/0!</v>
      </c>
      <c r="AC86" s="14" t="e">
        <f t="shared" si="33"/>
        <v>#DIV/0!</v>
      </c>
      <c r="AD86" s="14" t="e">
        <f t="shared" si="33"/>
        <v>#DIV/0!</v>
      </c>
      <c r="AE86" s="14" t="e">
        <f t="shared" si="33"/>
        <v>#DIV/0!</v>
      </c>
      <c r="AF86" s="14" t="e">
        <f t="shared" si="33"/>
        <v>#DIV/0!</v>
      </c>
      <c r="AG86" s="14" t="e">
        <f t="shared" si="33"/>
        <v>#DIV/0!</v>
      </c>
      <c r="AH86" s="14" t="e">
        <f t="shared" si="33"/>
        <v>#DIV/0!</v>
      </c>
      <c r="AI86" s="14" t="e">
        <f t="shared" si="33"/>
        <v>#DIV/0!</v>
      </c>
      <c r="AJ86" s="14" t="e">
        <f t="shared" si="33"/>
        <v>#DIV/0!</v>
      </c>
      <c r="AK86" s="14" t="e">
        <f t="shared" si="33"/>
        <v>#DIV/0!</v>
      </c>
      <c r="AL86" s="14" t="e">
        <f t="shared" si="33"/>
        <v>#DIV/0!</v>
      </c>
    </row>
    <row r="87" spans="1:38" ht="21" hidden="1" customHeight="1" outlineLevel="1" thickBot="1" x14ac:dyDescent="0.4">
      <c r="A87" s="5">
        <f t="shared" si="27"/>
        <v>0</v>
      </c>
      <c r="B87" s="5">
        <f t="shared" si="27"/>
        <v>0</v>
      </c>
      <c r="C87" s="5">
        <f t="shared" si="27"/>
        <v>0</v>
      </c>
      <c r="D87" s="5">
        <f t="shared" si="27"/>
        <v>0</v>
      </c>
      <c r="E87" s="6">
        <f t="shared" si="23"/>
        <v>0</v>
      </c>
      <c r="F87" s="14" t="e">
        <f t="shared" ref="F87:AL87" si="34">F11*$C$78</f>
        <v>#DIV/0!</v>
      </c>
      <c r="G87" s="14" t="e">
        <f t="shared" si="34"/>
        <v>#DIV/0!</v>
      </c>
      <c r="H87" s="14" t="e">
        <f t="shared" si="34"/>
        <v>#DIV/0!</v>
      </c>
      <c r="I87" s="14" t="e">
        <f t="shared" si="34"/>
        <v>#DIV/0!</v>
      </c>
      <c r="J87" s="14" t="e">
        <f t="shared" si="34"/>
        <v>#DIV/0!</v>
      </c>
      <c r="K87" s="14" t="e">
        <f t="shared" si="34"/>
        <v>#DIV/0!</v>
      </c>
      <c r="L87" s="14" t="e">
        <f t="shared" si="34"/>
        <v>#DIV/0!</v>
      </c>
      <c r="M87" s="14" t="e">
        <f t="shared" si="34"/>
        <v>#DIV/0!</v>
      </c>
      <c r="N87" s="14" t="e">
        <f t="shared" si="34"/>
        <v>#DIV/0!</v>
      </c>
      <c r="O87" s="14" t="e">
        <f t="shared" si="34"/>
        <v>#DIV/0!</v>
      </c>
      <c r="P87" s="14" t="e">
        <f t="shared" si="34"/>
        <v>#DIV/0!</v>
      </c>
      <c r="Q87" s="14" t="e">
        <f t="shared" si="34"/>
        <v>#DIV/0!</v>
      </c>
      <c r="R87" s="14" t="e">
        <f t="shared" si="34"/>
        <v>#DIV/0!</v>
      </c>
      <c r="S87" s="14" t="e">
        <f t="shared" si="34"/>
        <v>#DIV/0!</v>
      </c>
      <c r="T87" s="14" t="e">
        <f t="shared" si="34"/>
        <v>#DIV/0!</v>
      </c>
      <c r="U87" s="14" t="e">
        <f t="shared" si="34"/>
        <v>#DIV/0!</v>
      </c>
      <c r="V87" s="14" t="e">
        <f t="shared" si="34"/>
        <v>#DIV/0!</v>
      </c>
      <c r="W87" s="14" t="e">
        <f t="shared" si="34"/>
        <v>#DIV/0!</v>
      </c>
      <c r="X87" s="14" t="e">
        <f t="shared" si="34"/>
        <v>#DIV/0!</v>
      </c>
      <c r="Y87" s="14" t="e">
        <f t="shared" si="34"/>
        <v>#DIV/0!</v>
      </c>
      <c r="Z87" s="14" t="e">
        <f t="shared" si="34"/>
        <v>#DIV/0!</v>
      </c>
      <c r="AA87" s="14" t="e">
        <f t="shared" si="34"/>
        <v>#DIV/0!</v>
      </c>
      <c r="AB87" s="14" t="e">
        <f t="shared" si="34"/>
        <v>#DIV/0!</v>
      </c>
      <c r="AC87" s="14" t="e">
        <f t="shared" si="34"/>
        <v>#DIV/0!</v>
      </c>
      <c r="AD87" s="14" t="e">
        <f t="shared" si="34"/>
        <v>#DIV/0!</v>
      </c>
      <c r="AE87" s="14" t="e">
        <f t="shared" si="34"/>
        <v>#DIV/0!</v>
      </c>
      <c r="AF87" s="14" t="e">
        <f t="shared" si="34"/>
        <v>#DIV/0!</v>
      </c>
      <c r="AG87" s="14" t="e">
        <f t="shared" si="34"/>
        <v>#DIV/0!</v>
      </c>
      <c r="AH87" s="14" t="e">
        <f t="shared" si="34"/>
        <v>#DIV/0!</v>
      </c>
      <c r="AI87" s="14" t="e">
        <f t="shared" si="34"/>
        <v>#DIV/0!</v>
      </c>
      <c r="AJ87" s="14" t="e">
        <f t="shared" si="34"/>
        <v>#DIV/0!</v>
      </c>
      <c r="AK87" s="14" t="e">
        <f t="shared" si="34"/>
        <v>#DIV/0!</v>
      </c>
      <c r="AL87" s="14" t="e">
        <f t="shared" si="34"/>
        <v>#DIV/0!</v>
      </c>
    </row>
    <row r="88" spans="1:38" ht="21" hidden="1" customHeight="1" outlineLevel="1" thickBot="1" x14ac:dyDescent="0.4">
      <c r="A88" s="5">
        <f t="shared" si="27"/>
        <v>0</v>
      </c>
      <c r="B88" s="5">
        <f t="shared" si="27"/>
        <v>0</v>
      </c>
      <c r="C88" s="5">
        <f t="shared" si="27"/>
        <v>0</v>
      </c>
      <c r="D88" s="5">
        <f t="shared" si="27"/>
        <v>0</v>
      </c>
      <c r="E88" s="6">
        <f t="shared" si="23"/>
        <v>0</v>
      </c>
      <c r="F88" s="14" t="e">
        <f t="shared" ref="F88:AL88" si="35">F12*$C$78</f>
        <v>#DIV/0!</v>
      </c>
      <c r="G88" s="14" t="e">
        <f t="shared" si="35"/>
        <v>#DIV/0!</v>
      </c>
      <c r="H88" s="14" t="e">
        <f t="shared" si="35"/>
        <v>#DIV/0!</v>
      </c>
      <c r="I88" s="14" t="e">
        <f t="shared" si="35"/>
        <v>#DIV/0!</v>
      </c>
      <c r="J88" s="14" t="e">
        <f t="shared" si="35"/>
        <v>#DIV/0!</v>
      </c>
      <c r="K88" s="14" t="e">
        <f t="shared" si="35"/>
        <v>#DIV/0!</v>
      </c>
      <c r="L88" s="14" t="e">
        <f t="shared" si="35"/>
        <v>#DIV/0!</v>
      </c>
      <c r="M88" s="14" t="e">
        <f t="shared" si="35"/>
        <v>#DIV/0!</v>
      </c>
      <c r="N88" s="14" t="e">
        <f t="shared" si="35"/>
        <v>#DIV/0!</v>
      </c>
      <c r="O88" s="14" t="e">
        <f t="shared" si="35"/>
        <v>#DIV/0!</v>
      </c>
      <c r="P88" s="14" t="e">
        <f t="shared" si="35"/>
        <v>#DIV/0!</v>
      </c>
      <c r="Q88" s="14" t="e">
        <f t="shared" si="35"/>
        <v>#DIV/0!</v>
      </c>
      <c r="R88" s="14" t="e">
        <f t="shared" si="35"/>
        <v>#DIV/0!</v>
      </c>
      <c r="S88" s="14" t="e">
        <f t="shared" si="35"/>
        <v>#DIV/0!</v>
      </c>
      <c r="T88" s="14" t="e">
        <f t="shared" si="35"/>
        <v>#DIV/0!</v>
      </c>
      <c r="U88" s="14" t="e">
        <f t="shared" si="35"/>
        <v>#DIV/0!</v>
      </c>
      <c r="V88" s="14" t="e">
        <f t="shared" si="35"/>
        <v>#DIV/0!</v>
      </c>
      <c r="W88" s="14" t="e">
        <f t="shared" si="35"/>
        <v>#DIV/0!</v>
      </c>
      <c r="X88" s="14" t="e">
        <f t="shared" si="35"/>
        <v>#DIV/0!</v>
      </c>
      <c r="Y88" s="14" t="e">
        <f t="shared" si="35"/>
        <v>#DIV/0!</v>
      </c>
      <c r="Z88" s="14" t="e">
        <f t="shared" si="35"/>
        <v>#DIV/0!</v>
      </c>
      <c r="AA88" s="14" t="e">
        <f t="shared" si="35"/>
        <v>#DIV/0!</v>
      </c>
      <c r="AB88" s="14" t="e">
        <f t="shared" si="35"/>
        <v>#DIV/0!</v>
      </c>
      <c r="AC88" s="14" t="e">
        <f t="shared" si="35"/>
        <v>#DIV/0!</v>
      </c>
      <c r="AD88" s="14" t="e">
        <f t="shared" si="35"/>
        <v>#DIV/0!</v>
      </c>
      <c r="AE88" s="14" t="e">
        <f t="shared" si="35"/>
        <v>#DIV/0!</v>
      </c>
      <c r="AF88" s="14" t="e">
        <f t="shared" si="35"/>
        <v>#DIV/0!</v>
      </c>
      <c r="AG88" s="14" t="e">
        <f t="shared" si="35"/>
        <v>#DIV/0!</v>
      </c>
      <c r="AH88" s="14" t="e">
        <f t="shared" si="35"/>
        <v>#DIV/0!</v>
      </c>
      <c r="AI88" s="14" t="e">
        <f t="shared" si="35"/>
        <v>#DIV/0!</v>
      </c>
      <c r="AJ88" s="14" t="e">
        <f t="shared" si="35"/>
        <v>#DIV/0!</v>
      </c>
      <c r="AK88" s="14" t="e">
        <f t="shared" si="35"/>
        <v>#DIV/0!</v>
      </c>
      <c r="AL88" s="14" t="e">
        <f t="shared" si="35"/>
        <v>#DIV/0!</v>
      </c>
    </row>
    <row r="89" spans="1:38" ht="21" hidden="1" customHeight="1" outlineLevel="1" thickBot="1" x14ac:dyDescent="0.4">
      <c r="A89" s="5">
        <f t="shared" si="27"/>
        <v>0</v>
      </c>
      <c r="B89" s="5">
        <f t="shared" si="27"/>
        <v>0</v>
      </c>
      <c r="C89" s="5">
        <f t="shared" si="27"/>
        <v>0</v>
      </c>
      <c r="D89" s="5">
        <f t="shared" si="27"/>
        <v>0</v>
      </c>
      <c r="E89" s="6">
        <f t="shared" si="23"/>
        <v>0</v>
      </c>
      <c r="F89" s="14" t="e">
        <f t="shared" ref="F89:AL89" si="36">F13*$C$78</f>
        <v>#DIV/0!</v>
      </c>
      <c r="G89" s="14" t="e">
        <f t="shared" si="36"/>
        <v>#DIV/0!</v>
      </c>
      <c r="H89" s="14" t="e">
        <f t="shared" si="36"/>
        <v>#DIV/0!</v>
      </c>
      <c r="I89" s="14" t="e">
        <f t="shared" si="36"/>
        <v>#DIV/0!</v>
      </c>
      <c r="J89" s="14" t="e">
        <f t="shared" si="36"/>
        <v>#DIV/0!</v>
      </c>
      <c r="K89" s="14" t="e">
        <f t="shared" si="36"/>
        <v>#DIV/0!</v>
      </c>
      <c r="L89" s="14" t="e">
        <f t="shared" si="36"/>
        <v>#DIV/0!</v>
      </c>
      <c r="M89" s="14" t="e">
        <f t="shared" si="36"/>
        <v>#DIV/0!</v>
      </c>
      <c r="N89" s="14" t="e">
        <f t="shared" si="36"/>
        <v>#DIV/0!</v>
      </c>
      <c r="O89" s="14" t="e">
        <f t="shared" si="36"/>
        <v>#DIV/0!</v>
      </c>
      <c r="P89" s="14" t="e">
        <f t="shared" si="36"/>
        <v>#DIV/0!</v>
      </c>
      <c r="Q89" s="14" t="e">
        <f t="shared" si="36"/>
        <v>#DIV/0!</v>
      </c>
      <c r="R89" s="14" t="e">
        <f t="shared" si="36"/>
        <v>#DIV/0!</v>
      </c>
      <c r="S89" s="14" t="e">
        <f t="shared" si="36"/>
        <v>#DIV/0!</v>
      </c>
      <c r="T89" s="14" t="e">
        <f t="shared" si="36"/>
        <v>#DIV/0!</v>
      </c>
      <c r="U89" s="14" t="e">
        <f t="shared" si="36"/>
        <v>#DIV/0!</v>
      </c>
      <c r="V89" s="14" t="e">
        <f t="shared" si="36"/>
        <v>#DIV/0!</v>
      </c>
      <c r="W89" s="14" t="e">
        <f t="shared" si="36"/>
        <v>#DIV/0!</v>
      </c>
      <c r="X89" s="14" t="e">
        <f t="shared" si="36"/>
        <v>#DIV/0!</v>
      </c>
      <c r="Y89" s="14" t="e">
        <f t="shared" si="36"/>
        <v>#DIV/0!</v>
      </c>
      <c r="Z89" s="14" t="e">
        <f t="shared" si="36"/>
        <v>#DIV/0!</v>
      </c>
      <c r="AA89" s="14" t="e">
        <f t="shared" si="36"/>
        <v>#DIV/0!</v>
      </c>
      <c r="AB89" s="14" t="e">
        <f t="shared" si="36"/>
        <v>#DIV/0!</v>
      </c>
      <c r="AC89" s="14" t="e">
        <f t="shared" si="36"/>
        <v>#DIV/0!</v>
      </c>
      <c r="AD89" s="14" t="e">
        <f t="shared" si="36"/>
        <v>#DIV/0!</v>
      </c>
      <c r="AE89" s="14" t="e">
        <f t="shared" si="36"/>
        <v>#DIV/0!</v>
      </c>
      <c r="AF89" s="14" t="e">
        <f t="shared" si="36"/>
        <v>#DIV/0!</v>
      </c>
      <c r="AG89" s="14" t="e">
        <f t="shared" si="36"/>
        <v>#DIV/0!</v>
      </c>
      <c r="AH89" s="14" t="e">
        <f t="shared" si="36"/>
        <v>#DIV/0!</v>
      </c>
      <c r="AI89" s="14" t="e">
        <f t="shared" si="36"/>
        <v>#DIV/0!</v>
      </c>
      <c r="AJ89" s="14" t="e">
        <f t="shared" si="36"/>
        <v>#DIV/0!</v>
      </c>
      <c r="AK89" s="14" t="e">
        <f t="shared" si="36"/>
        <v>#DIV/0!</v>
      </c>
      <c r="AL89" s="14" t="e">
        <f t="shared" si="36"/>
        <v>#DIV/0!</v>
      </c>
    </row>
    <row r="90" spans="1:38" ht="21" hidden="1" customHeight="1" outlineLevel="1" thickBot="1" x14ac:dyDescent="0.4">
      <c r="A90" s="5">
        <f t="shared" si="27"/>
        <v>0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>
        <f t="shared" si="23"/>
        <v>0</v>
      </c>
      <c r="F90" s="14" t="e">
        <f t="shared" ref="F90:AL90" si="37">F14*$C$78</f>
        <v>#DIV/0!</v>
      </c>
      <c r="G90" s="14" t="e">
        <f t="shared" si="37"/>
        <v>#DIV/0!</v>
      </c>
      <c r="H90" s="14" t="e">
        <f t="shared" si="37"/>
        <v>#DIV/0!</v>
      </c>
      <c r="I90" s="14" t="e">
        <f t="shared" si="37"/>
        <v>#DIV/0!</v>
      </c>
      <c r="J90" s="14" t="e">
        <f t="shared" si="37"/>
        <v>#DIV/0!</v>
      </c>
      <c r="K90" s="14" t="e">
        <f t="shared" si="37"/>
        <v>#DIV/0!</v>
      </c>
      <c r="L90" s="14" t="e">
        <f t="shared" si="37"/>
        <v>#DIV/0!</v>
      </c>
      <c r="M90" s="14" t="e">
        <f t="shared" si="37"/>
        <v>#DIV/0!</v>
      </c>
      <c r="N90" s="14" t="e">
        <f t="shared" si="37"/>
        <v>#DIV/0!</v>
      </c>
      <c r="O90" s="14" t="e">
        <f t="shared" si="37"/>
        <v>#DIV/0!</v>
      </c>
      <c r="P90" s="14" t="e">
        <f t="shared" si="37"/>
        <v>#DIV/0!</v>
      </c>
      <c r="Q90" s="14" t="e">
        <f t="shared" si="37"/>
        <v>#DIV/0!</v>
      </c>
      <c r="R90" s="14" t="e">
        <f t="shared" si="37"/>
        <v>#DIV/0!</v>
      </c>
      <c r="S90" s="14" t="e">
        <f t="shared" si="37"/>
        <v>#DIV/0!</v>
      </c>
      <c r="T90" s="14" t="e">
        <f t="shared" si="37"/>
        <v>#DIV/0!</v>
      </c>
      <c r="U90" s="14" t="e">
        <f t="shared" si="37"/>
        <v>#DIV/0!</v>
      </c>
      <c r="V90" s="14" t="e">
        <f t="shared" si="37"/>
        <v>#DIV/0!</v>
      </c>
      <c r="W90" s="14" t="e">
        <f t="shared" si="37"/>
        <v>#DIV/0!</v>
      </c>
      <c r="X90" s="14" t="e">
        <f t="shared" si="37"/>
        <v>#DIV/0!</v>
      </c>
      <c r="Y90" s="14" t="e">
        <f t="shared" si="37"/>
        <v>#DIV/0!</v>
      </c>
      <c r="Z90" s="14" t="e">
        <f t="shared" si="37"/>
        <v>#DIV/0!</v>
      </c>
      <c r="AA90" s="14" t="e">
        <f t="shared" si="37"/>
        <v>#DIV/0!</v>
      </c>
      <c r="AB90" s="14" t="e">
        <f t="shared" si="37"/>
        <v>#DIV/0!</v>
      </c>
      <c r="AC90" s="14" t="e">
        <f t="shared" si="37"/>
        <v>#DIV/0!</v>
      </c>
      <c r="AD90" s="14" t="e">
        <f t="shared" si="37"/>
        <v>#DIV/0!</v>
      </c>
      <c r="AE90" s="14" t="e">
        <f t="shared" si="37"/>
        <v>#DIV/0!</v>
      </c>
      <c r="AF90" s="14" t="e">
        <f t="shared" si="37"/>
        <v>#DIV/0!</v>
      </c>
      <c r="AG90" s="14" t="e">
        <f t="shared" si="37"/>
        <v>#DIV/0!</v>
      </c>
      <c r="AH90" s="14" t="e">
        <f t="shared" si="37"/>
        <v>#DIV/0!</v>
      </c>
      <c r="AI90" s="14" t="e">
        <f t="shared" si="37"/>
        <v>#DIV/0!</v>
      </c>
      <c r="AJ90" s="14" t="e">
        <f t="shared" si="37"/>
        <v>#DIV/0!</v>
      </c>
      <c r="AK90" s="14" t="e">
        <f t="shared" si="37"/>
        <v>#DIV/0!</v>
      </c>
      <c r="AL90" s="14" t="e">
        <f t="shared" si="37"/>
        <v>#DIV/0!</v>
      </c>
    </row>
    <row r="91" spans="1:38" ht="21" hidden="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0</v>
      </c>
      <c r="D91" s="5">
        <f t="shared" si="27"/>
        <v>0</v>
      </c>
      <c r="E91" s="6">
        <f t="shared" si="23"/>
        <v>0</v>
      </c>
      <c r="F91" s="14" t="e">
        <f t="shared" ref="F91:AL91" si="38">F15*$C$78</f>
        <v>#DIV/0!</v>
      </c>
      <c r="G91" s="14" t="e">
        <f t="shared" si="38"/>
        <v>#DIV/0!</v>
      </c>
      <c r="H91" s="14" t="e">
        <f t="shared" si="38"/>
        <v>#DIV/0!</v>
      </c>
      <c r="I91" s="14" t="e">
        <f t="shared" si="38"/>
        <v>#DIV/0!</v>
      </c>
      <c r="J91" s="14" t="e">
        <f t="shared" si="38"/>
        <v>#DIV/0!</v>
      </c>
      <c r="K91" s="14" t="e">
        <f t="shared" si="38"/>
        <v>#DIV/0!</v>
      </c>
      <c r="L91" s="14" t="e">
        <f t="shared" si="38"/>
        <v>#DIV/0!</v>
      </c>
      <c r="M91" s="14" t="e">
        <f t="shared" si="38"/>
        <v>#DIV/0!</v>
      </c>
      <c r="N91" s="14" t="e">
        <f t="shared" si="38"/>
        <v>#DIV/0!</v>
      </c>
      <c r="O91" s="14" t="e">
        <f t="shared" si="38"/>
        <v>#DIV/0!</v>
      </c>
      <c r="P91" s="14" t="e">
        <f t="shared" si="38"/>
        <v>#DIV/0!</v>
      </c>
      <c r="Q91" s="14" t="e">
        <f t="shared" si="38"/>
        <v>#DIV/0!</v>
      </c>
      <c r="R91" s="14" t="e">
        <f t="shared" si="38"/>
        <v>#DIV/0!</v>
      </c>
      <c r="S91" s="14" t="e">
        <f t="shared" si="38"/>
        <v>#DIV/0!</v>
      </c>
      <c r="T91" s="14" t="e">
        <f t="shared" si="38"/>
        <v>#DIV/0!</v>
      </c>
      <c r="U91" s="14" t="e">
        <f t="shared" si="38"/>
        <v>#DIV/0!</v>
      </c>
      <c r="V91" s="14" t="e">
        <f t="shared" si="38"/>
        <v>#DIV/0!</v>
      </c>
      <c r="W91" s="14" t="e">
        <f t="shared" si="38"/>
        <v>#DIV/0!</v>
      </c>
      <c r="X91" s="14" t="e">
        <f t="shared" si="38"/>
        <v>#DIV/0!</v>
      </c>
      <c r="Y91" s="14" t="e">
        <f t="shared" si="38"/>
        <v>#DIV/0!</v>
      </c>
      <c r="Z91" s="14" t="e">
        <f t="shared" si="38"/>
        <v>#DIV/0!</v>
      </c>
      <c r="AA91" s="14" t="e">
        <f t="shared" si="38"/>
        <v>#DIV/0!</v>
      </c>
      <c r="AB91" s="14" t="e">
        <f t="shared" si="38"/>
        <v>#DIV/0!</v>
      </c>
      <c r="AC91" s="14" t="e">
        <f t="shared" si="38"/>
        <v>#DIV/0!</v>
      </c>
      <c r="AD91" s="14" t="e">
        <f t="shared" si="38"/>
        <v>#DIV/0!</v>
      </c>
      <c r="AE91" s="14" t="e">
        <f t="shared" si="38"/>
        <v>#DIV/0!</v>
      </c>
      <c r="AF91" s="14" t="e">
        <f t="shared" si="38"/>
        <v>#DIV/0!</v>
      </c>
      <c r="AG91" s="14" t="e">
        <f t="shared" si="38"/>
        <v>#DIV/0!</v>
      </c>
      <c r="AH91" s="14" t="e">
        <f t="shared" si="38"/>
        <v>#DIV/0!</v>
      </c>
      <c r="AI91" s="14" t="e">
        <f t="shared" si="38"/>
        <v>#DIV/0!</v>
      </c>
      <c r="AJ91" s="14" t="e">
        <f t="shared" si="38"/>
        <v>#DIV/0!</v>
      </c>
      <c r="AK91" s="14" t="e">
        <f t="shared" si="38"/>
        <v>#DIV/0!</v>
      </c>
      <c r="AL91" s="14" t="e">
        <f t="shared" si="38"/>
        <v>#DIV/0!</v>
      </c>
    </row>
    <row r="92" spans="1:38" ht="21" hidden="1" customHeight="1" outlineLevel="1" thickBot="1" x14ac:dyDescent="0.4">
      <c r="A92" s="5">
        <f t="shared" si="27"/>
        <v>0</v>
      </c>
      <c r="B92" s="5">
        <f t="shared" si="27"/>
        <v>0</v>
      </c>
      <c r="C92" s="5">
        <f t="shared" si="27"/>
        <v>0</v>
      </c>
      <c r="D92" s="5">
        <f t="shared" si="27"/>
        <v>0</v>
      </c>
      <c r="E92" s="6">
        <f t="shared" si="23"/>
        <v>0</v>
      </c>
      <c r="F92" s="14" t="e">
        <f t="shared" ref="F92:AL92" si="39">F16*$C$78</f>
        <v>#DIV/0!</v>
      </c>
      <c r="G92" s="14" t="e">
        <f t="shared" si="39"/>
        <v>#DIV/0!</v>
      </c>
      <c r="H92" s="14" t="e">
        <f t="shared" si="39"/>
        <v>#DIV/0!</v>
      </c>
      <c r="I92" s="14" t="e">
        <f t="shared" si="39"/>
        <v>#DIV/0!</v>
      </c>
      <c r="J92" s="14" t="e">
        <f t="shared" si="39"/>
        <v>#DIV/0!</v>
      </c>
      <c r="K92" s="14" t="e">
        <f t="shared" si="39"/>
        <v>#DIV/0!</v>
      </c>
      <c r="L92" s="14" t="e">
        <f t="shared" si="39"/>
        <v>#DIV/0!</v>
      </c>
      <c r="M92" s="14" t="e">
        <f t="shared" si="39"/>
        <v>#DIV/0!</v>
      </c>
      <c r="N92" s="14" t="e">
        <f t="shared" si="39"/>
        <v>#DIV/0!</v>
      </c>
      <c r="O92" s="14" t="e">
        <f t="shared" si="39"/>
        <v>#DIV/0!</v>
      </c>
      <c r="P92" s="14" t="e">
        <f t="shared" si="39"/>
        <v>#DIV/0!</v>
      </c>
      <c r="Q92" s="14" t="e">
        <f t="shared" si="39"/>
        <v>#DIV/0!</v>
      </c>
      <c r="R92" s="14" t="e">
        <f t="shared" si="39"/>
        <v>#DIV/0!</v>
      </c>
      <c r="S92" s="14" t="e">
        <f t="shared" si="39"/>
        <v>#DIV/0!</v>
      </c>
      <c r="T92" s="14" t="e">
        <f t="shared" si="39"/>
        <v>#DIV/0!</v>
      </c>
      <c r="U92" s="14" t="e">
        <f t="shared" si="39"/>
        <v>#DIV/0!</v>
      </c>
      <c r="V92" s="14" t="e">
        <f t="shared" si="39"/>
        <v>#DIV/0!</v>
      </c>
      <c r="W92" s="14" t="e">
        <f t="shared" si="39"/>
        <v>#DIV/0!</v>
      </c>
      <c r="X92" s="14" t="e">
        <f t="shared" si="39"/>
        <v>#DIV/0!</v>
      </c>
      <c r="Y92" s="14" t="e">
        <f t="shared" si="39"/>
        <v>#DIV/0!</v>
      </c>
      <c r="Z92" s="14" t="e">
        <f t="shared" si="39"/>
        <v>#DIV/0!</v>
      </c>
      <c r="AA92" s="14" t="e">
        <f t="shared" si="39"/>
        <v>#DIV/0!</v>
      </c>
      <c r="AB92" s="14" t="e">
        <f t="shared" si="39"/>
        <v>#DIV/0!</v>
      </c>
      <c r="AC92" s="14" t="e">
        <f t="shared" si="39"/>
        <v>#DIV/0!</v>
      </c>
      <c r="AD92" s="14" t="e">
        <f t="shared" si="39"/>
        <v>#DIV/0!</v>
      </c>
      <c r="AE92" s="14" t="e">
        <f t="shared" si="39"/>
        <v>#DIV/0!</v>
      </c>
      <c r="AF92" s="14" t="e">
        <f t="shared" si="39"/>
        <v>#DIV/0!</v>
      </c>
      <c r="AG92" s="14" t="e">
        <f t="shared" si="39"/>
        <v>#DIV/0!</v>
      </c>
      <c r="AH92" s="14" t="e">
        <f t="shared" si="39"/>
        <v>#DIV/0!</v>
      </c>
      <c r="AI92" s="14" t="e">
        <f t="shared" si="39"/>
        <v>#DIV/0!</v>
      </c>
      <c r="AJ92" s="14" t="e">
        <f t="shared" si="39"/>
        <v>#DIV/0!</v>
      </c>
      <c r="AK92" s="14" t="e">
        <f t="shared" si="39"/>
        <v>#DIV/0!</v>
      </c>
      <c r="AL92" s="14" t="e">
        <f t="shared" si="39"/>
        <v>#DIV/0!</v>
      </c>
    </row>
    <row r="93" spans="1:38" ht="21" hidden="1" customHeight="1" outlineLevel="1" thickBot="1" x14ac:dyDescent="0.4">
      <c r="A93" s="5">
        <f t="shared" si="27"/>
        <v>0</v>
      </c>
      <c r="B93" s="5">
        <f t="shared" si="27"/>
        <v>0</v>
      </c>
      <c r="C93" s="5">
        <f t="shared" si="27"/>
        <v>0</v>
      </c>
      <c r="D93" s="5">
        <f t="shared" si="27"/>
        <v>0</v>
      </c>
      <c r="E93" s="6">
        <f t="shared" si="23"/>
        <v>0</v>
      </c>
      <c r="F93" s="14" t="e">
        <f t="shared" ref="F93:AL93" si="40">F17*$C$78</f>
        <v>#DIV/0!</v>
      </c>
      <c r="G93" s="14" t="e">
        <f t="shared" si="40"/>
        <v>#DIV/0!</v>
      </c>
      <c r="H93" s="14" t="e">
        <f t="shared" si="40"/>
        <v>#DIV/0!</v>
      </c>
      <c r="I93" s="14" t="e">
        <f t="shared" si="40"/>
        <v>#DIV/0!</v>
      </c>
      <c r="J93" s="14" t="e">
        <f t="shared" si="40"/>
        <v>#DIV/0!</v>
      </c>
      <c r="K93" s="14" t="e">
        <f t="shared" si="40"/>
        <v>#DIV/0!</v>
      </c>
      <c r="L93" s="14" t="e">
        <f t="shared" si="40"/>
        <v>#DIV/0!</v>
      </c>
      <c r="M93" s="14" t="e">
        <f t="shared" si="40"/>
        <v>#DIV/0!</v>
      </c>
      <c r="N93" s="14" t="e">
        <f t="shared" si="40"/>
        <v>#DIV/0!</v>
      </c>
      <c r="O93" s="14" t="e">
        <f t="shared" si="40"/>
        <v>#DIV/0!</v>
      </c>
      <c r="P93" s="14" t="e">
        <f t="shared" si="40"/>
        <v>#DIV/0!</v>
      </c>
      <c r="Q93" s="14" t="e">
        <f t="shared" si="40"/>
        <v>#DIV/0!</v>
      </c>
      <c r="R93" s="14" t="e">
        <f t="shared" si="40"/>
        <v>#DIV/0!</v>
      </c>
      <c r="S93" s="14" t="e">
        <f t="shared" si="40"/>
        <v>#DIV/0!</v>
      </c>
      <c r="T93" s="14" t="e">
        <f t="shared" si="40"/>
        <v>#DIV/0!</v>
      </c>
      <c r="U93" s="14" t="e">
        <f t="shared" si="40"/>
        <v>#DIV/0!</v>
      </c>
      <c r="V93" s="14" t="e">
        <f t="shared" si="40"/>
        <v>#DIV/0!</v>
      </c>
      <c r="W93" s="14" t="e">
        <f t="shared" si="40"/>
        <v>#DIV/0!</v>
      </c>
      <c r="X93" s="14" t="e">
        <f t="shared" si="40"/>
        <v>#DIV/0!</v>
      </c>
      <c r="Y93" s="14" t="e">
        <f t="shared" si="40"/>
        <v>#DIV/0!</v>
      </c>
      <c r="Z93" s="14" t="e">
        <f t="shared" si="40"/>
        <v>#DIV/0!</v>
      </c>
      <c r="AA93" s="14" t="e">
        <f t="shared" si="40"/>
        <v>#DIV/0!</v>
      </c>
      <c r="AB93" s="14" t="e">
        <f t="shared" si="40"/>
        <v>#DIV/0!</v>
      </c>
      <c r="AC93" s="14" t="e">
        <f t="shared" si="40"/>
        <v>#DIV/0!</v>
      </c>
      <c r="AD93" s="14" t="e">
        <f t="shared" si="40"/>
        <v>#DIV/0!</v>
      </c>
      <c r="AE93" s="14" t="e">
        <f t="shared" si="40"/>
        <v>#DIV/0!</v>
      </c>
      <c r="AF93" s="14" t="e">
        <f t="shared" si="40"/>
        <v>#DIV/0!</v>
      </c>
      <c r="AG93" s="14" t="e">
        <f t="shared" si="40"/>
        <v>#DIV/0!</v>
      </c>
      <c r="AH93" s="14" t="e">
        <f t="shared" si="40"/>
        <v>#DIV/0!</v>
      </c>
      <c r="AI93" s="14" t="e">
        <f t="shared" si="40"/>
        <v>#DIV/0!</v>
      </c>
      <c r="AJ93" s="14" t="e">
        <f t="shared" si="40"/>
        <v>#DIV/0!</v>
      </c>
      <c r="AK93" s="14" t="e">
        <f t="shared" si="40"/>
        <v>#DIV/0!</v>
      </c>
      <c r="AL93" s="14" t="e">
        <f t="shared" si="40"/>
        <v>#DIV/0!</v>
      </c>
    </row>
    <row r="94" spans="1:38" ht="21" hidden="1" customHeight="1" outlineLevel="1" thickBot="1" x14ac:dyDescent="0.4">
      <c r="A94" s="5">
        <f t="shared" si="27"/>
        <v>0</v>
      </c>
      <c r="B94" s="5">
        <f t="shared" si="27"/>
        <v>0</v>
      </c>
      <c r="C94" s="5">
        <f t="shared" si="27"/>
        <v>0</v>
      </c>
      <c r="D94" s="5">
        <f t="shared" si="27"/>
        <v>0</v>
      </c>
      <c r="E94" s="6">
        <f t="shared" si="23"/>
        <v>0</v>
      </c>
      <c r="F94" s="14" t="e">
        <f t="shared" ref="F94:AL94" si="41">F18*$C$78</f>
        <v>#DIV/0!</v>
      </c>
      <c r="G94" s="14" t="e">
        <f t="shared" si="41"/>
        <v>#DIV/0!</v>
      </c>
      <c r="H94" s="14" t="e">
        <f t="shared" si="41"/>
        <v>#DIV/0!</v>
      </c>
      <c r="I94" s="14" t="e">
        <f t="shared" si="41"/>
        <v>#DIV/0!</v>
      </c>
      <c r="J94" s="14" t="e">
        <f t="shared" si="41"/>
        <v>#DIV/0!</v>
      </c>
      <c r="K94" s="14" t="e">
        <f t="shared" si="41"/>
        <v>#DIV/0!</v>
      </c>
      <c r="L94" s="14" t="e">
        <f t="shared" si="41"/>
        <v>#DIV/0!</v>
      </c>
      <c r="M94" s="14" t="e">
        <f t="shared" si="41"/>
        <v>#DIV/0!</v>
      </c>
      <c r="N94" s="14" t="e">
        <f t="shared" si="41"/>
        <v>#DIV/0!</v>
      </c>
      <c r="O94" s="14" t="e">
        <f t="shared" si="41"/>
        <v>#DIV/0!</v>
      </c>
      <c r="P94" s="14" t="e">
        <f t="shared" si="41"/>
        <v>#DIV/0!</v>
      </c>
      <c r="Q94" s="14" t="e">
        <f t="shared" si="41"/>
        <v>#DIV/0!</v>
      </c>
      <c r="R94" s="14" t="e">
        <f t="shared" si="41"/>
        <v>#DIV/0!</v>
      </c>
      <c r="S94" s="14" t="e">
        <f t="shared" si="41"/>
        <v>#DIV/0!</v>
      </c>
      <c r="T94" s="14" t="e">
        <f t="shared" si="41"/>
        <v>#DIV/0!</v>
      </c>
      <c r="U94" s="14" t="e">
        <f t="shared" si="41"/>
        <v>#DIV/0!</v>
      </c>
      <c r="V94" s="14" t="e">
        <f t="shared" si="41"/>
        <v>#DIV/0!</v>
      </c>
      <c r="W94" s="14" t="e">
        <f t="shared" si="41"/>
        <v>#DIV/0!</v>
      </c>
      <c r="X94" s="14" t="e">
        <f t="shared" si="41"/>
        <v>#DIV/0!</v>
      </c>
      <c r="Y94" s="14" t="e">
        <f t="shared" si="41"/>
        <v>#DIV/0!</v>
      </c>
      <c r="Z94" s="14" t="e">
        <f t="shared" si="41"/>
        <v>#DIV/0!</v>
      </c>
      <c r="AA94" s="14" t="e">
        <f t="shared" si="41"/>
        <v>#DIV/0!</v>
      </c>
      <c r="AB94" s="14" t="e">
        <f t="shared" si="41"/>
        <v>#DIV/0!</v>
      </c>
      <c r="AC94" s="14" t="e">
        <f t="shared" si="41"/>
        <v>#DIV/0!</v>
      </c>
      <c r="AD94" s="14" t="e">
        <f t="shared" si="41"/>
        <v>#DIV/0!</v>
      </c>
      <c r="AE94" s="14" t="e">
        <f t="shared" si="41"/>
        <v>#DIV/0!</v>
      </c>
      <c r="AF94" s="14" t="e">
        <f t="shared" si="41"/>
        <v>#DIV/0!</v>
      </c>
      <c r="AG94" s="14" t="e">
        <f t="shared" si="41"/>
        <v>#DIV/0!</v>
      </c>
      <c r="AH94" s="14" t="e">
        <f t="shared" si="41"/>
        <v>#DIV/0!</v>
      </c>
      <c r="AI94" s="14" t="e">
        <f t="shared" si="41"/>
        <v>#DIV/0!</v>
      </c>
      <c r="AJ94" s="14" t="e">
        <f t="shared" si="41"/>
        <v>#DIV/0!</v>
      </c>
      <c r="AK94" s="14" t="e">
        <f t="shared" si="41"/>
        <v>#DIV/0!</v>
      </c>
      <c r="AL94" s="14" t="e">
        <f t="shared" si="41"/>
        <v>#DIV/0!</v>
      </c>
    </row>
    <row r="95" spans="1:38" ht="21" hidden="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0</v>
      </c>
      <c r="D95" s="5">
        <f t="shared" si="27"/>
        <v>0</v>
      </c>
      <c r="E95" s="6">
        <f t="shared" si="23"/>
        <v>0</v>
      </c>
      <c r="F95" s="14" t="e">
        <f t="shared" ref="F95:AL95" si="42">F19*$C$78</f>
        <v>#DIV/0!</v>
      </c>
      <c r="G95" s="14" t="e">
        <f t="shared" si="42"/>
        <v>#DIV/0!</v>
      </c>
      <c r="H95" s="14" t="e">
        <f t="shared" si="42"/>
        <v>#DIV/0!</v>
      </c>
      <c r="I95" s="14" t="e">
        <f t="shared" si="42"/>
        <v>#DIV/0!</v>
      </c>
      <c r="J95" s="14" t="e">
        <f t="shared" si="42"/>
        <v>#DIV/0!</v>
      </c>
      <c r="K95" s="14" t="e">
        <f t="shared" si="42"/>
        <v>#DIV/0!</v>
      </c>
      <c r="L95" s="14" t="e">
        <f t="shared" si="42"/>
        <v>#DIV/0!</v>
      </c>
      <c r="M95" s="14" t="e">
        <f t="shared" si="42"/>
        <v>#DIV/0!</v>
      </c>
      <c r="N95" s="14" t="e">
        <f t="shared" si="42"/>
        <v>#DIV/0!</v>
      </c>
      <c r="O95" s="14" t="e">
        <f t="shared" si="42"/>
        <v>#DIV/0!</v>
      </c>
      <c r="P95" s="14" t="e">
        <f t="shared" si="42"/>
        <v>#DIV/0!</v>
      </c>
      <c r="Q95" s="14" t="e">
        <f t="shared" si="42"/>
        <v>#DIV/0!</v>
      </c>
      <c r="R95" s="14" t="e">
        <f t="shared" si="42"/>
        <v>#DIV/0!</v>
      </c>
      <c r="S95" s="14" t="e">
        <f t="shared" si="42"/>
        <v>#DIV/0!</v>
      </c>
      <c r="T95" s="14" t="e">
        <f t="shared" si="42"/>
        <v>#DIV/0!</v>
      </c>
      <c r="U95" s="14" t="e">
        <f t="shared" si="42"/>
        <v>#DIV/0!</v>
      </c>
      <c r="V95" s="14" t="e">
        <f t="shared" si="42"/>
        <v>#DIV/0!</v>
      </c>
      <c r="W95" s="14" t="e">
        <f t="shared" si="42"/>
        <v>#DIV/0!</v>
      </c>
      <c r="X95" s="14" t="e">
        <f t="shared" si="42"/>
        <v>#DIV/0!</v>
      </c>
      <c r="Y95" s="14" t="e">
        <f t="shared" si="42"/>
        <v>#DIV/0!</v>
      </c>
      <c r="Z95" s="14" t="e">
        <f t="shared" si="42"/>
        <v>#DIV/0!</v>
      </c>
      <c r="AA95" s="14" t="e">
        <f t="shared" si="42"/>
        <v>#DIV/0!</v>
      </c>
      <c r="AB95" s="14" t="e">
        <f t="shared" si="42"/>
        <v>#DIV/0!</v>
      </c>
      <c r="AC95" s="14" t="e">
        <f t="shared" si="42"/>
        <v>#DIV/0!</v>
      </c>
      <c r="AD95" s="14" t="e">
        <f t="shared" si="42"/>
        <v>#DIV/0!</v>
      </c>
      <c r="AE95" s="14" t="e">
        <f t="shared" si="42"/>
        <v>#DIV/0!</v>
      </c>
      <c r="AF95" s="14" t="e">
        <f t="shared" si="42"/>
        <v>#DIV/0!</v>
      </c>
      <c r="AG95" s="14" t="e">
        <f t="shared" si="42"/>
        <v>#DIV/0!</v>
      </c>
      <c r="AH95" s="14" t="e">
        <f t="shared" si="42"/>
        <v>#DIV/0!</v>
      </c>
      <c r="AI95" s="14" t="e">
        <f t="shared" si="42"/>
        <v>#DIV/0!</v>
      </c>
      <c r="AJ95" s="14" t="e">
        <f t="shared" si="42"/>
        <v>#DIV/0!</v>
      </c>
      <c r="AK95" s="14" t="e">
        <f t="shared" si="42"/>
        <v>#DIV/0!</v>
      </c>
      <c r="AL95" s="14" t="e">
        <f t="shared" si="42"/>
        <v>#DIV/0!</v>
      </c>
    </row>
    <row r="96" spans="1:38" ht="21" hidden="1" customHeight="1" outlineLevel="1" thickBot="1" x14ac:dyDescent="0.4">
      <c r="A96" s="5">
        <f t="shared" si="27"/>
        <v>0</v>
      </c>
      <c r="B96" s="5">
        <f t="shared" si="27"/>
        <v>0</v>
      </c>
      <c r="C96" s="5">
        <f t="shared" si="27"/>
        <v>0</v>
      </c>
      <c r="D96" s="5">
        <f t="shared" si="27"/>
        <v>0</v>
      </c>
      <c r="E96" s="6">
        <f t="shared" si="23"/>
        <v>0</v>
      </c>
      <c r="F96" s="14" t="e">
        <f t="shared" ref="F96:AL96" si="43">F20*$C$78</f>
        <v>#DIV/0!</v>
      </c>
      <c r="G96" s="14" t="e">
        <f t="shared" si="43"/>
        <v>#DIV/0!</v>
      </c>
      <c r="H96" s="14" t="e">
        <f t="shared" si="43"/>
        <v>#DIV/0!</v>
      </c>
      <c r="I96" s="14" t="e">
        <f t="shared" si="43"/>
        <v>#DIV/0!</v>
      </c>
      <c r="J96" s="14" t="e">
        <f t="shared" si="43"/>
        <v>#DIV/0!</v>
      </c>
      <c r="K96" s="14" t="e">
        <f t="shared" si="43"/>
        <v>#DIV/0!</v>
      </c>
      <c r="L96" s="14" t="e">
        <f t="shared" si="43"/>
        <v>#DIV/0!</v>
      </c>
      <c r="M96" s="14" t="e">
        <f t="shared" si="43"/>
        <v>#DIV/0!</v>
      </c>
      <c r="N96" s="14" t="e">
        <f t="shared" si="43"/>
        <v>#DIV/0!</v>
      </c>
      <c r="O96" s="14" t="e">
        <f t="shared" si="43"/>
        <v>#DIV/0!</v>
      </c>
      <c r="P96" s="14" t="e">
        <f t="shared" si="43"/>
        <v>#DIV/0!</v>
      </c>
      <c r="Q96" s="14" t="e">
        <f t="shared" si="43"/>
        <v>#DIV/0!</v>
      </c>
      <c r="R96" s="14" t="e">
        <f t="shared" si="43"/>
        <v>#DIV/0!</v>
      </c>
      <c r="S96" s="14" t="e">
        <f t="shared" si="43"/>
        <v>#DIV/0!</v>
      </c>
      <c r="T96" s="14" t="e">
        <f t="shared" si="43"/>
        <v>#DIV/0!</v>
      </c>
      <c r="U96" s="14" t="e">
        <f t="shared" si="43"/>
        <v>#DIV/0!</v>
      </c>
      <c r="V96" s="14" t="e">
        <f t="shared" si="43"/>
        <v>#DIV/0!</v>
      </c>
      <c r="W96" s="14" t="e">
        <f t="shared" si="43"/>
        <v>#DIV/0!</v>
      </c>
      <c r="X96" s="14" t="e">
        <f t="shared" si="43"/>
        <v>#DIV/0!</v>
      </c>
      <c r="Y96" s="14" t="e">
        <f t="shared" si="43"/>
        <v>#DIV/0!</v>
      </c>
      <c r="Z96" s="14" t="e">
        <f t="shared" si="43"/>
        <v>#DIV/0!</v>
      </c>
      <c r="AA96" s="14" t="e">
        <f t="shared" si="43"/>
        <v>#DIV/0!</v>
      </c>
      <c r="AB96" s="14" t="e">
        <f t="shared" si="43"/>
        <v>#DIV/0!</v>
      </c>
      <c r="AC96" s="14" t="e">
        <f t="shared" si="43"/>
        <v>#DIV/0!</v>
      </c>
      <c r="AD96" s="14" t="e">
        <f t="shared" si="43"/>
        <v>#DIV/0!</v>
      </c>
      <c r="AE96" s="14" t="e">
        <f t="shared" si="43"/>
        <v>#DIV/0!</v>
      </c>
      <c r="AF96" s="14" t="e">
        <f t="shared" si="43"/>
        <v>#DIV/0!</v>
      </c>
      <c r="AG96" s="14" t="e">
        <f t="shared" si="43"/>
        <v>#DIV/0!</v>
      </c>
      <c r="AH96" s="14" t="e">
        <f t="shared" si="43"/>
        <v>#DIV/0!</v>
      </c>
      <c r="AI96" s="14" t="e">
        <f t="shared" si="43"/>
        <v>#DIV/0!</v>
      </c>
      <c r="AJ96" s="14" t="e">
        <f t="shared" si="43"/>
        <v>#DIV/0!</v>
      </c>
      <c r="AK96" s="14" t="e">
        <f t="shared" si="43"/>
        <v>#DIV/0!</v>
      </c>
      <c r="AL96" s="14" t="e">
        <f t="shared" si="43"/>
        <v>#DIV/0!</v>
      </c>
    </row>
    <row r="97" spans="1:54" ht="21" hidden="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0</v>
      </c>
      <c r="D97" s="5">
        <f t="shared" si="44"/>
        <v>0</v>
      </c>
      <c r="E97" s="6">
        <f t="shared" si="23"/>
        <v>0</v>
      </c>
      <c r="F97" s="14" t="e">
        <f t="shared" ref="F97:AL97" si="45">F21*$C$78</f>
        <v>#DIV/0!</v>
      </c>
      <c r="G97" s="14" t="e">
        <f t="shared" si="45"/>
        <v>#DIV/0!</v>
      </c>
      <c r="H97" s="14" t="e">
        <f t="shared" si="45"/>
        <v>#DIV/0!</v>
      </c>
      <c r="I97" s="14" t="e">
        <f t="shared" si="45"/>
        <v>#DIV/0!</v>
      </c>
      <c r="J97" s="14" t="e">
        <f t="shared" si="45"/>
        <v>#DIV/0!</v>
      </c>
      <c r="K97" s="14" t="e">
        <f t="shared" si="45"/>
        <v>#DIV/0!</v>
      </c>
      <c r="L97" s="14" t="e">
        <f t="shared" si="45"/>
        <v>#DIV/0!</v>
      </c>
      <c r="M97" s="14" t="e">
        <f t="shared" si="45"/>
        <v>#DIV/0!</v>
      </c>
      <c r="N97" s="14" t="e">
        <f t="shared" si="45"/>
        <v>#DIV/0!</v>
      </c>
      <c r="O97" s="14" t="e">
        <f t="shared" si="45"/>
        <v>#DIV/0!</v>
      </c>
      <c r="P97" s="14" t="e">
        <f t="shared" si="45"/>
        <v>#DIV/0!</v>
      </c>
      <c r="Q97" s="14" t="e">
        <f t="shared" si="45"/>
        <v>#DIV/0!</v>
      </c>
      <c r="R97" s="14" t="e">
        <f t="shared" si="45"/>
        <v>#DIV/0!</v>
      </c>
      <c r="S97" s="14" t="e">
        <f t="shared" si="45"/>
        <v>#DIV/0!</v>
      </c>
      <c r="T97" s="14" t="e">
        <f t="shared" si="45"/>
        <v>#DIV/0!</v>
      </c>
      <c r="U97" s="14" t="e">
        <f t="shared" si="45"/>
        <v>#DIV/0!</v>
      </c>
      <c r="V97" s="14" t="e">
        <f t="shared" si="45"/>
        <v>#DIV/0!</v>
      </c>
      <c r="W97" s="14" t="e">
        <f t="shared" si="45"/>
        <v>#DIV/0!</v>
      </c>
      <c r="X97" s="14" t="e">
        <f t="shared" si="45"/>
        <v>#DIV/0!</v>
      </c>
      <c r="Y97" s="14" t="e">
        <f t="shared" si="45"/>
        <v>#DIV/0!</v>
      </c>
      <c r="Z97" s="14" t="e">
        <f t="shared" si="45"/>
        <v>#DIV/0!</v>
      </c>
      <c r="AA97" s="14" t="e">
        <f t="shared" si="45"/>
        <v>#DIV/0!</v>
      </c>
      <c r="AB97" s="14" t="e">
        <f t="shared" si="45"/>
        <v>#DIV/0!</v>
      </c>
      <c r="AC97" s="14" t="e">
        <f t="shared" si="45"/>
        <v>#DIV/0!</v>
      </c>
      <c r="AD97" s="14" t="e">
        <f t="shared" si="45"/>
        <v>#DIV/0!</v>
      </c>
      <c r="AE97" s="14" t="e">
        <f t="shared" si="45"/>
        <v>#DIV/0!</v>
      </c>
      <c r="AF97" s="14" t="e">
        <f t="shared" si="45"/>
        <v>#DIV/0!</v>
      </c>
      <c r="AG97" s="14" t="e">
        <f t="shared" si="45"/>
        <v>#DIV/0!</v>
      </c>
      <c r="AH97" s="14" t="e">
        <f t="shared" si="45"/>
        <v>#DIV/0!</v>
      </c>
      <c r="AI97" s="14" t="e">
        <f t="shared" si="45"/>
        <v>#DIV/0!</v>
      </c>
      <c r="AJ97" s="14" t="e">
        <f t="shared" si="45"/>
        <v>#DIV/0!</v>
      </c>
      <c r="AK97" s="14" t="e">
        <f t="shared" si="45"/>
        <v>#DIV/0!</v>
      </c>
      <c r="AL97" s="14" t="e">
        <f t="shared" si="45"/>
        <v>#DIV/0!</v>
      </c>
    </row>
    <row r="98" spans="1:54" ht="21" hidden="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 t="e">
        <f t="shared" ref="F98:AL98" si="46">F22*$C$78</f>
        <v>#DIV/0!</v>
      </c>
      <c r="G98" s="14" t="e">
        <f t="shared" si="46"/>
        <v>#DIV/0!</v>
      </c>
      <c r="H98" s="14" t="e">
        <f t="shared" si="46"/>
        <v>#DIV/0!</v>
      </c>
      <c r="I98" s="14" t="e">
        <f t="shared" si="46"/>
        <v>#DIV/0!</v>
      </c>
      <c r="J98" s="14" t="e">
        <f t="shared" si="46"/>
        <v>#DIV/0!</v>
      </c>
      <c r="K98" s="14" t="e">
        <f t="shared" si="46"/>
        <v>#DIV/0!</v>
      </c>
      <c r="L98" s="14" t="e">
        <f t="shared" si="46"/>
        <v>#DIV/0!</v>
      </c>
      <c r="M98" s="14" t="e">
        <f t="shared" si="46"/>
        <v>#DIV/0!</v>
      </c>
      <c r="N98" s="14" t="e">
        <f t="shared" si="46"/>
        <v>#DIV/0!</v>
      </c>
      <c r="O98" s="14" t="e">
        <f t="shared" si="46"/>
        <v>#DIV/0!</v>
      </c>
      <c r="P98" s="14" t="e">
        <f t="shared" si="46"/>
        <v>#DIV/0!</v>
      </c>
      <c r="Q98" s="14" t="e">
        <f t="shared" si="46"/>
        <v>#DIV/0!</v>
      </c>
      <c r="R98" s="14" t="e">
        <f t="shared" si="46"/>
        <v>#DIV/0!</v>
      </c>
      <c r="S98" s="14" t="e">
        <f t="shared" si="46"/>
        <v>#DIV/0!</v>
      </c>
      <c r="T98" s="14" t="e">
        <f t="shared" si="46"/>
        <v>#DIV/0!</v>
      </c>
      <c r="U98" s="14" t="e">
        <f t="shared" si="46"/>
        <v>#DIV/0!</v>
      </c>
      <c r="V98" s="14" t="e">
        <f t="shared" si="46"/>
        <v>#DIV/0!</v>
      </c>
      <c r="W98" s="14" t="e">
        <f t="shared" si="46"/>
        <v>#DIV/0!</v>
      </c>
      <c r="X98" s="14" t="e">
        <f t="shared" si="46"/>
        <v>#DIV/0!</v>
      </c>
      <c r="Y98" s="14" t="e">
        <f t="shared" si="46"/>
        <v>#DIV/0!</v>
      </c>
      <c r="Z98" s="14" t="e">
        <f t="shared" si="46"/>
        <v>#DIV/0!</v>
      </c>
      <c r="AA98" s="14" t="e">
        <f t="shared" si="46"/>
        <v>#DIV/0!</v>
      </c>
      <c r="AB98" s="14" t="e">
        <f t="shared" si="46"/>
        <v>#DIV/0!</v>
      </c>
      <c r="AC98" s="14" t="e">
        <f t="shared" si="46"/>
        <v>#DIV/0!</v>
      </c>
      <c r="AD98" s="14" t="e">
        <f t="shared" si="46"/>
        <v>#DIV/0!</v>
      </c>
      <c r="AE98" s="14" t="e">
        <f t="shared" si="46"/>
        <v>#DIV/0!</v>
      </c>
      <c r="AF98" s="14" t="e">
        <f t="shared" si="46"/>
        <v>#DIV/0!</v>
      </c>
      <c r="AG98" s="14" t="e">
        <f t="shared" si="46"/>
        <v>#DIV/0!</v>
      </c>
      <c r="AH98" s="14" t="e">
        <f t="shared" si="46"/>
        <v>#DIV/0!</v>
      </c>
      <c r="AI98" s="14" t="e">
        <f t="shared" si="46"/>
        <v>#DIV/0!</v>
      </c>
      <c r="AJ98" s="14" t="e">
        <f t="shared" si="46"/>
        <v>#DIV/0!</v>
      </c>
      <c r="AK98" s="14" t="e">
        <f t="shared" si="46"/>
        <v>#DIV/0!</v>
      </c>
      <c r="AL98" s="14" t="e">
        <f t="shared" si="46"/>
        <v>#DIV/0!</v>
      </c>
    </row>
    <row r="99" spans="1:54" ht="21" hidden="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 t="e">
        <f t="shared" ref="F99:AL99" si="47">F23*$C$78</f>
        <v>#DIV/0!</v>
      </c>
      <c r="G99" s="14" t="e">
        <f t="shared" si="47"/>
        <v>#DIV/0!</v>
      </c>
      <c r="H99" s="14" t="e">
        <f t="shared" si="47"/>
        <v>#DIV/0!</v>
      </c>
      <c r="I99" s="14" t="e">
        <f t="shared" si="47"/>
        <v>#DIV/0!</v>
      </c>
      <c r="J99" s="14" t="e">
        <f t="shared" si="47"/>
        <v>#DIV/0!</v>
      </c>
      <c r="K99" s="14" t="e">
        <f t="shared" si="47"/>
        <v>#DIV/0!</v>
      </c>
      <c r="L99" s="14" t="e">
        <f t="shared" si="47"/>
        <v>#DIV/0!</v>
      </c>
      <c r="M99" s="14" t="e">
        <f t="shared" si="47"/>
        <v>#DIV/0!</v>
      </c>
      <c r="N99" s="14" t="e">
        <f t="shared" si="47"/>
        <v>#DIV/0!</v>
      </c>
      <c r="O99" s="14" t="e">
        <f t="shared" si="47"/>
        <v>#DIV/0!</v>
      </c>
      <c r="P99" s="14" t="e">
        <f t="shared" si="47"/>
        <v>#DIV/0!</v>
      </c>
      <c r="Q99" s="14" t="e">
        <f t="shared" si="47"/>
        <v>#DIV/0!</v>
      </c>
      <c r="R99" s="14" t="e">
        <f t="shared" si="47"/>
        <v>#DIV/0!</v>
      </c>
      <c r="S99" s="14" t="e">
        <f t="shared" si="47"/>
        <v>#DIV/0!</v>
      </c>
      <c r="T99" s="14" t="e">
        <f t="shared" si="47"/>
        <v>#DIV/0!</v>
      </c>
      <c r="U99" s="14" t="e">
        <f t="shared" si="47"/>
        <v>#DIV/0!</v>
      </c>
      <c r="V99" s="14" t="e">
        <f t="shared" si="47"/>
        <v>#DIV/0!</v>
      </c>
      <c r="W99" s="14" t="e">
        <f t="shared" si="47"/>
        <v>#DIV/0!</v>
      </c>
      <c r="X99" s="14" t="e">
        <f t="shared" si="47"/>
        <v>#DIV/0!</v>
      </c>
      <c r="Y99" s="14" t="e">
        <f t="shared" si="47"/>
        <v>#DIV/0!</v>
      </c>
      <c r="Z99" s="14" t="e">
        <f t="shared" si="47"/>
        <v>#DIV/0!</v>
      </c>
      <c r="AA99" s="14" t="e">
        <f t="shared" si="47"/>
        <v>#DIV/0!</v>
      </c>
      <c r="AB99" s="14" t="e">
        <f t="shared" si="47"/>
        <v>#DIV/0!</v>
      </c>
      <c r="AC99" s="14" t="e">
        <f t="shared" si="47"/>
        <v>#DIV/0!</v>
      </c>
      <c r="AD99" s="14" t="e">
        <f t="shared" si="47"/>
        <v>#DIV/0!</v>
      </c>
      <c r="AE99" s="14" t="e">
        <f t="shared" si="47"/>
        <v>#DIV/0!</v>
      </c>
      <c r="AF99" s="14" t="e">
        <f t="shared" si="47"/>
        <v>#DIV/0!</v>
      </c>
      <c r="AG99" s="14" t="e">
        <f t="shared" si="47"/>
        <v>#DIV/0!</v>
      </c>
      <c r="AH99" s="14" t="e">
        <f t="shared" si="47"/>
        <v>#DIV/0!</v>
      </c>
      <c r="AI99" s="14" t="e">
        <f t="shared" si="47"/>
        <v>#DIV/0!</v>
      </c>
      <c r="AJ99" s="14" t="e">
        <f t="shared" si="47"/>
        <v>#DIV/0!</v>
      </c>
      <c r="AK99" s="14" t="e">
        <f t="shared" si="47"/>
        <v>#DIV/0!</v>
      </c>
      <c r="AL99" s="14" t="e">
        <f t="shared" si="47"/>
        <v>#DIV/0!</v>
      </c>
    </row>
    <row r="100" spans="1:54" ht="21" hidden="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 t="e">
        <f t="shared" ref="F100:AL100" si="48">F24*$C$78</f>
        <v>#DIV/0!</v>
      </c>
      <c r="G100" s="14" t="e">
        <f t="shared" si="48"/>
        <v>#DIV/0!</v>
      </c>
      <c r="H100" s="14" t="e">
        <f t="shared" si="48"/>
        <v>#DIV/0!</v>
      </c>
      <c r="I100" s="14" t="e">
        <f t="shared" si="48"/>
        <v>#DIV/0!</v>
      </c>
      <c r="J100" s="14" t="e">
        <f t="shared" si="48"/>
        <v>#DIV/0!</v>
      </c>
      <c r="K100" s="14" t="e">
        <f t="shared" si="48"/>
        <v>#DIV/0!</v>
      </c>
      <c r="L100" s="14" t="e">
        <f t="shared" si="48"/>
        <v>#DIV/0!</v>
      </c>
      <c r="M100" s="14" t="e">
        <f t="shared" si="48"/>
        <v>#DIV/0!</v>
      </c>
      <c r="N100" s="14" t="e">
        <f t="shared" si="48"/>
        <v>#DIV/0!</v>
      </c>
      <c r="O100" s="14" t="e">
        <f t="shared" si="48"/>
        <v>#DIV/0!</v>
      </c>
      <c r="P100" s="14" t="e">
        <f t="shared" si="48"/>
        <v>#DIV/0!</v>
      </c>
      <c r="Q100" s="14" t="e">
        <f t="shared" si="48"/>
        <v>#DIV/0!</v>
      </c>
      <c r="R100" s="14" t="e">
        <f t="shared" si="48"/>
        <v>#DIV/0!</v>
      </c>
      <c r="S100" s="14" t="e">
        <f t="shared" si="48"/>
        <v>#DIV/0!</v>
      </c>
      <c r="T100" s="14" t="e">
        <f t="shared" si="48"/>
        <v>#DIV/0!</v>
      </c>
      <c r="U100" s="14" t="e">
        <f t="shared" si="48"/>
        <v>#DIV/0!</v>
      </c>
      <c r="V100" s="14" t="e">
        <f t="shared" si="48"/>
        <v>#DIV/0!</v>
      </c>
      <c r="W100" s="14" t="e">
        <f t="shared" si="48"/>
        <v>#DIV/0!</v>
      </c>
      <c r="X100" s="14" t="e">
        <f t="shared" si="48"/>
        <v>#DIV/0!</v>
      </c>
      <c r="Y100" s="14" t="e">
        <f t="shared" si="48"/>
        <v>#DIV/0!</v>
      </c>
      <c r="Z100" s="14" t="e">
        <f t="shared" si="48"/>
        <v>#DIV/0!</v>
      </c>
      <c r="AA100" s="14" t="e">
        <f t="shared" si="48"/>
        <v>#DIV/0!</v>
      </c>
      <c r="AB100" s="14" t="e">
        <f t="shared" si="48"/>
        <v>#DIV/0!</v>
      </c>
      <c r="AC100" s="14" t="e">
        <f t="shared" si="48"/>
        <v>#DIV/0!</v>
      </c>
      <c r="AD100" s="14" t="e">
        <f t="shared" si="48"/>
        <v>#DIV/0!</v>
      </c>
      <c r="AE100" s="14" t="e">
        <f t="shared" si="48"/>
        <v>#DIV/0!</v>
      </c>
      <c r="AF100" s="14" t="e">
        <f t="shared" si="48"/>
        <v>#DIV/0!</v>
      </c>
      <c r="AG100" s="14" t="e">
        <f t="shared" si="48"/>
        <v>#DIV/0!</v>
      </c>
      <c r="AH100" s="14" t="e">
        <f t="shared" si="48"/>
        <v>#DIV/0!</v>
      </c>
      <c r="AI100" s="14" t="e">
        <f t="shared" si="48"/>
        <v>#DIV/0!</v>
      </c>
      <c r="AJ100" s="14" t="e">
        <f t="shared" si="48"/>
        <v>#DIV/0!</v>
      </c>
      <c r="AK100" s="14" t="e">
        <f t="shared" si="48"/>
        <v>#DIV/0!</v>
      </c>
      <c r="AL100" s="14" t="e">
        <f t="shared" si="48"/>
        <v>#DIV/0!</v>
      </c>
    </row>
    <row r="101" spans="1:54" ht="21" hidden="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 t="e">
        <f t="shared" ref="F101:AL101" si="49">F25*$C$78</f>
        <v>#DIV/0!</v>
      </c>
      <c r="G101" s="14" t="e">
        <f t="shared" si="49"/>
        <v>#DIV/0!</v>
      </c>
      <c r="H101" s="14" t="e">
        <f t="shared" si="49"/>
        <v>#DIV/0!</v>
      </c>
      <c r="I101" s="14" t="e">
        <f t="shared" si="49"/>
        <v>#DIV/0!</v>
      </c>
      <c r="J101" s="14" t="e">
        <f t="shared" si="49"/>
        <v>#DIV/0!</v>
      </c>
      <c r="K101" s="14" t="e">
        <f t="shared" si="49"/>
        <v>#DIV/0!</v>
      </c>
      <c r="L101" s="14" t="e">
        <f t="shared" si="49"/>
        <v>#DIV/0!</v>
      </c>
      <c r="M101" s="14" t="e">
        <f t="shared" si="49"/>
        <v>#DIV/0!</v>
      </c>
      <c r="N101" s="14" t="e">
        <f t="shared" si="49"/>
        <v>#DIV/0!</v>
      </c>
      <c r="O101" s="14" t="e">
        <f t="shared" si="49"/>
        <v>#DIV/0!</v>
      </c>
      <c r="P101" s="14" t="e">
        <f t="shared" si="49"/>
        <v>#DIV/0!</v>
      </c>
      <c r="Q101" s="14" t="e">
        <f t="shared" si="49"/>
        <v>#DIV/0!</v>
      </c>
      <c r="R101" s="14" t="e">
        <f t="shared" si="49"/>
        <v>#DIV/0!</v>
      </c>
      <c r="S101" s="14" t="e">
        <f t="shared" si="49"/>
        <v>#DIV/0!</v>
      </c>
      <c r="T101" s="14" t="e">
        <f t="shared" si="49"/>
        <v>#DIV/0!</v>
      </c>
      <c r="U101" s="14" t="e">
        <f t="shared" si="49"/>
        <v>#DIV/0!</v>
      </c>
      <c r="V101" s="14" t="e">
        <f t="shared" si="49"/>
        <v>#DIV/0!</v>
      </c>
      <c r="W101" s="14" t="e">
        <f t="shared" si="49"/>
        <v>#DIV/0!</v>
      </c>
      <c r="X101" s="14" t="e">
        <f t="shared" si="49"/>
        <v>#DIV/0!</v>
      </c>
      <c r="Y101" s="14" t="e">
        <f t="shared" si="49"/>
        <v>#DIV/0!</v>
      </c>
      <c r="Z101" s="14" t="e">
        <f t="shared" si="49"/>
        <v>#DIV/0!</v>
      </c>
      <c r="AA101" s="14" t="e">
        <f t="shared" si="49"/>
        <v>#DIV/0!</v>
      </c>
      <c r="AB101" s="14" t="e">
        <f t="shared" si="49"/>
        <v>#DIV/0!</v>
      </c>
      <c r="AC101" s="14" t="e">
        <f t="shared" si="49"/>
        <v>#DIV/0!</v>
      </c>
      <c r="AD101" s="14" t="e">
        <f t="shared" si="49"/>
        <v>#DIV/0!</v>
      </c>
      <c r="AE101" s="14" t="e">
        <f t="shared" si="49"/>
        <v>#DIV/0!</v>
      </c>
      <c r="AF101" s="14" t="e">
        <f t="shared" si="49"/>
        <v>#DIV/0!</v>
      </c>
      <c r="AG101" s="14" t="e">
        <f t="shared" si="49"/>
        <v>#DIV/0!</v>
      </c>
      <c r="AH101" s="14" t="e">
        <f t="shared" si="49"/>
        <v>#DIV/0!</v>
      </c>
      <c r="AI101" s="14" t="e">
        <f t="shared" si="49"/>
        <v>#DIV/0!</v>
      </c>
      <c r="AJ101" s="14" t="e">
        <f t="shared" si="49"/>
        <v>#DIV/0!</v>
      </c>
      <c r="AK101" s="14" t="e">
        <f t="shared" si="49"/>
        <v>#DIV/0!</v>
      </c>
      <c r="AL101" s="14" t="e">
        <f t="shared" si="49"/>
        <v>#DIV/0!</v>
      </c>
    </row>
    <row r="102" spans="1:54" ht="21" hidden="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 t="e">
        <f t="shared" ref="F102:AL102" si="50">F26*$C$78</f>
        <v>#DIV/0!</v>
      </c>
      <c r="G102" s="14" t="e">
        <f t="shared" si="50"/>
        <v>#DIV/0!</v>
      </c>
      <c r="H102" s="14" t="e">
        <f t="shared" si="50"/>
        <v>#DIV/0!</v>
      </c>
      <c r="I102" s="14" t="e">
        <f t="shared" si="50"/>
        <v>#DIV/0!</v>
      </c>
      <c r="J102" s="14" t="e">
        <f t="shared" si="50"/>
        <v>#DIV/0!</v>
      </c>
      <c r="K102" s="14" t="e">
        <f t="shared" si="50"/>
        <v>#DIV/0!</v>
      </c>
      <c r="L102" s="14" t="e">
        <f t="shared" si="50"/>
        <v>#DIV/0!</v>
      </c>
      <c r="M102" s="14" t="e">
        <f t="shared" si="50"/>
        <v>#DIV/0!</v>
      </c>
      <c r="N102" s="14" t="e">
        <f t="shared" si="50"/>
        <v>#DIV/0!</v>
      </c>
      <c r="O102" s="14" t="e">
        <f t="shared" si="50"/>
        <v>#DIV/0!</v>
      </c>
      <c r="P102" s="14" t="e">
        <f t="shared" si="50"/>
        <v>#DIV/0!</v>
      </c>
      <c r="Q102" s="14" t="e">
        <f t="shared" si="50"/>
        <v>#DIV/0!</v>
      </c>
      <c r="R102" s="14" t="e">
        <f t="shared" si="50"/>
        <v>#DIV/0!</v>
      </c>
      <c r="S102" s="14" t="e">
        <f t="shared" si="50"/>
        <v>#DIV/0!</v>
      </c>
      <c r="T102" s="14" t="e">
        <f t="shared" si="50"/>
        <v>#DIV/0!</v>
      </c>
      <c r="U102" s="14" t="e">
        <f t="shared" si="50"/>
        <v>#DIV/0!</v>
      </c>
      <c r="V102" s="14" t="e">
        <f t="shared" si="50"/>
        <v>#DIV/0!</v>
      </c>
      <c r="W102" s="14" t="e">
        <f t="shared" si="50"/>
        <v>#DIV/0!</v>
      </c>
      <c r="X102" s="14" t="e">
        <f t="shared" si="50"/>
        <v>#DIV/0!</v>
      </c>
      <c r="Y102" s="14" t="e">
        <f t="shared" si="50"/>
        <v>#DIV/0!</v>
      </c>
      <c r="Z102" s="14" t="e">
        <f t="shared" si="50"/>
        <v>#DIV/0!</v>
      </c>
      <c r="AA102" s="14" t="e">
        <f t="shared" si="50"/>
        <v>#DIV/0!</v>
      </c>
      <c r="AB102" s="14" t="e">
        <f t="shared" si="50"/>
        <v>#DIV/0!</v>
      </c>
      <c r="AC102" s="14" t="e">
        <f t="shared" si="50"/>
        <v>#DIV/0!</v>
      </c>
      <c r="AD102" s="14" t="e">
        <f t="shared" si="50"/>
        <v>#DIV/0!</v>
      </c>
      <c r="AE102" s="14" t="e">
        <f t="shared" si="50"/>
        <v>#DIV/0!</v>
      </c>
      <c r="AF102" s="14" t="e">
        <f t="shared" si="50"/>
        <v>#DIV/0!</v>
      </c>
      <c r="AG102" s="14" t="e">
        <f t="shared" si="50"/>
        <v>#DIV/0!</v>
      </c>
      <c r="AH102" s="14" t="e">
        <f t="shared" si="50"/>
        <v>#DIV/0!</v>
      </c>
      <c r="AI102" s="14" t="e">
        <f t="shared" si="50"/>
        <v>#DIV/0!</v>
      </c>
      <c r="AJ102" s="14" t="e">
        <f t="shared" si="50"/>
        <v>#DIV/0!</v>
      </c>
      <c r="AK102" s="14" t="e">
        <f t="shared" si="50"/>
        <v>#DIV/0!</v>
      </c>
      <c r="AL102" s="14" t="e">
        <f t="shared" si="50"/>
        <v>#DIV/0!</v>
      </c>
    </row>
    <row r="103" spans="1:54" ht="21" hidden="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 t="e">
        <f t="shared" ref="F103:AL103" si="51">F27*$C$78</f>
        <v>#DIV/0!</v>
      </c>
      <c r="G103" s="14" t="e">
        <f t="shared" si="51"/>
        <v>#DIV/0!</v>
      </c>
      <c r="H103" s="14" t="e">
        <f t="shared" si="51"/>
        <v>#DIV/0!</v>
      </c>
      <c r="I103" s="14" t="e">
        <f t="shared" si="51"/>
        <v>#DIV/0!</v>
      </c>
      <c r="J103" s="14" t="e">
        <f t="shared" si="51"/>
        <v>#DIV/0!</v>
      </c>
      <c r="K103" s="14" t="e">
        <f t="shared" si="51"/>
        <v>#DIV/0!</v>
      </c>
      <c r="L103" s="14" t="e">
        <f t="shared" si="51"/>
        <v>#DIV/0!</v>
      </c>
      <c r="M103" s="14" t="e">
        <f t="shared" si="51"/>
        <v>#DIV/0!</v>
      </c>
      <c r="N103" s="14" t="e">
        <f t="shared" si="51"/>
        <v>#DIV/0!</v>
      </c>
      <c r="O103" s="14" t="e">
        <f t="shared" si="51"/>
        <v>#DIV/0!</v>
      </c>
      <c r="P103" s="14" t="e">
        <f t="shared" si="51"/>
        <v>#DIV/0!</v>
      </c>
      <c r="Q103" s="14" t="e">
        <f t="shared" si="51"/>
        <v>#DIV/0!</v>
      </c>
      <c r="R103" s="14" t="e">
        <f t="shared" si="51"/>
        <v>#DIV/0!</v>
      </c>
      <c r="S103" s="14" t="e">
        <f t="shared" si="51"/>
        <v>#DIV/0!</v>
      </c>
      <c r="T103" s="14" t="e">
        <f t="shared" si="51"/>
        <v>#DIV/0!</v>
      </c>
      <c r="U103" s="14" t="e">
        <f t="shared" si="51"/>
        <v>#DIV/0!</v>
      </c>
      <c r="V103" s="14" t="e">
        <f t="shared" si="51"/>
        <v>#DIV/0!</v>
      </c>
      <c r="W103" s="14" t="e">
        <f t="shared" si="51"/>
        <v>#DIV/0!</v>
      </c>
      <c r="X103" s="14" t="e">
        <f t="shared" si="51"/>
        <v>#DIV/0!</v>
      </c>
      <c r="Y103" s="14" t="e">
        <f t="shared" si="51"/>
        <v>#DIV/0!</v>
      </c>
      <c r="Z103" s="14" t="e">
        <f t="shared" si="51"/>
        <v>#DIV/0!</v>
      </c>
      <c r="AA103" s="14" t="e">
        <f t="shared" si="51"/>
        <v>#DIV/0!</v>
      </c>
      <c r="AB103" s="14" t="e">
        <f t="shared" si="51"/>
        <v>#DIV/0!</v>
      </c>
      <c r="AC103" s="14" t="e">
        <f t="shared" si="51"/>
        <v>#DIV/0!</v>
      </c>
      <c r="AD103" s="14" t="e">
        <f t="shared" si="51"/>
        <v>#DIV/0!</v>
      </c>
      <c r="AE103" s="14" t="e">
        <f t="shared" si="51"/>
        <v>#DIV/0!</v>
      </c>
      <c r="AF103" s="14" t="e">
        <f t="shared" si="51"/>
        <v>#DIV/0!</v>
      </c>
      <c r="AG103" s="14" t="e">
        <f t="shared" si="51"/>
        <v>#DIV/0!</v>
      </c>
      <c r="AH103" s="14" t="e">
        <f t="shared" si="51"/>
        <v>#DIV/0!</v>
      </c>
      <c r="AI103" s="14" t="e">
        <f t="shared" si="51"/>
        <v>#DIV/0!</v>
      </c>
      <c r="AJ103" s="14" t="e">
        <f t="shared" si="51"/>
        <v>#DIV/0!</v>
      </c>
      <c r="AK103" s="14" t="e">
        <f t="shared" si="51"/>
        <v>#DIV/0!</v>
      </c>
      <c r="AL103" s="14" t="e">
        <f t="shared" si="51"/>
        <v>#DIV/0!</v>
      </c>
    </row>
    <row r="104" spans="1:54" ht="21" hidden="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 t="e">
        <f t="shared" ref="F104:AL104" si="52">F28*$C$78</f>
        <v>#DIV/0!</v>
      </c>
      <c r="G104" s="14" t="e">
        <f t="shared" si="52"/>
        <v>#DIV/0!</v>
      </c>
      <c r="H104" s="14" t="e">
        <f t="shared" si="52"/>
        <v>#DIV/0!</v>
      </c>
      <c r="I104" s="14" t="e">
        <f t="shared" si="52"/>
        <v>#DIV/0!</v>
      </c>
      <c r="J104" s="14" t="e">
        <f t="shared" si="52"/>
        <v>#DIV/0!</v>
      </c>
      <c r="K104" s="14" t="e">
        <f t="shared" si="52"/>
        <v>#DIV/0!</v>
      </c>
      <c r="L104" s="14" t="e">
        <f t="shared" si="52"/>
        <v>#DIV/0!</v>
      </c>
      <c r="M104" s="14" t="e">
        <f t="shared" si="52"/>
        <v>#DIV/0!</v>
      </c>
      <c r="N104" s="14" t="e">
        <f t="shared" si="52"/>
        <v>#DIV/0!</v>
      </c>
      <c r="O104" s="14" t="e">
        <f t="shared" si="52"/>
        <v>#DIV/0!</v>
      </c>
      <c r="P104" s="14" t="e">
        <f t="shared" si="52"/>
        <v>#DIV/0!</v>
      </c>
      <c r="Q104" s="14" t="e">
        <f t="shared" si="52"/>
        <v>#DIV/0!</v>
      </c>
      <c r="R104" s="14" t="e">
        <f t="shared" si="52"/>
        <v>#DIV/0!</v>
      </c>
      <c r="S104" s="14" t="e">
        <f t="shared" si="52"/>
        <v>#DIV/0!</v>
      </c>
      <c r="T104" s="14" t="e">
        <f t="shared" si="52"/>
        <v>#DIV/0!</v>
      </c>
      <c r="U104" s="14" t="e">
        <f t="shared" si="52"/>
        <v>#DIV/0!</v>
      </c>
      <c r="V104" s="14" t="e">
        <f t="shared" si="52"/>
        <v>#DIV/0!</v>
      </c>
      <c r="W104" s="14" t="e">
        <f t="shared" si="52"/>
        <v>#DIV/0!</v>
      </c>
      <c r="X104" s="14" t="e">
        <f t="shared" si="52"/>
        <v>#DIV/0!</v>
      </c>
      <c r="Y104" s="14" t="e">
        <f t="shared" si="52"/>
        <v>#DIV/0!</v>
      </c>
      <c r="Z104" s="14" t="e">
        <f t="shared" si="52"/>
        <v>#DIV/0!</v>
      </c>
      <c r="AA104" s="14" t="e">
        <f t="shared" si="52"/>
        <v>#DIV/0!</v>
      </c>
      <c r="AB104" s="14" t="e">
        <f t="shared" si="52"/>
        <v>#DIV/0!</v>
      </c>
      <c r="AC104" s="14" t="e">
        <f t="shared" si="52"/>
        <v>#DIV/0!</v>
      </c>
      <c r="AD104" s="14" t="e">
        <f t="shared" si="52"/>
        <v>#DIV/0!</v>
      </c>
      <c r="AE104" s="14" t="e">
        <f t="shared" si="52"/>
        <v>#DIV/0!</v>
      </c>
      <c r="AF104" s="14" t="e">
        <f t="shared" si="52"/>
        <v>#DIV/0!</v>
      </c>
      <c r="AG104" s="14" t="e">
        <f t="shared" si="52"/>
        <v>#DIV/0!</v>
      </c>
      <c r="AH104" s="14" t="e">
        <f t="shared" si="52"/>
        <v>#DIV/0!</v>
      </c>
      <c r="AI104" s="14" t="e">
        <f t="shared" si="52"/>
        <v>#DIV/0!</v>
      </c>
      <c r="AJ104" s="14" t="e">
        <f t="shared" si="52"/>
        <v>#DIV/0!</v>
      </c>
      <c r="AK104" s="14" t="e">
        <f t="shared" si="52"/>
        <v>#DIV/0!</v>
      </c>
      <c r="AL104" s="14" t="e">
        <f t="shared" si="52"/>
        <v>#DIV/0!</v>
      </c>
    </row>
    <row r="105" spans="1:54" ht="21" hidden="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 t="e">
        <f t="shared" ref="F105:AL105" si="53">F29*$C$78</f>
        <v>#DIV/0!</v>
      </c>
      <c r="G105" s="14" t="e">
        <f t="shared" si="53"/>
        <v>#DIV/0!</v>
      </c>
      <c r="H105" s="14" t="e">
        <f t="shared" si="53"/>
        <v>#DIV/0!</v>
      </c>
      <c r="I105" s="14" t="e">
        <f t="shared" si="53"/>
        <v>#DIV/0!</v>
      </c>
      <c r="J105" s="14" t="e">
        <f t="shared" si="53"/>
        <v>#DIV/0!</v>
      </c>
      <c r="K105" s="14" t="e">
        <f t="shared" si="53"/>
        <v>#DIV/0!</v>
      </c>
      <c r="L105" s="14" t="e">
        <f t="shared" si="53"/>
        <v>#DIV/0!</v>
      </c>
      <c r="M105" s="14" t="e">
        <f t="shared" si="53"/>
        <v>#DIV/0!</v>
      </c>
      <c r="N105" s="14" t="e">
        <f t="shared" si="53"/>
        <v>#DIV/0!</v>
      </c>
      <c r="O105" s="14" t="e">
        <f t="shared" si="53"/>
        <v>#DIV/0!</v>
      </c>
      <c r="P105" s="14" t="e">
        <f t="shared" si="53"/>
        <v>#DIV/0!</v>
      </c>
      <c r="Q105" s="14" t="e">
        <f t="shared" si="53"/>
        <v>#DIV/0!</v>
      </c>
      <c r="R105" s="14" t="e">
        <f t="shared" si="53"/>
        <v>#DIV/0!</v>
      </c>
      <c r="S105" s="14" t="e">
        <f t="shared" si="53"/>
        <v>#DIV/0!</v>
      </c>
      <c r="T105" s="14" t="e">
        <f t="shared" si="53"/>
        <v>#DIV/0!</v>
      </c>
      <c r="U105" s="14" t="e">
        <f t="shared" si="53"/>
        <v>#DIV/0!</v>
      </c>
      <c r="V105" s="14" t="e">
        <f t="shared" si="53"/>
        <v>#DIV/0!</v>
      </c>
      <c r="W105" s="14" t="e">
        <f t="shared" si="53"/>
        <v>#DIV/0!</v>
      </c>
      <c r="X105" s="14" t="e">
        <f t="shared" si="53"/>
        <v>#DIV/0!</v>
      </c>
      <c r="Y105" s="14" t="e">
        <f t="shared" si="53"/>
        <v>#DIV/0!</v>
      </c>
      <c r="Z105" s="14" t="e">
        <f t="shared" si="53"/>
        <v>#DIV/0!</v>
      </c>
      <c r="AA105" s="14" t="e">
        <f t="shared" si="53"/>
        <v>#DIV/0!</v>
      </c>
      <c r="AB105" s="14" t="e">
        <f t="shared" si="53"/>
        <v>#DIV/0!</v>
      </c>
      <c r="AC105" s="14" t="e">
        <f t="shared" si="53"/>
        <v>#DIV/0!</v>
      </c>
      <c r="AD105" s="14" t="e">
        <f t="shared" si="53"/>
        <v>#DIV/0!</v>
      </c>
      <c r="AE105" s="14" t="e">
        <f t="shared" si="53"/>
        <v>#DIV/0!</v>
      </c>
      <c r="AF105" s="14" t="e">
        <f t="shared" si="53"/>
        <v>#DIV/0!</v>
      </c>
      <c r="AG105" s="14" t="e">
        <f t="shared" si="53"/>
        <v>#DIV/0!</v>
      </c>
      <c r="AH105" s="14" t="e">
        <f t="shared" si="53"/>
        <v>#DIV/0!</v>
      </c>
      <c r="AI105" s="14" t="e">
        <f t="shared" si="53"/>
        <v>#DIV/0!</v>
      </c>
      <c r="AJ105" s="14" t="e">
        <f t="shared" si="53"/>
        <v>#DIV/0!</v>
      </c>
      <c r="AK105" s="14" t="e">
        <f t="shared" si="53"/>
        <v>#DIV/0!</v>
      </c>
      <c r="AL105" s="14" t="e">
        <f t="shared" si="53"/>
        <v>#DIV/0!</v>
      </c>
    </row>
    <row r="106" spans="1:54" ht="21" hidden="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 t="e">
        <f t="shared" ref="F106:AL106" si="54">F30*$C$78</f>
        <v>#DIV/0!</v>
      </c>
      <c r="G106" s="14" t="e">
        <f t="shared" si="54"/>
        <v>#DIV/0!</v>
      </c>
      <c r="H106" s="14" t="e">
        <f t="shared" si="54"/>
        <v>#DIV/0!</v>
      </c>
      <c r="I106" s="14" t="e">
        <f t="shared" si="54"/>
        <v>#DIV/0!</v>
      </c>
      <c r="J106" s="14" t="e">
        <f t="shared" si="54"/>
        <v>#DIV/0!</v>
      </c>
      <c r="K106" s="14" t="e">
        <f t="shared" si="54"/>
        <v>#DIV/0!</v>
      </c>
      <c r="L106" s="14" t="e">
        <f t="shared" si="54"/>
        <v>#DIV/0!</v>
      </c>
      <c r="M106" s="14" t="e">
        <f t="shared" si="54"/>
        <v>#DIV/0!</v>
      </c>
      <c r="N106" s="14" t="e">
        <f t="shared" si="54"/>
        <v>#DIV/0!</v>
      </c>
      <c r="O106" s="14" t="e">
        <f t="shared" si="54"/>
        <v>#DIV/0!</v>
      </c>
      <c r="P106" s="14" t="e">
        <f t="shared" si="54"/>
        <v>#DIV/0!</v>
      </c>
      <c r="Q106" s="14" t="e">
        <f t="shared" si="54"/>
        <v>#DIV/0!</v>
      </c>
      <c r="R106" s="14" t="e">
        <f t="shared" si="54"/>
        <v>#DIV/0!</v>
      </c>
      <c r="S106" s="14" t="e">
        <f t="shared" si="54"/>
        <v>#DIV/0!</v>
      </c>
      <c r="T106" s="14" t="e">
        <f t="shared" si="54"/>
        <v>#DIV/0!</v>
      </c>
      <c r="U106" s="14" t="e">
        <f t="shared" si="54"/>
        <v>#DIV/0!</v>
      </c>
      <c r="V106" s="14" t="e">
        <f t="shared" si="54"/>
        <v>#DIV/0!</v>
      </c>
      <c r="W106" s="14" t="e">
        <f t="shared" si="54"/>
        <v>#DIV/0!</v>
      </c>
      <c r="X106" s="14" t="e">
        <f t="shared" si="54"/>
        <v>#DIV/0!</v>
      </c>
      <c r="Y106" s="14" t="e">
        <f t="shared" si="54"/>
        <v>#DIV/0!</v>
      </c>
      <c r="Z106" s="14" t="e">
        <f t="shared" si="54"/>
        <v>#DIV/0!</v>
      </c>
      <c r="AA106" s="14" t="e">
        <f t="shared" si="54"/>
        <v>#DIV/0!</v>
      </c>
      <c r="AB106" s="14" t="e">
        <f t="shared" si="54"/>
        <v>#DIV/0!</v>
      </c>
      <c r="AC106" s="14" t="e">
        <f t="shared" si="54"/>
        <v>#DIV/0!</v>
      </c>
      <c r="AD106" s="14" t="e">
        <f t="shared" si="54"/>
        <v>#DIV/0!</v>
      </c>
      <c r="AE106" s="14" t="e">
        <f t="shared" si="54"/>
        <v>#DIV/0!</v>
      </c>
      <c r="AF106" s="14" t="e">
        <f t="shared" si="54"/>
        <v>#DIV/0!</v>
      </c>
      <c r="AG106" s="14" t="e">
        <f t="shared" si="54"/>
        <v>#DIV/0!</v>
      </c>
      <c r="AH106" s="14" t="e">
        <f t="shared" si="54"/>
        <v>#DIV/0!</v>
      </c>
      <c r="AI106" s="14" t="e">
        <f t="shared" si="54"/>
        <v>#DIV/0!</v>
      </c>
      <c r="AJ106" s="14" t="e">
        <f t="shared" si="54"/>
        <v>#DIV/0!</v>
      </c>
      <c r="AK106" s="14" t="e">
        <f t="shared" si="54"/>
        <v>#DIV/0!</v>
      </c>
      <c r="AL106" s="14" t="e">
        <f t="shared" si="54"/>
        <v>#DIV/0!</v>
      </c>
    </row>
    <row r="107" spans="1:54" ht="21" hidden="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 t="e">
        <f t="shared" ref="F107:AL107" si="55">F31*$C$78</f>
        <v>#DIV/0!</v>
      </c>
      <c r="G107" s="14" t="e">
        <f t="shared" si="55"/>
        <v>#DIV/0!</v>
      </c>
      <c r="H107" s="14" t="e">
        <f t="shared" si="55"/>
        <v>#DIV/0!</v>
      </c>
      <c r="I107" s="14" t="e">
        <f t="shared" si="55"/>
        <v>#DIV/0!</v>
      </c>
      <c r="J107" s="14" t="e">
        <f t="shared" si="55"/>
        <v>#DIV/0!</v>
      </c>
      <c r="K107" s="14" t="e">
        <f t="shared" si="55"/>
        <v>#DIV/0!</v>
      </c>
      <c r="L107" s="14" t="e">
        <f t="shared" si="55"/>
        <v>#DIV/0!</v>
      </c>
      <c r="M107" s="14" t="e">
        <f t="shared" si="55"/>
        <v>#DIV/0!</v>
      </c>
      <c r="N107" s="14" t="e">
        <f t="shared" si="55"/>
        <v>#DIV/0!</v>
      </c>
      <c r="O107" s="14" t="e">
        <f t="shared" si="55"/>
        <v>#DIV/0!</v>
      </c>
      <c r="P107" s="14" t="e">
        <f t="shared" si="55"/>
        <v>#DIV/0!</v>
      </c>
      <c r="Q107" s="14" t="e">
        <f t="shared" si="55"/>
        <v>#DIV/0!</v>
      </c>
      <c r="R107" s="14" t="e">
        <f t="shared" si="55"/>
        <v>#DIV/0!</v>
      </c>
      <c r="S107" s="14" t="e">
        <f t="shared" si="55"/>
        <v>#DIV/0!</v>
      </c>
      <c r="T107" s="14" t="e">
        <f t="shared" si="55"/>
        <v>#DIV/0!</v>
      </c>
      <c r="U107" s="14" t="e">
        <f t="shared" si="55"/>
        <v>#DIV/0!</v>
      </c>
      <c r="V107" s="14" t="e">
        <f t="shared" si="55"/>
        <v>#DIV/0!</v>
      </c>
      <c r="W107" s="14" t="e">
        <f t="shared" si="55"/>
        <v>#DIV/0!</v>
      </c>
      <c r="X107" s="14" t="e">
        <f t="shared" si="55"/>
        <v>#DIV/0!</v>
      </c>
      <c r="Y107" s="14" t="e">
        <f t="shared" si="55"/>
        <v>#DIV/0!</v>
      </c>
      <c r="Z107" s="14" t="e">
        <f t="shared" si="55"/>
        <v>#DIV/0!</v>
      </c>
      <c r="AA107" s="14" t="e">
        <f t="shared" si="55"/>
        <v>#DIV/0!</v>
      </c>
      <c r="AB107" s="14" t="e">
        <f t="shared" si="55"/>
        <v>#DIV/0!</v>
      </c>
      <c r="AC107" s="14" t="e">
        <f t="shared" si="55"/>
        <v>#DIV/0!</v>
      </c>
      <c r="AD107" s="14" t="e">
        <f t="shared" si="55"/>
        <v>#DIV/0!</v>
      </c>
      <c r="AE107" s="14" t="e">
        <f t="shared" si="55"/>
        <v>#DIV/0!</v>
      </c>
      <c r="AF107" s="14" t="e">
        <f t="shared" si="55"/>
        <v>#DIV/0!</v>
      </c>
      <c r="AG107" s="14" t="e">
        <f t="shared" si="55"/>
        <v>#DIV/0!</v>
      </c>
      <c r="AH107" s="14" t="e">
        <f t="shared" si="55"/>
        <v>#DIV/0!</v>
      </c>
      <c r="AI107" s="14" t="e">
        <f t="shared" si="55"/>
        <v>#DIV/0!</v>
      </c>
      <c r="AJ107" s="14" t="e">
        <f t="shared" si="55"/>
        <v>#DIV/0!</v>
      </c>
      <c r="AK107" s="14" t="e">
        <f t="shared" si="55"/>
        <v>#DIV/0!</v>
      </c>
      <c r="AL107" s="14" t="e">
        <f t="shared" si="55"/>
        <v>#DIV/0!</v>
      </c>
    </row>
    <row r="108" spans="1:54" ht="21" hidden="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 t="e">
        <f t="shared" ref="F108:AL108" si="56">F32*$C$78</f>
        <v>#DIV/0!</v>
      </c>
      <c r="G108" s="14" t="e">
        <f t="shared" si="56"/>
        <v>#DIV/0!</v>
      </c>
      <c r="H108" s="14" t="e">
        <f t="shared" si="56"/>
        <v>#DIV/0!</v>
      </c>
      <c r="I108" s="14" t="e">
        <f t="shared" si="56"/>
        <v>#DIV/0!</v>
      </c>
      <c r="J108" s="14" t="e">
        <f t="shared" si="56"/>
        <v>#DIV/0!</v>
      </c>
      <c r="K108" s="14" t="e">
        <f t="shared" si="56"/>
        <v>#DIV/0!</v>
      </c>
      <c r="L108" s="14" t="e">
        <f t="shared" si="56"/>
        <v>#DIV/0!</v>
      </c>
      <c r="M108" s="14" t="e">
        <f t="shared" si="56"/>
        <v>#DIV/0!</v>
      </c>
      <c r="N108" s="14" t="e">
        <f t="shared" si="56"/>
        <v>#DIV/0!</v>
      </c>
      <c r="O108" s="14" t="e">
        <f t="shared" si="56"/>
        <v>#DIV/0!</v>
      </c>
      <c r="P108" s="14" t="e">
        <f t="shared" si="56"/>
        <v>#DIV/0!</v>
      </c>
      <c r="Q108" s="14" t="e">
        <f t="shared" si="56"/>
        <v>#DIV/0!</v>
      </c>
      <c r="R108" s="14" t="e">
        <f t="shared" si="56"/>
        <v>#DIV/0!</v>
      </c>
      <c r="S108" s="14" t="e">
        <f t="shared" si="56"/>
        <v>#DIV/0!</v>
      </c>
      <c r="T108" s="14" t="e">
        <f t="shared" si="56"/>
        <v>#DIV/0!</v>
      </c>
      <c r="U108" s="14" t="e">
        <f t="shared" si="56"/>
        <v>#DIV/0!</v>
      </c>
      <c r="V108" s="14" t="e">
        <f t="shared" si="56"/>
        <v>#DIV/0!</v>
      </c>
      <c r="W108" s="14" t="e">
        <f t="shared" si="56"/>
        <v>#DIV/0!</v>
      </c>
      <c r="X108" s="14" t="e">
        <f t="shared" si="56"/>
        <v>#DIV/0!</v>
      </c>
      <c r="Y108" s="14" t="e">
        <f t="shared" si="56"/>
        <v>#DIV/0!</v>
      </c>
      <c r="Z108" s="14" t="e">
        <f t="shared" si="56"/>
        <v>#DIV/0!</v>
      </c>
      <c r="AA108" s="14" t="e">
        <f t="shared" si="56"/>
        <v>#DIV/0!</v>
      </c>
      <c r="AB108" s="14" t="e">
        <f t="shared" si="56"/>
        <v>#DIV/0!</v>
      </c>
      <c r="AC108" s="14" t="e">
        <f t="shared" si="56"/>
        <v>#DIV/0!</v>
      </c>
      <c r="AD108" s="14" t="e">
        <f t="shared" si="56"/>
        <v>#DIV/0!</v>
      </c>
      <c r="AE108" s="14" t="e">
        <f t="shared" si="56"/>
        <v>#DIV/0!</v>
      </c>
      <c r="AF108" s="14" t="e">
        <f t="shared" si="56"/>
        <v>#DIV/0!</v>
      </c>
      <c r="AG108" s="14" t="e">
        <f t="shared" si="56"/>
        <v>#DIV/0!</v>
      </c>
      <c r="AH108" s="14" t="e">
        <f t="shared" si="56"/>
        <v>#DIV/0!</v>
      </c>
      <c r="AI108" s="14" t="e">
        <f t="shared" si="56"/>
        <v>#DIV/0!</v>
      </c>
      <c r="AJ108" s="14" t="e">
        <f t="shared" si="56"/>
        <v>#DIV/0!</v>
      </c>
      <c r="AK108" s="14" t="e">
        <f t="shared" si="56"/>
        <v>#DIV/0!</v>
      </c>
      <c r="AL108" s="14" t="e">
        <f t="shared" si="56"/>
        <v>#DIV/0!</v>
      </c>
    </row>
    <row r="109" spans="1:54" ht="21" hidden="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5"/>
      <c r="B112" s="75"/>
      <c r="C112" s="75"/>
      <c r="D112" s="75"/>
      <c r="E112" s="74" t="s">
        <v>23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94" t="s">
        <v>10</v>
      </c>
      <c r="B113" s="95"/>
      <c r="C113" s="23" t="s">
        <v>11</v>
      </c>
      <c r="D113" s="15" t="s">
        <v>12</v>
      </c>
      <c r="E113" s="15"/>
      <c r="F113" s="4">
        <f t="shared" ref="F113:AL113" si="57">F3</f>
        <v>0</v>
      </c>
      <c r="G113" s="4">
        <f t="shared" si="57"/>
        <v>0</v>
      </c>
      <c r="H113" s="4">
        <f t="shared" si="57"/>
        <v>0</v>
      </c>
      <c r="I113" s="4">
        <f t="shared" si="57"/>
        <v>0</v>
      </c>
      <c r="J113" s="4">
        <f t="shared" si="57"/>
        <v>0</v>
      </c>
      <c r="K113" s="4">
        <f t="shared" si="57"/>
        <v>0</v>
      </c>
      <c r="L113" s="4">
        <f t="shared" si="57"/>
        <v>0</v>
      </c>
      <c r="M113" s="4">
        <f t="shared" si="57"/>
        <v>0</v>
      </c>
      <c r="N113" s="4">
        <f t="shared" si="57"/>
        <v>0</v>
      </c>
      <c r="O113" s="4">
        <f t="shared" si="57"/>
        <v>0</v>
      </c>
      <c r="P113" s="4">
        <f t="shared" si="57"/>
        <v>0</v>
      </c>
      <c r="Q113" s="4">
        <f t="shared" si="57"/>
        <v>0</v>
      </c>
      <c r="R113" s="4">
        <f t="shared" si="57"/>
        <v>0</v>
      </c>
      <c r="S113" s="4">
        <f t="shared" si="57"/>
        <v>0</v>
      </c>
      <c r="T113" s="4">
        <f t="shared" si="57"/>
        <v>0</v>
      </c>
      <c r="U113" s="4">
        <f t="shared" si="57"/>
        <v>0</v>
      </c>
      <c r="V113" s="4">
        <f t="shared" si="57"/>
        <v>0</v>
      </c>
      <c r="W113" s="4">
        <f t="shared" si="57"/>
        <v>0</v>
      </c>
      <c r="X113" s="4">
        <f t="shared" si="57"/>
        <v>0</v>
      </c>
      <c r="Y113" s="4">
        <f t="shared" si="57"/>
        <v>0</v>
      </c>
      <c r="Z113" s="4">
        <f t="shared" si="57"/>
        <v>0</v>
      </c>
      <c r="AA113" s="4">
        <f t="shared" si="57"/>
        <v>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 t="e">
        <f ca="1">MIN(MIN(F114:AL116),MIN(F41:AL41))</f>
        <v>#DIV/0!</v>
      </c>
      <c r="C114" s="24">
        <f>COUNTA(E114:E121)+1</f>
        <v>4</v>
      </c>
      <c r="E114" s="17" t="s">
        <v>13</v>
      </c>
      <c r="F114" s="52" t="e">
        <f>F$113*$B$2*SUMPRODUCT(F$90:F$92,F$56:F$58)/1000</f>
        <v>#DIV/0!</v>
      </c>
      <c r="G114" s="52" t="e">
        <f t="shared" ref="G114:AL114" si="58">G$113*$B$2*SUMPRODUCT(G$90:G$92,G$56:G$58)/1000</f>
        <v>#DIV/0!</v>
      </c>
      <c r="H114" s="52" t="e">
        <f t="shared" si="58"/>
        <v>#DIV/0!</v>
      </c>
      <c r="I114" s="52" t="e">
        <f t="shared" si="58"/>
        <v>#DIV/0!</v>
      </c>
      <c r="J114" s="52" t="e">
        <f t="shared" si="58"/>
        <v>#DIV/0!</v>
      </c>
      <c r="K114" s="52" t="e">
        <f t="shared" si="58"/>
        <v>#DIV/0!</v>
      </c>
      <c r="L114" s="52" t="e">
        <f t="shared" si="58"/>
        <v>#DIV/0!</v>
      </c>
      <c r="M114" s="52" t="e">
        <f t="shared" si="58"/>
        <v>#DIV/0!</v>
      </c>
      <c r="N114" s="52" t="e">
        <f t="shared" si="58"/>
        <v>#DIV/0!</v>
      </c>
      <c r="O114" s="52" t="e">
        <f t="shared" si="58"/>
        <v>#DIV/0!</v>
      </c>
      <c r="P114" s="52" t="e">
        <f t="shared" si="58"/>
        <v>#DIV/0!</v>
      </c>
      <c r="Q114" s="52" t="e">
        <f t="shared" si="58"/>
        <v>#DIV/0!</v>
      </c>
      <c r="R114" s="52" t="e">
        <f t="shared" si="58"/>
        <v>#DIV/0!</v>
      </c>
      <c r="S114" s="52" t="e">
        <f t="shared" si="58"/>
        <v>#DIV/0!</v>
      </c>
      <c r="T114" s="52" t="e">
        <f t="shared" si="58"/>
        <v>#DIV/0!</v>
      </c>
      <c r="U114" s="52" t="e">
        <f t="shared" si="58"/>
        <v>#DIV/0!</v>
      </c>
      <c r="V114" s="52" t="e">
        <f t="shared" si="58"/>
        <v>#DIV/0!</v>
      </c>
      <c r="W114" s="52" t="e">
        <f t="shared" si="58"/>
        <v>#DIV/0!</v>
      </c>
      <c r="X114" s="52" t="e">
        <f t="shared" si="58"/>
        <v>#DIV/0!</v>
      </c>
      <c r="Y114" s="52" t="e">
        <f t="shared" si="58"/>
        <v>#DIV/0!</v>
      </c>
      <c r="Z114" s="52" t="e">
        <f t="shared" si="58"/>
        <v>#DIV/0!</v>
      </c>
      <c r="AA114" s="52" t="e">
        <f t="shared" si="58"/>
        <v>#DIV/0!</v>
      </c>
      <c r="AB114" s="52" t="e">
        <f t="shared" si="58"/>
        <v>#DIV/0!</v>
      </c>
      <c r="AC114" s="52" t="e">
        <f t="shared" si="58"/>
        <v>#DIV/0!</v>
      </c>
      <c r="AD114" s="52" t="e">
        <f t="shared" si="58"/>
        <v>#DIV/0!</v>
      </c>
      <c r="AE114" s="52" t="e">
        <f t="shared" si="58"/>
        <v>#DIV/0!</v>
      </c>
      <c r="AF114" s="52" t="e">
        <f t="shared" si="58"/>
        <v>#DIV/0!</v>
      </c>
      <c r="AG114" s="52" t="e">
        <f t="shared" si="58"/>
        <v>#DIV/0!</v>
      </c>
      <c r="AH114" s="52" t="e">
        <f t="shared" si="58"/>
        <v>#DIV/0!</v>
      </c>
      <c r="AI114" s="52" t="e">
        <f t="shared" si="58"/>
        <v>#DIV/0!</v>
      </c>
      <c r="AJ114" s="52" t="e">
        <f t="shared" si="58"/>
        <v>#DIV/0!</v>
      </c>
      <c r="AK114" s="52" t="e">
        <f t="shared" si="58"/>
        <v>#DIV/0!</v>
      </c>
      <c r="AL114" s="52" t="e">
        <f t="shared" si="58"/>
        <v>#DIV/0!</v>
      </c>
    </row>
    <row r="115" spans="1:38" ht="21" customHeight="1" outlineLevel="1" thickBot="1" x14ac:dyDescent="0.4">
      <c r="A115" s="22">
        <f>$A$114</f>
        <v>700</v>
      </c>
      <c r="B115" s="51" t="e">
        <f ca="1">MAX(MAX(F114:AL116),MAX(F41:AL41))</f>
        <v>#DIV/0!</v>
      </c>
      <c r="C115" s="25">
        <f xml:space="preserve"> COUNTIF(F113:AL113,"&lt;&gt;"&amp;0)</f>
        <v>0</v>
      </c>
      <c r="E115" s="17" t="s">
        <v>14</v>
      </c>
      <c r="F115" s="14" t="e">
        <f>F$113*$B$2*SUMPRODUCT(F$80:F$88,F$46:F$54)/1000</f>
        <v>#DIV/0!</v>
      </c>
      <c r="G115" s="14" t="e">
        <f t="shared" ref="G115:AL115" si="59">G$113*$B$2*SUMPRODUCT(G$80:G$88,G$46:G$54)/1000</f>
        <v>#DIV/0!</v>
      </c>
      <c r="H115" s="14" t="e">
        <f t="shared" si="59"/>
        <v>#DIV/0!</v>
      </c>
      <c r="I115" s="14" t="e">
        <f t="shared" si="59"/>
        <v>#DIV/0!</v>
      </c>
      <c r="J115" s="14" t="e">
        <f t="shared" si="59"/>
        <v>#DIV/0!</v>
      </c>
      <c r="K115" s="14" t="e">
        <f t="shared" si="59"/>
        <v>#DIV/0!</v>
      </c>
      <c r="L115" s="14" t="e">
        <f t="shared" si="59"/>
        <v>#DIV/0!</v>
      </c>
      <c r="M115" s="14" t="e">
        <f t="shared" si="59"/>
        <v>#DIV/0!</v>
      </c>
      <c r="N115" s="14" t="e">
        <f t="shared" si="59"/>
        <v>#DIV/0!</v>
      </c>
      <c r="O115" s="14" t="e">
        <f t="shared" si="59"/>
        <v>#DIV/0!</v>
      </c>
      <c r="P115" s="14" t="e">
        <f t="shared" si="59"/>
        <v>#DIV/0!</v>
      </c>
      <c r="Q115" s="14" t="e">
        <f t="shared" si="59"/>
        <v>#DIV/0!</v>
      </c>
      <c r="R115" s="14" t="e">
        <f t="shared" si="59"/>
        <v>#DIV/0!</v>
      </c>
      <c r="S115" s="14" t="e">
        <f t="shared" si="59"/>
        <v>#DIV/0!</v>
      </c>
      <c r="T115" s="14" t="e">
        <f t="shared" si="59"/>
        <v>#DIV/0!</v>
      </c>
      <c r="U115" s="14" t="e">
        <f t="shared" si="59"/>
        <v>#DIV/0!</v>
      </c>
      <c r="V115" s="14" t="e">
        <f t="shared" si="59"/>
        <v>#DIV/0!</v>
      </c>
      <c r="W115" s="14" t="e">
        <f t="shared" si="59"/>
        <v>#DIV/0!</v>
      </c>
      <c r="X115" s="14" t="e">
        <f t="shared" si="59"/>
        <v>#DIV/0!</v>
      </c>
      <c r="Y115" s="14" t="e">
        <f t="shared" si="59"/>
        <v>#DIV/0!</v>
      </c>
      <c r="Z115" s="14" t="e">
        <f t="shared" si="59"/>
        <v>#DIV/0!</v>
      </c>
      <c r="AA115" s="14" t="e">
        <f t="shared" si="59"/>
        <v>#DIV/0!</v>
      </c>
      <c r="AB115" s="14" t="e">
        <f t="shared" si="59"/>
        <v>#DIV/0!</v>
      </c>
      <c r="AC115" s="14" t="e">
        <f t="shared" si="59"/>
        <v>#DIV/0!</v>
      </c>
      <c r="AD115" s="14" t="e">
        <f t="shared" si="59"/>
        <v>#DIV/0!</v>
      </c>
      <c r="AE115" s="14" t="e">
        <f t="shared" si="59"/>
        <v>#DIV/0!</v>
      </c>
      <c r="AF115" s="14" t="e">
        <f t="shared" si="59"/>
        <v>#DIV/0!</v>
      </c>
      <c r="AG115" s="14" t="e">
        <f t="shared" si="59"/>
        <v>#DIV/0!</v>
      </c>
      <c r="AH115" s="14" t="e">
        <f t="shared" si="59"/>
        <v>#DIV/0!</v>
      </c>
      <c r="AI115" s="14" t="e">
        <f t="shared" si="59"/>
        <v>#DIV/0!</v>
      </c>
      <c r="AJ115" s="14" t="e">
        <f t="shared" si="59"/>
        <v>#DIV/0!</v>
      </c>
      <c r="AK115" s="14" t="e">
        <f t="shared" si="59"/>
        <v>#DIV/0!</v>
      </c>
      <c r="AL115" s="14" t="e">
        <f t="shared" si="59"/>
        <v>#DIV/0!</v>
      </c>
    </row>
    <row r="116" spans="1:38" ht="21" customHeight="1" outlineLevel="1" thickBot="1" x14ac:dyDescent="0.4">
      <c r="E116" s="17" t="s">
        <v>16</v>
      </c>
      <c r="F116" s="14" t="e">
        <f t="shared" ref="F116:AL116" si="60">F115+F114</f>
        <v>#DIV/0!</v>
      </c>
      <c r="G116" s="14" t="e">
        <f t="shared" si="60"/>
        <v>#DIV/0!</v>
      </c>
      <c r="H116" s="14" t="e">
        <f t="shared" si="60"/>
        <v>#DIV/0!</v>
      </c>
      <c r="I116" s="14" t="e">
        <f t="shared" si="60"/>
        <v>#DIV/0!</v>
      </c>
      <c r="J116" s="14" t="e">
        <f t="shared" si="60"/>
        <v>#DIV/0!</v>
      </c>
      <c r="K116" s="14" t="e">
        <f t="shared" si="60"/>
        <v>#DIV/0!</v>
      </c>
      <c r="L116" s="14" t="e">
        <f t="shared" si="60"/>
        <v>#DIV/0!</v>
      </c>
      <c r="M116" s="14" t="e">
        <f t="shared" si="60"/>
        <v>#DIV/0!</v>
      </c>
      <c r="N116" s="14" t="e">
        <f t="shared" si="60"/>
        <v>#DIV/0!</v>
      </c>
      <c r="O116" s="14" t="e">
        <f t="shared" si="60"/>
        <v>#DIV/0!</v>
      </c>
      <c r="P116" s="14" t="e">
        <f t="shared" si="60"/>
        <v>#DIV/0!</v>
      </c>
      <c r="Q116" s="14" t="e">
        <f t="shared" si="60"/>
        <v>#DIV/0!</v>
      </c>
      <c r="R116" s="14" t="e">
        <f t="shared" si="60"/>
        <v>#DIV/0!</v>
      </c>
      <c r="S116" s="14" t="e">
        <f t="shared" si="60"/>
        <v>#DIV/0!</v>
      </c>
      <c r="T116" s="14" t="e">
        <f t="shared" si="60"/>
        <v>#DIV/0!</v>
      </c>
      <c r="U116" s="14" t="e">
        <f t="shared" si="60"/>
        <v>#DIV/0!</v>
      </c>
      <c r="V116" s="14" t="e">
        <f t="shared" si="60"/>
        <v>#DIV/0!</v>
      </c>
      <c r="W116" s="14" t="e">
        <f t="shared" si="60"/>
        <v>#DIV/0!</v>
      </c>
      <c r="X116" s="14" t="e">
        <f t="shared" si="60"/>
        <v>#DIV/0!</v>
      </c>
      <c r="Y116" s="14" t="e">
        <f t="shared" si="60"/>
        <v>#DIV/0!</v>
      </c>
      <c r="Z116" s="14" t="e">
        <f t="shared" si="60"/>
        <v>#DIV/0!</v>
      </c>
      <c r="AA116" s="14" t="e">
        <f t="shared" si="60"/>
        <v>#DIV/0!</v>
      </c>
      <c r="AB116" s="14" t="e">
        <f t="shared" si="60"/>
        <v>#DIV/0!</v>
      </c>
      <c r="AC116" s="14" t="e">
        <f t="shared" si="60"/>
        <v>#DIV/0!</v>
      </c>
      <c r="AD116" s="14" t="e">
        <f t="shared" si="60"/>
        <v>#DIV/0!</v>
      </c>
      <c r="AE116" s="14" t="e">
        <f t="shared" si="60"/>
        <v>#DIV/0!</v>
      </c>
      <c r="AF116" s="14" t="e">
        <f t="shared" si="60"/>
        <v>#DIV/0!</v>
      </c>
      <c r="AG116" s="14" t="e">
        <f t="shared" si="60"/>
        <v>#DIV/0!</v>
      </c>
      <c r="AH116" s="14" t="e">
        <f t="shared" si="60"/>
        <v>#DIV/0!</v>
      </c>
      <c r="AI116" s="14" t="e">
        <f t="shared" si="60"/>
        <v>#DIV/0!</v>
      </c>
      <c r="AJ116" s="14" t="e">
        <f t="shared" si="60"/>
        <v>#DIV/0!</v>
      </c>
      <c r="AK116" s="14" t="e">
        <f t="shared" si="60"/>
        <v>#DIV/0!</v>
      </c>
      <c r="AL116" s="14" t="e">
        <f t="shared" si="60"/>
        <v>#DIV/0!</v>
      </c>
    </row>
    <row r="117" spans="1:38" ht="21" customHeight="1" outlineLevel="1" x14ac:dyDescent="0.35"/>
    <row r="118" spans="1:38" ht="21" customHeight="1" outlineLevel="1" x14ac:dyDescent="0.35">
      <c r="U118" s="55"/>
      <c r="V118" s="55"/>
      <c r="W118" s="55"/>
    </row>
    <row r="119" spans="1:38" ht="21" customHeight="1" outlineLevel="1" x14ac:dyDescent="0.35">
      <c r="U119" s="55"/>
      <c r="V119" s="55"/>
      <c r="W119" s="55"/>
    </row>
    <row r="120" spans="1:38" ht="21" customHeight="1" outlineLevel="1" x14ac:dyDescent="0.35">
      <c r="U120" s="55"/>
      <c r="V120" s="55"/>
      <c r="W120" s="55"/>
    </row>
    <row r="121" spans="1:38" ht="21" customHeight="1" outlineLevel="1" thickBot="1" x14ac:dyDescent="0.4"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65">
        <f ca="1"/>
        <v>0</v>
      </c>
      <c r="V122" s="66">
        <f ca="1"/>
        <v>0</v>
      </c>
      <c r="W122" s="68">
        <f ca="1"/>
        <v>0</v>
      </c>
      <c r="X122" s="62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</row>
    <row r="123" spans="1:38" ht="21" customHeight="1" outlineLevel="1" thickTop="1" thickBot="1" x14ac:dyDescent="0.4">
      <c r="E123" s="17" t="str">
        <f ca="1"/>
        <v xml:space="preserve">Раствор (жид): </v>
      </c>
      <c r="F123" s="55" t="str">
        <f ca="1"/>
        <v xml:space="preserve">Раствор (жид): </v>
      </c>
      <c r="G123" s="55" t="str">
        <f ca="1"/>
        <v xml:space="preserve">Раствор (жид): </v>
      </c>
      <c r="H123" s="55" t="str">
        <f ca="1"/>
        <v xml:space="preserve">Раствор (жид): </v>
      </c>
      <c r="I123" s="55" t="str">
        <f ca="1"/>
        <v xml:space="preserve">Раствор (жид): </v>
      </c>
      <c r="J123" s="55" t="str">
        <f ca="1"/>
        <v xml:space="preserve">Раствор (жид): </v>
      </c>
      <c r="K123" s="55" t="str">
        <f ca="1"/>
        <v xml:space="preserve">Раствор (жид): </v>
      </c>
      <c r="L123" s="55" t="str">
        <f ca="1"/>
        <v xml:space="preserve">Раствор (жид): </v>
      </c>
      <c r="M123" s="55" t="str">
        <f ca="1"/>
        <v xml:space="preserve">Раствор (жид): </v>
      </c>
      <c r="N123" s="55" t="str">
        <f ca="1"/>
        <v xml:space="preserve">Раствор (жид): </v>
      </c>
      <c r="O123" s="55" t="str">
        <f ca="1"/>
        <v xml:space="preserve">Раствор (жид): </v>
      </c>
      <c r="P123" s="55" t="str">
        <f ca="1"/>
        <v xml:space="preserve">Раствор (жид): </v>
      </c>
      <c r="Q123" s="55" t="str">
        <f ca="1"/>
        <v xml:space="preserve">Раствор (жид): </v>
      </c>
      <c r="R123" s="55" t="str">
        <f ca="1"/>
        <v xml:space="preserve">Раствор (жид): </v>
      </c>
      <c r="S123" s="55" t="str">
        <f ca="1"/>
        <v xml:space="preserve">Раствор (жид): </v>
      </c>
      <c r="T123" s="55" t="str">
        <f ca="1"/>
        <v xml:space="preserve">Раствор (жид): </v>
      </c>
      <c r="U123" s="55" t="str">
        <f ca="1"/>
        <v xml:space="preserve">Раствор (жид): </v>
      </c>
      <c r="V123" s="55" t="str">
        <f ca="1"/>
        <v xml:space="preserve">Раствор (жид): </v>
      </c>
      <c r="W123" s="55" t="str">
        <f ca="1"/>
        <v xml:space="preserve">Раствор (жид): </v>
      </c>
      <c r="X123" s="55" t="str">
        <f ca="1"/>
        <v xml:space="preserve">Раствор (жид): </v>
      </c>
      <c r="Y123" s="55" t="str">
        <f ca="1"/>
        <v xml:space="preserve">Раствор (жид): </v>
      </c>
      <c r="Z123" s="55" t="str">
        <f ca="1"/>
        <v xml:space="preserve">Раствор (жид): </v>
      </c>
      <c r="AA123" s="55" t="str">
        <f ca="1"/>
        <v xml:space="preserve">Раствор (жид): </v>
      </c>
      <c r="AB123" s="55" t="str">
        <f ca="1"/>
        <v xml:space="preserve">Раствор (жид): </v>
      </c>
      <c r="AC123" s="55" t="str">
        <f ca="1"/>
        <v xml:space="preserve">Раствор (жид): </v>
      </c>
      <c r="AD123" s="55" t="str">
        <f ca="1"/>
        <v xml:space="preserve">Раствор (жид): </v>
      </c>
      <c r="AE123" s="55" t="str">
        <f ca="1"/>
        <v xml:space="preserve">Раствор (жид): </v>
      </c>
      <c r="AF123" s="55" t="str">
        <f ca="1"/>
        <v xml:space="preserve">Раствор (жид): </v>
      </c>
      <c r="AG123" s="55" t="str">
        <f ca="1"/>
        <v xml:space="preserve">Раствор (жид): </v>
      </c>
      <c r="AH123" s="55" t="str">
        <f ca="1"/>
        <v xml:space="preserve">Раствор (жид): </v>
      </c>
      <c r="AI123" s="55" t="str">
        <f ca="1"/>
        <v xml:space="preserve">Раствор (жид): </v>
      </c>
      <c r="AJ123" s="55" t="str">
        <f ca="1"/>
        <v xml:space="preserve">Раствор (жид): </v>
      </c>
      <c r="AK123" s="55" t="str">
        <f ca="1"/>
        <v xml:space="preserve">Раствор (жид): </v>
      </c>
      <c r="AL123" s="55" t="str">
        <f ca="1"/>
        <v xml:space="preserve">Раствор (жид): 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 t="str">
        <f ca="1"/>
        <v xml:space="preserve">Газовая без Ar: </v>
      </c>
      <c r="G124" s="55" t="str">
        <f ca="1"/>
        <v xml:space="preserve">Газовая без Ar: </v>
      </c>
      <c r="H124" s="55" t="str">
        <f ca="1"/>
        <v xml:space="preserve">Газовая без Ar: </v>
      </c>
      <c r="I124" s="55" t="str">
        <f ca="1"/>
        <v xml:space="preserve">Газовая без Ar: </v>
      </c>
      <c r="J124" s="55" t="str">
        <f ca="1"/>
        <v xml:space="preserve">Газовая без Ar: </v>
      </c>
      <c r="K124" s="55" t="str">
        <f ca="1"/>
        <v xml:space="preserve">Газовая без Ar: </v>
      </c>
      <c r="L124" s="55" t="str">
        <f ca="1"/>
        <v xml:space="preserve">Газовая без Ar: </v>
      </c>
      <c r="M124" s="55" t="str">
        <f ca="1"/>
        <v xml:space="preserve">Газовая без Ar: </v>
      </c>
      <c r="N124" s="55" t="str">
        <f ca="1"/>
        <v xml:space="preserve">Газовая без Ar: </v>
      </c>
      <c r="O124" s="55" t="str">
        <f ca="1"/>
        <v xml:space="preserve">Газовая без Ar: </v>
      </c>
      <c r="P124" s="55" t="str">
        <f ca="1"/>
        <v xml:space="preserve">Газовая без Ar: </v>
      </c>
      <c r="Q124" s="55" t="str">
        <f ca="1"/>
        <v xml:space="preserve">Газовая без Ar: </v>
      </c>
      <c r="R124" s="55" t="str">
        <f ca="1"/>
        <v xml:space="preserve">Газовая без Ar: </v>
      </c>
      <c r="S124" s="55" t="str">
        <f ca="1"/>
        <v xml:space="preserve">Газовая без Ar: </v>
      </c>
      <c r="T124" s="55" t="str">
        <f ca="1"/>
        <v xml:space="preserve">Газовая без Ar: </v>
      </c>
      <c r="U124" s="55" t="str">
        <f ca="1"/>
        <v xml:space="preserve">Газовая без Ar: </v>
      </c>
      <c r="V124" s="55" t="str">
        <f ca="1"/>
        <v xml:space="preserve">Газовая без Ar: </v>
      </c>
      <c r="W124" s="55" t="str">
        <f ca="1"/>
        <v xml:space="preserve">Газовая без Ar: </v>
      </c>
      <c r="X124" s="55" t="str">
        <f ca="1"/>
        <v xml:space="preserve">Газовая без Ar: </v>
      </c>
      <c r="Y124" s="55" t="str">
        <f ca="1"/>
        <v xml:space="preserve">Газовая без Ar: </v>
      </c>
      <c r="Z124" s="55" t="str">
        <f ca="1"/>
        <v xml:space="preserve">Газовая без Ar: </v>
      </c>
      <c r="AA124" s="55" t="str">
        <f ca="1"/>
        <v xml:space="preserve">Газовая без Ar: </v>
      </c>
      <c r="AB124" s="55" t="str">
        <f ca="1"/>
        <v xml:space="preserve">Газовая без Ar: </v>
      </c>
      <c r="AC124" s="55" t="str">
        <f ca="1"/>
        <v xml:space="preserve">Газовая без Ar: </v>
      </c>
      <c r="AD124" s="55" t="str">
        <f ca="1"/>
        <v xml:space="preserve">Газовая без Ar: </v>
      </c>
      <c r="AE124" s="55" t="str">
        <f ca="1"/>
        <v xml:space="preserve">Газовая без Ar: </v>
      </c>
      <c r="AF124" s="55" t="str">
        <f ca="1"/>
        <v xml:space="preserve">Газовая без Ar: </v>
      </c>
      <c r="AG124" s="55" t="str">
        <f ca="1"/>
        <v xml:space="preserve">Газовая без Ar: </v>
      </c>
      <c r="AH124" s="55" t="str">
        <f ca="1"/>
        <v xml:space="preserve">Газовая без Ar: </v>
      </c>
      <c r="AI124" s="55" t="str">
        <f ca="1"/>
        <v xml:space="preserve">Газовая без Ar: </v>
      </c>
      <c r="AJ124" s="55" t="str">
        <f ca="1"/>
        <v xml:space="preserve">Газовая без Ar: </v>
      </c>
      <c r="AK124" s="55" t="str">
        <f ca="1"/>
        <v xml:space="preserve">Газовая без Ar: </v>
      </c>
      <c r="AL124" s="55" t="str">
        <f ca="1"/>
        <v xml:space="preserve">Газовая без Ar: </v>
      </c>
    </row>
    <row r="125" spans="1:38" ht="21" customHeight="1" outlineLevel="1" thickBot="1" x14ac:dyDescent="0.4">
      <c r="E125" s="17" t="str">
        <f ca="1"/>
        <v xml:space="preserve">Раствор + газовая без Ar: </v>
      </c>
      <c r="F125" s="55" t="str">
        <f ca="1"/>
        <v xml:space="preserve">Раствор + газовая без Ar: </v>
      </c>
      <c r="G125" s="55" t="str">
        <f ca="1"/>
        <v xml:space="preserve">Раствор + газовая без Ar: </v>
      </c>
      <c r="H125" s="55" t="str">
        <f ca="1"/>
        <v xml:space="preserve">Раствор + газовая без Ar: </v>
      </c>
      <c r="I125" s="55" t="str">
        <f ca="1"/>
        <v xml:space="preserve">Раствор + газовая без Ar: </v>
      </c>
      <c r="J125" s="55" t="str">
        <f ca="1"/>
        <v xml:space="preserve">Раствор + газовая без Ar: </v>
      </c>
      <c r="K125" s="55" t="str">
        <f ca="1"/>
        <v xml:space="preserve">Раствор + газовая без Ar: </v>
      </c>
      <c r="L125" s="55" t="str">
        <f ca="1"/>
        <v xml:space="preserve">Раствор + газовая без Ar: </v>
      </c>
      <c r="M125" s="55" t="str">
        <f ca="1"/>
        <v xml:space="preserve">Раствор + газовая без Ar: </v>
      </c>
      <c r="N125" s="55" t="str">
        <f ca="1"/>
        <v xml:space="preserve">Раствор + газовая без Ar: </v>
      </c>
      <c r="O125" s="55" t="str">
        <f ca="1"/>
        <v xml:space="preserve">Раствор + газовая без Ar: </v>
      </c>
      <c r="P125" s="55" t="str">
        <f ca="1"/>
        <v xml:space="preserve">Раствор + газовая без Ar: </v>
      </c>
      <c r="Q125" s="55" t="str">
        <f ca="1"/>
        <v xml:space="preserve">Раствор + газовая без Ar: </v>
      </c>
      <c r="R125" s="55" t="str">
        <f ca="1"/>
        <v xml:space="preserve">Раствор + газовая без Ar: </v>
      </c>
      <c r="S125" s="55" t="str">
        <f ca="1"/>
        <v xml:space="preserve">Раствор + газовая без Ar: </v>
      </c>
      <c r="T125" s="55" t="str">
        <f ca="1"/>
        <v xml:space="preserve">Раствор + газовая без Ar: </v>
      </c>
      <c r="U125" s="55" t="str">
        <f ca="1"/>
        <v xml:space="preserve">Раствор + газовая без Ar: </v>
      </c>
      <c r="V125" s="55" t="str">
        <f ca="1"/>
        <v xml:space="preserve">Раствор + газовая без Ar: </v>
      </c>
      <c r="W125" s="55" t="str">
        <f ca="1"/>
        <v xml:space="preserve">Раствор + газовая без Ar: </v>
      </c>
      <c r="X125" s="55" t="str">
        <f ca="1"/>
        <v xml:space="preserve">Раствор + газовая без Ar: </v>
      </c>
      <c r="Y125" s="55" t="str">
        <f ca="1"/>
        <v xml:space="preserve">Раствор + газовая без Ar: </v>
      </c>
      <c r="Z125" s="55" t="str">
        <f ca="1"/>
        <v xml:space="preserve">Раствор + газовая без Ar: </v>
      </c>
      <c r="AA125" s="55" t="str">
        <f ca="1"/>
        <v xml:space="preserve">Раствор + газовая без Ar: </v>
      </c>
      <c r="AB125" s="55" t="str">
        <f ca="1"/>
        <v xml:space="preserve">Раствор + газовая без Ar: </v>
      </c>
      <c r="AC125" s="55" t="str">
        <f ca="1"/>
        <v xml:space="preserve">Раствор + газовая без Ar: </v>
      </c>
      <c r="AD125" s="55" t="str">
        <f ca="1"/>
        <v xml:space="preserve">Раствор + газовая без Ar: </v>
      </c>
      <c r="AE125" s="55" t="str">
        <f ca="1"/>
        <v xml:space="preserve">Раствор + газовая без Ar: </v>
      </c>
      <c r="AF125" s="55" t="str">
        <f ca="1"/>
        <v xml:space="preserve">Раствор + газовая без Ar: </v>
      </c>
      <c r="AG125" s="55" t="str">
        <f ca="1"/>
        <v xml:space="preserve">Раствор + газовая без Ar: </v>
      </c>
      <c r="AH125" s="55" t="str">
        <f ca="1"/>
        <v xml:space="preserve">Раствор + газовая без Ar: </v>
      </c>
      <c r="AI125" s="55" t="str">
        <f ca="1"/>
        <v xml:space="preserve">Раствор + газовая без Ar: </v>
      </c>
      <c r="AJ125" s="55" t="str">
        <f ca="1"/>
        <v xml:space="preserve">Раствор + газовая без Ar: </v>
      </c>
      <c r="AK125" s="55" t="str">
        <f ca="1"/>
        <v xml:space="preserve">Раствор + газовая без Ar: </v>
      </c>
      <c r="AL125" s="55" t="str">
        <f ca="1"/>
        <v xml:space="preserve">Раствор + газовая без Ar: </v>
      </c>
    </row>
    <row r="126" spans="1:38" ht="21" customHeight="1" outlineLevel="1" thickBot="1" x14ac:dyDescent="0.4">
      <c r="E126" s="17" t="e">
        <f ca="1"/>
        <v>#N/A</v>
      </c>
      <c r="F126" s="55" t="e">
        <f ca="1"/>
        <v>#N/A</v>
      </c>
      <c r="G126" s="55" t="e">
        <f ca="1"/>
        <v>#N/A</v>
      </c>
      <c r="H126" s="55" t="e">
        <f ca="1"/>
        <v>#N/A</v>
      </c>
      <c r="I126" s="55" t="e">
        <f ca="1"/>
        <v>#N/A</v>
      </c>
      <c r="J126" s="55" t="e">
        <f ca="1"/>
        <v>#N/A</v>
      </c>
      <c r="K126" s="55" t="e">
        <f ca="1"/>
        <v>#N/A</v>
      </c>
      <c r="L126" s="55" t="e">
        <f ca="1"/>
        <v>#N/A</v>
      </c>
      <c r="M126" s="55" t="e">
        <f ca="1"/>
        <v>#N/A</v>
      </c>
      <c r="N126" s="55" t="e">
        <f ca="1"/>
        <v>#N/A</v>
      </c>
      <c r="O126" s="55" t="e">
        <f ca="1"/>
        <v>#N/A</v>
      </c>
      <c r="P126" s="55" t="e">
        <f ca="1"/>
        <v>#N/A</v>
      </c>
      <c r="Q126" s="55" t="e">
        <f ca="1"/>
        <v>#N/A</v>
      </c>
      <c r="R126" s="55" t="e">
        <f ca="1"/>
        <v>#N/A</v>
      </c>
      <c r="S126" s="55" t="e">
        <f ca="1"/>
        <v>#N/A</v>
      </c>
      <c r="T126" s="55" t="e">
        <f ca="1"/>
        <v>#N/A</v>
      </c>
      <c r="U126" s="55" t="e">
        <f ca="1"/>
        <v>#N/A</v>
      </c>
      <c r="V126" s="55" t="e">
        <f ca="1"/>
        <v>#N/A</v>
      </c>
      <c r="W126" s="55" t="e">
        <f ca="1"/>
        <v>#N/A</v>
      </c>
      <c r="X126" s="55" t="e">
        <f ca="1"/>
        <v>#N/A</v>
      </c>
      <c r="Y126" s="55" t="e">
        <f ca="1"/>
        <v>#N/A</v>
      </c>
      <c r="Z126" s="55" t="e">
        <f ca="1"/>
        <v>#N/A</v>
      </c>
      <c r="AA126" s="55" t="e">
        <f ca="1"/>
        <v>#N/A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6" priority="49" operator="equal">
      <formula>0</formula>
    </cfRule>
  </conditionalFormatting>
  <conditionalFormatting sqref="A80:D109">
    <cfRule type="cellIs" dxfId="5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9467FA4-E0FB-4D01-8E75-9A948969D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FLUID!F29:AK29</xm:f>
              <xm:sqref>AL29</xm:sqref>
            </x14:sparkline>
            <x14:sparkline>
              <xm:f>FLUID!F30:AK30</xm:f>
              <xm:sqref>AL30</xm:sqref>
            </x14:sparkline>
            <x14:sparkline>
              <xm:f>FLUID!F31:AK31</xm:f>
              <xm:sqref>AL31</xm:sqref>
            </x14:sparkline>
            <x14:sparkline>
              <xm:f>FLUID!F32:AK32</xm:f>
              <xm:sqref>AL32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BB136"/>
  <sheetViews>
    <sheetView zoomScale="85" zoomScaleNormal="85" zoomScaleSheetLayoutView="25" workbookViewId="0">
      <selection activeCell="F7" sqref="F7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98" t="s">
        <v>25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19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0</v>
      </c>
      <c r="C4" s="44">
        <f t="shared" si="0"/>
        <v>0</v>
      </c>
      <c r="D4" s="44">
        <f t="shared" si="0"/>
        <v>0</v>
      </c>
      <c r="E4" s="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0</v>
      </c>
      <c r="D5" s="44">
        <f t="shared" si="0"/>
        <v>0</v>
      </c>
      <c r="E5" s="6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0</v>
      </c>
      <c r="C6" s="44">
        <f t="shared" si="0"/>
        <v>0</v>
      </c>
      <c r="D6" s="44">
        <f t="shared" si="0"/>
        <v>0</v>
      </c>
      <c r="E6" s="6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0</v>
      </c>
      <c r="D7" s="44">
        <f t="shared" si="0"/>
        <v>0</v>
      </c>
      <c r="E7" s="6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0</v>
      </c>
      <c r="C8" s="44">
        <f t="shared" si="0"/>
        <v>0</v>
      </c>
      <c r="D8" s="44">
        <f t="shared" si="0"/>
        <v>0</v>
      </c>
      <c r="E8" s="6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0</v>
      </c>
      <c r="C9" s="44">
        <f t="shared" si="0"/>
        <v>0</v>
      </c>
      <c r="D9" s="44">
        <f t="shared" si="0"/>
        <v>0</v>
      </c>
      <c r="E9" s="6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0</v>
      </c>
      <c r="C10" s="44">
        <f t="shared" si="0"/>
        <v>0</v>
      </c>
      <c r="D10" s="44">
        <f t="shared" si="0"/>
        <v>0</v>
      </c>
      <c r="E10" s="6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0</v>
      </c>
      <c r="C11" s="44">
        <f t="shared" si="0"/>
        <v>0</v>
      </c>
      <c r="D11" s="44">
        <f t="shared" si="0"/>
        <v>0</v>
      </c>
      <c r="E11" s="6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0</v>
      </c>
      <c r="C12" s="44">
        <f t="shared" si="0"/>
        <v>0</v>
      </c>
      <c r="D12" s="44">
        <f t="shared" si="0"/>
        <v>0</v>
      </c>
      <c r="E12" s="6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0</v>
      </c>
      <c r="C13" s="44">
        <f t="shared" si="0"/>
        <v>0</v>
      </c>
      <c r="D13" s="44">
        <f t="shared" si="0"/>
        <v>0</v>
      </c>
      <c r="E13" s="6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0</v>
      </c>
      <c r="E15" s="6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0</v>
      </c>
      <c r="D16" s="44">
        <f t="shared" si="0"/>
        <v>0</v>
      </c>
      <c r="E16" s="6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6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0</v>
      </c>
      <c r="D18" s="44">
        <f t="shared" si="0"/>
        <v>0</v>
      </c>
      <c r="E18" s="6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0</v>
      </c>
      <c r="D19" s="44">
        <f t="shared" si="0"/>
        <v>0</v>
      </c>
      <c r="E19" s="6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0</v>
      </c>
      <c r="D20" s="44">
        <f t="shared" si="1"/>
        <v>0</v>
      </c>
      <c r="E20" s="48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27</v>
      </c>
      <c r="D34" s="47" t="e">
        <f>MATCH(C34,$E$4:$E$33)</f>
        <v>#N/A</v>
      </c>
      <c r="E34" s="11" t="e">
        <f ca="1">OFFSET($E$3:$AL$3,$D34,0)</f>
        <v>#N/A</v>
      </c>
      <c r="F34" s="14" t="e">
        <f t="shared" ref="F34:AL37" ca="1" si="3">OFFSET($E$3:$AL$3,$D34,0)</f>
        <v>#N/A</v>
      </c>
      <c r="G34" s="14" t="e">
        <f t="shared" ca="1" si="3"/>
        <v>#N/A</v>
      </c>
      <c r="H34" s="14" t="e">
        <f t="shared" ca="1" si="3"/>
        <v>#N/A</v>
      </c>
      <c r="I34" s="14" t="e">
        <f t="shared" ca="1" si="3"/>
        <v>#N/A</v>
      </c>
      <c r="J34" s="14" t="e">
        <f t="shared" ca="1" si="3"/>
        <v>#N/A</v>
      </c>
      <c r="K34" s="14" t="e">
        <f t="shared" ca="1" si="3"/>
        <v>#N/A</v>
      </c>
      <c r="L34" s="14" t="e">
        <f t="shared" ca="1" si="3"/>
        <v>#N/A</v>
      </c>
      <c r="M34" s="14" t="e">
        <f t="shared" ca="1" si="3"/>
        <v>#N/A</v>
      </c>
      <c r="N34" s="14" t="e">
        <f t="shared" ca="1" si="3"/>
        <v>#N/A</v>
      </c>
      <c r="O34" s="14" t="e">
        <f t="shared" ca="1" si="3"/>
        <v>#N/A</v>
      </c>
      <c r="P34" s="14" t="e">
        <f t="shared" ca="1" si="3"/>
        <v>#N/A</v>
      </c>
      <c r="Q34" s="14" t="e">
        <f t="shared" ca="1" si="3"/>
        <v>#N/A</v>
      </c>
      <c r="R34" s="14" t="e">
        <f t="shared" ca="1" si="3"/>
        <v>#N/A</v>
      </c>
      <c r="S34" s="14" t="e">
        <f t="shared" ca="1" si="3"/>
        <v>#N/A</v>
      </c>
      <c r="T34" s="14" t="e">
        <f t="shared" ca="1" si="3"/>
        <v>#N/A</v>
      </c>
      <c r="U34" s="14" t="e">
        <f t="shared" ca="1" si="3"/>
        <v>#N/A</v>
      </c>
      <c r="V34" s="14" t="e">
        <f t="shared" ca="1" si="3"/>
        <v>#N/A</v>
      </c>
      <c r="W34" s="14" t="e">
        <f t="shared" ca="1" si="3"/>
        <v>#N/A</v>
      </c>
      <c r="X34" s="14" t="e">
        <f t="shared" ca="1" si="3"/>
        <v>#N/A</v>
      </c>
      <c r="Y34" s="14" t="e">
        <f t="shared" ca="1" si="3"/>
        <v>#N/A</v>
      </c>
      <c r="Z34" s="14" t="e">
        <f t="shared" ca="1" si="3"/>
        <v>#N/A</v>
      </c>
      <c r="AA34" s="14" t="e">
        <f t="shared" ca="1" si="3"/>
        <v>#N/A</v>
      </c>
      <c r="AB34" s="14" t="e">
        <f t="shared" ca="1" si="3"/>
        <v>#N/A</v>
      </c>
      <c r="AC34" s="14" t="e">
        <f t="shared" ca="1" si="3"/>
        <v>#N/A</v>
      </c>
      <c r="AD34" s="14" t="e">
        <f t="shared" ca="1" si="3"/>
        <v>#N/A</v>
      </c>
      <c r="AE34" s="14" t="e">
        <f t="shared" ca="1" si="3"/>
        <v>#N/A</v>
      </c>
      <c r="AF34" s="14" t="e">
        <f t="shared" ca="1" si="3"/>
        <v>#N/A</v>
      </c>
      <c r="AG34" s="14" t="e">
        <f t="shared" ca="1" si="3"/>
        <v>#N/A</v>
      </c>
      <c r="AH34" s="14" t="e">
        <f t="shared" ca="1" si="3"/>
        <v>#N/A</v>
      </c>
      <c r="AI34" s="14" t="e">
        <f t="shared" ca="1" si="3"/>
        <v>#N/A</v>
      </c>
      <c r="AJ34" s="14" t="e">
        <f t="shared" ca="1" si="3"/>
        <v>#N/A</v>
      </c>
      <c r="AK34" s="14" t="e">
        <f t="shared" ca="1" si="3"/>
        <v>#N/A</v>
      </c>
      <c r="AL34" s="14" t="e">
        <f t="shared" ca="1" si="3"/>
        <v>#N/A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 t="e">
        <f t="shared" ref="D35:D37" si="4">MATCH(C35,$E$4:$E$33)</f>
        <v>#N/A</v>
      </c>
      <c r="E35" s="11" t="e">
        <f t="shared" ref="E35:E37" ca="1" si="5">OFFSET($E$3:$AL$3,$D35,0)</f>
        <v>#N/A</v>
      </c>
      <c r="F35" s="14" t="e">
        <f t="shared" ca="1" si="3"/>
        <v>#N/A</v>
      </c>
      <c r="G35" s="14" t="e">
        <f t="shared" ca="1" si="3"/>
        <v>#N/A</v>
      </c>
      <c r="H35" s="14" t="e">
        <f t="shared" ca="1" si="3"/>
        <v>#N/A</v>
      </c>
      <c r="I35" s="14" t="e">
        <f t="shared" ca="1" si="3"/>
        <v>#N/A</v>
      </c>
      <c r="J35" s="14" t="e">
        <f t="shared" ca="1" si="3"/>
        <v>#N/A</v>
      </c>
      <c r="K35" s="14" t="e">
        <f t="shared" ca="1" si="3"/>
        <v>#N/A</v>
      </c>
      <c r="L35" s="14" t="e">
        <f t="shared" ca="1" si="3"/>
        <v>#N/A</v>
      </c>
      <c r="M35" s="14" t="e">
        <f t="shared" ca="1" si="3"/>
        <v>#N/A</v>
      </c>
      <c r="N35" s="14" t="e">
        <f t="shared" ca="1" si="3"/>
        <v>#N/A</v>
      </c>
      <c r="O35" s="14" t="e">
        <f t="shared" ca="1" si="3"/>
        <v>#N/A</v>
      </c>
      <c r="P35" s="14" t="e">
        <f t="shared" ca="1" si="3"/>
        <v>#N/A</v>
      </c>
      <c r="Q35" s="14" t="e">
        <f t="shared" ca="1" si="3"/>
        <v>#N/A</v>
      </c>
      <c r="R35" s="14" t="e">
        <f t="shared" ca="1" si="3"/>
        <v>#N/A</v>
      </c>
      <c r="S35" s="14" t="e">
        <f t="shared" ca="1" si="3"/>
        <v>#N/A</v>
      </c>
      <c r="T35" s="14" t="e">
        <f t="shared" ca="1" si="3"/>
        <v>#N/A</v>
      </c>
      <c r="U35" s="14" t="e">
        <f t="shared" ca="1" si="3"/>
        <v>#N/A</v>
      </c>
      <c r="V35" s="14" t="e">
        <f t="shared" ca="1" si="3"/>
        <v>#N/A</v>
      </c>
      <c r="W35" s="14" t="e">
        <f t="shared" ca="1" si="3"/>
        <v>#N/A</v>
      </c>
      <c r="X35" s="14" t="e">
        <f t="shared" ca="1" si="3"/>
        <v>#N/A</v>
      </c>
      <c r="Y35" s="14" t="e">
        <f t="shared" ca="1" si="3"/>
        <v>#N/A</v>
      </c>
      <c r="Z35" s="14" t="e">
        <f t="shared" ca="1" si="3"/>
        <v>#N/A</v>
      </c>
      <c r="AA35" s="14" t="e">
        <f t="shared" ca="1" si="3"/>
        <v>#N/A</v>
      </c>
      <c r="AB35" s="14" t="e">
        <f t="shared" ca="1" si="3"/>
        <v>#N/A</v>
      </c>
      <c r="AC35" s="14" t="e">
        <f t="shared" ca="1" si="3"/>
        <v>#N/A</v>
      </c>
      <c r="AD35" s="14" t="e">
        <f t="shared" ca="1" si="3"/>
        <v>#N/A</v>
      </c>
      <c r="AE35" s="14" t="e">
        <f t="shared" ca="1" si="3"/>
        <v>#N/A</v>
      </c>
      <c r="AF35" s="14" t="e">
        <f t="shared" ca="1" si="3"/>
        <v>#N/A</v>
      </c>
      <c r="AG35" s="14" t="e">
        <f t="shared" ca="1" si="3"/>
        <v>#N/A</v>
      </c>
      <c r="AH35" s="14" t="e">
        <f t="shared" ca="1" si="3"/>
        <v>#N/A</v>
      </c>
      <c r="AI35" s="14" t="e">
        <f t="shared" ca="1" si="3"/>
        <v>#N/A</v>
      </c>
      <c r="AJ35" s="14" t="e">
        <f t="shared" ca="1" si="3"/>
        <v>#N/A</v>
      </c>
      <c r="AK35" s="14" t="e">
        <f t="shared" ca="1" si="3"/>
        <v>#N/A</v>
      </c>
      <c r="AL35" s="14" t="e">
        <f t="shared" ca="1" si="3"/>
        <v>#N/A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 t="e">
        <f t="shared" si="4"/>
        <v>#N/A</v>
      </c>
      <c r="E36" s="11" t="e">
        <f t="shared" ca="1" si="5"/>
        <v>#N/A</v>
      </c>
      <c r="F36" s="14" t="e">
        <f t="shared" ca="1" si="3"/>
        <v>#N/A</v>
      </c>
      <c r="G36" s="14" t="e">
        <f t="shared" ca="1" si="3"/>
        <v>#N/A</v>
      </c>
      <c r="H36" s="14" t="e">
        <f t="shared" ca="1" si="3"/>
        <v>#N/A</v>
      </c>
      <c r="I36" s="14" t="e">
        <f t="shared" ca="1" si="3"/>
        <v>#N/A</v>
      </c>
      <c r="J36" s="14" t="e">
        <f t="shared" ca="1" si="3"/>
        <v>#N/A</v>
      </c>
      <c r="K36" s="14" t="e">
        <f t="shared" ca="1" si="3"/>
        <v>#N/A</v>
      </c>
      <c r="L36" s="14" t="e">
        <f t="shared" ca="1" si="3"/>
        <v>#N/A</v>
      </c>
      <c r="M36" s="14" t="e">
        <f t="shared" ca="1" si="3"/>
        <v>#N/A</v>
      </c>
      <c r="N36" s="14" t="e">
        <f t="shared" ca="1" si="3"/>
        <v>#N/A</v>
      </c>
      <c r="O36" s="14" t="e">
        <f t="shared" ca="1" si="3"/>
        <v>#N/A</v>
      </c>
      <c r="P36" s="14" t="e">
        <f t="shared" ca="1" si="3"/>
        <v>#N/A</v>
      </c>
      <c r="Q36" s="14" t="e">
        <f t="shared" ca="1" si="3"/>
        <v>#N/A</v>
      </c>
      <c r="R36" s="14" t="e">
        <f t="shared" ca="1" si="3"/>
        <v>#N/A</v>
      </c>
      <c r="S36" s="14" t="e">
        <f t="shared" ca="1" si="3"/>
        <v>#N/A</v>
      </c>
      <c r="T36" s="14" t="e">
        <f t="shared" ca="1" si="3"/>
        <v>#N/A</v>
      </c>
      <c r="U36" s="14" t="e">
        <f t="shared" ca="1" si="3"/>
        <v>#N/A</v>
      </c>
      <c r="V36" s="14" t="e">
        <f t="shared" ca="1" si="3"/>
        <v>#N/A</v>
      </c>
      <c r="W36" s="14" t="e">
        <f t="shared" ca="1" si="3"/>
        <v>#N/A</v>
      </c>
      <c r="X36" s="14" t="e">
        <f t="shared" ca="1" si="3"/>
        <v>#N/A</v>
      </c>
      <c r="Y36" s="14" t="e">
        <f t="shared" ca="1" si="3"/>
        <v>#N/A</v>
      </c>
      <c r="Z36" s="14" t="e">
        <f t="shared" ca="1" si="3"/>
        <v>#N/A</v>
      </c>
      <c r="AA36" s="14" t="e">
        <f t="shared" ca="1" si="3"/>
        <v>#N/A</v>
      </c>
      <c r="AB36" s="14" t="e">
        <f t="shared" ca="1" si="3"/>
        <v>#N/A</v>
      </c>
      <c r="AC36" s="14" t="e">
        <f t="shared" ca="1" si="3"/>
        <v>#N/A</v>
      </c>
      <c r="AD36" s="14" t="e">
        <f t="shared" ca="1" si="3"/>
        <v>#N/A</v>
      </c>
      <c r="AE36" s="14" t="e">
        <f t="shared" ca="1" si="3"/>
        <v>#N/A</v>
      </c>
      <c r="AF36" s="14" t="e">
        <f t="shared" ca="1" si="3"/>
        <v>#N/A</v>
      </c>
      <c r="AG36" s="14" t="e">
        <f t="shared" ca="1" si="3"/>
        <v>#N/A</v>
      </c>
      <c r="AH36" s="14" t="e">
        <f t="shared" ca="1" si="3"/>
        <v>#N/A</v>
      </c>
      <c r="AI36" s="14" t="e">
        <f t="shared" ca="1" si="3"/>
        <v>#N/A</v>
      </c>
      <c r="AJ36" s="14" t="e">
        <f t="shared" ca="1" si="3"/>
        <v>#N/A</v>
      </c>
      <c r="AK36" s="14" t="e">
        <f t="shared" ca="1" si="3"/>
        <v>#N/A</v>
      </c>
      <c r="AL36" s="14" t="e">
        <f t="shared" ca="1" si="3"/>
        <v>#N/A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 t="e">
        <f t="shared" si="4"/>
        <v>#N/A</v>
      </c>
      <c r="E37" s="11" t="e">
        <f t="shared" ca="1" si="5"/>
        <v>#N/A</v>
      </c>
      <c r="F37" s="14" t="e">
        <f t="shared" ca="1" si="3"/>
        <v>#N/A</v>
      </c>
      <c r="G37" s="14" t="e">
        <f t="shared" ca="1" si="3"/>
        <v>#N/A</v>
      </c>
      <c r="H37" s="14" t="e">
        <f t="shared" ca="1" si="3"/>
        <v>#N/A</v>
      </c>
      <c r="I37" s="14" t="e">
        <f t="shared" ca="1" si="3"/>
        <v>#N/A</v>
      </c>
      <c r="J37" s="14" t="e">
        <f t="shared" ca="1" si="3"/>
        <v>#N/A</v>
      </c>
      <c r="K37" s="14" t="e">
        <f t="shared" ca="1" si="3"/>
        <v>#N/A</v>
      </c>
      <c r="L37" s="14" t="e">
        <f t="shared" ca="1" si="3"/>
        <v>#N/A</v>
      </c>
      <c r="M37" s="14" t="e">
        <f t="shared" ca="1" si="3"/>
        <v>#N/A</v>
      </c>
      <c r="N37" s="14" t="e">
        <f t="shared" ca="1" si="3"/>
        <v>#N/A</v>
      </c>
      <c r="O37" s="14" t="e">
        <f t="shared" ca="1" si="3"/>
        <v>#N/A</v>
      </c>
      <c r="P37" s="14" t="e">
        <f t="shared" ca="1" si="3"/>
        <v>#N/A</v>
      </c>
      <c r="Q37" s="14" t="e">
        <f t="shared" ca="1" si="3"/>
        <v>#N/A</v>
      </c>
      <c r="R37" s="14" t="e">
        <f t="shared" ca="1" si="3"/>
        <v>#N/A</v>
      </c>
      <c r="S37" s="14" t="e">
        <f t="shared" ca="1" si="3"/>
        <v>#N/A</v>
      </c>
      <c r="T37" s="14" t="e">
        <f t="shared" ca="1" si="3"/>
        <v>#N/A</v>
      </c>
      <c r="U37" s="14" t="e">
        <f t="shared" ca="1" si="3"/>
        <v>#N/A</v>
      </c>
      <c r="V37" s="14" t="e">
        <f t="shared" ca="1" si="3"/>
        <v>#N/A</v>
      </c>
      <c r="W37" s="14" t="e">
        <f t="shared" ca="1" si="3"/>
        <v>#N/A</v>
      </c>
      <c r="X37" s="14" t="e">
        <f t="shared" ca="1" si="3"/>
        <v>#N/A</v>
      </c>
      <c r="Y37" s="14" t="e">
        <f t="shared" ca="1" si="3"/>
        <v>#N/A</v>
      </c>
      <c r="Z37" s="14" t="e">
        <f t="shared" ca="1" si="3"/>
        <v>#N/A</v>
      </c>
      <c r="AA37" s="14" t="e">
        <f t="shared" ca="1" si="3"/>
        <v>#N/A</v>
      </c>
      <c r="AB37" s="14" t="e">
        <f t="shared" ca="1" si="3"/>
        <v>#N/A</v>
      </c>
      <c r="AC37" s="14" t="e">
        <f t="shared" ca="1" si="3"/>
        <v>#N/A</v>
      </c>
      <c r="AD37" s="14" t="e">
        <f t="shared" ca="1" si="3"/>
        <v>#N/A</v>
      </c>
      <c r="AE37" s="14" t="e">
        <f t="shared" ca="1" si="3"/>
        <v>#N/A</v>
      </c>
      <c r="AF37" s="14" t="e">
        <f t="shared" ca="1" si="3"/>
        <v>#N/A</v>
      </c>
      <c r="AG37" s="14" t="e">
        <f t="shared" ca="1" si="3"/>
        <v>#N/A</v>
      </c>
      <c r="AH37" s="14" t="e">
        <f t="shared" ca="1" si="3"/>
        <v>#N/A</v>
      </c>
      <c r="AI37" s="14" t="e">
        <f t="shared" ca="1" si="3"/>
        <v>#N/A</v>
      </c>
      <c r="AJ37" s="14" t="e">
        <f t="shared" ca="1" si="3"/>
        <v>#N/A</v>
      </c>
      <c r="AK37" s="14" t="e">
        <f t="shared" ca="1" si="3"/>
        <v>#N/A</v>
      </c>
      <c r="AL37" s="14" t="e">
        <f t="shared" ca="1" si="3"/>
        <v>#N/A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20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AL40" si="6">G3</f>
        <v>0</v>
      </c>
      <c r="H40" s="8">
        <f t="shared" si="6"/>
        <v>0</v>
      </c>
      <c r="I40" s="8">
        <f t="shared" si="6"/>
        <v>0</v>
      </c>
      <c r="J40" s="8">
        <f t="shared" si="6"/>
        <v>0</v>
      </c>
      <c r="K40" s="8">
        <f t="shared" si="6"/>
        <v>0</v>
      </c>
      <c r="L40" s="8">
        <f t="shared" si="6"/>
        <v>0</v>
      </c>
      <c r="M40" s="8">
        <f t="shared" si="6"/>
        <v>0</v>
      </c>
      <c r="N40" s="8">
        <f t="shared" si="6"/>
        <v>0</v>
      </c>
      <c r="O40" s="8">
        <f t="shared" si="6"/>
        <v>0</v>
      </c>
      <c r="P40" s="8">
        <f t="shared" si="6"/>
        <v>0</v>
      </c>
      <c r="Q40" s="8">
        <f t="shared" si="6"/>
        <v>0</v>
      </c>
      <c r="R40" s="8">
        <f t="shared" si="6"/>
        <v>0</v>
      </c>
      <c r="S40" s="8">
        <f t="shared" si="6"/>
        <v>0</v>
      </c>
      <c r="T40" s="8">
        <f t="shared" si="6"/>
        <v>0</v>
      </c>
      <c r="U40" s="8">
        <f t="shared" si="6"/>
        <v>0</v>
      </c>
      <c r="V40" s="8">
        <f t="shared" si="6"/>
        <v>0</v>
      </c>
      <c r="W40" s="8">
        <f t="shared" si="6"/>
        <v>0</v>
      </c>
      <c r="X40" s="8">
        <f t="shared" si="6"/>
        <v>0</v>
      </c>
      <c r="Y40" s="8">
        <f t="shared" si="6"/>
        <v>0</v>
      </c>
      <c r="Z40" s="8">
        <f t="shared" si="6"/>
        <v>0</v>
      </c>
      <c r="AA40" s="8">
        <f t="shared" si="6"/>
        <v>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AL41" ca="1" si="7">($B$41*H.Ge+$C$41*H.Ga+$D$41*H.Se)*F$40*$B$2/1000</f>
        <v>#DIV/0!</v>
      </c>
      <c r="G41" s="10" t="e">
        <f t="shared" ca="1" si="7"/>
        <v>#DIV/0!</v>
      </c>
      <c r="H41" s="10" t="e">
        <f t="shared" ca="1" si="7"/>
        <v>#DIV/0!</v>
      </c>
      <c r="I41" s="10" t="e">
        <f t="shared" ca="1" si="7"/>
        <v>#DIV/0!</v>
      </c>
      <c r="J41" s="10" t="e">
        <f t="shared" ca="1" si="7"/>
        <v>#DIV/0!</v>
      </c>
      <c r="K41" s="10" t="e">
        <f t="shared" ca="1" si="7"/>
        <v>#DIV/0!</v>
      </c>
      <c r="L41" s="10" t="e">
        <f t="shared" ca="1" si="7"/>
        <v>#DIV/0!</v>
      </c>
      <c r="M41" s="10" t="e">
        <f t="shared" ca="1" si="7"/>
        <v>#DIV/0!</v>
      </c>
      <c r="N41" s="10" t="e">
        <f t="shared" ca="1" si="7"/>
        <v>#DIV/0!</v>
      </c>
      <c r="O41" s="10" t="e">
        <f t="shared" ca="1" si="7"/>
        <v>#DIV/0!</v>
      </c>
      <c r="P41" s="10" t="e">
        <f t="shared" ca="1" si="7"/>
        <v>#DIV/0!</v>
      </c>
      <c r="Q41" s="10" t="e">
        <f t="shared" ca="1" si="7"/>
        <v>#DIV/0!</v>
      </c>
      <c r="R41" s="10" t="e">
        <f t="shared" ca="1" si="7"/>
        <v>#DIV/0!</v>
      </c>
      <c r="S41" s="10" t="e">
        <f t="shared" ca="1" si="7"/>
        <v>#DIV/0!</v>
      </c>
      <c r="T41" s="10" t="e">
        <f t="shared" ca="1" si="7"/>
        <v>#DIV/0!</v>
      </c>
      <c r="U41" s="10" t="e">
        <f t="shared" ca="1" si="7"/>
        <v>#DIV/0!</v>
      </c>
      <c r="V41" s="10" t="e">
        <f t="shared" ca="1" si="7"/>
        <v>#DIV/0!</v>
      </c>
      <c r="W41" s="10" t="e">
        <f t="shared" ca="1" si="7"/>
        <v>#DIV/0!</v>
      </c>
      <c r="X41" s="10" t="e">
        <f t="shared" ca="1" si="7"/>
        <v>#DIV/0!</v>
      </c>
      <c r="Y41" s="10" t="e">
        <f t="shared" ca="1" si="7"/>
        <v>#DIV/0!</v>
      </c>
      <c r="Z41" s="10" t="e">
        <f t="shared" ca="1" si="7"/>
        <v>#DIV/0!</v>
      </c>
      <c r="AA41" s="10" t="e">
        <f t="shared" ca="1" si="7"/>
        <v>#DIV/0!</v>
      </c>
      <c r="AB41" s="10" t="e">
        <f t="shared" ca="1" si="7"/>
        <v>#DIV/0!</v>
      </c>
      <c r="AC41" s="10" t="e">
        <f t="shared" ca="1" si="7"/>
        <v>#DIV/0!</v>
      </c>
      <c r="AD41" s="10" t="e">
        <f t="shared" ca="1" si="7"/>
        <v>#DIV/0!</v>
      </c>
      <c r="AE41" s="10" t="e">
        <f t="shared" ca="1" si="7"/>
        <v>#DIV/0!</v>
      </c>
      <c r="AF41" s="10" t="e">
        <f t="shared" ca="1" si="7"/>
        <v>#DIV/0!</v>
      </c>
      <c r="AG41" s="10" t="e">
        <f t="shared" ca="1" si="7"/>
        <v>#DIV/0!</v>
      </c>
      <c r="AH41" s="10" t="e">
        <f t="shared" ca="1" si="7"/>
        <v>#DIV/0!</v>
      </c>
      <c r="AI41" s="10" t="e">
        <f t="shared" ca="1" si="7"/>
        <v>#DIV/0!</v>
      </c>
      <c r="AJ41" s="10" t="e">
        <f t="shared" ca="1" si="7"/>
        <v>#DIV/0!</v>
      </c>
      <c r="AK41" s="10" t="e">
        <f t="shared" ca="1" si="7"/>
        <v>#DIV/0!</v>
      </c>
      <c r="AL41" s="10" t="e">
        <f t="shared" ca="1" si="7"/>
        <v>#DIV/0!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x14ac:dyDescent="0.4">
      <c r="A44" s="75"/>
      <c r="B44" s="75"/>
      <c r="C44" s="75"/>
      <c r="D44" s="75"/>
      <c r="E44" s="74" t="s">
        <v>21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8">E3</f>
        <v>0</v>
      </c>
      <c r="F45" s="3">
        <f t="shared" si="8"/>
        <v>0</v>
      </c>
      <c r="G45" s="3">
        <f t="shared" si="8"/>
        <v>0</v>
      </c>
      <c r="H45" s="3">
        <f t="shared" si="8"/>
        <v>0</v>
      </c>
      <c r="I45" s="3">
        <f t="shared" si="8"/>
        <v>0</v>
      </c>
      <c r="J45" s="3">
        <f t="shared" si="8"/>
        <v>0</v>
      </c>
      <c r="K45" s="3">
        <f t="shared" si="8"/>
        <v>0</v>
      </c>
      <c r="L45" s="3">
        <f t="shared" si="8"/>
        <v>0</v>
      </c>
      <c r="M45" s="3">
        <f t="shared" si="8"/>
        <v>0</v>
      </c>
      <c r="N45" s="3">
        <f t="shared" si="8"/>
        <v>0</v>
      </c>
      <c r="O45" s="3">
        <f t="shared" si="8"/>
        <v>0</v>
      </c>
      <c r="P45" s="3">
        <f t="shared" si="8"/>
        <v>0</v>
      </c>
      <c r="Q45" s="3">
        <f t="shared" si="8"/>
        <v>0</v>
      </c>
      <c r="R45" s="3">
        <f t="shared" si="8"/>
        <v>0</v>
      </c>
      <c r="S45" s="3">
        <f t="shared" si="8"/>
        <v>0</v>
      </c>
      <c r="T45" s="3">
        <f t="shared" si="8"/>
        <v>0</v>
      </c>
      <c r="U45" s="3">
        <f t="shared" si="8"/>
        <v>0</v>
      </c>
      <c r="V45" s="3">
        <f t="shared" si="8"/>
        <v>0</v>
      </c>
      <c r="W45" s="3">
        <f t="shared" si="8"/>
        <v>0</v>
      </c>
      <c r="X45" s="3">
        <f t="shared" si="8"/>
        <v>0</v>
      </c>
      <c r="Y45" s="3">
        <f t="shared" si="8"/>
        <v>0</v>
      </c>
      <c r="Z45" s="3">
        <f t="shared" si="8"/>
        <v>0</v>
      </c>
      <c r="AA45" s="3">
        <f t="shared" si="8"/>
        <v>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hidden="1" customHeight="1" outlineLevel="1" thickTop="1" thickBot="1" x14ac:dyDescent="0.4">
      <c r="A46" s="5">
        <f t="shared" ref="A46:E55" si="9">A4</f>
        <v>0</v>
      </c>
      <c r="B46" s="5">
        <f t="shared" si="9"/>
        <v>0</v>
      </c>
      <c r="C46" s="5">
        <f t="shared" si="9"/>
        <v>0</v>
      </c>
      <c r="D46" s="5">
        <f t="shared" si="9"/>
        <v>0</v>
      </c>
      <c r="E46" s="6">
        <f t="shared" si="9"/>
        <v>0</v>
      </c>
      <c r="F46" s="14" t="e">
        <f t="shared" ref="F46:U55" ca="1" si="10">$A46*H.Ar + $B46*H.Se + $C46*H.Ge + $D46*H.Ga</f>
        <v>#N/A</v>
      </c>
      <c r="G46" s="14" t="e">
        <f t="shared" ca="1" si="10"/>
        <v>#N/A</v>
      </c>
      <c r="H46" s="14" t="e">
        <f t="shared" ca="1" si="10"/>
        <v>#N/A</v>
      </c>
      <c r="I46" s="14" t="e">
        <f t="shared" ca="1" si="10"/>
        <v>#N/A</v>
      </c>
      <c r="J46" s="14" t="e">
        <f t="shared" ca="1" si="10"/>
        <v>#N/A</v>
      </c>
      <c r="K46" s="14" t="e">
        <f t="shared" ca="1" si="10"/>
        <v>#N/A</v>
      </c>
      <c r="L46" s="14" t="e">
        <f t="shared" ca="1" si="10"/>
        <v>#N/A</v>
      </c>
      <c r="M46" s="14" t="e">
        <f t="shared" ca="1" si="10"/>
        <v>#N/A</v>
      </c>
      <c r="N46" s="14" t="e">
        <f t="shared" ca="1" si="10"/>
        <v>#N/A</v>
      </c>
      <c r="O46" s="14" t="e">
        <f t="shared" ca="1" si="10"/>
        <v>#N/A</v>
      </c>
      <c r="P46" s="14" t="e">
        <f t="shared" ca="1" si="10"/>
        <v>#N/A</v>
      </c>
      <c r="Q46" s="14" t="e">
        <f t="shared" ca="1" si="10"/>
        <v>#N/A</v>
      </c>
      <c r="R46" s="14" t="e">
        <f t="shared" ca="1" si="10"/>
        <v>#N/A</v>
      </c>
      <c r="S46" s="14" t="e">
        <f t="shared" ca="1" si="10"/>
        <v>#N/A</v>
      </c>
      <c r="T46" s="14" t="e">
        <f t="shared" ca="1" si="10"/>
        <v>#N/A</v>
      </c>
      <c r="U46" s="14" t="e">
        <f t="shared" ca="1" si="10"/>
        <v>#N/A</v>
      </c>
      <c r="V46" s="14" t="e">
        <f t="shared" ref="V46:AL46" ca="1" si="11">$A46*H.Ar + $B46*H.Se + $C46*H.Ge + $D46*H.Ga</f>
        <v>#N/A</v>
      </c>
      <c r="W46" s="14" t="e">
        <f t="shared" ca="1" si="11"/>
        <v>#N/A</v>
      </c>
      <c r="X46" s="14" t="e">
        <f t="shared" ca="1" si="11"/>
        <v>#N/A</v>
      </c>
      <c r="Y46" s="14" t="e">
        <f t="shared" ca="1" si="11"/>
        <v>#N/A</v>
      </c>
      <c r="Z46" s="14" t="e">
        <f t="shared" ca="1" si="11"/>
        <v>#N/A</v>
      </c>
      <c r="AA46" s="14" t="e">
        <f t="shared" ca="1" si="11"/>
        <v>#N/A</v>
      </c>
      <c r="AB46" s="14" t="e">
        <f t="shared" ca="1" si="11"/>
        <v>#N/A</v>
      </c>
      <c r="AC46" s="14" t="e">
        <f t="shared" ca="1" si="11"/>
        <v>#N/A</v>
      </c>
      <c r="AD46" s="14" t="e">
        <f t="shared" ca="1" si="11"/>
        <v>#N/A</v>
      </c>
      <c r="AE46" s="14" t="e">
        <f t="shared" ca="1" si="11"/>
        <v>#N/A</v>
      </c>
      <c r="AF46" s="14" t="e">
        <f t="shared" ca="1" si="11"/>
        <v>#N/A</v>
      </c>
      <c r="AG46" s="14" t="e">
        <f t="shared" ca="1" si="11"/>
        <v>#N/A</v>
      </c>
      <c r="AH46" s="14" t="e">
        <f t="shared" ca="1" si="11"/>
        <v>#N/A</v>
      </c>
      <c r="AI46" s="14" t="e">
        <f t="shared" ca="1" si="11"/>
        <v>#N/A</v>
      </c>
      <c r="AJ46" s="14" t="e">
        <f t="shared" ca="1" si="11"/>
        <v>#N/A</v>
      </c>
      <c r="AK46" s="14" t="e">
        <f t="shared" ca="1" si="11"/>
        <v>#N/A</v>
      </c>
      <c r="AL46" s="14" t="e">
        <f t="shared" ca="1" si="11"/>
        <v>#N/A</v>
      </c>
    </row>
    <row r="47" spans="1:54" ht="21" hidden="1" customHeight="1" outlineLevel="1" thickBot="1" x14ac:dyDescent="0.4">
      <c r="A47" s="5">
        <f t="shared" si="9"/>
        <v>0</v>
      </c>
      <c r="B47" s="5">
        <f t="shared" si="9"/>
        <v>0</v>
      </c>
      <c r="C47" s="5">
        <f t="shared" si="9"/>
        <v>0</v>
      </c>
      <c r="D47" s="5">
        <f t="shared" si="9"/>
        <v>0</v>
      </c>
      <c r="E47" s="6">
        <f t="shared" si="9"/>
        <v>0</v>
      </c>
      <c r="F47" s="14" t="e">
        <f t="shared" ca="1" si="10"/>
        <v>#N/A</v>
      </c>
      <c r="G47" s="14" t="e">
        <f t="shared" ref="G47:AL54" ca="1" si="12">$A47*H.Ar + $B47*H.Se + $C47*H.Ge + $D47*H.Ga</f>
        <v>#N/A</v>
      </c>
      <c r="H47" s="14" t="e">
        <f t="shared" ca="1" si="12"/>
        <v>#N/A</v>
      </c>
      <c r="I47" s="14" t="e">
        <f t="shared" ca="1" si="12"/>
        <v>#N/A</v>
      </c>
      <c r="J47" s="14" t="e">
        <f t="shared" ca="1" si="12"/>
        <v>#N/A</v>
      </c>
      <c r="K47" s="14" t="e">
        <f t="shared" ca="1" si="12"/>
        <v>#N/A</v>
      </c>
      <c r="L47" s="14" t="e">
        <f t="shared" ca="1" si="12"/>
        <v>#N/A</v>
      </c>
      <c r="M47" s="14" t="e">
        <f t="shared" ca="1" si="12"/>
        <v>#N/A</v>
      </c>
      <c r="N47" s="14" t="e">
        <f t="shared" ca="1" si="12"/>
        <v>#N/A</v>
      </c>
      <c r="O47" s="14" t="e">
        <f t="shared" ca="1" si="12"/>
        <v>#N/A</v>
      </c>
      <c r="P47" s="14" t="e">
        <f t="shared" ca="1" si="12"/>
        <v>#N/A</v>
      </c>
      <c r="Q47" s="14" t="e">
        <f t="shared" ca="1" si="12"/>
        <v>#N/A</v>
      </c>
      <c r="R47" s="14" t="e">
        <f t="shared" ca="1" si="12"/>
        <v>#N/A</v>
      </c>
      <c r="S47" s="14" t="e">
        <f t="shared" ca="1" si="12"/>
        <v>#N/A</v>
      </c>
      <c r="T47" s="14" t="e">
        <f t="shared" ca="1" si="12"/>
        <v>#N/A</v>
      </c>
      <c r="U47" s="14" t="e">
        <f t="shared" ca="1" si="12"/>
        <v>#N/A</v>
      </c>
      <c r="V47" s="14" t="e">
        <f t="shared" ca="1" si="12"/>
        <v>#N/A</v>
      </c>
      <c r="W47" s="14" t="e">
        <f t="shared" ca="1" si="12"/>
        <v>#N/A</v>
      </c>
      <c r="X47" s="14" t="e">
        <f t="shared" ca="1" si="12"/>
        <v>#N/A</v>
      </c>
      <c r="Y47" s="14" t="e">
        <f t="shared" ca="1" si="12"/>
        <v>#N/A</v>
      </c>
      <c r="Z47" s="14" t="e">
        <f t="shared" ca="1" si="12"/>
        <v>#N/A</v>
      </c>
      <c r="AA47" s="14" t="e">
        <f t="shared" ca="1" si="12"/>
        <v>#N/A</v>
      </c>
      <c r="AB47" s="14" t="e">
        <f t="shared" ca="1" si="12"/>
        <v>#N/A</v>
      </c>
      <c r="AC47" s="14" t="e">
        <f t="shared" ca="1" si="12"/>
        <v>#N/A</v>
      </c>
      <c r="AD47" s="14" t="e">
        <f t="shared" ca="1" si="12"/>
        <v>#N/A</v>
      </c>
      <c r="AE47" s="14" t="e">
        <f t="shared" ca="1" si="12"/>
        <v>#N/A</v>
      </c>
      <c r="AF47" s="14" t="e">
        <f t="shared" ca="1" si="12"/>
        <v>#N/A</v>
      </c>
      <c r="AG47" s="14" t="e">
        <f t="shared" ca="1" si="12"/>
        <v>#N/A</v>
      </c>
      <c r="AH47" s="14" t="e">
        <f t="shared" ca="1" si="12"/>
        <v>#N/A</v>
      </c>
      <c r="AI47" s="14" t="e">
        <f t="shared" ca="1" si="12"/>
        <v>#N/A</v>
      </c>
      <c r="AJ47" s="14" t="e">
        <f t="shared" ca="1" si="12"/>
        <v>#N/A</v>
      </c>
      <c r="AK47" s="14" t="e">
        <f t="shared" ca="1" si="12"/>
        <v>#N/A</v>
      </c>
      <c r="AL47" s="14" t="e">
        <f t="shared" ca="1" si="12"/>
        <v>#N/A</v>
      </c>
    </row>
    <row r="48" spans="1:54" ht="21" hidden="1" customHeight="1" outlineLevel="1" thickBot="1" x14ac:dyDescent="0.4">
      <c r="A48" s="5">
        <f t="shared" si="9"/>
        <v>0</v>
      </c>
      <c r="B48" s="5">
        <f t="shared" si="9"/>
        <v>0</v>
      </c>
      <c r="C48" s="5">
        <f t="shared" si="9"/>
        <v>0</v>
      </c>
      <c r="D48" s="5">
        <f t="shared" si="9"/>
        <v>0</v>
      </c>
      <c r="E48" s="6">
        <f t="shared" si="9"/>
        <v>0</v>
      </c>
      <c r="F48" s="14" t="e">
        <f t="shared" ca="1" si="10"/>
        <v>#N/A</v>
      </c>
      <c r="G48" s="14" t="e">
        <f t="shared" ca="1" si="12"/>
        <v>#N/A</v>
      </c>
      <c r="H48" s="14" t="e">
        <f t="shared" ca="1" si="12"/>
        <v>#N/A</v>
      </c>
      <c r="I48" s="14" t="e">
        <f t="shared" ca="1" si="12"/>
        <v>#N/A</v>
      </c>
      <c r="J48" s="14" t="e">
        <f t="shared" ca="1" si="12"/>
        <v>#N/A</v>
      </c>
      <c r="K48" s="14" t="e">
        <f t="shared" ca="1" si="12"/>
        <v>#N/A</v>
      </c>
      <c r="L48" s="14" t="e">
        <f t="shared" ca="1" si="12"/>
        <v>#N/A</v>
      </c>
      <c r="M48" s="14" t="e">
        <f t="shared" ca="1" si="12"/>
        <v>#N/A</v>
      </c>
      <c r="N48" s="14" t="e">
        <f t="shared" ca="1" si="12"/>
        <v>#N/A</v>
      </c>
      <c r="O48" s="14" t="e">
        <f t="shared" ca="1" si="12"/>
        <v>#N/A</v>
      </c>
      <c r="P48" s="14" t="e">
        <f t="shared" ca="1" si="12"/>
        <v>#N/A</v>
      </c>
      <c r="Q48" s="14" t="e">
        <f t="shared" ca="1" si="12"/>
        <v>#N/A</v>
      </c>
      <c r="R48" s="14" t="e">
        <f t="shared" ca="1" si="12"/>
        <v>#N/A</v>
      </c>
      <c r="S48" s="14" t="e">
        <f t="shared" ca="1" si="12"/>
        <v>#N/A</v>
      </c>
      <c r="T48" s="14" t="e">
        <f t="shared" ca="1" si="12"/>
        <v>#N/A</v>
      </c>
      <c r="U48" s="14" t="e">
        <f t="shared" ca="1" si="12"/>
        <v>#N/A</v>
      </c>
      <c r="V48" s="14" t="e">
        <f t="shared" ca="1" si="12"/>
        <v>#N/A</v>
      </c>
      <c r="W48" s="14" t="e">
        <f t="shared" ca="1" si="12"/>
        <v>#N/A</v>
      </c>
      <c r="X48" s="14" t="e">
        <f t="shared" ca="1" si="12"/>
        <v>#N/A</v>
      </c>
      <c r="Y48" s="14" t="e">
        <f t="shared" ca="1" si="12"/>
        <v>#N/A</v>
      </c>
      <c r="Z48" s="14" t="e">
        <f t="shared" ca="1" si="12"/>
        <v>#N/A</v>
      </c>
      <c r="AA48" s="14" t="e">
        <f t="shared" ca="1" si="12"/>
        <v>#N/A</v>
      </c>
      <c r="AB48" s="14" t="e">
        <f t="shared" ca="1" si="12"/>
        <v>#N/A</v>
      </c>
      <c r="AC48" s="14" t="e">
        <f t="shared" ca="1" si="12"/>
        <v>#N/A</v>
      </c>
      <c r="AD48" s="14" t="e">
        <f t="shared" ca="1" si="12"/>
        <v>#N/A</v>
      </c>
      <c r="AE48" s="14" t="e">
        <f t="shared" ca="1" si="12"/>
        <v>#N/A</v>
      </c>
      <c r="AF48" s="14" t="e">
        <f t="shared" ca="1" si="12"/>
        <v>#N/A</v>
      </c>
      <c r="AG48" s="14" t="e">
        <f t="shared" ca="1" si="12"/>
        <v>#N/A</v>
      </c>
      <c r="AH48" s="14" t="e">
        <f t="shared" ca="1" si="12"/>
        <v>#N/A</v>
      </c>
      <c r="AI48" s="14" t="e">
        <f t="shared" ca="1" si="12"/>
        <v>#N/A</v>
      </c>
      <c r="AJ48" s="14" t="e">
        <f t="shared" ca="1" si="12"/>
        <v>#N/A</v>
      </c>
      <c r="AK48" s="14" t="e">
        <f t="shared" ca="1" si="12"/>
        <v>#N/A</v>
      </c>
      <c r="AL48" s="14" t="e">
        <f t="shared" ca="1" si="12"/>
        <v>#N/A</v>
      </c>
    </row>
    <row r="49" spans="1:38" ht="21" hidden="1" customHeight="1" outlineLevel="1" thickBot="1" x14ac:dyDescent="0.4">
      <c r="A49" s="5">
        <f t="shared" si="9"/>
        <v>0</v>
      </c>
      <c r="B49" s="5">
        <f t="shared" si="9"/>
        <v>0</v>
      </c>
      <c r="C49" s="5">
        <f t="shared" si="9"/>
        <v>0</v>
      </c>
      <c r="D49" s="5">
        <f t="shared" si="9"/>
        <v>0</v>
      </c>
      <c r="E49" s="6">
        <f t="shared" si="9"/>
        <v>0</v>
      </c>
      <c r="F49" s="14" t="e">
        <f t="shared" ca="1" si="10"/>
        <v>#N/A</v>
      </c>
      <c r="G49" s="14" t="e">
        <f t="shared" ca="1" si="12"/>
        <v>#N/A</v>
      </c>
      <c r="H49" s="14" t="e">
        <f t="shared" ca="1" si="12"/>
        <v>#N/A</v>
      </c>
      <c r="I49" s="14" t="e">
        <f t="shared" ca="1" si="12"/>
        <v>#N/A</v>
      </c>
      <c r="J49" s="14" t="e">
        <f t="shared" ca="1" si="12"/>
        <v>#N/A</v>
      </c>
      <c r="K49" s="14" t="e">
        <f t="shared" ca="1" si="12"/>
        <v>#N/A</v>
      </c>
      <c r="L49" s="14" t="e">
        <f t="shared" ca="1" si="12"/>
        <v>#N/A</v>
      </c>
      <c r="M49" s="14" t="e">
        <f t="shared" ca="1" si="12"/>
        <v>#N/A</v>
      </c>
      <c r="N49" s="14" t="e">
        <f t="shared" ca="1" si="12"/>
        <v>#N/A</v>
      </c>
      <c r="O49" s="14" t="e">
        <f t="shared" ca="1" si="12"/>
        <v>#N/A</v>
      </c>
      <c r="P49" s="14" t="e">
        <f t="shared" ca="1" si="12"/>
        <v>#N/A</v>
      </c>
      <c r="Q49" s="14" t="e">
        <f t="shared" ca="1" si="12"/>
        <v>#N/A</v>
      </c>
      <c r="R49" s="14" t="e">
        <f t="shared" ca="1" si="12"/>
        <v>#N/A</v>
      </c>
      <c r="S49" s="14" t="e">
        <f t="shared" ca="1" si="12"/>
        <v>#N/A</v>
      </c>
      <c r="T49" s="14" t="e">
        <f t="shared" ca="1" si="12"/>
        <v>#N/A</v>
      </c>
      <c r="U49" s="14" t="e">
        <f t="shared" ca="1" si="12"/>
        <v>#N/A</v>
      </c>
      <c r="V49" s="14" t="e">
        <f t="shared" ca="1" si="12"/>
        <v>#N/A</v>
      </c>
      <c r="W49" s="14" t="e">
        <f t="shared" ca="1" si="12"/>
        <v>#N/A</v>
      </c>
      <c r="X49" s="14" t="e">
        <f t="shared" ca="1" si="12"/>
        <v>#N/A</v>
      </c>
      <c r="Y49" s="14" t="e">
        <f t="shared" ca="1" si="12"/>
        <v>#N/A</v>
      </c>
      <c r="Z49" s="14" t="e">
        <f t="shared" ca="1" si="12"/>
        <v>#N/A</v>
      </c>
      <c r="AA49" s="14" t="e">
        <f t="shared" ca="1" si="12"/>
        <v>#N/A</v>
      </c>
      <c r="AB49" s="14" t="e">
        <f t="shared" ca="1" si="12"/>
        <v>#N/A</v>
      </c>
      <c r="AC49" s="14" t="e">
        <f t="shared" ca="1" si="12"/>
        <v>#N/A</v>
      </c>
      <c r="AD49" s="14" t="e">
        <f t="shared" ca="1" si="12"/>
        <v>#N/A</v>
      </c>
      <c r="AE49" s="14" t="e">
        <f t="shared" ca="1" si="12"/>
        <v>#N/A</v>
      </c>
      <c r="AF49" s="14" t="e">
        <f t="shared" ca="1" si="12"/>
        <v>#N/A</v>
      </c>
      <c r="AG49" s="14" t="e">
        <f t="shared" ca="1" si="12"/>
        <v>#N/A</v>
      </c>
      <c r="AH49" s="14" t="e">
        <f t="shared" ca="1" si="12"/>
        <v>#N/A</v>
      </c>
      <c r="AI49" s="14" t="e">
        <f t="shared" ca="1" si="12"/>
        <v>#N/A</v>
      </c>
      <c r="AJ49" s="14" t="e">
        <f t="shared" ca="1" si="12"/>
        <v>#N/A</v>
      </c>
      <c r="AK49" s="14" t="e">
        <f t="shared" ca="1" si="12"/>
        <v>#N/A</v>
      </c>
      <c r="AL49" s="14" t="e">
        <f t="shared" ca="1" si="12"/>
        <v>#N/A</v>
      </c>
    </row>
    <row r="50" spans="1:38" ht="21" hidden="1" customHeight="1" outlineLevel="1" thickBot="1" x14ac:dyDescent="0.4">
      <c r="A50" s="5">
        <f t="shared" si="9"/>
        <v>0</v>
      </c>
      <c r="B50" s="5">
        <f t="shared" si="9"/>
        <v>0</v>
      </c>
      <c r="C50" s="5">
        <f t="shared" si="9"/>
        <v>0</v>
      </c>
      <c r="D50" s="5">
        <f t="shared" si="9"/>
        <v>0</v>
      </c>
      <c r="E50" s="6">
        <f t="shared" si="9"/>
        <v>0</v>
      </c>
      <c r="F50" s="14" t="e">
        <f t="shared" ca="1" si="10"/>
        <v>#N/A</v>
      </c>
      <c r="G50" s="14" t="e">
        <f t="shared" ca="1" si="12"/>
        <v>#N/A</v>
      </c>
      <c r="H50" s="14" t="e">
        <f t="shared" ca="1" si="12"/>
        <v>#N/A</v>
      </c>
      <c r="I50" s="14" t="e">
        <f t="shared" ca="1" si="12"/>
        <v>#N/A</v>
      </c>
      <c r="J50" s="14" t="e">
        <f t="shared" ca="1" si="12"/>
        <v>#N/A</v>
      </c>
      <c r="K50" s="14" t="e">
        <f t="shared" ca="1" si="12"/>
        <v>#N/A</v>
      </c>
      <c r="L50" s="14" t="e">
        <f t="shared" ca="1" si="12"/>
        <v>#N/A</v>
      </c>
      <c r="M50" s="14" t="e">
        <f t="shared" ca="1" si="12"/>
        <v>#N/A</v>
      </c>
      <c r="N50" s="14" t="e">
        <f t="shared" ca="1" si="12"/>
        <v>#N/A</v>
      </c>
      <c r="O50" s="14" t="e">
        <f t="shared" ca="1" si="12"/>
        <v>#N/A</v>
      </c>
      <c r="P50" s="14" t="e">
        <f t="shared" ca="1" si="12"/>
        <v>#N/A</v>
      </c>
      <c r="Q50" s="14" t="e">
        <f t="shared" ca="1" si="12"/>
        <v>#N/A</v>
      </c>
      <c r="R50" s="14" t="e">
        <f t="shared" ca="1" si="12"/>
        <v>#N/A</v>
      </c>
      <c r="S50" s="14" t="e">
        <f t="shared" ca="1" si="12"/>
        <v>#N/A</v>
      </c>
      <c r="T50" s="14" t="e">
        <f t="shared" ca="1" si="12"/>
        <v>#N/A</v>
      </c>
      <c r="U50" s="14" t="e">
        <f t="shared" ca="1" si="12"/>
        <v>#N/A</v>
      </c>
      <c r="V50" s="14" t="e">
        <f t="shared" ca="1" si="12"/>
        <v>#N/A</v>
      </c>
      <c r="W50" s="14" t="e">
        <f t="shared" ca="1" si="12"/>
        <v>#N/A</v>
      </c>
      <c r="X50" s="14" t="e">
        <f t="shared" ca="1" si="12"/>
        <v>#N/A</v>
      </c>
      <c r="Y50" s="14" t="e">
        <f t="shared" ca="1" si="12"/>
        <v>#N/A</v>
      </c>
      <c r="Z50" s="14" t="e">
        <f t="shared" ca="1" si="12"/>
        <v>#N/A</v>
      </c>
      <c r="AA50" s="14" t="e">
        <f t="shared" ca="1" si="12"/>
        <v>#N/A</v>
      </c>
      <c r="AB50" s="14" t="e">
        <f t="shared" ca="1" si="12"/>
        <v>#N/A</v>
      </c>
      <c r="AC50" s="14" t="e">
        <f t="shared" ca="1" si="12"/>
        <v>#N/A</v>
      </c>
      <c r="AD50" s="14" t="e">
        <f t="shared" ca="1" si="12"/>
        <v>#N/A</v>
      </c>
      <c r="AE50" s="14" t="e">
        <f t="shared" ca="1" si="12"/>
        <v>#N/A</v>
      </c>
      <c r="AF50" s="14" t="e">
        <f t="shared" ca="1" si="12"/>
        <v>#N/A</v>
      </c>
      <c r="AG50" s="14" t="e">
        <f t="shared" ca="1" si="12"/>
        <v>#N/A</v>
      </c>
      <c r="AH50" s="14" t="e">
        <f t="shared" ca="1" si="12"/>
        <v>#N/A</v>
      </c>
      <c r="AI50" s="14" t="e">
        <f t="shared" ca="1" si="12"/>
        <v>#N/A</v>
      </c>
      <c r="AJ50" s="14" t="e">
        <f t="shared" ca="1" si="12"/>
        <v>#N/A</v>
      </c>
      <c r="AK50" s="14" t="e">
        <f t="shared" ca="1" si="12"/>
        <v>#N/A</v>
      </c>
      <c r="AL50" s="14" t="e">
        <f t="shared" ca="1" si="12"/>
        <v>#N/A</v>
      </c>
    </row>
    <row r="51" spans="1:38" ht="21" hidden="1" customHeight="1" outlineLevel="1" thickBot="1" x14ac:dyDescent="0.4">
      <c r="A51" s="5">
        <f t="shared" si="9"/>
        <v>0</v>
      </c>
      <c r="B51" s="5">
        <f t="shared" si="9"/>
        <v>0</v>
      </c>
      <c r="C51" s="5">
        <f t="shared" si="9"/>
        <v>0</v>
      </c>
      <c r="D51" s="5">
        <f t="shared" si="9"/>
        <v>0</v>
      </c>
      <c r="E51" s="6">
        <f t="shared" si="9"/>
        <v>0</v>
      </c>
      <c r="F51" s="14" t="e">
        <f t="shared" ca="1" si="10"/>
        <v>#N/A</v>
      </c>
      <c r="G51" s="14" t="e">
        <f t="shared" ca="1" si="12"/>
        <v>#N/A</v>
      </c>
      <c r="H51" s="14" t="e">
        <f t="shared" ca="1" si="12"/>
        <v>#N/A</v>
      </c>
      <c r="I51" s="14" t="e">
        <f t="shared" ca="1" si="12"/>
        <v>#N/A</v>
      </c>
      <c r="J51" s="14" t="e">
        <f t="shared" ca="1" si="12"/>
        <v>#N/A</v>
      </c>
      <c r="K51" s="14" t="e">
        <f t="shared" ca="1" si="12"/>
        <v>#N/A</v>
      </c>
      <c r="L51" s="14" t="e">
        <f t="shared" ca="1" si="12"/>
        <v>#N/A</v>
      </c>
      <c r="M51" s="14" t="e">
        <f t="shared" ca="1" si="12"/>
        <v>#N/A</v>
      </c>
      <c r="N51" s="14" t="e">
        <f t="shared" ca="1" si="12"/>
        <v>#N/A</v>
      </c>
      <c r="O51" s="14" t="e">
        <f t="shared" ca="1" si="12"/>
        <v>#N/A</v>
      </c>
      <c r="P51" s="14" t="e">
        <f t="shared" ca="1" si="12"/>
        <v>#N/A</v>
      </c>
      <c r="Q51" s="14" t="e">
        <f t="shared" ca="1" si="12"/>
        <v>#N/A</v>
      </c>
      <c r="R51" s="14" t="e">
        <f t="shared" ca="1" si="12"/>
        <v>#N/A</v>
      </c>
      <c r="S51" s="14" t="e">
        <f t="shared" ca="1" si="12"/>
        <v>#N/A</v>
      </c>
      <c r="T51" s="14" t="e">
        <f t="shared" ca="1" si="12"/>
        <v>#N/A</v>
      </c>
      <c r="U51" s="14" t="e">
        <f t="shared" ca="1" si="12"/>
        <v>#N/A</v>
      </c>
      <c r="V51" s="14" t="e">
        <f t="shared" ca="1" si="12"/>
        <v>#N/A</v>
      </c>
      <c r="W51" s="14" t="e">
        <f t="shared" ca="1" si="12"/>
        <v>#N/A</v>
      </c>
      <c r="X51" s="14" t="e">
        <f t="shared" ca="1" si="12"/>
        <v>#N/A</v>
      </c>
      <c r="Y51" s="14" t="e">
        <f t="shared" ca="1" si="12"/>
        <v>#N/A</v>
      </c>
      <c r="Z51" s="14" t="e">
        <f t="shared" ca="1" si="12"/>
        <v>#N/A</v>
      </c>
      <c r="AA51" s="14" t="e">
        <f t="shared" ca="1" si="12"/>
        <v>#N/A</v>
      </c>
      <c r="AB51" s="14" t="e">
        <f t="shared" ca="1" si="12"/>
        <v>#N/A</v>
      </c>
      <c r="AC51" s="14" t="e">
        <f t="shared" ca="1" si="12"/>
        <v>#N/A</v>
      </c>
      <c r="AD51" s="14" t="e">
        <f t="shared" ca="1" si="12"/>
        <v>#N/A</v>
      </c>
      <c r="AE51" s="14" t="e">
        <f t="shared" ca="1" si="12"/>
        <v>#N/A</v>
      </c>
      <c r="AF51" s="14" t="e">
        <f t="shared" ca="1" si="12"/>
        <v>#N/A</v>
      </c>
      <c r="AG51" s="14" t="e">
        <f t="shared" ca="1" si="12"/>
        <v>#N/A</v>
      </c>
      <c r="AH51" s="14" t="e">
        <f t="shared" ca="1" si="12"/>
        <v>#N/A</v>
      </c>
      <c r="AI51" s="14" t="e">
        <f t="shared" ca="1" si="12"/>
        <v>#N/A</v>
      </c>
      <c r="AJ51" s="14" t="e">
        <f t="shared" ca="1" si="12"/>
        <v>#N/A</v>
      </c>
      <c r="AK51" s="14" t="e">
        <f t="shared" ca="1" si="12"/>
        <v>#N/A</v>
      </c>
      <c r="AL51" s="14" t="e">
        <f t="shared" ca="1" si="12"/>
        <v>#N/A</v>
      </c>
    </row>
    <row r="52" spans="1:38" ht="21" hidden="1" customHeight="1" outlineLevel="1" thickBot="1" x14ac:dyDescent="0.4">
      <c r="A52" s="5">
        <f t="shared" si="9"/>
        <v>0</v>
      </c>
      <c r="B52" s="5">
        <f t="shared" si="9"/>
        <v>0</v>
      </c>
      <c r="C52" s="5">
        <f t="shared" si="9"/>
        <v>0</v>
      </c>
      <c r="D52" s="5">
        <f t="shared" si="9"/>
        <v>0</v>
      </c>
      <c r="E52" s="6">
        <f t="shared" si="9"/>
        <v>0</v>
      </c>
      <c r="F52" s="14" t="e">
        <f t="shared" ca="1" si="10"/>
        <v>#N/A</v>
      </c>
      <c r="G52" s="14" t="e">
        <f t="shared" ca="1" si="12"/>
        <v>#N/A</v>
      </c>
      <c r="H52" s="14" t="e">
        <f t="shared" ca="1" si="12"/>
        <v>#N/A</v>
      </c>
      <c r="I52" s="14" t="e">
        <f t="shared" ca="1" si="12"/>
        <v>#N/A</v>
      </c>
      <c r="J52" s="14" t="e">
        <f t="shared" ca="1" si="12"/>
        <v>#N/A</v>
      </c>
      <c r="K52" s="14" t="e">
        <f t="shared" ca="1" si="12"/>
        <v>#N/A</v>
      </c>
      <c r="L52" s="14" t="e">
        <f t="shared" ca="1" si="12"/>
        <v>#N/A</v>
      </c>
      <c r="M52" s="14" t="e">
        <f t="shared" ca="1" si="12"/>
        <v>#N/A</v>
      </c>
      <c r="N52" s="14" t="e">
        <f t="shared" ca="1" si="12"/>
        <v>#N/A</v>
      </c>
      <c r="O52" s="14" t="e">
        <f t="shared" ca="1" si="12"/>
        <v>#N/A</v>
      </c>
      <c r="P52" s="14" t="e">
        <f t="shared" ca="1" si="12"/>
        <v>#N/A</v>
      </c>
      <c r="Q52" s="14" t="e">
        <f t="shared" ca="1" si="12"/>
        <v>#N/A</v>
      </c>
      <c r="R52" s="14" t="e">
        <f t="shared" ca="1" si="12"/>
        <v>#N/A</v>
      </c>
      <c r="S52" s="14" t="e">
        <f t="shared" ca="1" si="12"/>
        <v>#N/A</v>
      </c>
      <c r="T52" s="14" t="e">
        <f t="shared" ca="1" si="12"/>
        <v>#N/A</v>
      </c>
      <c r="U52" s="14" t="e">
        <f t="shared" ca="1" si="12"/>
        <v>#N/A</v>
      </c>
      <c r="V52" s="14" t="e">
        <f t="shared" ca="1" si="12"/>
        <v>#N/A</v>
      </c>
      <c r="W52" s="14" t="e">
        <f t="shared" ca="1" si="12"/>
        <v>#N/A</v>
      </c>
      <c r="X52" s="14" t="e">
        <f t="shared" ca="1" si="12"/>
        <v>#N/A</v>
      </c>
      <c r="Y52" s="14" t="e">
        <f t="shared" ca="1" si="12"/>
        <v>#N/A</v>
      </c>
      <c r="Z52" s="14" t="e">
        <f t="shared" ca="1" si="12"/>
        <v>#N/A</v>
      </c>
      <c r="AA52" s="14" t="e">
        <f t="shared" ca="1" si="12"/>
        <v>#N/A</v>
      </c>
      <c r="AB52" s="14" t="e">
        <f t="shared" ca="1" si="12"/>
        <v>#N/A</v>
      </c>
      <c r="AC52" s="14" t="e">
        <f t="shared" ca="1" si="12"/>
        <v>#N/A</v>
      </c>
      <c r="AD52" s="14" t="e">
        <f t="shared" ca="1" si="12"/>
        <v>#N/A</v>
      </c>
      <c r="AE52" s="14" t="e">
        <f t="shared" ca="1" si="12"/>
        <v>#N/A</v>
      </c>
      <c r="AF52" s="14" t="e">
        <f t="shared" ca="1" si="12"/>
        <v>#N/A</v>
      </c>
      <c r="AG52" s="14" t="e">
        <f t="shared" ca="1" si="12"/>
        <v>#N/A</v>
      </c>
      <c r="AH52" s="14" t="e">
        <f t="shared" ca="1" si="12"/>
        <v>#N/A</v>
      </c>
      <c r="AI52" s="14" t="e">
        <f t="shared" ca="1" si="12"/>
        <v>#N/A</v>
      </c>
      <c r="AJ52" s="14" t="e">
        <f t="shared" ca="1" si="12"/>
        <v>#N/A</v>
      </c>
      <c r="AK52" s="14" t="e">
        <f t="shared" ca="1" si="12"/>
        <v>#N/A</v>
      </c>
      <c r="AL52" s="14" t="e">
        <f t="shared" ca="1" si="12"/>
        <v>#N/A</v>
      </c>
    </row>
    <row r="53" spans="1:38" ht="21" hidden="1" customHeight="1" outlineLevel="1" thickBot="1" x14ac:dyDescent="0.4">
      <c r="A53" s="5">
        <f t="shared" si="9"/>
        <v>0</v>
      </c>
      <c r="B53" s="5">
        <f t="shared" si="9"/>
        <v>0</v>
      </c>
      <c r="C53" s="5">
        <f t="shared" si="9"/>
        <v>0</v>
      </c>
      <c r="D53" s="5">
        <f t="shared" si="9"/>
        <v>0</v>
      </c>
      <c r="E53" s="6">
        <f t="shared" si="9"/>
        <v>0</v>
      </c>
      <c r="F53" s="14" t="e">
        <f t="shared" ca="1" si="10"/>
        <v>#N/A</v>
      </c>
      <c r="G53" s="14" t="e">
        <f t="shared" ca="1" si="12"/>
        <v>#N/A</v>
      </c>
      <c r="H53" s="14" t="e">
        <f t="shared" ca="1" si="12"/>
        <v>#N/A</v>
      </c>
      <c r="I53" s="14" t="e">
        <f t="shared" ca="1" si="12"/>
        <v>#N/A</v>
      </c>
      <c r="J53" s="14" t="e">
        <f t="shared" ca="1" si="12"/>
        <v>#N/A</v>
      </c>
      <c r="K53" s="14" t="e">
        <f t="shared" ca="1" si="12"/>
        <v>#N/A</v>
      </c>
      <c r="L53" s="14" t="e">
        <f t="shared" ca="1" si="12"/>
        <v>#N/A</v>
      </c>
      <c r="M53" s="14" t="e">
        <f t="shared" ca="1" si="12"/>
        <v>#N/A</v>
      </c>
      <c r="N53" s="14" t="e">
        <f t="shared" ca="1" si="12"/>
        <v>#N/A</v>
      </c>
      <c r="O53" s="14" t="e">
        <f t="shared" ca="1" si="12"/>
        <v>#N/A</v>
      </c>
      <c r="P53" s="14" t="e">
        <f t="shared" ca="1" si="12"/>
        <v>#N/A</v>
      </c>
      <c r="Q53" s="14" t="e">
        <f t="shared" ca="1" si="12"/>
        <v>#N/A</v>
      </c>
      <c r="R53" s="14" t="e">
        <f t="shared" ca="1" si="12"/>
        <v>#N/A</v>
      </c>
      <c r="S53" s="14" t="e">
        <f t="shared" ca="1" si="12"/>
        <v>#N/A</v>
      </c>
      <c r="T53" s="14" t="e">
        <f t="shared" ca="1" si="12"/>
        <v>#N/A</v>
      </c>
      <c r="U53" s="14" t="e">
        <f t="shared" ca="1" si="12"/>
        <v>#N/A</v>
      </c>
      <c r="V53" s="14" t="e">
        <f t="shared" ca="1" si="12"/>
        <v>#N/A</v>
      </c>
      <c r="W53" s="14" t="e">
        <f t="shared" ca="1" si="12"/>
        <v>#N/A</v>
      </c>
      <c r="X53" s="14" t="e">
        <f t="shared" ca="1" si="12"/>
        <v>#N/A</v>
      </c>
      <c r="Y53" s="14" t="e">
        <f t="shared" ca="1" si="12"/>
        <v>#N/A</v>
      </c>
      <c r="Z53" s="14" t="e">
        <f t="shared" ca="1" si="12"/>
        <v>#N/A</v>
      </c>
      <c r="AA53" s="14" t="e">
        <f t="shared" ca="1" si="12"/>
        <v>#N/A</v>
      </c>
      <c r="AB53" s="14" t="e">
        <f t="shared" ca="1" si="12"/>
        <v>#N/A</v>
      </c>
      <c r="AC53" s="14" t="e">
        <f t="shared" ca="1" si="12"/>
        <v>#N/A</v>
      </c>
      <c r="AD53" s="14" t="e">
        <f t="shared" ca="1" si="12"/>
        <v>#N/A</v>
      </c>
      <c r="AE53" s="14" t="e">
        <f t="shared" ca="1" si="12"/>
        <v>#N/A</v>
      </c>
      <c r="AF53" s="14" t="e">
        <f t="shared" ca="1" si="12"/>
        <v>#N/A</v>
      </c>
      <c r="AG53" s="14" t="e">
        <f t="shared" ca="1" si="12"/>
        <v>#N/A</v>
      </c>
      <c r="AH53" s="14" t="e">
        <f t="shared" ca="1" si="12"/>
        <v>#N/A</v>
      </c>
      <c r="AI53" s="14" t="e">
        <f t="shared" ca="1" si="12"/>
        <v>#N/A</v>
      </c>
      <c r="AJ53" s="14" t="e">
        <f t="shared" ca="1" si="12"/>
        <v>#N/A</v>
      </c>
      <c r="AK53" s="14" t="e">
        <f t="shared" ca="1" si="12"/>
        <v>#N/A</v>
      </c>
      <c r="AL53" s="14" t="e">
        <f t="shared" ca="1" si="12"/>
        <v>#N/A</v>
      </c>
    </row>
    <row r="54" spans="1:38" ht="21" hidden="1" customHeight="1" outlineLevel="1" thickBot="1" x14ac:dyDescent="0.4">
      <c r="A54" s="5">
        <f t="shared" si="9"/>
        <v>0</v>
      </c>
      <c r="B54" s="5">
        <f t="shared" si="9"/>
        <v>0</v>
      </c>
      <c r="C54" s="5">
        <f t="shared" si="9"/>
        <v>0</v>
      </c>
      <c r="D54" s="5">
        <f t="shared" si="9"/>
        <v>0</v>
      </c>
      <c r="E54" s="6">
        <f t="shared" si="9"/>
        <v>0</v>
      </c>
      <c r="F54" s="14" t="e">
        <f t="shared" ca="1" si="10"/>
        <v>#N/A</v>
      </c>
      <c r="G54" s="14" t="e">
        <f t="shared" ca="1" si="12"/>
        <v>#N/A</v>
      </c>
      <c r="H54" s="14" t="e">
        <f t="shared" ca="1" si="12"/>
        <v>#N/A</v>
      </c>
      <c r="I54" s="14" t="e">
        <f t="shared" ca="1" si="12"/>
        <v>#N/A</v>
      </c>
      <c r="J54" s="14" t="e">
        <f t="shared" ca="1" si="12"/>
        <v>#N/A</v>
      </c>
      <c r="K54" s="14" t="e">
        <f t="shared" ca="1" si="12"/>
        <v>#N/A</v>
      </c>
      <c r="L54" s="14" t="e">
        <f t="shared" ca="1" si="12"/>
        <v>#N/A</v>
      </c>
      <c r="M54" s="14" t="e">
        <f t="shared" ca="1" si="12"/>
        <v>#N/A</v>
      </c>
      <c r="N54" s="14" t="e">
        <f t="shared" ca="1" si="12"/>
        <v>#N/A</v>
      </c>
      <c r="O54" s="14" t="e">
        <f t="shared" ca="1" si="12"/>
        <v>#N/A</v>
      </c>
      <c r="P54" s="14" t="e">
        <f t="shared" ca="1" si="12"/>
        <v>#N/A</v>
      </c>
      <c r="Q54" s="14" t="e">
        <f t="shared" ca="1" si="12"/>
        <v>#N/A</v>
      </c>
      <c r="R54" s="14" t="e">
        <f t="shared" ca="1" si="12"/>
        <v>#N/A</v>
      </c>
      <c r="S54" s="14" t="e">
        <f t="shared" ca="1" si="12"/>
        <v>#N/A</v>
      </c>
      <c r="T54" s="14" t="e">
        <f t="shared" ca="1" si="12"/>
        <v>#N/A</v>
      </c>
      <c r="U54" s="14" t="e">
        <f t="shared" ref="U54:AL54" ca="1" si="13">$A54*H.Ar + $B54*H.Se + $C54*H.Ge + $D54*H.Ga</f>
        <v>#N/A</v>
      </c>
      <c r="V54" s="14" t="e">
        <f t="shared" ca="1" si="13"/>
        <v>#N/A</v>
      </c>
      <c r="W54" s="14" t="e">
        <f t="shared" ca="1" si="13"/>
        <v>#N/A</v>
      </c>
      <c r="X54" s="14" t="e">
        <f t="shared" ca="1" si="13"/>
        <v>#N/A</v>
      </c>
      <c r="Y54" s="14" t="e">
        <f t="shared" ca="1" si="13"/>
        <v>#N/A</v>
      </c>
      <c r="Z54" s="14" t="e">
        <f t="shared" ca="1" si="13"/>
        <v>#N/A</v>
      </c>
      <c r="AA54" s="14" t="e">
        <f t="shared" ca="1" si="13"/>
        <v>#N/A</v>
      </c>
      <c r="AB54" s="14" t="e">
        <f t="shared" ca="1" si="13"/>
        <v>#N/A</v>
      </c>
      <c r="AC54" s="14" t="e">
        <f t="shared" ca="1" si="13"/>
        <v>#N/A</v>
      </c>
      <c r="AD54" s="14" t="e">
        <f t="shared" ca="1" si="13"/>
        <v>#N/A</v>
      </c>
      <c r="AE54" s="14" t="e">
        <f t="shared" ca="1" si="13"/>
        <v>#N/A</v>
      </c>
      <c r="AF54" s="14" t="e">
        <f t="shared" ca="1" si="13"/>
        <v>#N/A</v>
      </c>
      <c r="AG54" s="14" t="e">
        <f t="shared" ca="1" si="13"/>
        <v>#N/A</v>
      </c>
      <c r="AH54" s="14" t="e">
        <f t="shared" ca="1" si="13"/>
        <v>#N/A</v>
      </c>
      <c r="AI54" s="14" t="e">
        <f t="shared" ca="1" si="13"/>
        <v>#N/A</v>
      </c>
      <c r="AJ54" s="14" t="e">
        <f t="shared" ca="1" si="13"/>
        <v>#N/A</v>
      </c>
      <c r="AK54" s="14" t="e">
        <f t="shared" ca="1" si="13"/>
        <v>#N/A</v>
      </c>
      <c r="AL54" s="14" t="e">
        <f t="shared" ca="1" si="13"/>
        <v>#N/A</v>
      </c>
    </row>
    <row r="55" spans="1:38" ht="21" hidden="1" customHeight="1" outlineLevel="1" thickBot="1" x14ac:dyDescent="0.4">
      <c r="A55" s="5">
        <f t="shared" si="9"/>
        <v>0</v>
      </c>
      <c r="B55" s="5">
        <f t="shared" si="9"/>
        <v>0</v>
      </c>
      <c r="C55" s="5">
        <f t="shared" si="9"/>
        <v>0</v>
      </c>
      <c r="D55" s="5">
        <f t="shared" si="9"/>
        <v>0</v>
      </c>
      <c r="E55" s="6">
        <f t="shared" si="9"/>
        <v>0</v>
      </c>
      <c r="F55" s="14" t="e">
        <f t="shared" ca="1" si="10"/>
        <v>#N/A</v>
      </c>
      <c r="G55" s="14" t="e">
        <f t="shared" ref="G55:AL62" ca="1" si="14">$A55*H.Ar + $B55*H.Se + $C55*H.Ge + $D55*H.Ga</f>
        <v>#N/A</v>
      </c>
      <c r="H55" s="14" t="e">
        <f t="shared" ca="1" si="14"/>
        <v>#N/A</v>
      </c>
      <c r="I55" s="14" t="e">
        <f t="shared" ca="1" si="14"/>
        <v>#N/A</v>
      </c>
      <c r="J55" s="14" t="e">
        <f t="shared" ca="1" si="14"/>
        <v>#N/A</v>
      </c>
      <c r="K55" s="14" t="e">
        <f t="shared" ca="1" si="14"/>
        <v>#N/A</v>
      </c>
      <c r="L55" s="14" t="e">
        <f t="shared" ca="1" si="14"/>
        <v>#N/A</v>
      </c>
      <c r="M55" s="14" t="e">
        <f t="shared" ca="1" si="14"/>
        <v>#N/A</v>
      </c>
      <c r="N55" s="14" t="e">
        <f t="shared" ca="1" si="14"/>
        <v>#N/A</v>
      </c>
      <c r="O55" s="14" t="e">
        <f t="shared" ca="1" si="14"/>
        <v>#N/A</v>
      </c>
      <c r="P55" s="14" t="e">
        <f t="shared" ca="1" si="14"/>
        <v>#N/A</v>
      </c>
      <c r="Q55" s="14" t="e">
        <f t="shared" ca="1" si="14"/>
        <v>#N/A</v>
      </c>
      <c r="R55" s="14" t="e">
        <f t="shared" ca="1" si="14"/>
        <v>#N/A</v>
      </c>
      <c r="S55" s="14" t="e">
        <f t="shared" ca="1" si="14"/>
        <v>#N/A</v>
      </c>
      <c r="T55" s="14" t="e">
        <f t="shared" ca="1" si="14"/>
        <v>#N/A</v>
      </c>
      <c r="U55" s="14" t="e">
        <f t="shared" ca="1" si="14"/>
        <v>#N/A</v>
      </c>
      <c r="V55" s="14" t="e">
        <f t="shared" ca="1" si="14"/>
        <v>#N/A</v>
      </c>
      <c r="W55" s="14" t="e">
        <f t="shared" ca="1" si="14"/>
        <v>#N/A</v>
      </c>
      <c r="X55" s="14" t="e">
        <f t="shared" ca="1" si="14"/>
        <v>#N/A</v>
      </c>
      <c r="Y55" s="14" t="e">
        <f t="shared" ca="1" si="14"/>
        <v>#N/A</v>
      </c>
      <c r="Z55" s="14" t="e">
        <f t="shared" ca="1" si="14"/>
        <v>#N/A</v>
      </c>
      <c r="AA55" s="14" t="e">
        <f t="shared" ca="1" si="14"/>
        <v>#N/A</v>
      </c>
      <c r="AB55" s="14" t="e">
        <f t="shared" ca="1" si="14"/>
        <v>#N/A</v>
      </c>
      <c r="AC55" s="14" t="e">
        <f t="shared" ca="1" si="14"/>
        <v>#N/A</v>
      </c>
      <c r="AD55" s="14" t="e">
        <f t="shared" ca="1" si="14"/>
        <v>#N/A</v>
      </c>
      <c r="AE55" s="14" t="e">
        <f t="shared" ca="1" si="14"/>
        <v>#N/A</v>
      </c>
      <c r="AF55" s="14" t="e">
        <f t="shared" ca="1" si="14"/>
        <v>#N/A</v>
      </c>
      <c r="AG55" s="14" t="e">
        <f t="shared" ca="1" si="14"/>
        <v>#N/A</v>
      </c>
      <c r="AH55" s="14" t="e">
        <f t="shared" ca="1" si="14"/>
        <v>#N/A</v>
      </c>
      <c r="AI55" s="14" t="e">
        <f t="shared" ca="1" si="14"/>
        <v>#N/A</v>
      </c>
      <c r="AJ55" s="14" t="e">
        <f t="shared" ca="1" si="14"/>
        <v>#N/A</v>
      </c>
      <c r="AK55" s="14" t="e">
        <f t="shared" ca="1" si="14"/>
        <v>#N/A</v>
      </c>
      <c r="AL55" s="14" t="e">
        <f t="shared" ca="1" si="14"/>
        <v>#N/A</v>
      </c>
    </row>
    <row r="56" spans="1:38" ht="21" hidden="1" customHeight="1" outlineLevel="1" thickBot="1" x14ac:dyDescent="0.4">
      <c r="A56" s="5">
        <f t="shared" ref="A56:E65" si="15">A14</f>
        <v>0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>
        <f t="shared" si="15"/>
        <v>0</v>
      </c>
      <c r="F56" s="14" t="e">
        <f t="shared" ref="F56:U65" ca="1" si="16">$A56*H.Ar + $B56*H.Se + $C56*H.Ge + $D56*H.Ga</f>
        <v>#N/A</v>
      </c>
      <c r="G56" s="14" t="e">
        <f t="shared" ca="1" si="16"/>
        <v>#N/A</v>
      </c>
      <c r="H56" s="14" t="e">
        <f t="shared" ca="1" si="16"/>
        <v>#N/A</v>
      </c>
      <c r="I56" s="14" t="e">
        <f t="shared" ca="1" si="16"/>
        <v>#N/A</v>
      </c>
      <c r="J56" s="14" t="e">
        <f t="shared" ca="1" si="16"/>
        <v>#N/A</v>
      </c>
      <c r="K56" s="14" t="e">
        <f t="shared" ca="1" si="16"/>
        <v>#N/A</v>
      </c>
      <c r="L56" s="14" t="e">
        <f t="shared" ca="1" si="16"/>
        <v>#N/A</v>
      </c>
      <c r="M56" s="14" t="e">
        <f t="shared" ca="1" si="16"/>
        <v>#N/A</v>
      </c>
      <c r="N56" s="14" t="e">
        <f t="shared" ca="1" si="16"/>
        <v>#N/A</v>
      </c>
      <c r="O56" s="14" t="e">
        <f t="shared" ca="1" si="16"/>
        <v>#N/A</v>
      </c>
      <c r="P56" s="14" t="e">
        <f t="shared" ca="1" si="16"/>
        <v>#N/A</v>
      </c>
      <c r="Q56" s="14" t="e">
        <f t="shared" ca="1" si="16"/>
        <v>#N/A</v>
      </c>
      <c r="R56" s="14" t="e">
        <f t="shared" ca="1" si="16"/>
        <v>#N/A</v>
      </c>
      <c r="S56" s="14" t="e">
        <f t="shared" ca="1" si="16"/>
        <v>#N/A</v>
      </c>
      <c r="T56" s="14" t="e">
        <f t="shared" ca="1" si="16"/>
        <v>#N/A</v>
      </c>
      <c r="U56" s="14" t="e">
        <f t="shared" ca="1" si="16"/>
        <v>#N/A</v>
      </c>
      <c r="V56" s="14" t="e">
        <f t="shared" ca="1" si="14"/>
        <v>#N/A</v>
      </c>
      <c r="W56" s="14" t="e">
        <f t="shared" ca="1" si="14"/>
        <v>#N/A</v>
      </c>
      <c r="X56" s="14" t="e">
        <f t="shared" ca="1" si="14"/>
        <v>#N/A</v>
      </c>
      <c r="Y56" s="14" t="e">
        <f t="shared" ca="1" si="14"/>
        <v>#N/A</v>
      </c>
      <c r="Z56" s="14" t="e">
        <f t="shared" ca="1" si="14"/>
        <v>#N/A</v>
      </c>
      <c r="AA56" s="14" t="e">
        <f t="shared" ca="1" si="14"/>
        <v>#N/A</v>
      </c>
      <c r="AB56" s="14" t="e">
        <f t="shared" ca="1" si="14"/>
        <v>#N/A</v>
      </c>
      <c r="AC56" s="14" t="e">
        <f t="shared" ca="1" si="14"/>
        <v>#N/A</v>
      </c>
      <c r="AD56" s="14" t="e">
        <f t="shared" ca="1" si="14"/>
        <v>#N/A</v>
      </c>
      <c r="AE56" s="14" t="e">
        <f t="shared" ca="1" si="14"/>
        <v>#N/A</v>
      </c>
      <c r="AF56" s="14" t="e">
        <f t="shared" ca="1" si="14"/>
        <v>#N/A</v>
      </c>
      <c r="AG56" s="14" t="e">
        <f t="shared" ca="1" si="14"/>
        <v>#N/A</v>
      </c>
      <c r="AH56" s="14" t="e">
        <f t="shared" ca="1" si="14"/>
        <v>#N/A</v>
      </c>
      <c r="AI56" s="14" t="e">
        <f t="shared" ca="1" si="14"/>
        <v>#N/A</v>
      </c>
      <c r="AJ56" s="14" t="e">
        <f t="shared" ca="1" si="14"/>
        <v>#N/A</v>
      </c>
      <c r="AK56" s="14" t="e">
        <f t="shared" ca="1" si="14"/>
        <v>#N/A</v>
      </c>
      <c r="AL56" s="14" t="e">
        <f t="shared" ca="1" si="14"/>
        <v>#N/A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0</v>
      </c>
      <c r="E57" s="6">
        <f t="shared" si="15"/>
        <v>0</v>
      </c>
      <c r="F57" s="14" t="e">
        <f t="shared" ca="1" si="16"/>
        <v>#N/A</v>
      </c>
      <c r="G57" s="14" t="e">
        <f t="shared" ca="1" si="14"/>
        <v>#N/A</v>
      </c>
      <c r="H57" s="14" t="e">
        <f t="shared" ca="1" si="14"/>
        <v>#N/A</v>
      </c>
      <c r="I57" s="14" t="e">
        <f t="shared" ca="1" si="14"/>
        <v>#N/A</v>
      </c>
      <c r="J57" s="14" t="e">
        <f t="shared" ca="1" si="14"/>
        <v>#N/A</v>
      </c>
      <c r="K57" s="14" t="e">
        <f t="shared" ca="1" si="14"/>
        <v>#N/A</v>
      </c>
      <c r="L57" s="14" t="e">
        <f t="shared" ca="1" si="14"/>
        <v>#N/A</v>
      </c>
      <c r="M57" s="14" t="e">
        <f t="shared" ca="1" si="14"/>
        <v>#N/A</v>
      </c>
      <c r="N57" s="14" t="e">
        <f t="shared" ca="1" si="14"/>
        <v>#N/A</v>
      </c>
      <c r="O57" s="14" t="e">
        <f t="shared" ca="1" si="14"/>
        <v>#N/A</v>
      </c>
      <c r="P57" s="14" t="e">
        <f t="shared" ca="1" si="14"/>
        <v>#N/A</v>
      </c>
      <c r="Q57" s="14" t="e">
        <f t="shared" ca="1" si="14"/>
        <v>#N/A</v>
      </c>
      <c r="R57" s="14" t="e">
        <f t="shared" ca="1" si="14"/>
        <v>#N/A</v>
      </c>
      <c r="S57" s="14" t="e">
        <f t="shared" ca="1" si="14"/>
        <v>#N/A</v>
      </c>
      <c r="T57" s="14" t="e">
        <f t="shared" ca="1" si="14"/>
        <v>#N/A</v>
      </c>
      <c r="U57" s="14" t="e">
        <f t="shared" ca="1" si="14"/>
        <v>#N/A</v>
      </c>
      <c r="V57" s="14" t="e">
        <f t="shared" ca="1" si="14"/>
        <v>#N/A</v>
      </c>
      <c r="W57" s="14" t="e">
        <f t="shared" ca="1" si="14"/>
        <v>#N/A</v>
      </c>
      <c r="X57" s="14" t="e">
        <f t="shared" ca="1" si="14"/>
        <v>#N/A</v>
      </c>
      <c r="Y57" s="14" t="e">
        <f t="shared" ca="1" si="14"/>
        <v>#N/A</v>
      </c>
      <c r="Z57" s="14" t="e">
        <f t="shared" ca="1" si="14"/>
        <v>#N/A</v>
      </c>
      <c r="AA57" s="14" t="e">
        <f t="shared" ca="1" si="14"/>
        <v>#N/A</v>
      </c>
      <c r="AB57" s="14" t="e">
        <f t="shared" ca="1" si="14"/>
        <v>#N/A</v>
      </c>
      <c r="AC57" s="14" t="e">
        <f t="shared" ca="1" si="14"/>
        <v>#N/A</v>
      </c>
      <c r="AD57" s="14" t="e">
        <f t="shared" ca="1" si="14"/>
        <v>#N/A</v>
      </c>
      <c r="AE57" s="14" t="e">
        <f t="shared" ca="1" si="14"/>
        <v>#N/A</v>
      </c>
      <c r="AF57" s="14" t="e">
        <f t="shared" ca="1" si="14"/>
        <v>#N/A</v>
      </c>
      <c r="AG57" s="14" t="e">
        <f t="shared" ca="1" si="14"/>
        <v>#N/A</v>
      </c>
      <c r="AH57" s="14" t="e">
        <f t="shared" ca="1" si="14"/>
        <v>#N/A</v>
      </c>
      <c r="AI57" s="14" t="e">
        <f t="shared" ca="1" si="14"/>
        <v>#N/A</v>
      </c>
      <c r="AJ57" s="14" t="e">
        <f t="shared" ca="1" si="14"/>
        <v>#N/A</v>
      </c>
      <c r="AK57" s="14" t="e">
        <f t="shared" ca="1" si="14"/>
        <v>#N/A</v>
      </c>
      <c r="AL57" s="14" t="e">
        <f t="shared" ca="1" si="14"/>
        <v>#N/A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0</v>
      </c>
      <c r="D58" s="5">
        <f t="shared" si="15"/>
        <v>0</v>
      </c>
      <c r="E58" s="6">
        <f t="shared" si="15"/>
        <v>0</v>
      </c>
      <c r="F58" s="14" t="e">
        <f t="shared" ca="1" si="16"/>
        <v>#N/A</v>
      </c>
      <c r="G58" s="14" t="e">
        <f t="shared" ca="1" si="14"/>
        <v>#N/A</v>
      </c>
      <c r="H58" s="14" t="e">
        <f t="shared" ca="1" si="14"/>
        <v>#N/A</v>
      </c>
      <c r="I58" s="14" t="e">
        <f t="shared" ca="1" si="14"/>
        <v>#N/A</v>
      </c>
      <c r="J58" s="14" t="e">
        <f t="shared" ca="1" si="14"/>
        <v>#N/A</v>
      </c>
      <c r="K58" s="14" t="e">
        <f t="shared" ca="1" si="14"/>
        <v>#N/A</v>
      </c>
      <c r="L58" s="14" t="e">
        <f t="shared" ca="1" si="14"/>
        <v>#N/A</v>
      </c>
      <c r="M58" s="14" t="e">
        <f t="shared" ca="1" si="14"/>
        <v>#N/A</v>
      </c>
      <c r="N58" s="14" t="e">
        <f t="shared" ca="1" si="14"/>
        <v>#N/A</v>
      </c>
      <c r="O58" s="14" t="e">
        <f t="shared" ca="1" si="14"/>
        <v>#N/A</v>
      </c>
      <c r="P58" s="14" t="e">
        <f t="shared" ca="1" si="14"/>
        <v>#N/A</v>
      </c>
      <c r="Q58" s="14" t="e">
        <f t="shared" ca="1" si="14"/>
        <v>#N/A</v>
      </c>
      <c r="R58" s="14" t="e">
        <f t="shared" ca="1" si="14"/>
        <v>#N/A</v>
      </c>
      <c r="S58" s="14" t="e">
        <f t="shared" ca="1" si="14"/>
        <v>#N/A</v>
      </c>
      <c r="T58" s="14" t="e">
        <f t="shared" ca="1" si="14"/>
        <v>#N/A</v>
      </c>
      <c r="U58" s="14" t="e">
        <f t="shared" ca="1" si="14"/>
        <v>#N/A</v>
      </c>
      <c r="V58" s="14" t="e">
        <f t="shared" ca="1" si="14"/>
        <v>#N/A</v>
      </c>
      <c r="W58" s="14" t="e">
        <f t="shared" ca="1" si="14"/>
        <v>#N/A</v>
      </c>
      <c r="X58" s="14" t="e">
        <f t="shared" ca="1" si="14"/>
        <v>#N/A</v>
      </c>
      <c r="Y58" s="14" t="e">
        <f t="shared" ca="1" si="14"/>
        <v>#N/A</v>
      </c>
      <c r="Z58" s="14" t="e">
        <f t="shared" ca="1" si="14"/>
        <v>#N/A</v>
      </c>
      <c r="AA58" s="14" t="e">
        <f t="shared" ca="1" si="14"/>
        <v>#N/A</v>
      </c>
      <c r="AB58" s="14" t="e">
        <f t="shared" ca="1" si="14"/>
        <v>#N/A</v>
      </c>
      <c r="AC58" s="14" t="e">
        <f t="shared" ca="1" si="14"/>
        <v>#N/A</v>
      </c>
      <c r="AD58" s="14" t="e">
        <f t="shared" ca="1" si="14"/>
        <v>#N/A</v>
      </c>
      <c r="AE58" s="14" t="e">
        <f t="shared" ca="1" si="14"/>
        <v>#N/A</v>
      </c>
      <c r="AF58" s="14" t="e">
        <f t="shared" ca="1" si="14"/>
        <v>#N/A</v>
      </c>
      <c r="AG58" s="14" t="e">
        <f t="shared" ca="1" si="14"/>
        <v>#N/A</v>
      </c>
      <c r="AH58" s="14" t="e">
        <f t="shared" ca="1" si="14"/>
        <v>#N/A</v>
      </c>
      <c r="AI58" s="14" t="e">
        <f t="shared" ca="1" si="14"/>
        <v>#N/A</v>
      </c>
      <c r="AJ58" s="14" t="e">
        <f t="shared" ca="1" si="14"/>
        <v>#N/A</v>
      </c>
      <c r="AK58" s="14" t="e">
        <f t="shared" ca="1" si="14"/>
        <v>#N/A</v>
      </c>
      <c r="AL58" s="14" t="e">
        <f t="shared" ca="1" si="14"/>
        <v>#N/A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0</v>
      </c>
      <c r="D59" s="5">
        <f t="shared" si="15"/>
        <v>0</v>
      </c>
      <c r="E59" s="6">
        <f t="shared" si="15"/>
        <v>0</v>
      </c>
      <c r="F59" s="14" t="e">
        <f t="shared" ca="1" si="16"/>
        <v>#N/A</v>
      </c>
      <c r="G59" s="14" t="e">
        <f t="shared" ca="1" si="14"/>
        <v>#N/A</v>
      </c>
      <c r="H59" s="14" t="e">
        <f t="shared" ca="1" si="14"/>
        <v>#N/A</v>
      </c>
      <c r="I59" s="14" t="e">
        <f t="shared" ca="1" si="14"/>
        <v>#N/A</v>
      </c>
      <c r="J59" s="14" t="e">
        <f t="shared" ca="1" si="14"/>
        <v>#N/A</v>
      </c>
      <c r="K59" s="14" t="e">
        <f t="shared" ca="1" si="14"/>
        <v>#N/A</v>
      </c>
      <c r="L59" s="14" t="e">
        <f t="shared" ca="1" si="14"/>
        <v>#N/A</v>
      </c>
      <c r="M59" s="14" t="e">
        <f t="shared" ca="1" si="14"/>
        <v>#N/A</v>
      </c>
      <c r="N59" s="14" t="e">
        <f t="shared" ca="1" si="14"/>
        <v>#N/A</v>
      </c>
      <c r="O59" s="14" t="e">
        <f t="shared" ca="1" si="14"/>
        <v>#N/A</v>
      </c>
      <c r="P59" s="14" t="e">
        <f t="shared" ca="1" si="14"/>
        <v>#N/A</v>
      </c>
      <c r="Q59" s="14" t="e">
        <f t="shared" ca="1" si="14"/>
        <v>#N/A</v>
      </c>
      <c r="R59" s="14" t="e">
        <f t="shared" ca="1" si="14"/>
        <v>#N/A</v>
      </c>
      <c r="S59" s="14" t="e">
        <f t="shared" ca="1" si="14"/>
        <v>#N/A</v>
      </c>
      <c r="T59" s="14" t="e">
        <f t="shared" ca="1" si="14"/>
        <v>#N/A</v>
      </c>
      <c r="U59" s="14" t="e">
        <f t="shared" ca="1" si="14"/>
        <v>#N/A</v>
      </c>
      <c r="V59" s="14" t="e">
        <f t="shared" ca="1" si="14"/>
        <v>#N/A</v>
      </c>
      <c r="W59" s="14" t="e">
        <f t="shared" ca="1" si="14"/>
        <v>#N/A</v>
      </c>
      <c r="X59" s="14" t="e">
        <f t="shared" ca="1" si="14"/>
        <v>#N/A</v>
      </c>
      <c r="Y59" s="14" t="e">
        <f t="shared" ca="1" si="14"/>
        <v>#N/A</v>
      </c>
      <c r="Z59" s="14" t="e">
        <f t="shared" ca="1" si="14"/>
        <v>#N/A</v>
      </c>
      <c r="AA59" s="14" t="e">
        <f t="shared" ca="1" si="14"/>
        <v>#N/A</v>
      </c>
      <c r="AB59" s="14" t="e">
        <f t="shared" ca="1" si="14"/>
        <v>#N/A</v>
      </c>
      <c r="AC59" s="14" t="e">
        <f t="shared" ca="1" si="14"/>
        <v>#N/A</v>
      </c>
      <c r="AD59" s="14" t="e">
        <f t="shared" ca="1" si="14"/>
        <v>#N/A</v>
      </c>
      <c r="AE59" s="14" t="e">
        <f t="shared" ca="1" si="14"/>
        <v>#N/A</v>
      </c>
      <c r="AF59" s="14" t="e">
        <f t="shared" ca="1" si="14"/>
        <v>#N/A</v>
      </c>
      <c r="AG59" s="14" t="e">
        <f t="shared" ca="1" si="14"/>
        <v>#N/A</v>
      </c>
      <c r="AH59" s="14" t="e">
        <f t="shared" ca="1" si="14"/>
        <v>#N/A</v>
      </c>
      <c r="AI59" s="14" t="e">
        <f t="shared" ca="1" si="14"/>
        <v>#N/A</v>
      </c>
      <c r="AJ59" s="14" t="e">
        <f t="shared" ca="1" si="14"/>
        <v>#N/A</v>
      </c>
      <c r="AK59" s="14" t="e">
        <f t="shared" ca="1" si="14"/>
        <v>#N/A</v>
      </c>
      <c r="AL59" s="14" t="e">
        <f t="shared" ca="1" si="14"/>
        <v>#N/A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0</v>
      </c>
      <c r="D60" s="5">
        <f t="shared" si="15"/>
        <v>0</v>
      </c>
      <c r="E60" s="6">
        <f t="shared" si="15"/>
        <v>0</v>
      </c>
      <c r="F60" s="14" t="e">
        <f t="shared" ca="1" si="16"/>
        <v>#N/A</v>
      </c>
      <c r="G60" s="14" t="e">
        <f t="shared" ca="1" si="14"/>
        <v>#N/A</v>
      </c>
      <c r="H60" s="14" t="e">
        <f t="shared" ca="1" si="14"/>
        <v>#N/A</v>
      </c>
      <c r="I60" s="14" t="e">
        <f t="shared" ca="1" si="14"/>
        <v>#N/A</v>
      </c>
      <c r="J60" s="14" t="e">
        <f t="shared" ca="1" si="14"/>
        <v>#N/A</v>
      </c>
      <c r="K60" s="14" t="e">
        <f t="shared" ca="1" si="14"/>
        <v>#N/A</v>
      </c>
      <c r="L60" s="14" t="e">
        <f t="shared" ca="1" si="14"/>
        <v>#N/A</v>
      </c>
      <c r="M60" s="14" t="e">
        <f t="shared" ca="1" si="14"/>
        <v>#N/A</v>
      </c>
      <c r="N60" s="14" t="e">
        <f t="shared" ca="1" si="14"/>
        <v>#N/A</v>
      </c>
      <c r="O60" s="14" t="e">
        <f t="shared" ca="1" si="14"/>
        <v>#N/A</v>
      </c>
      <c r="P60" s="14" t="e">
        <f t="shared" ca="1" si="14"/>
        <v>#N/A</v>
      </c>
      <c r="Q60" s="14" t="e">
        <f t="shared" ca="1" si="14"/>
        <v>#N/A</v>
      </c>
      <c r="R60" s="14" t="e">
        <f t="shared" ca="1" si="14"/>
        <v>#N/A</v>
      </c>
      <c r="S60" s="14" t="e">
        <f t="shared" ca="1" si="14"/>
        <v>#N/A</v>
      </c>
      <c r="T60" s="14" t="e">
        <f t="shared" ca="1" si="14"/>
        <v>#N/A</v>
      </c>
      <c r="U60" s="14" t="e">
        <f t="shared" ca="1" si="14"/>
        <v>#N/A</v>
      </c>
      <c r="V60" s="14" t="e">
        <f t="shared" ca="1" si="14"/>
        <v>#N/A</v>
      </c>
      <c r="W60" s="14" t="e">
        <f t="shared" ca="1" si="14"/>
        <v>#N/A</v>
      </c>
      <c r="X60" s="14" t="e">
        <f t="shared" ca="1" si="14"/>
        <v>#N/A</v>
      </c>
      <c r="Y60" s="14" t="e">
        <f t="shared" ca="1" si="14"/>
        <v>#N/A</v>
      </c>
      <c r="Z60" s="14" t="e">
        <f t="shared" ca="1" si="14"/>
        <v>#N/A</v>
      </c>
      <c r="AA60" s="14" t="e">
        <f t="shared" ca="1" si="14"/>
        <v>#N/A</v>
      </c>
      <c r="AB60" s="14" t="e">
        <f t="shared" ca="1" si="14"/>
        <v>#N/A</v>
      </c>
      <c r="AC60" s="14" t="e">
        <f t="shared" ca="1" si="14"/>
        <v>#N/A</v>
      </c>
      <c r="AD60" s="14" t="e">
        <f t="shared" ca="1" si="14"/>
        <v>#N/A</v>
      </c>
      <c r="AE60" s="14" t="e">
        <f t="shared" ca="1" si="14"/>
        <v>#N/A</v>
      </c>
      <c r="AF60" s="14" t="e">
        <f t="shared" ca="1" si="14"/>
        <v>#N/A</v>
      </c>
      <c r="AG60" s="14" t="e">
        <f t="shared" ca="1" si="14"/>
        <v>#N/A</v>
      </c>
      <c r="AH60" s="14" t="e">
        <f t="shared" ca="1" si="14"/>
        <v>#N/A</v>
      </c>
      <c r="AI60" s="14" t="e">
        <f t="shared" ca="1" si="14"/>
        <v>#N/A</v>
      </c>
      <c r="AJ60" s="14" t="e">
        <f t="shared" ca="1" si="14"/>
        <v>#N/A</v>
      </c>
      <c r="AK60" s="14" t="e">
        <f t="shared" ca="1" si="14"/>
        <v>#N/A</v>
      </c>
      <c r="AL60" s="14" t="e">
        <f t="shared" ca="1" si="14"/>
        <v>#N/A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0</v>
      </c>
      <c r="D61" s="5">
        <f t="shared" si="15"/>
        <v>0</v>
      </c>
      <c r="E61" s="6">
        <f t="shared" si="15"/>
        <v>0</v>
      </c>
      <c r="F61" s="14" t="e">
        <f t="shared" ca="1" si="16"/>
        <v>#N/A</v>
      </c>
      <c r="G61" s="14" t="e">
        <f t="shared" ca="1" si="14"/>
        <v>#N/A</v>
      </c>
      <c r="H61" s="14" t="e">
        <f t="shared" ca="1" si="14"/>
        <v>#N/A</v>
      </c>
      <c r="I61" s="14" t="e">
        <f t="shared" ca="1" si="14"/>
        <v>#N/A</v>
      </c>
      <c r="J61" s="14" t="e">
        <f t="shared" ca="1" si="14"/>
        <v>#N/A</v>
      </c>
      <c r="K61" s="14" t="e">
        <f t="shared" ca="1" si="14"/>
        <v>#N/A</v>
      </c>
      <c r="L61" s="14" t="e">
        <f t="shared" ca="1" si="14"/>
        <v>#N/A</v>
      </c>
      <c r="M61" s="14" t="e">
        <f t="shared" ca="1" si="14"/>
        <v>#N/A</v>
      </c>
      <c r="N61" s="14" t="e">
        <f t="shared" ca="1" si="14"/>
        <v>#N/A</v>
      </c>
      <c r="O61" s="14" t="e">
        <f t="shared" ca="1" si="14"/>
        <v>#N/A</v>
      </c>
      <c r="P61" s="14" t="e">
        <f t="shared" ca="1" si="14"/>
        <v>#N/A</v>
      </c>
      <c r="Q61" s="14" t="e">
        <f t="shared" ca="1" si="14"/>
        <v>#N/A</v>
      </c>
      <c r="R61" s="14" t="e">
        <f t="shared" ca="1" si="14"/>
        <v>#N/A</v>
      </c>
      <c r="S61" s="14" t="e">
        <f t="shared" ca="1" si="14"/>
        <v>#N/A</v>
      </c>
      <c r="T61" s="14" t="e">
        <f t="shared" ca="1" si="14"/>
        <v>#N/A</v>
      </c>
      <c r="U61" s="14" t="e">
        <f t="shared" ca="1" si="14"/>
        <v>#N/A</v>
      </c>
      <c r="V61" s="14" t="e">
        <f t="shared" ca="1" si="14"/>
        <v>#N/A</v>
      </c>
      <c r="W61" s="14" t="e">
        <f t="shared" ca="1" si="14"/>
        <v>#N/A</v>
      </c>
      <c r="X61" s="14" t="e">
        <f t="shared" ca="1" si="14"/>
        <v>#N/A</v>
      </c>
      <c r="Y61" s="14" t="e">
        <f t="shared" ca="1" si="14"/>
        <v>#N/A</v>
      </c>
      <c r="Z61" s="14" t="e">
        <f t="shared" ca="1" si="14"/>
        <v>#N/A</v>
      </c>
      <c r="AA61" s="14" t="e">
        <f t="shared" ca="1" si="14"/>
        <v>#N/A</v>
      </c>
      <c r="AB61" s="14" t="e">
        <f t="shared" ca="1" si="14"/>
        <v>#N/A</v>
      </c>
      <c r="AC61" s="14" t="e">
        <f t="shared" ca="1" si="14"/>
        <v>#N/A</v>
      </c>
      <c r="AD61" s="14" t="e">
        <f t="shared" ca="1" si="14"/>
        <v>#N/A</v>
      </c>
      <c r="AE61" s="14" t="e">
        <f t="shared" ca="1" si="14"/>
        <v>#N/A</v>
      </c>
      <c r="AF61" s="14" t="e">
        <f t="shared" ca="1" si="14"/>
        <v>#N/A</v>
      </c>
      <c r="AG61" s="14" t="e">
        <f t="shared" ca="1" si="14"/>
        <v>#N/A</v>
      </c>
      <c r="AH61" s="14" t="e">
        <f t="shared" ca="1" si="14"/>
        <v>#N/A</v>
      </c>
      <c r="AI61" s="14" t="e">
        <f t="shared" ca="1" si="14"/>
        <v>#N/A</v>
      </c>
      <c r="AJ61" s="14" t="e">
        <f t="shared" ca="1" si="14"/>
        <v>#N/A</v>
      </c>
      <c r="AK61" s="14" t="e">
        <f t="shared" ca="1" si="14"/>
        <v>#N/A</v>
      </c>
      <c r="AL61" s="14" t="e">
        <f t="shared" ca="1" si="14"/>
        <v>#N/A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0</v>
      </c>
      <c r="D62" s="5">
        <f t="shared" si="15"/>
        <v>0</v>
      </c>
      <c r="E62" s="6">
        <f t="shared" si="15"/>
        <v>0</v>
      </c>
      <c r="F62" s="14" t="e">
        <f t="shared" ca="1" si="16"/>
        <v>#N/A</v>
      </c>
      <c r="G62" s="14" t="e">
        <f t="shared" ca="1" si="14"/>
        <v>#N/A</v>
      </c>
      <c r="H62" s="14" t="e">
        <f t="shared" ca="1" si="14"/>
        <v>#N/A</v>
      </c>
      <c r="I62" s="14" t="e">
        <f t="shared" ca="1" si="14"/>
        <v>#N/A</v>
      </c>
      <c r="J62" s="14" t="e">
        <f t="shared" ca="1" si="14"/>
        <v>#N/A</v>
      </c>
      <c r="K62" s="14" t="e">
        <f t="shared" ca="1" si="14"/>
        <v>#N/A</v>
      </c>
      <c r="L62" s="14" t="e">
        <f t="shared" ca="1" si="14"/>
        <v>#N/A</v>
      </c>
      <c r="M62" s="14" t="e">
        <f t="shared" ca="1" si="14"/>
        <v>#N/A</v>
      </c>
      <c r="N62" s="14" t="e">
        <f t="shared" ca="1" si="14"/>
        <v>#N/A</v>
      </c>
      <c r="O62" s="14" t="e">
        <f t="shared" ca="1" si="14"/>
        <v>#N/A</v>
      </c>
      <c r="P62" s="14" t="e">
        <f t="shared" ca="1" si="14"/>
        <v>#N/A</v>
      </c>
      <c r="Q62" s="14" t="e">
        <f t="shared" ca="1" si="14"/>
        <v>#N/A</v>
      </c>
      <c r="R62" s="14" t="e">
        <f t="shared" ca="1" si="14"/>
        <v>#N/A</v>
      </c>
      <c r="S62" s="14" t="e">
        <f t="shared" ca="1" si="14"/>
        <v>#N/A</v>
      </c>
      <c r="T62" s="14" t="e">
        <f t="shared" ca="1" si="14"/>
        <v>#N/A</v>
      </c>
      <c r="U62" s="14" t="e">
        <f t="shared" ca="1" si="14"/>
        <v>#N/A</v>
      </c>
      <c r="V62" s="14" t="e">
        <f t="shared" ca="1" si="14"/>
        <v>#N/A</v>
      </c>
      <c r="W62" s="14" t="e">
        <f t="shared" ca="1" si="14"/>
        <v>#N/A</v>
      </c>
      <c r="X62" s="14" t="e">
        <f t="shared" ca="1" si="14"/>
        <v>#N/A</v>
      </c>
      <c r="Y62" s="14" t="e">
        <f t="shared" ca="1" si="14"/>
        <v>#N/A</v>
      </c>
      <c r="Z62" s="14" t="e">
        <f t="shared" ca="1" si="14"/>
        <v>#N/A</v>
      </c>
      <c r="AA62" s="14" t="e">
        <f t="shared" ca="1" si="14"/>
        <v>#N/A</v>
      </c>
      <c r="AB62" s="14" t="e">
        <f t="shared" ca="1" si="14"/>
        <v>#N/A</v>
      </c>
      <c r="AC62" s="14" t="e">
        <f t="shared" ca="1" si="14"/>
        <v>#N/A</v>
      </c>
      <c r="AD62" s="14" t="e">
        <f t="shared" ca="1" si="14"/>
        <v>#N/A</v>
      </c>
      <c r="AE62" s="14" t="e">
        <f t="shared" ca="1" si="14"/>
        <v>#N/A</v>
      </c>
      <c r="AF62" s="14" t="e">
        <f t="shared" ca="1" si="14"/>
        <v>#N/A</v>
      </c>
      <c r="AG62" s="14" t="e">
        <f t="shared" ca="1" si="14"/>
        <v>#N/A</v>
      </c>
      <c r="AH62" s="14" t="e">
        <f t="shared" ca="1" si="14"/>
        <v>#N/A</v>
      </c>
      <c r="AI62" s="14" t="e">
        <f t="shared" ref="AI62:AL62" ca="1" si="17">$A62*H.Ar + $B62*H.Se + $C62*H.Ge + $D62*H.Ga</f>
        <v>#N/A</v>
      </c>
      <c r="AJ62" s="14" t="e">
        <f t="shared" ca="1" si="17"/>
        <v>#N/A</v>
      </c>
      <c r="AK62" s="14" t="e">
        <f t="shared" ca="1" si="17"/>
        <v>#N/A</v>
      </c>
      <c r="AL62" s="14" t="e">
        <f t="shared" ca="1" si="17"/>
        <v>#N/A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 t="e">
        <f t="shared" ca="1" si="16"/>
        <v>#N/A</v>
      </c>
      <c r="G63" s="14" t="e">
        <f t="shared" ref="G63:AL71" ca="1" si="18">$A63*H.Ar + $B63*H.Se + $C63*H.Ge + $D63*H.Ga</f>
        <v>#N/A</v>
      </c>
      <c r="H63" s="14" t="e">
        <f t="shared" ca="1" si="18"/>
        <v>#N/A</v>
      </c>
      <c r="I63" s="14" t="e">
        <f t="shared" ca="1" si="18"/>
        <v>#N/A</v>
      </c>
      <c r="J63" s="14" t="e">
        <f t="shared" ca="1" si="18"/>
        <v>#N/A</v>
      </c>
      <c r="K63" s="14" t="e">
        <f t="shared" ca="1" si="18"/>
        <v>#N/A</v>
      </c>
      <c r="L63" s="14" t="e">
        <f t="shared" ca="1" si="18"/>
        <v>#N/A</v>
      </c>
      <c r="M63" s="14" t="e">
        <f t="shared" ca="1" si="18"/>
        <v>#N/A</v>
      </c>
      <c r="N63" s="14" t="e">
        <f t="shared" ca="1" si="18"/>
        <v>#N/A</v>
      </c>
      <c r="O63" s="14" t="e">
        <f t="shared" ca="1" si="18"/>
        <v>#N/A</v>
      </c>
      <c r="P63" s="14" t="e">
        <f t="shared" ca="1" si="18"/>
        <v>#N/A</v>
      </c>
      <c r="Q63" s="14" t="e">
        <f t="shared" ca="1" si="18"/>
        <v>#N/A</v>
      </c>
      <c r="R63" s="14" t="e">
        <f t="shared" ca="1" si="18"/>
        <v>#N/A</v>
      </c>
      <c r="S63" s="14" t="e">
        <f t="shared" ca="1" si="18"/>
        <v>#N/A</v>
      </c>
      <c r="T63" s="14" t="e">
        <f t="shared" ca="1" si="18"/>
        <v>#N/A</v>
      </c>
      <c r="U63" s="14" t="e">
        <f t="shared" ca="1" si="18"/>
        <v>#N/A</v>
      </c>
      <c r="V63" s="14" t="e">
        <f t="shared" ca="1" si="18"/>
        <v>#N/A</v>
      </c>
      <c r="W63" s="14" t="e">
        <f t="shared" ca="1" si="18"/>
        <v>#N/A</v>
      </c>
      <c r="X63" s="14" t="e">
        <f t="shared" ca="1" si="18"/>
        <v>#N/A</v>
      </c>
      <c r="Y63" s="14" t="e">
        <f t="shared" ca="1" si="18"/>
        <v>#N/A</v>
      </c>
      <c r="Z63" s="14" t="e">
        <f t="shared" ca="1" si="18"/>
        <v>#N/A</v>
      </c>
      <c r="AA63" s="14" t="e">
        <f t="shared" ca="1" si="18"/>
        <v>#N/A</v>
      </c>
      <c r="AB63" s="14" t="e">
        <f t="shared" ca="1" si="18"/>
        <v>#N/A</v>
      </c>
      <c r="AC63" s="14" t="e">
        <f t="shared" ca="1" si="18"/>
        <v>#N/A</v>
      </c>
      <c r="AD63" s="14" t="e">
        <f t="shared" ca="1" si="18"/>
        <v>#N/A</v>
      </c>
      <c r="AE63" s="14" t="e">
        <f t="shared" ca="1" si="18"/>
        <v>#N/A</v>
      </c>
      <c r="AF63" s="14" t="e">
        <f t="shared" ca="1" si="18"/>
        <v>#N/A</v>
      </c>
      <c r="AG63" s="14" t="e">
        <f t="shared" ca="1" si="18"/>
        <v>#N/A</v>
      </c>
      <c r="AH63" s="14" t="e">
        <f t="shared" ca="1" si="18"/>
        <v>#N/A</v>
      </c>
      <c r="AI63" s="14" t="e">
        <f t="shared" ca="1" si="18"/>
        <v>#N/A</v>
      </c>
      <c r="AJ63" s="14" t="e">
        <f t="shared" ca="1" si="18"/>
        <v>#N/A</v>
      </c>
      <c r="AK63" s="14" t="e">
        <f t="shared" ca="1" si="18"/>
        <v>#N/A</v>
      </c>
      <c r="AL63" s="14" t="e">
        <f t="shared" ca="1" si="18"/>
        <v>#N/A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 t="e">
        <f t="shared" ca="1" si="16"/>
        <v>#N/A</v>
      </c>
      <c r="G64" s="14" t="e">
        <f t="shared" ca="1" si="18"/>
        <v>#N/A</v>
      </c>
      <c r="H64" s="14" t="e">
        <f t="shared" ca="1" si="18"/>
        <v>#N/A</v>
      </c>
      <c r="I64" s="14" t="e">
        <f t="shared" ca="1" si="18"/>
        <v>#N/A</v>
      </c>
      <c r="J64" s="14" t="e">
        <f t="shared" ca="1" si="18"/>
        <v>#N/A</v>
      </c>
      <c r="K64" s="14" t="e">
        <f t="shared" ca="1" si="18"/>
        <v>#N/A</v>
      </c>
      <c r="L64" s="14" t="e">
        <f t="shared" ca="1" si="18"/>
        <v>#N/A</v>
      </c>
      <c r="M64" s="14" t="e">
        <f t="shared" ca="1" si="18"/>
        <v>#N/A</v>
      </c>
      <c r="N64" s="14" t="e">
        <f t="shared" ca="1" si="18"/>
        <v>#N/A</v>
      </c>
      <c r="O64" s="14" t="e">
        <f t="shared" ca="1" si="18"/>
        <v>#N/A</v>
      </c>
      <c r="P64" s="14" t="e">
        <f t="shared" ca="1" si="18"/>
        <v>#N/A</v>
      </c>
      <c r="Q64" s="14" t="e">
        <f t="shared" ca="1" si="18"/>
        <v>#N/A</v>
      </c>
      <c r="R64" s="14" t="e">
        <f t="shared" ca="1" si="18"/>
        <v>#N/A</v>
      </c>
      <c r="S64" s="14" t="e">
        <f t="shared" ca="1" si="18"/>
        <v>#N/A</v>
      </c>
      <c r="T64" s="14" t="e">
        <f t="shared" ca="1" si="18"/>
        <v>#N/A</v>
      </c>
      <c r="U64" s="14" t="e">
        <f t="shared" ca="1" si="18"/>
        <v>#N/A</v>
      </c>
      <c r="V64" s="14" t="e">
        <f t="shared" ca="1" si="18"/>
        <v>#N/A</v>
      </c>
      <c r="W64" s="14" t="e">
        <f t="shared" ca="1" si="18"/>
        <v>#N/A</v>
      </c>
      <c r="X64" s="14" t="e">
        <f t="shared" ca="1" si="18"/>
        <v>#N/A</v>
      </c>
      <c r="Y64" s="14" t="e">
        <f t="shared" ca="1" si="18"/>
        <v>#N/A</v>
      </c>
      <c r="Z64" s="14" t="e">
        <f t="shared" ca="1" si="18"/>
        <v>#N/A</v>
      </c>
      <c r="AA64" s="14" t="e">
        <f t="shared" ca="1" si="18"/>
        <v>#N/A</v>
      </c>
      <c r="AB64" s="14" t="e">
        <f t="shared" ca="1" si="18"/>
        <v>#N/A</v>
      </c>
      <c r="AC64" s="14" t="e">
        <f t="shared" ca="1" si="18"/>
        <v>#N/A</v>
      </c>
      <c r="AD64" s="14" t="e">
        <f t="shared" ca="1" si="18"/>
        <v>#N/A</v>
      </c>
      <c r="AE64" s="14" t="e">
        <f t="shared" ca="1" si="18"/>
        <v>#N/A</v>
      </c>
      <c r="AF64" s="14" t="e">
        <f t="shared" ca="1" si="18"/>
        <v>#N/A</v>
      </c>
      <c r="AG64" s="14" t="e">
        <f t="shared" ca="1" si="18"/>
        <v>#N/A</v>
      </c>
      <c r="AH64" s="14" t="e">
        <f t="shared" ca="1" si="18"/>
        <v>#N/A</v>
      </c>
      <c r="AI64" s="14" t="e">
        <f t="shared" ca="1" si="18"/>
        <v>#N/A</v>
      </c>
      <c r="AJ64" s="14" t="e">
        <f t="shared" ca="1" si="18"/>
        <v>#N/A</v>
      </c>
      <c r="AK64" s="14" t="e">
        <f t="shared" ca="1" si="18"/>
        <v>#N/A</v>
      </c>
      <c r="AL64" s="14" t="e">
        <f t="shared" ca="1" si="18"/>
        <v>#N/A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 t="e">
        <f t="shared" ca="1" si="16"/>
        <v>#N/A</v>
      </c>
      <c r="G65" s="14" t="e">
        <f t="shared" ca="1" si="18"/>
        <v>#N/A</v>
      </c>
      <c r="H65" s="14" t="e">
        <f t="shared" ca="1" si="18"/>
        <v>#N/A</v>
      </c>
      <c r="I65" s="14" t="e">
        <f t="shared" ca="1" si="18"/>
        <v>#N/A</v>
      </c>
      <c r="J65" s="14" t="e">
        <f t="shared" ca="1" si="18"/>
        <v>#N/A</v>
      </c>
      <c r="K65" s="14" t="e">
        <f t="shared" ca="1" si="18"/>
        <v>#N/A</v>
      </c>
      <c r="L65" s="14" t="e">
        <f t="shared" ca="1" si="18"/>
        <v>#N/A</v>
      </c>
      <c r="M65" s="14" t="e">
        <f t="shared" ca="1" si="18"/>
        <v>#N/A</v>
      </c>
      <c r="N65" s="14" t="e">
        <f t="shared" ca="1" si="18"/>
        <v>#N/A</v>
      </c>
      <c r="O65" s="14" t="e">
        <f t="shared" ca="1" si="18"/>
        <v>#N/A</v>
      </c>
      <c r="P65" s="14" t="e">
        <f t="shared" ca="1" si="18"/>
        <v>#N/A</v>
      </c>
      <c r="Q65" s="14" t="e">
        <f t="shared" ca="1" si="18"/>
        <v>#N/A</v>
      </c>
      <c r="R65" s="14" t="e">
        <f t="shared" ca="1" si="18"/>
        <v>#N/A</v>
      </c>
      <c r="S65" s="14" t="e">
        <f t="shared" ca="1" si="18"/>
        <v>#N/A</v>
      </c>
      <c r="T65" s="14" t="e">
        <f t="shared" ca="1" si="18"/>
        <v>#N/A</v>
      </c>
      <c r="U65" s="14" t="e">
        <f t="shared" ca="1" si="18"/>
        <v>#N/A</v>
      </c>
      <c r="V65" s="14" t="e">
        <f t="shared" ca="1" si="18"/>
        <v>#N/A</v>
      </c>
      <c r="W65" s="14" t="e">
        <f t="shared" ca="1" si="18"/>
        <v>#N/A</v>
      </c>
      <c r="X65" s="14" t="e">
        <f t="shared" ca="1" si="18"/>
        <v>#N/A</v>
      </c>
      <c r="Y65" s="14" t="e">
        <f t="shared" ca="1" si="18"/>
        <v>#N/A</v>
      </c>
      <c r="Z65" s="14" t="e">
        <f t="shared" ca="1" si="18"/>
        <v>#N/A</v>
      </c>
      <c r="AA65" s="14" t="e">
        <f t="shared" ca="1" si="18"/>
        <v>#N/A</v>
      </c>
      <c r="AB65" s="14" t="e">
        <f t="shared" ca="1" si="18"/>
        <v>#N/A</v>
      </c>
      <c r="AC65" s="14" t="e">
        <f t="shared" ca="1" si="18"/>
        <v>#N/A</v>
      </c>
      <c r="AD65" s="14" t="e">
        <f t="shared" ca="1" si="18"/>
        <v>#N/A</v>
      </c>
      <c r="AE65" s="14" t="e">
        <f t="shared" ca="1" si="18"/>
        <v>#N/A</v>
      </c>
      <c r="AF65" s="14" t="e">
        <f t="shared" ca="1" si="18"/>
        <v>#N/A</v>
      </c>
      <c r="AG65" s="14" t="e">
        <f t="shared" ca="1" si="18"/>
        <v>#N/A</v>
      </c>
      <c r="AH65" s="14" t="e">
        <f t="shared" ca="1" si="18"/>
        <v>#N/A</v>
      </c>
      <c r="AI65" s="14" t="e">
        <f t="shared" ca="1" si="18"/>
        <v>#N/A</v>
      </c>
      <c r="AJ65" s="14" t="e">
        <f t="shared" ca="1" si="18"/>
        <v>#N/A</v>
      </c>
      <c r="AK65" s="14" t="e">
        <f t="shared" ca="1" si="18"/>
        <v>#N/A</v>
      </c>
      <c r="AL65" s="14" t="e">
        <f t="shared" ca="1" si="18"/>
        <v>#N/A</v>
      </c>
    </row>
    <row r="66" spans="1:54" ht="21" hidden="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 t="e">
        <f t="shared" ref="F66:U74" ca="1" si="20">$A66*H.Ar + $B66*H.Se + $C66*H.Ge + $D66*H.Ga</f>
        <v>#N/A</v>
      </c>
      <c r="G66" s="14" t="e">
        <f t="shared" ca="1" si="20"/>
        <v>#N/A</v>
      </c>
      <c r="H66" s="14" t="e">
        <f t="shared" ca="1" si="20"/>
        <v>#N/A</v>
      </c>
      <c r="I66" s="14" t="e">
        <f t="shared" ca="1" si="20"/>
        <v>#N/A</v>
      </c>
      <c r="J66" s="14" t="e">
        <f t="shared" ca="1" si="20"/>
        <v>#N/A</v>
      </c>
      <c r="K66" s="14" t="e">
        <f t="shared" ca="1" si="20"/>
        <v>#N/A</v>
      </c>
      <c r="L66" s="14" t="e">
        <f t="shared" ca="1" si="20"/>
        <v>#N/A</v>
      </c>
      <c r="M66" s="14" t="e">
        <f t="shared" ca="1" si="20"/>
        <v>#N/A</v>
      </c>
      <c r="N66" s="14" t="e">
        <f t="shared" ca="1" si="20"/>
        <v>#N/A</v>
      </c>
      <c r="O66" s="14" t="e">
        <f t="shared" ca="1" si="20"/>
        <v>#N/A</v>
      </c>
      <c r="P66" s="14" t="e">
        <f t="shared" ca="1" si="20"/>
        <v>#N/A</v>
      </c>
      <c r="Q66" s="14" t="e">
        <f t="shared" ca="1" si="20"/>
        <v>#N/A</v>
      </c>
      <c r="R66" s="14" t="e">
        <f t="shared" ca="1" si="20"/>
        <v>#N/A</v>
      </c>
      <c r="S66" s="14" t="e">
        <f t="shared" ca="1" si="20"/>
        <v>#N/A</v>
      </c>
      <c r="T66" s="14" t="e">
        <f t="shared" ca="1" si="20"/>
        <v>#N/A</v>
      </c>
      <c r="U66" s="14" t="e">
        <f t="shared" ca="1" si="20"/>
        <v>#N/A</v>
      </c>
      <c r="V66" s="14" t="e">
        <f t="shared" ca="1" si="18"/>
        <v>#N/A</v>
      </c>
      <c r="W66" s="14" t="e">
        <f t="shared" ca="1" si="18"/>
        <v>#N/A</v>
      </c>
      <c r="X66" s="14" t="e">
        <f t="shared" ca="1" si="18"/>
        <v>#N/A</v>
      </c>
      <c r="Y66" s="14" t="e">
        <f t="shared" ca="1" si="18"/>
        <v>#N/A</v>
      </c>
      <c r="Z66" s="14" t="e">
        <f t="shared" ca="1" si="18"/>
        <v>#N/A</v>
      </c>
      <c r="AA66" s="14" t="e">
        <f t="shared" ca="1" si="18"/>
        <v>#N/A</v>
      </c>
      <c r="AB66" s="14" t="e">
        <f t="shared" ca="1" si="18"/>
        <v>#N/A</v>
      </c>
      <c r="AC66" s="14" t="e">
        <f t="shared" ca="1" si="18"/>
        <v>#N/A</v>
      </c>
      <c r="AD66" s="14" t="e">
        <f t="shared" ca="1" si="18"/>
        <v>#N/A</v>
      </c>
      <c r="AE66" s="14" t="e">
        <f t="shared" ca="1" si="18"/>
        <v>#N/A</v>
      </c>
      <c r="AF66" s="14" t="e">
        <f t="shared" ca="1" si="18"/>
        <v>#N/A</v>
      </c>
      <c r="AG66" s="14" t="e">
        <f t="shared" ca="1" si="18"/>
        <v>#N/A</v>
      </c>
      <c r="AH66" s="14" t="e">
        <f t="shared" ca="1" si="18"/>
        <v>#N/A</v>
      </c>
      <c r="AI66" s="14" t="e">
        <f t="shared" ca="1" si="18"/>
        <v>#N/A</v>
      </c>
      <c r="AJ66" s="14" t="e">
        <f t="shared" ca="1" si="18"/>
        <v>#N/A</v>
      </c>
      <c r="AK66" s="14" t="e">
        <f t="shared" ca="1" si="18"/>
        <v>#N/A</v>
      </c>
      <c r="AL66" s="14" t="e">
        <f t="shared" ca="1" si="18"/>
        <v>#N/A</v>
      </c>
    </row>
    <row r="67" spans="1:54" ht="21" hidden="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 t="e">
        <f t="shared" ca="1" si="20"/>
        <v>#N/A</v>
      </c>
      <c r="G67" s="14" t="e">
        <f t="shared" ca="1" si="18"/>
        <v>#N/A</v>
      </c>
      <c r="H67" s="14" t="e">
        <f t="shared" ca="1" si="18"/>
        <v>#N/A</v>
      </c>
      <c r="I67" s="14" t="e">
        <f t="shared" ca="1" si="18"/>
        <v>#N/A</v>
      </c>
      <c r="J67" s="14" t="e">
        <f t="shared" ca="1" si="18"/>
        <v>#N/A</v>
      </c>
      <c r="K67" s="14" t="e">
        <f t="shared" ca="1" si="18"/>
        <v>#N/A</v>
      </c>
      <c r="L67" s="14" t="e">
        <f t="shared" ca="1" si="18"/>
        <v>#N/A</v>
      </c>
      <c r="M67" s="14" t="e">
        <f t="shared" ca="1" si="18"/>
        <v>#N/A</v>
      </c>
      <c r="N67" s="14" t="e">
        <f t="shared" ca="1" si="18"/>
        <v>#N/A</v>
      </c>
      <c r="O67" s="14" t="e">
        <f t="shared" ca="1" si="18"/>
        <v>#N/A</v>
      </c>
      <c r="P67" s="14" t="e">
        <f t="shared" ca="1" si="18"/>
        <v>#N/A</v>
      </c>
      <c r="Q67" s="14" t="e">
        <f t="shared" ca="1" si="18"/>
        <v>#N/A</v>
      </c>
      <c r="R67" s="14" t="e">
        <f t="shared" ca="1" si="18"/>
        <v>#N/A</v>
      </c>
      <c r="S67" s="14" t="e">
        <f t="shared" ca="1" si="18"/>
        <v>#N/A</v>
      </c>
      <c r="T67" s="14" t="e">
        <f t="shared" ca="1" si="18"/>
        <v>#N/A</v>
      </c>
      <c r="U67" s="14" t="e">
        <f t="shared" ca="1" si="18"/>
        <v>#N/A</v>
      </c>
      <c r="V67" s="14" t="e">
        <f t="shared" ca="1" si="18"/>
        <v>#N/A</v>
      </c>
      <c r="W67" s="14" t="e">
        <f t="shared" ca="1" si="18"/>
        <v>#N/A</v>
      </c>
      <c r="X67" s="14" t="e">
        <f t="shared" ca="1" si="18"/>
        <v>#N/A</v>
      </c>
      <c r="Y67" s="14" t="e">
        <f t="shared" ca="1" si="18"/>
        <v>#N/A</v>
      </c>
      <c r="Z67" s="14" t="e">
        <f t="shared" ca="1" si="18"/>
        <v>#N/A</v>
      </c>
      <c r="AA67" s="14" t="e">
        <f t="shared" ca="1" si="18"/>
        <v>#N/A</v>
      </c>
      <c r="AB67" s="14" t="e">
        <f t="shared" ca="1" si="18"/>
        <v>#N/A</v>
      </c>
      <c r="AC67" s="14" t="e">
        <f t="shared" ca="1" si="18"/>
        <v>#N/A</v>
      </c>
      <c r="AD67" s="14" t="e">
        <f t="shared" ca="1" si="18"/>
        <v>#N/A</v>
      </c>
      <c r="AE67" s="14" t="e">
        <f t="shared" ca="1" si="18"/>
        <v>#N/A</v>
      </c>
      <c r="AF67" s="14" t="e">
        <f t="shared" ca="1" si="18"/>
        <v>#N/A</v>
      </c>
      <c r="AG67" s="14" t="e">
        <f t="shared" ca="1" si="18"/>
        <v>#N/A</v>
      </c>
      <c r="AH67" s="14" t="e">
        <f t="shared" ca="1" si="18"/>
        <v>#N/A</v>
      </c>
      <c r="AI67" s="14" t="e">
        <f t="shared" ca="1" si="18"/>
        <v>#N/A</v>
      </c>
      <c r="AJ67" s="14" t="e">
        <f t="shared" ca="1" si="18"/>
        <v>#N/A</v>
      </c>
      <c r="AK67" s="14" t="e">
        <f t="shared" ca="1" si="18"/>
        <v>#N/A</v>
      </c>
      <c r="AL67" s="14" t="e">
        <f t="shared" ca="1" si="18"/>
        <v>#N/A</v>
      </c>
    </row>
    <row r="68" spans="1:54" ht="21" hidden="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 t="e">
        <f t="shared" ca="1" si="20"/>
        <v>#N/A</v>
      </c>
      <c r="G68" s="14" t="e">
        <f t="shared" ca="1" si="18"/>
        <v>#N/A</v>
      </c>
      <c r="H68" s="14" t="e">
        <f t="shared" ca="1" si="18"/>
        <v>#N/A</v>
      </c>
      <c r="I68" s="14" t="e">
        <f t="shared" ca="1" si="18"/>
        <v>#N/A</v>
      </c>
      <c r="J68" s="14" t="e">
        <f t="shared" ca="1" si="18"/>
        <v>#N/A</v>
      </c>
      <c r="K68" s="14" t="e">
        <f t="shared" ca="1" si="18"/>
        <v>#N/A</v>
      </c>
      <c r="L68" s="14" t="e">
        <f t="shared" ca="1" si="18"/>
        <v>#N/A</v>
      </c>
      <c r="M68" s="14" t="e">
        <f t="shared" ca="1" si="18"/>
        <v>#N/A</v>
      </c>
      <c r="N68" s="14" t="e">
        <f t="shared" ca="1" si="18"/>
        <v>#N/A</v>
      </c>
      <c r="O68" s="14" t="e">
        <f t="shared" ca="1" si="18"/>
        <v>#N/A</v>
      </c>
      <c r="P68" s="14" t="e">
        <f t="shared" ca="1" si="18"/>
        <v>#N/A</v>
      </c>
      <c r="Q68" s="14" t="e">
        <f t="shared" ca="1" si="18"/>
        <v>#N/A</v>
      </c>
      <c r="R68" s="14" t="e">
        <f t="shared" ca="1" si="18"/>
        <v>#N/A</v>
      </c>
      <c r="S68" s="14" t="e">
        <f t="shared" ca="1" si="18"/>
        <v>#N/A</v>
      </c>
      <c r="T68" s="14" t="e">
        <f t="shared" ca="1" si="18"/>
        <v>#N/A</v>
      </c>
      <c r="U68" s="14" t="e">
        <f t="shared" ca="1" si="18"/>
        <v>#N/A</v>
      </c>
      <c r="V68" s="14" t="e">
        <f t="shared" ca="1" si="18"/>
        <v>#N/A</v>
      </c>
      <c r="W68" s="14" t="e">
        <f t="shared" ca="1" si="18"/>
        <v>#N/A</v>
      </c>
      <c r="X68" s="14" t="e">
        <f t="shared" ca="1" si="18"/>
        <v>#N/A</v>
      </c>
      <c r="Y68" s="14" t="e">
        <f t="shared" ca="1" si="18"/>
        <v>#N/A</v>
      </c>
      <c r="Z68" s="14" t="e">
        <f t="shared" ca="1" si="18"/>
        <v>#N/A</v>
      </c>
      <c r="AA68" s="14" t="e">
        <f t="shared" ca="1" si="18"/>
        <v>#N/A</v>
      </c>
      <c r="AB68" s="14" t="e">
        <f t="shared" ca="1" si="18"/>
        <v>#N/A</v>
      </c>
      <c r="AC68" s="14" t="e">
        <f t="shared" ca="1" si="18"/>
        <v>#N/A</v>
      </c>
      <c r="AD68" s="14" t="e">
        <f t="shared" ca="1" si="18"/>
        <v>#N/A</v>
      </c>
      <c r="AE68" s="14" t="e">
        <f t="shared" ca="1" si="18"/>
        <v>#N/A</v>
      </c>
      <c r="AF68" s="14" t="e">
        <f t="shared" ca="1" si="18"/>
        <v>#N/A</v>
      </c>
      <c r="AG68" s="14" t="e">
        <f t="shared" ca="1" si="18"/>
        <v>#N/A</v>
      </c>
      <c r="AH68" s="14" t="e">
        <f t="shared" ca="1" si="18"/>
        <v>#N/A</v>
      </c>
      <c r="AI68" s="14" t="e">
        <f t="shared" ca="1" si="18"/>
        <v>#N/A</v>
      </c>
      <c r="AJ68" s="14" t="e">
        <f t="shared" ca="1" si="18"/>
        <v>#N/A</v>
      </c>
      <c r="AK68" s="14" t="e">
        <f t="shared" ca="1" si="18"/>
        <v>#N/A</v>
      </c>
      <c r="AL68" s="14" t="e">
        <f t="shared" ca="1" si="18"/>
        <v>#N/A</v>
      </c>
    </row>
    <row r="69" spans="1:54" ht="21" hidden="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 t="e">
        <f t="shared" ca="1" si="20"/>
        <v>#N/A</v>
      </c>
      <c r="G69" s="14" t="e">
        <f t="shared" ca="1" si="18"/>
        <v>#N/A</v>
      </c>
      <c r="H69" s="14" t="e">
        <f t="shared" ca="1" si="18"/>
        <v>#N/A</v>
      </c>
      <c r="I69" s="14" t="e">
        <f t="shared" ca="1" si="18"/>
        <v>#N/A</v>
      </c>
      <c r="J69" s="14" t="e">
        <f t="shared" ca="1" si="18"/>
        <v>#N/A</v>
      </c>
      <c r="K69" s="14" t="e">
        <f t="shared" ca="1" si="18"/>
        <v>#N/A</v>
      </c>
      <c r="L69" s="14" t="e">
        <f t="shared" ca="1" si="18"/>
        <v>#N/A</v>
      </c>
      <c r="M69" s="14" t="e">
        <f t="shared" ca="1" si="18"/>
        <v>#N/A</v>
      </c>
      <c r="N69" s="14" t="e">
        <f t="shared" ca="1" si="18"/>
        <v>#N/A</v>
      </c>
      <c r="O69" s="14" t="e">
        <f t="shared" ca="1" si="18"/>
        <v>#N/A</v>
      </c>
      <c r="P69" s="14" t="e">
        <f t="shared" ca="1" si="18"/>
        <v>#N/A</v>
      </c>
      <c r="Q69" s="14" t="e">
        <f t="shared" ca="1" si="18"/>
        <v>#N/A</v>
      </c>
      <c r="R69" s="14" t="e">
        <f t="shared" ca="1" si="18"/>
        <v>#N/A</v>
      </c>
      <c r="S69" s="14" t="e">
        <f t="shared" ca="1" si="18"/>
        <v>#N/A</v>
      </c>
      <c r="T69" s="14" t="e">
        <f t="shared" ca="1" si="18"/>
        <v>#N/A</v>
      </c>
      <c r="U69" s="14" t="e">
        <f t="shared" ca="1" si="18"/>
        <v>#N/A</v>
      </c>
      <c r="V69" s="14" t="e">
        <f t="shared" ca="1" si="18"/>
        <v>#N/A</v>
      </c>
      <c r="W69" s="14" t="e">
        <f t="shared" ca="1" si="18"/>
        <v>#N/A</v>
      </c>
      <c r="X69" s="14" t="e">
        <f t="shared" ca="1" si="18"/>
        <v>#N/A</v>
      </c>
      <c r="Y69" s="14" t="e">
        <f t="shared" ca="1" si="18"/>
        <v>#N/A</v>
      </c>
      <c r="Z69" s="14" t="e">
        <f t="shared" ca="1" si="18"/>
        <v>#N/A</v>
      </c>
      <c r="AA69" s="14" t="e">
        <f t="shared" ca="1" si="18"/>
        <v>#N/A</v>
      </c>
      <c r="AB69" s="14" t="e">
        <f t="shared" ca="1" si="18"/>
        <v>#N/A</v>
      </c>
      <c r="AC69" s="14" t="e">
        <f t="shared" ca="1" si="18"/>
        <v>#N/A</v>
      </c>
      <c r="AD69" s="14" t="e">
        <f t="shared" ca="1" si="18"/>
        <v>#N/A</v>
      </c>
      <c r="AE69" s="14" t="e">
        <f t="shared" ca="1" si="18"/>
        <v>#N/A</v>
      </c>
      <c r="AF69" s="14" t="e">
        <f t="shared" ca="1" si="18"/>
        <v>#N/A</v>
      </c>
      <c r="AG69" s="14" t="e">
        <f t="shared" ca="1" si="18"/>
        <v>#N/A</v>
      </c>
      <c r="AH69" s="14" t="e">
        <f t="shared" ca="1" si="18"/>
        <v>#N/A</v>
      </c>
      <c r="AI69" s="14" t="e">
        <f t="shared" ca="1" si="18"/>
        <v>#N/A</v>
      </c>
      <c r="AJ69" s="14" t="e">
        <f t="shared" ca="1" si="18"/>
        <v>#N/A</v>
      </c>
      <c r="AK69" s="14" t="e">
        <f t="shared" ca="1" si="18"/>
        <v>#N/A</v>
      </c>
      <c r="AL69" s="14" t="e">
        <f t="shared" ca="1" si="18"/>
        <v>#N/A</v>
      </c>
    </row>
    <row r="70" spans="1:54" ht="21" hidden="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 t="e">
        <f t="shared" ca="1" si="20"/>
        <v>#N/A</v>
      </c>
      <c r="G70" s="14" t="e">
        <f t="shared" ca="1" si="18"/>
        <v>#N/A</v>
      </c>
      <c r="H70" s="14" t="e">
        <f t="shared" ca="1" si="18"/>
        <v>#N/A</v>
      </c>
      <c r="I70" s="14" t="e">
        <f t="shared" ca="1" si="18"/>
        <v>#N/A</v>
      </c>
      <c r="J70" s="14" t="e">
        <f t="shared" ca="1" si="18"/>
        <v>#N/A</v>
      </c>
      <c r="K70" s="14" t="e">
        <f t="shared" ca="1" si="18"/>
        <v>#N/A</v>
      </c>
      <c r="L70" s="14" t="e">
        <f t="shared" ca="1" si="18"/>
        <v>#N/A</v>
      </c>
      <c r="M70" s="14" t="e">
        <f t="shared" ca="1" si="18"/>
        <v>#N/A</v>
      </c>
      <c r="N70" s="14" t="e">
        <f t="shared" ca="1" si="18"/>
        <v>#N/A</v>
      </c>
      <c r="O70" s="14" t="e">
        <f t="shared" ca="1" si="18"/>
        <v>#N/A</v>
      </c>
      <c r="P70" s="14" t="e">
        <f t="shared" ca="1" si="18"/>
        <v>#N/A</v>
      </c>
      <c r="Q70" s="14" t="e">
        <f t="shared" ca="1" si="18"/>
        <v>#N/A</v>
      </c>
      <c r="R70" s="14" t="e">
        <f t="shared" ca="1" si="18"/>
        <v>#N/A</v>
      </c>
      <c r="S70" s="14" t="e">
        <f t="shared" ca="1" si="18"/>
        <v>#N/A</v>
      </c>
      <c r="T70" s="14" t="e">
        <f t="shared" ca="1" si="18"/>
        <v>#N/A</v>
      </c>
      <c r="U70" s="14" t="e">
        <f t="shared" ca="1" si="18"/>
        <v>#N/A</v>
      </c>
      <c r="V70" s="14" t="e">
        <f t="shared" ca="1" si="18"/>
        <v>#N/A</v>
      </c>
      <c r="W70" s="14" t="e">
        <f t="shared" ca="1" si="18"/>
        <v>#N/A</v>
      </c>
      <c r="X70" s="14" t="e">
        <f t="shared" ca="1" si="18"/>
        <v>#N/A</v>
      </c>
      <c r="Y70" s="14" t="e">
        <f t="shared" ca="1" si="18"/>
        <v>#N/A</v>
      </c>
      <c r="Z70" s="14" t="e">
        <f t="shared" ca="1" si="18"/>
        <v>#N/A</v>
      </c>
      <c r="AA70" s="14" t="e">
        <f t="shared" ca="1" si="18"/>
        <v>#N/A</v>
      </c>
      <c r="AB70" s="14" t="e">
        <f t="shared" ca="1" si="18"/>
        <v>#N/A</v>
      </c>
      <c r="AC70" s="14" t="e">
        <f t="shared" ca="1" si="18"/>
        <v>#N/A</v>
      </c>
      <c r="AD70" s="14" t="e">
        <f t="shared" ca="1" si="18"/>
        <v>#N/A</v>
      </c>
      <c r="AE70" s="14" t="e">
        <f t="shared" ca="1" si="18"/>
        <v>#N/A</v>
      </c>
      <c r="AF70" s="14" t="e">
        <f t="shared" ca="1" si="18"/>
        <v>#N/A</v>
      </c>
      <c r="AG70" s="14" t="e">
        <f t="shared" ca="1" si="18"/>
        <v>#N/A</v>
      </c>
      <c r="AH70" s="14" t="e">
        <f t="shared" ca="1" si="18"/>
        <v>#N/A</v>
      </c>
      <c r="AI70" s="14" t="e">
        <f t="shared" ca="1" si="18"/>
        <v>#N/A</v>
      </c>
      <c r="AJ70" s="14" t="e">
        <f t="shared" ca="1" si="18"/>
        <v>#N/A</v>
      </c>
      <c r="AK70" s="14" t="e">
        <f t="shared" ca="1" si="18"/>
        <v>#N/A</v>
      </c>
      <c r="AL70" s="14" t="e">
        <f t="shared" ca="1" si="18"/>
        <v>#N/A</v>
      </c>
    </row>
    <row r="71" spans="1:54" ht="21" hidden="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 t="e">
        <f t="shared" ca="1" si="20"/>
        <v>#N/A</v>
      </c>
      <c r="G71" s="14" t="e">
        <f t="shared" ca="1" si="18"/>
        <v>#N/A</v>
      </c>
      <c r="H71" s="14" t="e">
        <f t="shared" ca="1" si="18"/>
        <v>#N/A</v>
      </c>
      <c r="I71" s="14" t="e">
        <f t="shared" ca="1" si="18"/>
        <v>#N/A</v>
      </c>
      <c r="J71" s="14" t="e">
        <f t="shared" ca="1" si="18"/>
        <v>#N/A</v>
      </c>
      <c r="K71" s="14" t="e">
        <f t="shared" ca="1" si="18"/>
        <v>#N/A</v>
      </c>
      <c r="L71" s="14" t="e">
        <f t="shared" ca="1" si="18"/>
        <v>#N/A</v>
      </c>
      <c r="M71" s="14" t="e">
        <f t="shared" ca="1" si="18"/>
        <v>#N/A</v>
      </c>
      <c r="N71" s="14" t="e">
        <f t="shared" ca="1" si="18"/>
        <v>#N/A</v>
      </c>
      <c r="O71" s="14" t="e">
        <f t="shared" ca="1" si="18"/>
        <v>#N/A</v>
      </c>
      <c r="P71" s="14" t="e">
        <f t="shared" ca="1" si="18"/>
        <v>#N/A</v>
      </c>
      <c r="Q71" s="14" t="e">
        <f t="shared" ref="Q71:AL71" ca="1" si="21">$A71*H.Ar + $B71*H.Se + $C71*H.Ge + $D71*H.Ga</f>
        <v>#N/A</v>
      </c>
      <c r="R71" s="14" t="e">
        <f t="shared" ca="1" si="21"/>
        <v>#N/A</v>
      </c>
      <c r="S71" s="14" t="e">
        <f t="shared" ca="1" si="21"/>
        <v>#N/A</v>
      </c>
      <c r="T71" s="14" t="e">
        <f t="shared" ca="1" si="21"/>
        <v>#N/A</v>
      </c>
      <c r="U71" s="14" t="e">
        <f t="shared" ca="1" si="21"/>
        <v>#N/A</v>
      </c>
      <c r="V71" s="14" t="e">
        <f t="shared" ca="1" si="21"/>
        <v>#N/A</v>
      </c>
      <c r="W71" s="14" t="e">
        <f t="shared" ca="1" si="21"/>
        <v>#N/A</v>
      </c>
      <c r="X71" s="14" t="e">
        <f t="shared" ca="1" si="21"/>
        <v>#N/A</v>
      </c>
      <c r="Y71" s="14" t="e">
        <f t="shared" ca="1" si="21"/>
        <v>#N/A</v>
      </c>
      <c r="Z71" s="14" t="e">
        <f t="shared" ca="1" si="21"/>
        <v>#N/A</v>
      </c>
      <c r="AA71" s="14" t="e">
        <f t="shared" ca="1" si="21"/>
        <v>#N/A</v>
      </c>
      <c r="AB71" s="14" t="e">
        <f t="shared" ca="1" si="21"/>
        <v>#N/A</v>
      </c>
      <c r="AC71" s="14" t="e">
        <f t="shared" ca="1" si="21"/>
        <v>#N/A</v>
      </c>
      <c r="AD71" s="14" t="e">
        <f t="shared" ca="1" si="21"/>
        <v>#N/A</v>
      </c>
      <c r="AE71" s="14" t="e">
        <f t="shared" ca="1" si="21"/>
        <v>#N/A</v>
      </c>
      <c r="AF71" s="14" t="e">
        <f t="shared" ca="1" si="21"/>
        <v>#N/A</v>
      </c>
      <c r="AG71" s="14" t="e">
        <f t="shared" ca="1" si="21"/>
        <v>#N/A</v>
      </c>
      <c r="AH71" s="14" t="e">
        <f t="shared" ca="1" si="21"/>
        <v>#N/A</v>
      </c>
      <c r="AI71" s="14" t="e">
        <f t="shared" ca="1" si="21"/>
        <v>#N/A</v>
      </c>
      <c r="AJ71" s="14" t="e">
        <f t="shared" ca="1" si="21"/>
        <v>#N/A</v>
      </c>
      <c r="AK71" s="14" t="e">
        <f t="shared" ca="1" si="21"/>
        <v>#N/A</v>
      </c>
      <c r="AL71" s="14" t="e">
        <f t="shared" ca="1" si="21"/>
        <v>#N/A</v>
      </c>
    </row>
    <row r="72" spans="1:54" ht="21" hidden="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 t="e">
        <f t="shared" ca="1" si="20"/>
        <v>#N/A</v>
      </c>
      <c r="G72" s="14" t="e">
        <f t="shared" ref="G72:AL74" ca="1" si="22">$A72*H.Ar + $B72*H.Se + $C72*H.Ge + $D72*H.Ga</f>
        <v>#N/A</v>
      </c>
      <c r="H72" s="14" t="e">
        <f t="shared" ca="1" si="22"/>
        <v>#N/A</v>
      </c>
      <c r="I72" s="14" t="e">
        <f t="shared" ca="1" si="22"/>
        <v>#N/A</v>
      </c>
      <c r="J72" s="14" t="e">
        <f t="shared" ca="1" si="22"/>
        <v>#N/A</v>
      </c>
      <c r="K72" s="14" t="e">
        <f t="shared" ca="1" si="22"/>
        <v>#N/A</v>
      </c>
      <c r="L72" s="14" t="e">
        <f t="shared" ca="1" si="22"/>
        <v>#N/A</v>
      </c>
      <c r="M72" s="14" t="e">
        <f t="shared" ca="1" si="22"/>
        <v>#N/A</v>
      </c>
      <c r="N72" s="14" t="e">
        <f t="shared" ca="1" si="22"/>
        <v>#N/A</v>
      </c>
      <c r="O72" s="14" t="e">
        <f t="shared" ca="1" si="22"/>
        <v>#N/A</v>
      </c>
      <c r="P72" s="14" t="e">
        <f t="shared" ca="1" si="22"/>
        <v>#N/A</v>
      </c>
      <c r="Q72" s="14" t="e">
        <f t="shared" ca="1" si="22"/>
        <v>#N/A</v>
      </c>
      <c r="R72" s="14" t="e">
        <f t="shared" ca="1" si="22"/>
        <v>#N/A</v>
      </c>
      <c r="S72" s="14" t="e">
        <f t="shared" ca="1" si="22"/>
        <v>#N/A</v>
      </c>
      <c r="T72" s="14" t="e">
        <f t="shared" ca="1" si="22"/>
        <v>#N/A</v>
      </c>
      <c r="U72" s="14" t="e">
        <f t="shared" ca="1" si="22"/>
        <v>#N/A</v>
      </c>
      <c r="V72" s="14" t="e">
        <f t="shared" ca="1" si="22"/>
        <v>#N/A</v>
      </c>
      <c r="W72" s="14" t="e">
        <f t="shared" ca="1" si="22"/>
        <v>#N/A</v>
      </c>
      <c r="X72" s="14" t="e">
        <f t="shared" ca="1" si="22"/>
        <v>#N/A</v>
      </c>
      <c r="Y72" s="14" t="e">
        <f t="shared" ca="1" si="22"/>
        <v>#N/A</v>
      </c>
      <c r="Z72" s="14" t="e">
        <f t="shared" ca="1" si="22"/>
        <v>#N/A</v>
      </c>
      <c r="AA72" s="14" t="e">
        <f t="shared" ca="1" si="22"/>
        <v>#N/A</v>
      </c>
      <c r="AB72" s="14" t="e">
        <f t="shared" ca="1" si="22"/>
        <v>#N/A</v>
      </c>
      <c r="AC72" s="14" t="e">
        <f t="shared" ca="1" si="22"/>
        <v>#N/A</v>
      </c>
      <c r="AD72" s="14" t="e">
        <f t="shared" ca="1" si="22"/>
        <v>#N/A</v>
      </c>
      <c r="AE72" s="14" t="e">
        <f t="shared" ca="1" si="22"/>
        <v>#N/A</v>
      </c>
      <c r="AF72" s="14" t="e">
        <f t="shared" ca="1" si="22"/>
        <v>#N/A</v>
      </c>
      <c r="AG72" s="14" t="e">
        <f t="shared" ca="1" si="22"/>
        <v>#N/A</v>
      </c>
      <c r="AH72" s="14" t="e">
        <f t="shared" ca="1" si="22"/>
        <v>#N/A</v>
      </c>
      <c r="AI72" s="14" t="e">
        <f t="shared" ca="1" si="22"/>
        <v>#N/A</v>
      </c>
      <c r="AJ72" s="14" t="e">
        <f t="shared" ca="1" si="22"/>
        <v>#N/A</v>
      </c>
      <c r="AK72" s="14" t="e">
        <f t="shared" ca="1" si="22"/>
        <v>#N/A</v>
      </c>
      <c r="AL72" s="14" t="e">
        <f t="shared" ca="1" si="22"/>
        <v>#N/A</v>
      </c>
    </row>
    <row r="73" spans="1:54" ht="21" hidden="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 t="e">
        <f t="shared" ca="1" si="20"/>
        <v>#N/A</v>
      </c>
      <c r="G73" s="14" t="e">
        <f t="shared" ca="1" si="22"/>
        <v>#N/A</v>
      </c>
      <c r="H73" s="14" t="e">
        <f t="shared" ca="1" si="22"/>
        <v>#N/A</v>
      </c>
      <c r="I73" s="14" t="e">
        <f t="shared" ca="1" si="22"/>
        <v>#N/A</v>
      </c>
      <c r="J73" s="14" t="e">
        <f t="shared" ca="1" si="22"/>
        <v>#N/A</v>
      </c>
      <c r="K73" s="14" t="e">
        <f t="shared" ca="1" si="22"/>
        <v>#N/A</v>
      </c>
      <c r="L73" s="14" t="e">
        <f t="shared" ca="1" si="22"/>
        <v>#N/A</v>
      </c>
      <c r="M73" s="14" t="e">
        <f t="shared" ca="1" si="22"/>
        <v>#N/A</v>
      </c>
      <c r="N73" s="14" t="e">
        <f t="shared" ca="1" si="22"/>
        <v>#N/A</v>
      </c>
      <c r="O73" s="14" t="e">
        <f t="shared" ca="1" si="22"/>
        <v>#N/A</v>
      </c>
      <c r="P73" s="14" t="e">
        <f t="shared" ca="1" si="22"/>
        <v>#N/A</v>
      </c>
      <c r="Q73" s="14" t="e">
        <f t="shared" ca="1" si="22"/>
        <v>#N/A</v>
      </c>
      <c r="R73" s="14" t="e">
        <f t="shared" ca="1" si="22"/>
        <v>#N/A</v>
      </c>
      <c r="S73" s="14" t="e">
        <f t="shared" ca="1" si="22"/>
        <v>#N/A</v>
      </c>
      <c r="T73" s="14" t="e">
        <f t="shared" ca="1" si="22"/>
        <v>#N/A</v>
      </c>
      <c r="U73" s="14" t="e">
        <f t="shared" ca="1" si="22"/>
        <v>#N/A</v>
      </c>
      <c r="V73" s="14" t="e">
        <f t="shared" ca="1" si="22"/>
        <v>#N/A</v>
      </c>
      <c r="W73" s="14" t="e">
        <f t="shared" ca="1" si="22"/>
        <v>#N/A</v>
      </c>
      <c r="X73" s="14" t="e">
        <f t="shared" ca="1" si="22"/>
        <v>#N/A</v>
      </c>
      <c r="Y73" s="14" t="e">
        <f t="shared" ca="1" si="22"/>
        <v>#N/A</v>
      </c>
      <c r="Z73" s="14" t="e">
        <f t="shared" ca="1" si="22"/>
        <v>#N/A</v>
      </c>
      <c r="AA73" s="14" t="e">
        <f t="shared" ca="1" si="22"/>
        <v>#N/A</v>
      </c>
      <c r="AB73" s="14" t="e">
        <f t="shared" ca="1" si="22"/>
        <v>#N/A</v>
      </c>
      <c r="AC73" s="14" t="e">
        <f t="shared" ca="1" si="22"/>
        <v>#N/A</v>
      </c>
      <c r="AD73" s="14" t="e">
        <f t="shared" ca="1" si="22"/>
        <v>#N/A</v>
      </c>
      <c r="AE73" s="14" t="e">
        <f t="shared" ca="1" si="22"/>
        <v>#N/A</v>
      </c>
      <c r="AF73" s="14" t="e">
        <f t="shared" ca="1" si="22"/>
        <v>#N/A</v>
      </c>
      <c r="AG73" s="14" t="e">
        <f t="shared" ca="1" si="22"/>
        <v>#N/A</v>
      </c>
      <c r="AH73" s="14" t="e">
        <f t="shared" ca="1" si="22"/>
        <v>#N/A</v>
      </c>
      <c r="AI73" s="14" t="e">
        <f t="shared" ca="1" si="22"/>
        <v>#N/A</v>
      </c>
      <c r="AJ73" s="14" t="e">
        <f t="shared" ca="1" si="22"/>
        <v>#N/A</v>
      </c>
      <c r="AK73" s="14" t="e">
        <f t="shared" ca="1" si="22"/>
        <v>#N/A</v>
      </c>
      <c r="AL73" s="14" t="e">
        <f t="shared" ca="1" si="22"/>
        <v>#N/A</v>
      </c>
    </row>
    <row r="74" spans="1:54" ht="21" hidden="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 t="e">
        <f t="shared" ca="1" si="20"/>
        <v>#N/A</v>
      </c>
      <c r="G74" s="14" t="e">
        <f t="shared" ca="1" si="22"/>
        <v>#N/A</v>
      </c>
      <c r="H74" s="14" t="e">
        <f t="shared" ca="1" si="22"/>
        <v>#N/A</v>
      </c>
      <c r="I74" s="14" t="e">
        <f t="shared" ca="1" si="22"/>
        <v>#N/A</v>
      </c>
      <c r="J74" s="14" t="e">
        <f t="shared" ca="1" si="22"/>
        <v>#N/A</v>
      </c>
      <c r="K74" s="14" t="e">
        <f t="shared" ca="1" si="22"/>
        <v>#N/A</v>
      </c>
      <c r="L74" s="14" t="e">
        <f t="shared" ca="1" si="22"/>
        <v>#N/A</v>
      </c>
      <c r="M74" s="14" t="e">
        <f t="shared" ca="1" si="22"/>
        <v>#N/A</v>
      </c>
      <c r="N74" s="14" t="e">
        <f t="shared" ca="1" si="22"/>
        <v>#N/A</v>
      </c>
      <c r="O74" s="14" t="e">
        <f t="shared" ca="1" si="22"/>
        <v>#N/A</v>
      </c>
      <c r="P74" s="14" t="e">
        <f t="shared" ca="1" si="22"/>
        <v>#N/A</v>
      </c>
      <c r="Q74" s="14" t="e">
        <f t="shared" ca="1" si="22"/>
        <v>#N/A</v>
      </c>
      <c r="R74" s="14" t="e">
        <f t="shared" ca="1" si="22"/>
        <v>#N/A</v>
      </c>
      <c r="S74" s="14" t="e">
        <f t="shared" ca="1" si="22"/>
        <v>#N/A</v>
      </c>
      <c r="T74" s="14" t="e">
        <f t="shared" ca="1" si="22"/>
        <v>#N/A</v>
      </c>
      <c r="U74" s="14" t="e">
        <f t="shared" ca="1" si="22"/>
        <v>#N/A</v>
      </c>
      <c r="V74" s="14" t="e">
        <f t="shared" ca="1" si="22"/>
        <v>#N/A</v>
      </c>
      <c r="W74" s="14" t="e">
        <f t="shared" ca="1" si="22"/>
        <v>#N/A</v>
      </c>
      <c r="X74" s="14" t="e">
        <f t="shared" ca="1" si="22"/>
        <v>#N/A</v>
      </c>
      <c r="Y74" s="14" t="e">
        <f t="shared" ca="1" si="22"/>
        <v>#N/A</v>
      </c>
      <c r="Z74" s="14" t="e">
        <f t="shared" ca="1" si="22"/>
        <v>#N/A</v>
      </c>
      <c r="AA74" s="14" t="e">
        <f t="shared" ca="1" si="22"/>
        <v>#N/A</v>
      </c>
      <c r="AB74" s="14" t="e">
        <f t="shared" ca="1" si="22"/>
        <v>#N/A</v>
      </c>
      <c r="AC74" s="14" t="e">
        <f t="shared" ca="1" si="22"/>
        <v>#N/A</v>
      </c>
      <c r="AD74" s="14" t="e">
        <f t="shared" ca="1" si="22"/>
        <v>#N/A</v>
      </c>
      <c r="AE74" s="14" t="e">
        <f t="shared" ca="1" si="22"/>
        <v>#N/A</v>
      </c>
      <c r="AF74" s="14" t="e">
        <f t="shared" ca="1" si="22"/>
        <v>#N/A</v>
      </c>
      <c r="AG74" s="14" t="e">
        <f t="shared" ca="1" si="22"/>
        <v>#N/A</v>
      </c>
      <c r="AH74" s="14" t="e">
        <f t="shared" ca="1" si="22"/>
        <v>#N/A</v>
      </c>
      <c r="AI74" s="14" t="e">
        <f t="shared" ca="1" si="22"/>
        <v>#N/A</v>
      </c>
      <c r="AJ74" s="14" t="e">
        <f t="shared" ca="1" si="22"/>
        <v>#N/A</v>
      </c>
      <c r="AK74" s="14" t="e">
        <f t="shared" ca="1" si="22"/>
        <v>#N/A</v>
      </c>
      <c r="AL74" s="14" t="e">
        <f t="shared" ca="1" si="22"/>
        <v>#N/A</v>
      </c>
    </row>
    <row r="75" spans="1:54" ht="21" hidden="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8"/>
      <c r="B78" s="88"/>
      <c r="C78" s="89" t="e">
        <f>E41</f>
        <v>#DIV/0!</v>
      </c>
      <c r="D78" s="75"/>
      <c r="E78" s="74" t="s">
        <v>22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3">E45</f>
        <v>0</v>
      </c>
      <c r="F79" s="3">
        <f t="shared" ref="F79:AL79" si="24">F3</f>
        <v>0</v>
      </c>
      <c r="G79" s="3">
        <f t="shared" si="24"/>
        <v>0</v>
      </c>
      <c r="H79" s="3">
        <f t="shared" si="24"/>
        <v>0</v>
      </c>
      <c r="I79" s="3">
        <f t="shared" si="24"/>
        <v>0</v>
      </c>
      <c r="J79" s="3">
        <f t="shared" si="24"/>
        <v>0</v>
      </c>
      <c r="K79" s="3">
        <f t="shared" si="24"/>
        <v>0</v>
      </c>
      <c r="L79" s="3">
        <f t="shared" si="24"/>
        <v>0</v>
      </c>
      <c r="M79" s="3">
        <f t="shared" si="24"/>
        <v>0</v>
      </c>
      <c r="N79" s="3">
        <f t="shared" si="24"/>
        <v>0</v>
      </c>
      <c r="O79" s="3">
        <f t="shared" si="24"/>
        <v>0</v>
      </c>
      <c r="P79" s="3">
        <f t="shared" si="24"/>
        <v>0</v>
      </c>
      <c r="Q79" s="3">
        <f t="shared" si="24"/>
        <v>0</v>
      </c>
      <c r="R79" s="3">
        <f t="shared" si="24"/>
        <v>0</v>
      </c>
      <c r="S79" s="3">
        <f t="shared" si="24"/>
        <v>0</v>
      </c>
      <c r="T79" s="3">
        <f t="shared" si="24"/>
        <v>0</v>
      </c>
      <c r="U79" s="3">
        <f t="shared" si="24"/>
        <v>0</v>
      </c>
      <c r="V79" s="3">
        <f t="shared" si="24"/>
        <v>0</v>
      </c>
      <c r="W79" s="3">
        <f t="shared" si="24"/>
        <v>0</v>
      </c>
      <c r="X79" s="3">
        <f t="shared" si="24"/>
        <v>0</v>
      </c>
      <c r="Y79" s="3">
        <f t="shared" si="24"/>
        <v>0</v>
      </c>
      <c r="Z79" s="3">
        <f t="shared" si="24"/>
        <v>0</v>
      </c>
      <c r="AA79" s="3">
        <f t="shared" si="24"/>
        <v>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5">B46</f>
        <v>0</v>
      </c>
      <c r="C80" s="5">
        <f t="shared" si="25"/>
        <v>0</v>
      </c>
      <c r="D80" s="5">
        <f t="shared" si="25"/>
        <v>0</v>
      </c>
      <c r="E80" s="6">
        <f t="shared" si="23"/>
        <v>0</v>
      </c>
      <c r="F80" s="14" t="e">
        <f t="shared" ref="F80:AL80" si="26">F4*$C$78</f>
        <v>#DIV/0!</v>
      </c>
      <c r="G80" s="14" t="e">
        <f t="shared" si="26"/>
        <v>#DIV/0!</v>
      </c>
      <c r="H80" s="14" t="e">
        <f t="shared" si="26"/>
        <v>#DIV/0!</v>
      </c>
      <c r="I80" s="14" t="e">
        <f t="shared" si="26"/>
        <v>#DIV/0!</v>
      </c>
      <c r="J80" s="14" t="e">
        <f t="shared" si="26"/>
        <v>#DIV/0!</v>
      </c>
      <c r="K80" s="14" t="e">
        <f t="shared" si="26"/>
        <v>#DIV/0!</v>
      </c>
      <c r="L80" s="14" t="e">
        <f t="shared" si="26"/>
        <v>#DIV/0!</v>
      </c>
      <c r="M80" s="14" t="e">
        <f t="shared" si="26"/>
        <v>#DIV/0!</v>
      </c>
      <c r="N80" s="14" t="e">
        <f t="shared" si="26"/>
        <v>#DIV/0!</v>
      </c>
      <c r="O80" s="14" t="e">
        <f t="shared" si="26"/>
        <v>#DIV/0!</v>
      </c>
      <c r="P80" s="14" t="e">
        <f t="shared" si="26"/>
        <v>#DIV/0!</v>
      </c>
      <c r="Q80" s="14" t="e">
        <f t="shared" si="26"/>
        <v>#DIV/0!</v>
      </c>
      <c r="R80" s="14" t="e">
        <f t="shared" si="26"/>
        <v>#DIV/0!</v>
      </c>
      <c r="S80" s="14" t="e">
        <f t="shared" si="26"/>
        <v>#DIV/0!</v>
      </c>
      <c r="T80" s="14" t="e">
        <f t="shared" si="26"/>
        <v>#DIV/0!</v>
      </c>
      <c r="U80" s="14" t="e">
        <f t="shared" si="26"/>
        <v>#DIV/0!</v>
      </c>
      <c r="V80" s="14" t="e">
        <f t="shared" si="26"/>
        <v>#DIV/0!</v>
      </c>
      <c r="W80" s="14" t="e">
        <f t="shared" si="26"/>
        <v>#DIV/0!</v>
      </c>
      <c r="X80" s="14" t="e">
        <f t="shared" si="26"/>
        <v>#DIV/0!</v>
      </c>
      <c r="Y80" s="14" t="e">
        <f t="shared" si="26"/>
        <v>#DIV/0!</v>
      </c>
      <c r="Z80" s="14" t="e">
        <f t="shared" si="26"/>
        <v>#DIV/0!</v>
      </c>
      <c r="AA80" s="14" t="e">
        <f t="shared" si="26"/>
        <v>#DIV/0!</v>
      </c>
      <c r="AB80" s="14" t="e">
        <f t="shared" si="26"/>
        <v>#DIV/0!</v>
      </c>
      <c r="AC80" s="14" t="e">
        <f t="shared" si="26"/>
        <v>#DIV/0!</v>
      </c>
      <c r="AD80" s="14" t="e">
        <f t="shared" si="26"/>
        <v>#DIV/0!</v>
      </c>
      <c r="AE80" s="14" t="e">
        <f t="shared" si="26"/>
        <v>#DIV/0!</v>
      </c>
      <c r="AF80" s="14" t="e">
        <f t="shared" si="26"/>
        <v>#DIV/0!</v>
      </c>
      <c r="AG80" s="14" t="e">
        <f t="shared" si="26"/>
        <v>#DIV/0!</v>
      </c>
      <c r="AH80" s="14" t="e">
        <f t="shared" si="26"/>
        <v>#DIV/0!</v>
      </c>
      <c r="AI80" s="14" t="e">
        <f t="shared" si="26"/>
        <v>#DIV/0!</v>
      </c>
      <c r="AJ80" s="14" t="e">
        <f t="shared" si="26"/>
        <v>#DIV/0!</v>
      </c>
      <c r="AK80" s="14" t="e">
        <f t="shared" si="26"/>
        <v>#DIV/0!</v>
      </c>
      <c r="AL80" s="14" t="e">
        <f t="shared" si="26"/>
        <v>#DIV/0!</v>
      </c>
    </row>
    <row r="81" spans="1:38" ht="21" hidden="1" customHeight="1" outlineLevel="1" thickBot="1" x14ac:dyDescent="0.4">
      <c r="A81" s="5">
        <f t="shared" ref="A81:D96" si="27">A47</f>
        <v>0</v>
      </c>
      <c r="B81" s="5">
        <f t="shared" si="27"/>
        <v>0</v>
      </c>
      <c r="C81" s="5">
        <f t="shared" si="27"/>
        <v>0</v>
      </c>
      <c r="D81" s="5">
        <f t="shared" si="27"/>
        <v>0</v>
      </c>
      <c r="E81" s="6">
        <f t="shared" si="23"/>
        <v>0</v>
      </c>
      <c r="F81" s="14" t="e">
        <f t="shared" ref="F81:AL81" si="28">F5*$C$78</f>
        <v>#DIV/0!</v>
      </c>
      <c r="G81" s="14" t="e">
        <f t="shared" si="28"/>
        <v>#DIV/0!</v>
      </c>
      <c r="H81" s="14" t="e">
        <f t="shared" si="28"/>
        <v>#DIV/0!</v>
      </c>
      <c r="I81" s="14" t="e">
        <f t="shared" si="28"/>
        <v>#DIV/0!</v>
      </c>
      <c r="J81" s="14" t="e">
        <f t="shared" si="28"/>
        <v>#DIV/0!</v>
      </c>
      <c r="K81" s="14" t="e">
        <f t="shared" si="28"/>
        <v>#DIV/0!</v>
      </c>
      <c r="L81" s="14" t="e">
        <f t="shared" si="28"/>
        <v>#DIV/0!</v>
      </c>
      <c r="M81" s="14" t="e">
        <f t="shared" si="28"/>
        <v>#DIV/0!</v>
      </c>
      <c r="N81" s="14" t="e">
        <f t="shared" si="28"/>
        <v>#DIV/0!</v>
      </c>
      <c r="O81" s="14" t="e">
        <f t="shared" si="28"/>
        <v>#DIV/0!</v>
      </c>
      <c r="P81" s="14" t="e">
        <f t="shared" si="28"/>
        <v>#DIV/0!</v>
      </c>
      <c r="Q81" s="14" t="e">
        <f t="shared" si="28"/>
        <v>#DIV/0!</v>
      </c>
      <c r="R81" s="14" t="e">
        <f t="shared" si="28"/>
        <v>#DIV/0!</v>
      </c>
      <c r="S81" s="14" t="e">
        <f t="shared" si="28"/>
        <v>#DIV/0!</v>
      </c>
      <c r="T81" s="14" t="e">
        <f t="shared" si="28"/>
        <v>#DIV/0!</v>
      </c>
      <c r="U81" s="14" t="e">
        <f t="shared" si="28"/>
        <v>#DIV/0!</v>
      </c>
      <c r="V81" s="14" t="e">
        <f t="shared" si="28"/>
        <v>#DIV/0!</v>
      </c>
      <c r="W81" s="14" t="e">
        <f t="shared" si="28"/>
        <v>#DIV/0!</v>
      </c>
      <c r="X81" s="14" t="e">
        <f t="shared" si="28"/>
        <v>#DIV/0!</v>
      </c>
      <c r="Y81" s="14" t="e">
        <f t="shared" si="28"/>
        <v>#DIV/0!</v>
      </c>
      <c r="Z81" s="14" t="e">
        <f t="shared" si="28"/>
        <v>#DIV/0!</v>
      </c>
      <c r="AA81" s="14" t="e">
        <f t="shared" si="28"/>
        <v>#DIV/0!</v>
      </c>
      <c r="AB81" s="14" t="e">
        <f t="shared" si="28"/>
        <v>#DIV/0!</v>
      </c>
      <c r="AC81" s="14" t="e">
        <f t="shared" si="28"/>
        <v>#DIV/0!</v>
      </c>
      <c r="AD81" s="14" t="e">
        <f t="shared" si="28"/>
        <v>#DIV/0!</v>
      </c>
      <c r="AE81" s="14" t="e">
        <f t="shared" si="28"/>
        <v>#DIV/0!</v>
      </c>
      <c r="AF81" s="14" t="e">
        <f t="shared" si="28"/>
        <v>#DIV/0!</v>
      </c>
      <c r="AG81" s="14" t="e">
        <f t="shared" si="28"/>
        <v>#DIV/0!</v>
      </c>
      <c r="AH81" s="14" t="e">
        <f t="shared" si="28"/>
        <v>#DIV/0!</v>
      </c>
      <c r="AI81" s="14" t="e">
        <f t="shared" si="28"/>
        <v>#DIV/0!</v>
      </c>
      <c r="AJ81" s="14" t="e">
        <f t="shared" si="28"/>
        <v>#DIV/0!</v>
      </c>
      <c r="AK81" s="14" t="e">
        <f t="shared" si="28"/>
        <v>#DIV/0!</v>
      </c>
      <c r="AL81" s="14" t="e">
        <f t="shared" si="28"/>
        <v>#DIV/0!</v>
      </c>
    </row>
    <row r="82" spans="1:38" ht="21" hidden="1" customHeight="1" outlineLevel="1" thickBot="1" x14ac:dyDescent="0.4">
      <c r="A82" s="5">
        <f t="shared" si="27"/>
        <v>0</v>
      </c>
      <c r="B82" s="5">
        <f t="shared" si="27"/>
        <v>0</v>
      </c>
      <c r="C82" s="5">
        <f t="shared" si="27"/>
        <v>0</v>
      </c>
      <c r="D82" s="5">
        <f t="shared" si="27"/>
        <v>0</v>
      </c>
      <c r="E82" s="6">
        <f t="shared" si="23"/>
        <v>0</v>
      </c>
      <c r="F82" s="14" t="e">
        <f t="shared" ref="F82:AL82" si="29">F6*$C$78</f>
        <v>#DIV/0!</v>
      </c>
      <c r="G82" s="14" t="e">
        <f t="shared" si="29"/>
        <v>#DIV/0!</v>
      </c>
      <c r="H82" s="14" t="e">
        <f t="shared" si="29"/>
        <v>#DIV/0!</v>
      </c>
      <c r="I82" s="14" t="e">
        <f t="shared" si="29"/>
        <v>#DIV/0!</v>
      </c>
      <c r="J82" s="14" t="e">
        <f t="shared" si="29"/>
        <v>#DIV/0!</v>
      </c>
      <c r="K82" s="14" t="e">
        <f t="shared" si="29"/>
        <v>#DIV/0!</v>
      </c>
      <c r="L82" s="14" t="e">
        <f t="shared" si="29"/>
        <v>#DIV/0!</v>
      </c>
      <c r="M82" s="14" t="e">
        <f t="shared" si="29"/>
        <v>#DIV/0!</v>
      </c>
      <c r="N82" s="14" t="e">
        <f t="shared" si="29"/>
        <v>#DIV/0!</v>
      </c>
      <c r="O82" s="14" t="e">
        <f t="shared" si="29"/>
        <v>#DIV/0!</v>
      </c>
      <c r="P82" s="14" t="e">
        <f t="shared" si="29"/>
        <v>#DIV/0!</v>
      </c>
      <c r="Q82" s="14" t="e">
        <f t="shared" si="29"/>
        <v>#DIV/0!</v>
      </c>
      <c r="R82" s="14" t="e">
        <f t="shared" si="29"/>
        <v>#DIV/0!</v>
      </c>
      <c r="S82" s="14" t="e">
        <f t="shared" si="29"/>
        <v>#DIV/0!</v>
      </c>
      <c r="T82" s="14" t="e">
        <f t="shared" si="29"/>
        <v>#DIV/0!</v>
      </c>
      <c r="U82" s="14" t="e">
        <f t="shared" si="29"/>
        <v>#DIV/0!</v>
      </c>
      <c r="V82" s="14" t="e">
        <f t="shared" si="29"/>
        <v>#DIV/0!</v>
      </c>
      <c r="W82" s="14" t="e">
        <f t="shared" si="29"/>
        <v>#DIV/0!</v>
      </c>
      <c r="X82" s="14" t="e">
        <f t="shared" si="29"/>
        <v>#DIV/0!</v>
      </c>
      <c r="Y82" s="14" t="e">
        <f t="shared" si="29"/>
        <v>#DIV/0!</v>
      </c>
      <c r="Z82" s="14" t="e">
        <f t="shared" si="29"/>
        <v>#DIV/0!</v>
      </c>
      <c r="AA82" s="14" t="e">
        <f t="shared" si="29"/>
        <v>#DIV/0!</v>
      </c>
      <c r="AB82" s="14" t="e">
        <f t="shared" si="29"/>
        <v>#DIV/0!</v>
      </c>
      <c r="AC82" s="14" t="e">
        <f t="shared" si="29"/>
        <v>#DIV/0!</v>
      </c>
      <c r="AD82" s="14" t="e">
        <f t="shared" si="29"/>
        <v>#DIV/0!</v>
      </c>
      <c r="AE82" s="14" t="e">
        <f t="shared" si="29"/>
        <v>#DIV/0!</v>
      </c>
      <c r="AF82" s="14" t="e">
        <f t="shared" si="29"/>
        <v>#DIV/0!</v>
      </c>
      <c r="AG82" s="14" t="e">
        <f t="shared" si="29"/>
        <v>#DIV/0!</v>
      </c>
      <c r="AH82" s="14" t="e">
        <f t="shared" si="29"/>
        <v>#DIV/0!</v>
      </c>
      <c r="AI82" s="14" t="e">
        <f t="shared" si="29"/>
        <v>#DIV/0!</v>
      </c>
      <c r="AJ82" s="14" t="e">
        <f t="shared" si="29"/>
        <v>#DIV/0!</v>
      </c>
      <c r="AK82" s="14" t="e">
        <f t="shared" si="29"/>
        <v>#DIV/0!</v>
      </c>
      <c r="AL82" s="14" t="e">
        <f t="shared" si="29"/>
        <v>#DIV/0!</v>
      </c>
    </row>
    <row r="83" spans="1:38" ht="21" hidden="1" customHeight="1" outlineLevel="1" thickBot="1" x14ac:dyDescent="0.4">
      <c r="A83" s="5">
        <f t="shared" si="27"/>
        <v>0</v>
      </c>
      <c r="B83" s="5">
        <f t="shared" si="27"/>
        <v>0</v>
      </c>
      <c r="C83" s="5">
        <f t="shared" si="27"/>
        <v>0</v>
      </c>
      <c r="D83" s="5">
        <f t="shared" si="27"/>
        <v>0</v>
      </c>
      <c r="E83" s="6">
        <f t="shared" si="23"/>
        <v>0</v>
      </c>
      <c r="F83" s="14" t="e">
        <f t="shared" ref="F83:AL83" si="30">F7*$C$78</f>
        <v>#DIV/0!</v>
      </c>
      <c r="G83" s="14" t="e">
        <f t="shared" si="30"/>
        <v>#DIV/0!</v>
      </c>
      <c r="H83" s="14" t="e">
        <f t="shared" si="30"/>
        <v>#DIV/0!</v>
      </c>
      <c r="I83" s="14" t="e">
        <f t="shared" si="30"/>
        <v>#DIV/0!</v>
      </c>
      <c r="J83" s="14" t="e">
        <f t="shared" si="30"/>
        <v>#DIV/0!</v>
      </c>
      <c r="K83" s="14" t="e">
        <f t="shared" si="30"/>
        <v>#DIV/0!</v>
      </c>
      <c r="L83" s="14" t="e">
        <f t="shared" si="30"/>
        <v>#DIV/0!</v>
      </c>
      <c r="M83" s="14" t="e">
        <f t="shared" si="30"/>
        <v>#DIV/0!</v>
      </c>
      <c r="N83" s="14" t="e">
        <f t="shared" si="30"/>
        <v>#DIV/0!</v>
      </c>
      <c r="O83" s="14" t="e">
        <f t="shared" si="30"/>
        <v>#DIV/0!</v>
      </c>
      <c r="P83" s="14" t="e">
        <f t="shared" si="30"/>
        <v>#DIV/0!</v>
      </c>
      <c r="Q83" s="14" t="e">
        <f t="shared" si="30"/>
        <v>#DIV/0!</v>
      </c>
      <c r="R83" s="14" t="e">
        <f t="shared" si="30"/>
        <v>#DIV/0!</v>
      </c>
      <c r="S83" s="14" t="e">
        <f t="shared" si="30"/>
        <v>#DIV/0!</v>
      </c>
      <c r="T83" s="14" t="e">
        <f t="shared" si="30"/>
        <v>#DIV/0!</v>
      </c>
      <c r="U83" s="14" t="e">
        <f t="shared" si="30"/>
        <v>#DIV/0!</v>
      </c>
      <c r="V83" s="14" t="e">
        <f t="shared" si="30"/>
        <v>#DIV/0!</v>
      </c>
      <c r="W83" s="14" t="e">
        <f t="shared" si="30"/>
        <v>#DIV/0!</v>
      </c>
      <c r="X83" s="14" t="e">
        <f t="shared" si="30"/>
        <v>#DIV/0!</v>
      </c>
      <c r="Y83" s="14" t="e">
        <f t="shared" si="30"/>
        <v>#DIV/0!</v>
      </c>
      <c r="Z83" s="14" t="e">
        <f t="shared" si="30"/>
        <v>#DIV/0!</v>
      </c>
      <c r="AA83" s="14" t="e">
        <f t="shared" si="30"/>
        <v>#DIV/0!</v>
      </c>
      <c r="AB83" s="14" t="e">
        <f t="shared" si="30"/>
        <v>#DIV/0!</v>
      </c>
      <c r="AC83" s="14" t="e">
        <f t="shared" si="30"/>
        <v>#DIV/0!</v>
      </c>
      <c r="AD83" s="14" t="e">
        <f t="shared" si="30"/>
        <v>#DIV/0!</v>
      </c>
      <c r="AE83" s="14" t="e">
        <f t="shared" si="30"/>
        <v>#DIV/0!</v>
      </c>
      <c r="AF83" s="14" t="e">
        <f t="shared" si="30"/>
        <v>#DIV/0!</v>
      </c>
      <c r="AG83" s="14" t="e">
        <f t="shared" si="30"/>
        <v>#DIV/0!</v>
      </c>
      <c r="AH83" s="14" t="e">
        <f t="shared" si="30"/>
        <v>#DIV/0!</v>
      </c>
      <c r="AI83" s="14" t="e">
        <f t="shared" si="30"/>
        <v>#DIV/0!</v>
      </c>
      <c r="AJ83" s="14" t="e">
        <f t="shared" si="30"/>
        <v>#DIV/0!</v>
      </c>
      <c r="AK83" s="14" t="e">
        <f t="shared" si="30"/>
        <v>#DIV/0!</v>
      </c>
      <c r="AL83" s="14" t="e">
        <f t="shared" si="30"/>
        <v>#DIV/0!</v>
      </c>
    </row>
    <row r="84" spans="1:38" ht="21" hidden="1" customHeight="1" outlineLevel="1" thickBot="1" x14ac:dyDescent="0.4">
      <c r="A84" s="5">
        <f t="shared" si="27"/>
        <v>0</v>
      </c>
      <c r="B84" s="5">
        <f t="shared" si="27"/>
        <v>0</v>
      </c>
      <c r="C84" s="5">
        <f t="shared" si="27"/>
        <v>0</v>
      </c>
      <c r="D84" s="5">
        <f t="shared" si="27"/>
        <v>0</v>
      </c>
      <c r="E84" s="6">
        <f t="shared" si="23"/>
        <v>0</v>
      </c>
      <c r="F84" s="14" t="e">
        <f t="shared" ref="F84:AL84" si="31">F8*$C$78</f>
        <v>#DIV/0!</v>
      </c>
      <c r="G84" s="14" t="e">
        <f t="shared" si="31"/>
        <v>#DIV/0!</v>
      </c>
      <c r="H84" s="14" t="e">
        <f t="shared" si="31"/>
        <v>#DIV/0!</v>
      </c>
      <c r="I84" s="14" t="e">
        <f t="shared" si="31"/>
        <v>#DIV/0!</v>
      </c>
      <c r="J84" s="14" t="e">
        <f t="shared" si="31"/>
        <v>#DIV/0!</v>
      </c>
      <c r="K84" s="14" t="e">
        <f t="shared" si="31"/>
        <v>#DIV/0!</v>
      </c>
      <c r="L84" s="14" t="e">
        <f t="shared" si="31"/>
        <v>#DIV/0!</v>
      </c>
      <c r="M84" s="14" t="e">
        <f t="shared" si="31"/>
        <v>#DIV/0!</v>
      </c>
      <c r="N84" s="14" t="e">
        <f t="shared" si="31"/>
        <v>#DIV/0!</v>
      </c>
      <c r="O84" s="14" t="e">
        <f t="shared" si="31"/>
        <v>#DIV/0!</v>
      </c>
      <c r="P84" s="14" t="e">
        <f t="shared" si="31"/>
        <v>#DIV/0!</v>
      </c>
      <c r="Q84" s="14" t="e">
        <f t="shared" si="31"/>
        <v>#DIV/0!</v>
      </c>
      <c r="R84" s="14" t="e">
        <f t="shared" si="31"/>
        <v>#DIV/0!</v>
      </c>
      <c r="S84" s="14" t="e">
        <f t="shared" si="31"/>
        <v>#DIV/0!</v>
      </c>
      <c r="T84" s="14" t="e">
        <f t="shared" si="31"/>
        <v>#DIV/0!</v>
      </c>
      <c r="U84" s="14" t="e">
        <f t="shared" si="31"/>
        <v>#DIV/0!</v>
      </c>
      <c r="V84" s="14" t="e">
        <f t="shared" si="31"/>
        <v>#DIV/0!</v>
      </c>
      <c r="W84" s="14" t="e">
        <f t="shared" si="31"/>
        <v>#DIV/0!</v>
      </c>
      <c r="X84" s="14" t="e">
        <f t="shared" si="31"/>
        <v>#DIV/0!</v>
      </c>
      <c r="Y84" s="14" t="e">
        <f t="shared" si="31"/>
        <v>#DIV/0!</v>
      </c>
      <c r="Z84" s="14" t="e">
        <f t="shared" si="31"/>
        <v>#DIV/0!</v>
      </c>
      <c r="AA84" s="14" t="e">
        <f t="shared" si="31"/>
        <v>#DIV/0!</v>
      </c>
      <c r="AB84" s="14" t="e">
        <f t="shared" si="31"/>
        <v>#DIV/0!</v>
      </c>
      <c r="AC84" s="14" t="e">
        <f t="shared" si="31"/>
        <v>#DIV/0!</v>
      </c>
      <c r="AD84" s="14" t="e">
        <f t="shared" si="31"/>
        <v>#DIV/0!</v>
      </c>
      <c r="AE84" s="14" t="e">
        <f t="shared" si="31"/>
        <v>#DIV/0!</v>
      </c>
      <c r="AF84" s="14" t="e">
        <f t="shared" si="31"/>
        <v>#DIV/0!</v>
      </c>
      <c r="AG84" s="14" t="e">
        <f t="shared" si="31"/>
        <v>#DIV/0!</v>
      </c>
      <c r="AH84" s="14" t="e">
        <f t="shared" si="31"/>
        <v>#DIV/0!</v>
      </c>
      <c r="AI84" s="14" t="e">
        <f t="shared" si="31"/>
        <v>#DIV/0!</v>
      </c>
      <c r="AJ84" s="14" t="e">
        <f t="shared" si="31"/>
        <v>#DIV/0!</v>
      </c>
      <c r="AK84" s="14" t="e">
        <f t="shared" si="31"/>
        <v>#DIV/0!</v>
      </c>
      <c r="AL84" s="14" t="e">
        <f t="shared" si="31"/>
        <v>#DIV/0!</v>
      </c>
    </row>
    <row r="85" spans="1:38" ht="21" hidden="1" customHeight="1" outlineLevel="1" thickBot="1" x14ac:dyDescent="0.4">
      <c r="A85" s="5">
        <f t="shared" si="27"/>
        <v>0</v>
      </c>
      <c r="B85" s="5">
        <f t="shared" si="27"/>
        <v>0</v>
      </c>
      <c r="C85" s="5">
        <f t="shared" si="27"/>
        <v>0</v>
      </c>
      <c r="D85" s="5">
        <f t="shared" si="27"/>
        <v>0</v>
      </c>
      <c r="E85" s="6">
        <f t="shared" si="23"/>
        <v>0</v>
      </c>
      <c r="F85" s="14" t="e">
        <f t="shared" ref="F85:AL85" si="32">F9*$C$78</f>
        <v>#DIV/0!</v>
      </c>
      <c r="G85" s="14" t="e">
        <f t="shared" si="32"/>
        <v>#DIV/0!</v>
      </c>
      <c r="H85" s="14" t="e">
        <f t="shared" si="32"/>
        <v>#DIV/0!</v>
      </c>
      <c r="I85" s="14" t="e">
        <f t="shared" si="32"/>
        <v>#DIV/0!</v>
      </c>
      <c r="J85" s="14" t="e">
        <f t="shared" si="32"/>
        <v>#DIV/0!</v>
      </c>
      <c r="K85" s="14" t="e">
        <f t="shared" si="32"/>
        <v>#DIV/0!</v>
      </c>
      <c r="L85" s="14" t="e">
        <f t="shared" si="32"/>
        <v>#DIV/0!</v>
      </c>
      <c r="M85" s="14" t="e">
        <f t="shared" si="32"/>
        <v>#DIV/0!</v>
      </c>
      <c r="N85" s="14" t="e">
        <f t="shared" si="32"/>
        <v>#DIV/0!</v>
      </c>
      <c r="O85" s="14" t="e">
        <f t="shared" si="32"/>
        <v>#DIV/0!</v>
      </c>
      <c r="P85" s="14" t="e">
        <f t="shared" si="32"/>
        <v>#DIV/0!</v>
      </c>
      <c r="Q85" s="14" t="e">
        <f t="shared" si="32"/>
        <v>#DIV/0!</v>
      </c>
      <c r="R85" s="14" t="e">
        <f t="shared" si="32"/>
        <v>#DIV/0!</v>
      </c>
      <c r="S85" s="14" t="e">
        <f t="shared" si="32"/>
        <v>#DIV/0!</v>
      </c>
      <c r="T85" s="14" t="e">
        <f t="shared" si="32"/>
        <v>#DIV/0!</v>
      </c>
      <c r="U85" s="14" t="e">
        <f t="shared" si="32"/>
        <v>#DIV/0!</v>
      </c>
      <c r="V85" s="14" t="e">
        <f t="shared" si="32"/>
        <v>#DIV/0!</v>
      </c>
      <c r="W85" s="14" t="e">
        <f t="shared" si="32"/>
        <v>#DIV/0!</v>
      </c>
      <c r="X85" s="14" t="e">
        <f t="shared" si="32"/>
        <v>#DIV/0!</v>
      </c>
      <c r="Y85" s="14" t="e">
        <f t="shared" si="32"/>
        <v>#DIV/0!</v>
      </c>
      <c r="Z85" s="14" t="e">
        <f t="shared" si="32"/>
        <v>#DIV/0!</v>
      </c>
      <c r="AA85" s="14" t="e">
        <f t="shared" si="32"/>
        <v>#DIV/0!</v>
      </c>
      <c r="AB85" s="14" t="e">
        <f t="shared" si="32"/>
        <v>#DIV/0!</v>
      </c>
      <c r="AC85" s="14" t="e">
        <f t="shared" si="32"/>
        <v>#DIV/0!</v>
      </c>
      <c r="AD85" s="14" t="e">
        <f t="shared" si="32"/>
        <v>#DIV/0!</v>
      </c>
      <c r="AE85" s="14" t="e">
        <f t="shared" si="32"/>
        <v>#DIV/0!</v>
      </c>
      <c r="AF85" s="14" t="e">
        <f t="shared" si="32"/>
        <v>#DIV/0!</v>
      </c>
      <c r="AG85" s="14" t="e">
        <f t="shared" si="32"/>
        <v>#DIV/0!</v>
      </c>
      <c r="AH85" s="14" t="e">
        <f t="shared" si="32"/>
        <v>#DIV/0!</v>
      </c>
      <c r="AI85" s="14" t="e">
        <f t="shared" si="32"/>
        <v>#DIV/0!</v>
      </c>
      <c r="AJ85" s="14" t="e">
        <f t="shared" si="32"/>
        <v>#DIV/0!</v>
      </c>
      <c r="AK85" s="14" t="e">
        <f t="shared" si="32"/>
        <v>#DIV/0!</v>
      </c>
      <c r="AL85" s="14" t="e">
        <f t="shared" si="32"/>
        <v>#DIV/0!</v>
      </c>
    </row>
    <row r="86" spans="1:38" ht="21" hidden="1" customHeight="1" outlineLevel="1" thickBot="1" x14ac:dyDescent="0.4">
      <c r="A86" s="5">
        <f t="shared" si="27"/>
        <v>0</v>
      </c>
      <c r="B86" s="5">
        <f t="shared" si="27"/>
        <v>0</v>
      </c>
      <c r="C86" s="5">
        <f t="shared" si="27"/>
        <v>0</v>
      </c>
      <c r="D86" s="5">
        <f t="shared" si="27"/>
        <v>0</v>
      </c>
      <c r="E86" s="6">
        <f t="shared" si="23"/>
        <v>0</v>
      </c>
      <c r="F86" s="14" t="e">
        <f t="shared" ref="F86:AL86" si="33">F10*$C$78</f>
        <v>#DIV/0!</v>
      </c>
      <c r="G86" s="14" t="e">
        <f t="shared" si="33"/>
        <v>#DIV/0!</v>
      </c>
      <c r="H86" s="14" t="e">
        <f t="shared" si="33"/>
        <v>#DIV/0!</v>
      </c>
      <c r="I86" s="14" t="e">
        <f t="shared" si="33"/>
        <v>#DIV/0!</v>
      </c>
      <c r="J86" s="14" t="e">
        <f t="shared" si="33"/>
        <v>#DIV/0!</v>
      </c>
      <c r="K86" s="14" t="e">
        <f t="shared" si="33"/>
        <v>#DIV/0!</v>
      </c>
      <c r="L86" s="14" t="e">
        <f t="shared" si="33"/>
        <v>#DIV/0!</v>
      </c>
      <c r="M86" s="14" t="e">
        <f t="shared" si="33"/>
        <v>#DIV/0!</v>
      </c>
      <c r="N86" s="14" t="e">
        <f t="shared" si="33"/>
        <v>#DIV/0!</v>
      </c>
      <c r="O86" s="14" t="e">
        <f t="shared" si="33"/>
        <v>#DIV/0!</v>
      </c>
      <c r="P86" s="14" t="e">
        <f t="shared" si="33"/>
        <v>#DIV/0!</v>
      </c>
      <c r="Q86" s="14" t="e">
        <f t="shared" si="33"/>
        <v>#DIV/0!</v>
      </c>
      <c r="R86" s="14" t="e">
        <f t="shared" si="33"/>
        <v>#DIV/0!</v>
      </c>
      <c r="S86" s="14" t="e">
        <f t="shared" si="33"/>
        <v>#DIV/0!</v>
      </c>
      <c r="T86" s="14" t="e">
        <f t="shared" si="33"/>
        <v>#DIV/0!</v>
      </c>
      <c r="U86" s="14" t="e">
        <f t="shared" si="33"/>
        <v>#DIV/0!</v>
      </c>
      <c r="V86" s="14" t="e">
        <f t="shared" si="33"/>
        <v>#DIV/0!</v>
      </c>
      <c r="W86" s="14" t="e">
        <f t="shared" si="33"/>
        <v>#DIV/0!</v>
      </c>
      <c r="X86" s="14" t="e">
        <f t="shared" si="33"/>
        <v>#DIV/0!</v>
      </c>
      <c r="Y86" s="14" t="e">
        <f t="shared" si="33"/>
        <v>#DIV/0!</v>
      </c>
      <c r="Z86" s="14" t="e">
        <f t="shared" si="33"/>
        <v>#DIV/0!</v>
      </c>
      <c r="AA86" s="14" t="e">
        <f t="shared" si="33"/>
        <v>#DIV/0!</v>
      </c>
      <c r="AB86" s="14" t="e">
        <f t="shared" si="33"/>
        <v>#DIV/0!</v>
      </c>
      <c r="AC86" s="14" t="e">
        <f t="shared" si="33"/>
        <v>#DIV/0!</v>
      </c>
      <c r="AD86" s="14" t="e">
        <f t="shared" si="33"/>
        <v>#DIV/0!</v>
      </c>
      <c r="AE86" s="14" t="e">
        <f t="shared" si="33"/>
        <v>#DIV/0!</v>
      </c>
      <c r="AF86" s="14" t="e">
        <f t="shared" si="33"/>
        <v>#DIV/0!</v>
      </c>
      <c r="AG86" s="14" t="e">
        <f t="shared" si="33"/>
        <v>#DIV/0!</v>
      </c>
      <c r="AH86" s="14" t="e">
        <f t="shared" si="33"/>
        <v>#DIV/0!</v>
      </c>
      <c r="AI86" s="14" t="e">
        <f t="shared" si="33"/>
        <v>#DIV/0!</v>
      </c>
      <c r="AJ86" s="14" t="e">
        <f t="shared" si="33"/>
        <v>#DIV/0!</v>
      </c>
      <c r="AK86" s="14" t="e">
        <f t="shared" si="33"/>
        <v>#DIV/0!</v>
      </c>
      <c r="AL86" s="14" t="e">
        <f t="shared" si="33"/>
        <v>#DIV/0!</v>
      </c>
    </row>
    <row r="87" spans="1:38" ht="21" hidden="1" customHeight="1" outlineLevel="1" thickBot="1" x14ac:dyDescent="0.4">
      <c r="A87" s="5">
        <f t="shared" si="27"/>
        <v>0</v>
      </c>
      <c r="B87" s="5">
        <f t="shared" si="27"/>
        <v>0</v>
      </c>
      <c r="C87" s="5">
        <f t="shared" si="27"/>
        <v>0</v>
      </c>
      <c r="D87" s="5">
        <f t="shared" si="27"/>
        <v>0</v>
      </c>
      <c r="E87" s="6">
        <f t="shared" si="23"/>
        <v>0</v>
      </c>
      <c r="F87" s="14" t="e">
        <f t="shared" ref="F87:AL87" si="34">F11*$C$78</f>
        <v>#DIV/0!</v>
      </c>
      <c r="G87" s="14" t="e">
        <f t="shared" si="34"/>
        <v>#DIV/0!</v>
      </c>
      <c r="H87" s="14" t="e">
        <f t="shared" si="34"/>
        <v>#DIV/0!</v>
      </c>
      <c r="I87" s="14" t="e">
        <f t="shared" si="34"/>
        <v>#DIV/0!</v>
      </c>
      <c r="J87" s="14" t="e">
        <f t="shared" si="34"/>
        <v>#DIV/0!</v>
      </c>
      <c r="K87" s="14" t="e">
        <f t="shared" si="34"/>
        <v>#DIV/0!</v>
      </c>
      <c r="L87" s="14" t="e">
        <f t="shared" si="34"/>
        <v>#DIV/0!</v>
      </c>
      <c r="M87" s="14" t="e">
        <f t="shared" si="34"/>
        <v>#DIV/0!</v>
      </c>
      <c r="N87" s="14" t="e">
        <f t="shared" si="34"/>
        <v>#DIV/0!</v>
      </c>
      <c r="O87" s="14" t="e">
        <f t="shared" si="34"/>
        <v>#DIV/0!</v>
      </c>
      <c r="P87" s="14" t="e">
        <f t="shared" si="34"/>
        <v>#DIV/0!</v>
      </c>
      <c r="Q87" s="14" t="e">
        <f t="shared" si="34"/>
        <v>#DIV/0!</v>
      </c>
      <c r="R87" s="14" t="e">
        <f t="shared" si="34"/>
        <v>#DIV/0!</v>
      </c>
      <c r="S87" s="14" t="e">
        <f t="shared" si="34"/>
        <v>#DIV/0!</v>
      </c>
      <c r="T87" s="14" t="e">
        <f t="shared" si="34"/>
        <v>#DIV/0!</v>
      </c>
      <c r="U87" s="14" t="e">
        <f t="shared" si="34"/>
        <v>#DIV/0!</v>
      </c>
      <c r="V87" s="14" t="e">
        <f t="shared" si="34"/>
        <v>#DIV/0!</v>
      </c>
      <c r="W87" s="14" t="e">
        <f t="shared" si="34"/>
        <v>#DIV/0!</v>
      </c>
      <c r="X87" s="14" t="e">
        <f t="shared" si="34"/>
        <v>#DIV/0!</v>
      </c>
      <c r="Y87" s="14" t="e">
        <f t="shared" si="34"/>
        <v>#DIV/0!</v>
      </c>
      <c r="Z87" s="14" t="e">
        <f t="shared" si="34"/>
        <v>#DIV/0!</v>
      </c>
      <c r="AA87" s="14" t="e">
        <f t="shared" si="34"/>
        <v>#DIV/0!</v>
      </c>
      <c r="AB87" s="14" t="e">
        <f t="shared" si="34"/>
        <v>#DIV/0!</v>
      </c>
      <c r="AC87" s="14" t="e">
        <f t="shared" si="34"/>
        <v>#DIV/0!</v>
      </c>
      <c r="AD87" s="14" t="e">
        <f t="shared" si="34"/>
        <v>#DIV/0!</v>
      </c>
      <c r="AE87" s="14" t="e">
        <f t="shared" si="34"/>
        <v>#DIV/0!</v>
      </c>
      <c r="AF87" s="14" t="e">
        <f t="shared" si="34"/>
        <v>#DIV/0!</v>
      </c>
      <c r="AG87" s="14" t="e">
        <f t="shared" si="34"/>
        <v>#DIV/0!</v>
      </c>
      <c r="AH87" s="14" t="e">
        <f t="shared" si="34"/>
        <v>#DIV/0!</v>
      </c>
      <c r="AI87" s="14" t="e">
        <f t="shared" si="34"/>
        <v>#DIV/0!</v>
      </c>
      <c r="AJ87" s="14" t="e">
        <f t="shared" si="34"/>
        <v>#DIV/0!</v>
      </c>
      <c r="AK87" s="14" t="e">
        <f t="shared" si="34"/>
        <v>#DIV/0!</v>
      </c>
      <c r="AL87" s="14" t="e">
        <f t="shared" si="34"/>
        <v>#DIV/0!</v>
      </c>
    </row>
    <row r="88" spans="1:38" ht="21" hidden="1" customHeight="1" outlineLevel="1" thickBot="1" x14ac:dyDescent="0.4">
      <c r="A88" s="5">
        <f t="shared" si="27"/>
        <v>0</v>
      </c>
      <c r="B88" s="5">
        <f t="shared" si="27"/>
        <v>0</v>
      </c>
      <c r="C88" s="5">
        <f t="shared" si="27"/>
        <v>0</v>
      </c>
      <c r="D88" s="5">
        <f t="shared" si="27"/>
        <v>0</v>
      </c>
      <c r="E88" s="6">
        <f t="shared" si="23"/>
        <v>0</v>
      </c>
      <c r="F88" s="14" t="e">
        <f t="shared" ref="F88:AL88" si="35">F12*$C$78</f>
        <v>#DIV/0!</v>
      </c>
      <c r="G88" s="14" t="e">
        <f t="shared" si="35"/>
        <v>#DIV/0!</v>
      </c>
      <c r="H88" s="14" t="e">
        <f t="shared" si="35"/>
        <v>#DIV/0!</v>
      </c>
      <c r="I88" s="14" t="e">
        <f t="shared" si="35"/>
        <v>#DIV/0!</v>
      </c>
      <c r="J88" s="14" t="e">
        <f t="shared" si="35"/>
        <v>#DIV/0!</v>
      </c>
      <c r="K88" s="14" t="e">
        <f t="shared" si="35"/>
        <v>#DIV/0!</v>
      </c>
      <c r="L88" s="14" t="e">
        <f t="shared" si="35"/>
        <v>#DIV/0!</v>
      </c>
      <c r="M88" s="14" t="e">
        <f t="shared" si="35"/>
        <v>#DIV/0!</v>
      </c>
      <c r="N88" s="14" t="e">
        <f t="shared" si="35"/>
        <v>#DIV/0!</v>
      </c>
      <c r="O88" s="14" t="e">
        <f t="shared" si="35"/>
        <v>#DIV/0!</v>
      </c>
      <c r="P88" s="14" t="e">
        <f t="shared" si="35"/>
        <v>#DIV/0!</v>
      </c>
      <c r="Q88" s="14" t="e">
        <f t="shared" si="35"/>
        <v>#DIV/0!</v>
      </c>
      <c r="R88" s="14" t="e">
        <f t="shared" si="35"/>
        <v>#DIV/0!</v>
      </c>
      <c r="S88" s="14" t="e">
        <f t="shared" si="35"/>
        <v>#DIV/0!</v>
      </c>
      <c r="T88" s="14" t="e">
        <f t="shared" si="35"/>
        <v>#DIV/0!</v>
      </c>
      <c r="U88" s="14" t="e">
        <f t="shared" si="35"/>
        <v>#DIV/0!</v>
      </c>
      <c r="V88" s="14" t="e">
        <f t="shared" si="35"/>
        <v>#DIV/0!</v>
      </c>
      <c r="W88" s="14" t="e">
        <f t="shared" si="35"/>
        <v>#DIV/0!</v>
      </c>
      <c r="X88" s="14" t="e">
        <f t="shared" si="35"/>
        <v>#DIV/0!</v>
      </c>
      <c r="Y88" s="14" t="e">
        <f t="shared" si="35"/>
        <v>#DIV/0!</v>
      </c>
      <c r="Z88" s="14" t="e">
        <f t="shared" si="35"/>
        <v>#DIV/0!</v>
      </c>
      <c r="AA88" s="14" t="e">
        <f t="shared" si="35"/>
        <v>#DIV/0!</v>
      </c>
      <c r="AB88" s="14" t="e">
        <f t="shared" si="35"/>
        <v>#DIV/0!</v>
      </c>
      <c r="AC88" s="14" t="e">
        <f t="shared" si="35"/>
        <v>#DIV/0!</v>
      </c>
      <c r="AD88" s="14" t="e">
        <f t="shared" si="35"/>
        <v>#DIV/0!</v>
      </c>
      <c r="AE88" s="14" t="e">
        <f t="shared" si="35"/>
        <v>#DIV/0!</v>
      </c>
      <c r="AF88" s="14" t="e">
        <f t="shared" si="35"/>
        <v>#DIV/0!</v>
      </c>
      <c r="AG88" s="14" t="e">
        <f t="shared" si="35"/>
        <v>#DIV/0!</v>
      </c>
      <c r="AH88" s="14" t="e">
        <f t="shared" si="35"/>
        <v>#DIV/0!</v>
      </c>
      <c r="AI88" s="14" t="e">
        <f t="shared" si="35"/>
        <v>#DIV/0!</v>
      </c>
      <c r="AJ88" s="14" t="e">
        <f t="shared" si="35"/>
        <v>#DIV/0!</v>
      </c>
      <c r="AK88" s="14" t="e">
        <f t="shared" si="35"/>
        <v>#DIV/0!</v>
      </c>
      <c r="AL88" s="14" t="e">
        <f t="shared" si="35"/>
        <v>#DIV/0!</v>
      </c>
    </row>
    <row r="89" spans="1:38" ht="21" hidden="1" customHeight="1" outlineLevel="1" thickBot="1" x14ac:dyDescent="0.4">
      <c r="A89" s="5">
        <f t="shared" si="27"/>
        <v>0</v>
      </c>
      <c r="B89" s="5">
        <f t="shared" si="27"/>
        <v>0</v>
      </c>
      <c r="C89" s="5">
        <f t="shared" si="27"/>
        <v>0</v>
      </c>
      <c r="D89" s="5">
        <f t="shared" si="27"/>
        <v>0</v>
      </c>
      <c r="E89" s="6">
        <f t="shared" si="23"/>
        <v>0</v>
      </c>
      <c r="F89" s="14" t="e">
        <f t="shared" ref="F89:AL89" si="36">F13*$C$78</f>
        <v>#DIV/0!</v>
      </c>
      <c r="G89" s="14" t="e">
        <f t="shared" si="36"/>
        <v>#DIV/0!</v>
      </c>
      <c r="H89" s="14" t="e">
        <f t="shared" si="36"/>
        <v>#DIV/0!</v>
      </c>
      <c r="I89" s="14" t="e">
        <f t="shared" si="36"/>
        <v>#DIV/0!</v>
      </c>
      <c r="J89" s="14" t="e">
        <f t="shared" si="36"/>
        <v>#DIV/0!</v>
      </c>
      <c r="K89" s="14" t="e">
        <f t="shared" si="36"/>
        <v>#DIV/0!</v>
      </c>
      <c r="L89" s="14" t="e">
        <f t="shared" si="36"/>
        <v>#DIV/0!</v>
      </c>
      <c r="M89" s="14" t="e">
        <f t="shared" si="36"/>
        <v>#DIV/0!</v>
      </c>
      <c r="N89" s="14" t="e">
        <f t="shared" si="36"/>
        <v>#DIV/0!</v>
      </c>
      <c r="O89" s="14" t="e">
        <f t="shared" si="36"/>
        <v>#DIV/0!</v>
      </c>
      <c r="P89" s="14" t="e">
        <f t="shared" si="36"/>
        <v>#DIV/0!</v>
      </c>
      <c r="Q89" s="14" t="e">
        <f t="shared" si="36"/>
        <v>#DIV/0!</v>
      </c>
      <c r="R89" s="14" t="e">
        <f t="shared" si="36"/>
        <v>#DIV/0!</v>
      </c>
      <c r="S89" s="14" t="e">
        <f t="shared" si="36"/>
        <v>#DIV/0!</v>
      </c>
      <c r="T89" s="14" t="e">
        <f t="shared" si="36"/>
        <v>#DIV/0!</v>
      </c>
      <c r="U89" s="14" t="e">
        <f t="shared" si="36"/>
        <v>#DIV/0!</v>
      </c>
      <c r="V89" s="14" t="e">
        <f t="shared" si="36"/>
        <v>#DIV/0!</v>
      </c>
      <c r="W89" s="14" t="e">
        <f t="shared" si="36"/>
        <v>#DIV/0!</v>
      </c>
      <c r="X89" s="14" t="e">
        <f t="shared" si="36"/>
        <v>#DIV/0!</v>
      </c>
      <c r="Y89" s="14" t="e">
        <f t="shared" si="36"/>
        <v>#DIV/0!</v>
      </c>
      <c r="Z89" s="14" t="e">
        <f t="shared" si="36"/>
        <v>#DIV/0!</v>
      </c>
      <c r="AA89" s="14" t="e">
        <f t="shared" si="36"/>
        <v>#DIV/0!</v>
      </c>
      <c r="AB89" s="14" t="e">
        <f t="shared" si="36"/>
        <v>#DIV/0!</v>
      </c>
      <c r="AC89" s="14" t="e">
        <f t="shared" si="36"/>
        <v>#DIV/0!</v>
      </c>
      <c r="AD89" s="14" t="e">
        <f t="shared" si="36"/>
        <v>#DIV/0!</v>
      </c>
      <c r="AE89" s="14" t="e">
        <f t="shared" si="36"/>
        <v>#DIV/0!</v>
      </c>
      <c r="AF89" s="14" t="e">
        <f t="shared" si="36"/>
        <v>#DIV/0!</v>
      </c>
      <c r="AG89" s="14" t="e">
        <f t="shared" si="36"/>
        <v>#DIV/0!</v>
      </c>
      <c r="AH89" s="14" t="e">
        <f t="shared" si="36"/>
        <v>#DIV/0!</v>
      </c>
      <c r="AI89" s="14" t="e">
        <f t="shared" si="36"/>
        <v>#DIV/0!</v>
      </c>
      <c r="AJ89" s="14" t="e">
        <f t="shared" si="36"/>
        <v>#DIV/0!</v>
      </c>
      <c r="AK89" s="14" t="e">
        <f t="shared" si="36"/>
        <v>#DIV/0!</v>
      </c>
      <c r="AL89" s="14" t="e">
        <f t="shared" si="36"/>
        <v>#DIV/0!</v>
      </c>
    </row>
    <row r="90" spans="1:38" ht="21" hidden="1" customHeight="1" outlineLevel="1" thickBot="1" x14ac:dyDescent="0.4">
      <c r="A90" s="5">
        <f t="shared" si="27"/>
        <v>0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>
        <f t="shared" si="23"/>
        <v>0</v>
      </c>
      <c r="F90" s="14" t="e">
        <f t="shared" ref="F90:AL90" si="37">F14*$C$78</f>
        <v>#DIV/0!</v>
      </c>
      <c r="G90" s="14" t="e">
        <f t="shared" si="37"/>
        <v>#DIV/0!</v>
      </c>
      <c r="H90" s="14" t="e">
        <f t="shared" si="37"/>
        <v>#DIV/0!</v>
      </c>
      <c r="I90" s="14" t="e">
        <f t="shared" si="37"/>
        <v>#DIV/0!</v>
      </c>
      <c r="J90" s="14" t="e">
        <f t="shared" si="37"/>
        <v>#DIV/0!</v>
      </c>
      <c r="K90" s="14" t="e">
        <f t="shared" si="37"/>
        <v>#DIV/0!</v>
      </c>
      <c r="L90" s="14" t="e">
        <f t="shared" si="37"/>
        <v>#DIV/0!</v>
      </c>
      <c r="M90" s="14" t="e">
        <f t="shared" si="37"/>
        <v>#DIV/0!</v>
      </c>
      <c r="N90" s="14" t="e">
        <f t="shared" si="37"/>
        <v>#DIV/0!</v>
      </c>
      <c r="O90" s="14" t="e">
        <f t="shared" si="37"/>
        <v>#DIV/0!</v>
      </c>
      <c r="P90" s="14" t="e">
        <f t="shared" si="37"/>
        <v>#DIV/0!</v>
      </c>
      <c r="Q90" s="14" t="e">
        <f t="shared" si="37"/>
        <v>#DIV/0!</v>
      </c>
      <c r="R90" s="14" t="e">
        <f t="shared" si="37"/>
        <v>#DIV/0!</v>
      </c>
      <c r="S90" s="14" t="e">
        <f t="shared" si="37"/>
        <v>#DIV/0!</v>
      </c>
      <c r="T90" s="14" t="e">
        <f t="shared" si="37"/>
        <v>#DIV/0!</v>
      </c>
      <c r="U90" s="14" t="e">
        <f t="shared" si="37"/>
        <v>#DIV/0!</v>
      </c>
      <c r="V90" s="14" t="e">
        <f t="shared" si="37"/>
        <v>#DIV/0!</v>
      </c>
      <c r="W90" s="14" t="e">
        <f t="shared" si="37"/>
        <v>#DIV/0!</v>
      </c>
      <c r="X90" s="14" t="e">
        <f t="shared" si="37"/>
        <v>#DIV/0!</v>
      </c>
      <c r="Y90" s="14" t="e">
        <f t="shared" si="37"/>
        <v>#DIV/0!</v>
      </c>
      <c r="Z90" s="14" t="e">
        <f t="shared" si="37"/>
        <v>#DIV/0!</v>
      </c>
      <c r="AA90" s="14" t="e">
        <f t="shared" si="37"/>
        <v>#DIV/0!</v>
      </c>
      <c r="AB90" s="14" t="e">
        <f t="shared" si="37"/>
        <v>#DIV/0!</v>
      </c>
      <c r="AC90" s="14" t="e">
        <f t="shared" si="37"/>
        <v>#DIV/0!</v>
      </c>
      <c r="AD90" s="14" t="e">
        <f t="shared" si="37"/>
        <v>#DIV/0!</v>
      </c>
      <c r="AE90" s="14" t="e">
        <f t="shared" si="37"/>
        <v>#DIV/0!</v>
      </c>
      <c r="AF90" s="14" t="e">
        <f t="shared" si="37"/>
        <v>#DIV/0!</v>
      </c>
      <c r="AG90" s="14" t="e">
        <f t="shared" si="37"/>
        <v>#DIV/0!</v>
      </c>
      <c r="AH90" s="14" t="e">
        <f t="shared" si="37"/>
        <v>#DIV/0!</v>
      </c>
      <c r="AI90" s="14" t="e">
        <f t="shared" si="37"/>
        <v>#DIV/0!</v>
      </c>
      <c r="AJ90" s="14" t="e">
        <f t="shared" si="37"/>
        <v>#DIV/0!</v>
      </c>
      <c r="AK90" s="14" t="e">
        <f t="shared" si="37"/>
        <v>#DIV/0!</v>
      </c>
      <c r="AL90" s="14" t="e">
        <f t="shared" si="37"/>
        <v>#DIV/0!</v>
      </c>
    </row>
    <row r="91" spans="1:38" ht="21" hidden="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0</v>
      </c>
      <c r="D91" s="5">
        <f t="shared" si="27"/>
        <v>0</v>
      </c>
      <c r="E91" s="6">
        <f t="shared" si="23"/>
        <v>0</v>
      </c>
      <c r="F91" s="14" t="e">
        <f t="shared" ref="F91:AL91" si="38">F15*$C$78</f>
        <v>#DIV/0!</v>
      </c>
      <c r="G91" s="14" t="e">
        <f t="shared" si="38"/>
        <v>#DIV/0!</v>
      </c>
      <c r="H91" s="14" t="e">
        <f t="shared" si="38"/>
        <v>#DIV/0!</v>
      </c>
      <c r="I91" s="14" t="e">
        <f t="shared" si="38"/>
        <v>#DIV/0!</v>
      </c>
      <c r="J91" s="14" t="e">
        <f t="shared" si="38"/>
        <v>#DIV/0!</v>
      </c>
      <c r="K91" s="14" t="e">
        <f t="shared" si="38"/>
        <v>#DIV/0!</v>
      </c>
      <c r="L91" s="14" t="e">
        <f t="shared" si="38"/>
        <v>#DIV/0!</v>
      </c>
      <c r="M91" s="14" t="e">
        <f t="shared" si="38"/>
        <v>#DIV/0!</v>
      </c>
      <c r="N91" s="14" t="e">
        <f t="shared" si="38"/>
        <v>#DIV/0!</v>
      </c>
      <c r="O91" s="14" t="e">
        <f t="shared" si="38"/>
        <v>#DIV/0!</v>
      </c>
      <c r="P91" s="14" t="e">
        <f t="shared" si="38"/>
        <v>#DIV/0!</v>
      </c>
      <c r="Q91" s="14" t="e">
        <f t="shared" si="38"/>
        <v>#DIV/0!</v>
      </c>
      <c r="R91" s="14" t="e">
        <f t="shared" si="38"/>
        <v>#DIV/0!</v>
      </c>
      <c r="S91" s="14" t="e">
        <f t="shared" si="38"/>
        <v>#DIV/0!</v>
      </c>
      <c r="T91" s="14" t="e">
        <f t="shared" si="38"/>
        <v>#DIV/0!</v>
      </c>
      <c r="U91" s="14" t="e">
        <f t="shared" si="38"/>
        <v>#DIV/0!</v>
      </c>
      <c r="V91" s="14" t="e">
        <f t="shared" si="38"/>
        <v>#DIV/0!</v>
      </c>
      <c r="W91" s="14" t="e">
        <f t="shared" si="38"/>
        <v>#DIV/0!</v>
      </c>
      <c r="X91" s="14" t="e">
        <f t="shared" si="38"/>
        <v>#DIV/0!</v>
      </c>
      <c r="Y91" s="14" t="e">
        <f t="shared" si="38"/>
        <v>#DIV/0!</v>
      </c>
      <c r="Z91" s="14" t="e">
        <f t="shared" si="38"/>
        <v>#DIV/0!</v>
      </c>
      <c r="AA91" s="14" t="e">
        <f t="shared" si="38"/>
        <v>#DIV/0!</v>
      </c>
      <c r="AB91" s="14" t="e">
        <f t="shared" si="38"/>
        <v>#DIV/0!</v>
      </c>
      <c r="AC91" s="14" t="e">
        <f t="shared" si="38"/>
        <v>#DIV/0!</v>
      </c>
      <c r="AD91" s="14" t="e">
        <f t="shared" si="38"/>
        <v>#DIV/0!</v>
      </c>
      <c r="AE91" s="14" t="e">
        <f t="shared" si="38"/>
        <v>#DIV/0!</v>
      </c>
      <c r="AF91" s="14" t="e">
        <f t="shared" si="38"/>
        <v>#DIV/0!</v>
      </c>
      <c r="AG91" s="14" t="e">
        <f t="shared" si="38"/>
        <v>#DIV/0!</v>
      </c>
      <c r="AH91" s="14" t="e">
        <f t="shared" si="38"/>
        <v>#DIV/0!</v>
      </c>
      <c r="AI91" s="14" t="e">
        <f t="shared" si="38"/>
        <v>#DIV/0!</v>
      </c>
      <c r="AJ91" s="14" t="e">
        <f t="shared" si="38"/>
        <v>#DIV/0!</v>
      </c>
      <c r="AK91" s="14" t="e">
        <f t="shared" si="38"/>
        <v>#DIV/0!</v>
      </c>
      <c r="AL91" s="14" t="e">
        <f t="shared" si="38"/>
        <v>#DIV/0!</v>
      </c>
    </row>
    <row r="92" spans="1:38" ht="21" hidden="1" customHeight="1" outlineLevel="1" thickBot="1" x14ac:dyDescent="0.4">
      <c r="A92" s="5">
        <f t="shared" si="27"/>
        <v>0</v>
      </c>
      <c r="B92" s="5">
        <f t="shared" si="27"/>
        <v>0</v>
      </c>
      <c r="C92" s="5">
        <f t="shared" si="27"/>
        <v>0</v>
      </c>
      <c r="D92" s="5">
        <f t="shared" si="27"/>
        <v>0</v>
      </c>
      <c r="E92" s="6">
        <f t="shared" si="23"/>
        <v>0</v>
      </c>
      <c r="F92" s="14" t="e">
        <f t="shared" ref="F92:AL92" si="39">F16*$C$78</f>
        <v>#DIV/0!</v>
      </c>
      <c r="G92" s="14" t="e">
        <f t="shared" si="39"/>
        <v>#DIV/0!</v>
      </c>
      <c r="H92" s="14" t="e">
        <f t="shared" si="39"/>
        <v>#DIV/0!</v>
      </c>
      <c r="I92" s="14" t="e">
        <f t="shared" si="39"/>
        <v>#DIV/0!</v>
      </c>
      <c r="J92" s="14" t="e">
        <f t="shared" si="39"/>
        <v>#DIV/0!</v>
      </c>
      <c r="K92" s="14" t="e">
        <f t="shared" si="39"/>
        <v>#DIV/0!</v>
      </c>
      <c r="L92" s="14" t="e">
        <f t="shared" si="39"/>
        <v>#DIV/0!</v>
      </c>
      <c r="M92" s="14" t="e">
        <f t="shared" si="39"/>
        <v>#DIV/0!</v>
      </c>
      <c r="N92" s="14" t="e">
        <f t="shared" si="39"/>
        <v>#DIV/0!</v>
      </c>
      <c r="O92" s="14" t="e">
        <f t="shared" si="39"/>
        <v>#DIV/0!</v>
      </c>
      <c r="P92" s="14" t="e">
        <f t="shared" si="39"/>
        <v>#DIV/0!</v>
      </c>
      <c r="Q92" s="14" t="e">
        <f t="shared" si="39"/>
        <v>#DIV/0!</v>
      </c>
      <c r="R92" s="14" t="e">
        <f t="shared" si="39"/>
        <v>#DIV/0!</v>
      </c>
      <c r="S92" s="14" t="e">
        <f t="shared" si="39"/>
        <v>#DIV/0!</v>
      </c>
      <c r="T92" s="14" t="e">
        <f t="shared" si="39"/>
        <v>#DIV/0!</v>
      </c>
      <c r="U92" s="14" t="e">
        <f t="shared" si="39"/>
        <v>#DIV/0!</v>
      </c>
      <c r="V92" s="14" t="e">
        <f t="shared" si="39"/>
        <v>#DIV/0!</v>
      </c>
      <c r="W92" s="14" t="e">
        <f t="shared" si="39"/>
        <v>#DIV/0!</v>
      </c>
      <c r="X92" s="14" t="e">
        <f t="shared" si="39"/>
        <v>#DIV/0!</v>
      </c>
      <c r="Y92" s="14" t="e">
        <f t="shared" si="39"/>
        <v>#DIV/0!</v>
      </c>
      <c r="Z92" s="14" t="e">
        <f t="shared" si="39"/>
        <v>#DIV/0!</v>
      </c>
      <c r="AA92" s="14" t="e">
        <f t="shared" si="39"/>
        <v>#DIV/0!</v>
      </c>
      <c r="AB92" s="14" t="e">
        <f t="shared" si="39"/>
        <v>#DIV/0!</v>
      </c>
      <c r="AC92" s="14" t="e">
        <f t="shared" si="39"/>
        <v>#DIV/0!</v>
      </c>
      <c r="AD92" s="14" t="e">
        <f t="shared" si="39"/>
        <v>#DIV/0!</v>
      </c>
      <c r="AE92" s="14" t="e">
        <f t="shared" si="39"/>
        <v>#DIV/0!</v>
      </c>
      <c r="AF92" s="14" t="e">
        <f t="shared" si="39"/>
        <v>#DIV/0!</v>
      </c>
      <c r="AG92" s="14" t="e">
        <f t="shared" si="39"/>
        <v>#DIV/0!</v>
      </c>
      <c r="AH92" s="14" t="e">
        <f t="shared" si="39"/>
        <v>#DIV/0!</v>
      </c>
      <c r="AI92" s="14" t="e">
        <f t="shared" si="39"/>
        <v>#DIV/0!</v>
      </c>
      <c r="AJ92" s="14" t="e">
        <f t="shared" si="39"/>
        <v>#DIV/0!</v>
      </c>
      <c r="AK92" s="14" t="e">
        <f t="shared" si="39"/>
        <v>#DIV/0!</v>
      </c>
      <c r="AL92" s="14" t="e">
        <f t="shared" si="39"/>
        <v>#DIV/0!</v>
      </c>
    </row>
    <row r="93" spans="1:38" ht="21" hidden="1" customHeight="1" outlineLevel="1" thickBot="1" x14ac:dyDescent="0.4">
      <c r="A93" s="5">
        <f t="shared" si="27"/>
        <v>0</v>
      </c>
      <c r="B93" s="5">
        <f t="shared" si="27"/>
        <v>0</v>
      </c>
      <c r="C93" s="5">
        <f t="shared" si="27"/>
        <v>0</v>
      </c>
      <c r="D93" s="5">
        <f t="shared" si="27"/>
        <v>0</v>
      </c>
      <c r="E93" s="6">
        <f t="shared" si="23"/>
        <v>0</v>
      </c>
      <c r="F93" s="14" t="e">
        <f t="shared" ref="F93:AL93" si="40">F17*$C$78</f>
        <v>#DIV/0!</v>
      </c>
      <c r="G93" s="14" t="e">
        <f t="shared" si="40"/>
        <v>#DIV/0!</v>
      </c>
      <c r="H93" s="14" t="e">
        <f t="shared" si="40"/>
        <v>#DIV/0!</v>
      </c>
      <c r="I93" s="14" t="e">
        <f t="shared" si="40"/>
        <v>#DIV/0!</v>
      </c>
      <c r="J93" s="14" t="e">
        <f t="shared" si="40"/>
        <v>#DIV/0!</v>
      </c>
      <c r="K93" s="14" t="e">
        <f t="shared" si="40"/>
        <v>#DIV/0!</v>
      </c>
      <c r="L93" s="14" t="e">
        <f t="shared" si="40"/>
        <v>#DIV/0!</v>
      </c>
      <c r="M93" s="14" t="e">
        <f t="shared" si="40"/>
        <v>#DIV/0!</v>
      </c>
      <c r="N93" s="14" t="e">
        <f t="shared" si="40"/>
        <v>#DIV/0!</v>
      </c>
      <c r="O93" s="14" t="e">
        <f t="shared" si="40"/>
        <v>#DIV/0!</v>
      </c>
      <c r="P93" s="14" t="e">
        <f t="shared" si="40"/>
        <v>#DIV/0!</v>
      </c>
      <c r="Q93" s="14" t="e">
        <f t="shared" si="40"/>
        <v>#DIV/0!</v>
      </c>
      <c r="R93" s="14" t="e">
        <f t="shared" si="40"/>
        <v>#DIV/0!</v>
      </c>
      <c r="S93" s="14" t="e">
        <f t="shared" si="40"/>
        <v>#DIV/0!</v>
      </c>
      <c r="T93" s="14" t="e">
        <f t="shared" si="40"/>
        <v>#DIV/0!</v>
      </c>
      <c r="U93" s="14" t="e">
        <f t="shared" si="40"/>
        <v>#DIV/0!</v>
      </c>
      <c r="V93" s="14" t="e">
        <f t="shared" si="40"/>
        <v>#DIV/0!</v>
      </c>
      <c r="W93" s="14" t="e">
        <f t="shared" si="40"/>
        <v>#DIV/0!</v>
      </c>
      <c r="X93" s="14" t="e">
        <f t="shared" si="40"/>
        <v>#DIV/0!</v>
      </c>
      <c r="Y93" s="14" t="e">
        <f t="shared" si="40"/>
        <v>#DIV/0!</v>
      </c>
      <c r="Z93" s="14" t="e">
        <f t="shared" si="40"/>
        <v>#DIV/0!</v>
      </c>
      <c r="AA93" s="14" t="e">
        <f t="shared" si="40"/>
        <v>#DIV/0!</v>
      </c>
      <c r="AB93" s="14" t="e">
        <f t="shared" si="40"/>
        <v>#DIV/0!</v>
      </c>
      <c r="AC93" s="14" t="e">
        <f t="shared" si="40"/>
        <v>#DIV/0!</v>
      </c>
      <c r="AD93" s="14" t="e">
        <f t="shared" si="40"/>
        <v>#DIV/0!</v>
      </c>
      <c r="AE93" s="14" t="e">
        <f t="shared" si="40"/>
        <v>#DIV/0!</v>
      </c>
      <c r="AF93" s="14" t="e">
        <f t="shared" si="40"/>
        <v>#DIV/0!</v>
      </c>
      <c r="AG93" s="14" t="e">
        <f t="shared" si="40"/>
        <v>#DIV/0!</v>
      </c>
      <c r="AH93" s="14" t="e">
        <f t="shared" si="40"/>
        <v>#DIV/0!</v>
      </c>
      <c r="AI93" s="14" t="e">
        <f t="shared" si="40"/>
        <v>#DIV/0!</v>
      </c>
      <c r="AJ93" s="14" t="e">
        <f t="shared" si="40"/>
        <v>#DIV/0!</v>
      </c>
      <c r="AK93" s="14" t="e">
        <f t="shared" si="40"/>
        <v>#DIV/0!</v>
      </c>
      <c r="AL93" s="14" t="e">
        <f t="shared" si="40"/>
        <v>#DIV/0!</v>
      </c>
    </row>
    <row r="94" spans="1:38" ht="21" hidden="1" customHeight="1" outlineLevel="1" thickBot="1" x14ac:dyDescent="0.4">
      <c r="A94" s="5">
        <f t="shared" si="27"/>
        <v>0</v>
      </c>
      <c r="B94" s="5">
        <f t="shared" si="27"/>
        <v>0</v>
      </c>
      <c r="C94" s="5">
        <f t="shared" si="27"/>
        <v>0</v>
      </c>
      <c r="D94" s="5">
        <f t="shared" si="27"/>
        <v>0</v>
      </c>
      <c r="E94" s="6">
        <f t="shared" si="23"/>
        <v>0</v>
      </c>
      <c r="F94" s="14" t="e">
        <f t="shared" ref="F94:AL94" si="41">F18*$C$78</f>
        <v>#DIV/0!</v>
      </c>
      <c r="G94" s="14" t="e">
        <f t="shared" si="41"/>
        <v>#DIV/0!</v>
      </c>
      <c r="H94" s="14" t="e">
        <f t="shared" si="41"/>
        <v>#DIV/0!</v>
      </c>
      <c r="I94" s="14" t="e">
        <f t="shared" si="41"/>
        <v>#DIV/0!</v>
      </c>
      <c r="J94" s="14" t="e">
        <f t="shared" si="41"/>
        <v>#DIV/0!</v>
      </c>
      <c r="K94" s="14" t="e">
        <f t="shared" si="41"/>
        <v>#DIV/0!</v>
      </c>
      <c r="L94" s="14" t="e">
        <f t="shared" si="41"/>
        <v>#DIV/0!</v>
      </c>
      <c r="M94" s="14" t="e">
        <f t="shared" si="41"/>
        <v>#DIV/0!</v>
      </c>
      <c r="N94" s="14" t="e">
        <f t="shared" si="41"/>
        <v>#DIV/0!</v>
      </c>
      <c r="O94" s="14" t="e">
        <f t="shared" si="41"/>
        <v>#DIV/0!</v>
      </c>
      <c r="P94" s="14" t="e">
        <f t="shared" si="41"/>
        <v>#DIV/0!</v>
      </c>
      <c r="Q94" s="14" t="e">
        <f t="shared" si="41"/>
        <v>#DIV/0!</v>
      </c>
      <c r="R94" s="14" t="e">
        <f t="shared" si="41"/>
        <v>#DIV/0!</v>
      </c>
      <c r="S94" s="14" t="e">
        <f t="shared" si="41"/>
        <v>#DIV/0!</v>
      </c>
      <c r="T94" s="14" t="e">
        <f t="shared" si="41"/>
        <v>#DIV/0!</v>
      </c>
      <c r="U94" s="14" t="e">
        <f t="shared" si="41"/>
        <v>#DIV/0!</v>
      </c>
      <c r="V94" s="14" t="e">
        <f t="shared" si="41"/>
        <v>#DIV/0!</v>
      </c>
      <c r="W94" s="14" t="e">
        <f t="shared" si="41"/>
        <v>#DIV/0!</v>
      </c>
      <c r="X94" s="14" t="e">
        <f t="shared" si="41"/>
        <v>#DIV/0!</v>
      </c>
      <c r="Y94" s="14" t="e">
        <f t="shared" si="41"/>
        <v>#DIV/0!</v>
      </c>
      <c r="Z94" s="14" t="e">
        <f t="shared" si="41"/>
        <v>#DIV/0!</v>
      </c>
      <c r="AA94" s="14" t="e">
        <f t="shared" si="41"/>
        <v>#DIV/0!</v>
      </c>
      <c r="AB94" s="14" t="e">
        <f t="shared" si="41"/>
        <v>#DIV/0!</v>
      </c>
      <c r="AC94" s="14" t="e">
        <f t="shared" si="41"/>
        <v>#DIV/0!</v>
      </c>
      <c r="AD94" s="14" t="e">
        <f t="shared" si="41"/>
        <v>#DIV/0!</v>
      </c>
      <c r="AE94" s="14" t="e">
        <f t="shared" si="41"/>
        <v>#DIV/0!</v>
      </c>
      <c r="AF94" s="14" t="e">
        <f t="shared" si="41"/>
        <v>#DIV/0!</v>
      </c>
      <c r="AG94" s="14" t="e">
        <f t="shared" si="41"/>
        <v>#DIV/0!</v>
      </c>
      <c r="AH94" s="14" t="e">
        <f t="shared" si="41"/>
        <v>#DIV/0!</v>
      </c>
      <c r="AI94" s="14" t="e">
        <f t="shared" si="41"/>
        <v>#DIV/0!</v>
      </c>
      <c r="AJ94" s="14" t="e">
        <f t="shared" si="41"/>
        <v>#DIV/0!</v>
      </c>
      <c r="AK94" s="14" t="e">
        <f t="shared" si="41"/>
        <v>#DIV/0!</v>
      </c>
      <c r="AL94" s="14" t="e">
        <f t="shared" si="41"/>
        <v>#DIV/0!</v>
      </c>
    </row>
    <row r="95" spans="1:38" ht="21" hidden="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0</v>
      </c>
      <c r="D95" s="5">
        <f t="shared" si="27"/>
        <v>0</v>
      </c>
      <c r="E95" s="6">
        <f t="shared" si="23"/>
        <v>0</v>
      </c>
      <c r="F95" s="14" t="e">
        <f t="shared" ref="F95:AL95" si="42">F19*$C$78</f>
        <v>#DIV/0!</v>
      </c>
      <c r="G95" s="14" t="e">
        <f t="shared" si="42"/>
        <v>#DIV/0!</v>
      </c>
      <c r="H95" s="14" t="e">
        <f t="shared" si="42"/>
        <v>#DIV/0!</v>
      </c>
      <c r="I95" s="14" t="e">
        <f t="shared" si="42"/>
        <v>#DIV/0!</v>
      </c>
      <c r="J95" s="14" t="e">
        <f t="shared" si="42"/>
        <v>#DIV/0!</v>
      </c>
      <c r="K95" s="14" t="e">
        <f t="shared" si="42"/>
        <v>#DIV/0!</v>
      </c>
      <c r="L95" s="14" t="e">
        <f t="shared" si="42"/>
        <v>#DIV/0!</v>
      </c>
      <c r="M95" s="14" t="e">
        <f t="shared" si="42"/>
        <v>#DIV/0!</v>
      </c>
      <c r="N95" s="14" t="e">
        <f t="shared" si="42"/>
        <v>#DIV/0!</v>
      </c>
      <c r="O95" s="14" t="e">
        <f t="shared" si="42"/>
        <v>#DIV/0!</v>
      </c>
      <c r="P95" s="14" t="e">
        <f t="shared" si="42"/>
        <v>#DIV/0!</v>
      </c>
      <c r="Q95" s="14" t="e">
        <f t="shared" si="42"/>
        <v>#DIV/0!</v>
      </c>
      <c r="R95" s="14" t="e">
        <f t="shared" si="42"/>
        <v>#DIV/0!</v>
      </c>
      <c r="S95" s="14" t="e">
        <f t="shared" si="42"/>
        <v>#DIV/0!</v>
      </c>
      <c r="T95" s="14" t="e">
        <f t="shared" si="42"/>
        <v>#DIV/0!</v>
      </c>
      <c r="U95" s="14" t="e">
        <f t="shared" si="42"/>
        <v>#DIV/0!</v>
      </c>
      <c r="V95" s="14" t="e">
        <f t="shared" si="42"/>
        <v>#DIV/0!</v>
      </c>
      <c r="W95" s="14" t="e">
        <f t="shared" si="42"/>
        <v>#DIV/0!</v>
      </c>
      <c r="X95" s="14" t="e">
        <f t="shared" si="42"/>
        <v>#DIV/0!</v>
      </c>
      <c r="Y95" s="14" t="e">
        <f t="shared" si="42"/>
        <v>#DIV/0!</v>
      </c>
      <c r="Z95" s="14" t="e">
        <f t="shared" si="42"/>
        <v>#DIV/0!</v>
      </c>
      <c r="AA95" s="14" t="e">
        <f t="shared" si="42"/>
        <v>#DIV/0!</v>
      </c>
      <c r="AB95" s="14" t="e">
        <f t="shared" si="42"/>
        <v>#DIV/0!</v>
      </c>
      <c r="AC95" s="14" t="e">
        <f t="shared" si="42"/>
        <v>#DIV/0!</v>
      </c>
      <c r="AD95" s="14" t="e">
        <f t="shared" si="42"/>
        <v>#DIV/0!</v>
      </c>
      <c r="AE95" s="14" t="e">
        <f t="shared" si="42"/>
        <v>#DIV/0!</v>
      </c>
      <c r="AF95" s="14" t="e">
        <f t="shared" si="42"/>
        <v>#DIV/0!</v>
      </c>
      <c r="AG95" s="14" t="e">
        <f t="shared" si="42"/>
        <v>#DIV/0!</v>
      </c>
      <c r="AH95" s="14" t="e">
        <f t="shared" si="42"/>
        <v>#DIV/0!</v>
      </c>
      <c r="AI95" s="14" t="e">
        <f t="shared" si="42"/>
        <v>#DIV/0!</v>
      </c>
      <c r="AJ95" s="14" t="e">
        <f t="shared" si="42"/>
        <v>#DIV/0!</v>
      </c>
      <c r="AK95" s="14" t="e">
        <f t="shared" si="42"/>
        <v>#DIV/0!</v>
      </c>
      <c r="AL95" s="14" t="e">
        <f t="shared" si="42"/>
        <v>#DIV/0!</v>
      </c>
    </row>
    <row r="96" spans="1:38" ht="21" hidden="1" customHeight="1" outlineLevel="1" thickBot="1" x14ac:dyDescent="0.4">
      <c r="A96" s="5">
        <f t="shared" si="27"/>
        <v>0</v>
      </c>
      <c r="B96" s="5">
        <f t="shared" si="27"/>
        <v>0</v>
      </c>
      <c r="C96" s="5">
        <f t="shared" si="27"/>
        <v>0</v>
      </c>
      <c r="D96" s="5">
        <f t="shared" si="27"/>
        <v>0</v>
      </c>
      <c r="E96" s="6">
        <f t="shared" si="23"/>
        <v>0</v>
      </c>
      <c r="F96" s="14" t="e">
        <f t="shared" ref="F96:AL96" si="43">F20*$C$78</f>
        <v>#DIV/0!</v>
      </c>
      <c r="G96" s="14" t="e">
        <f t="shared" si="43"/>
        <v>#DIV/0!</v>
      </c>
      <c r="H96" s="14" t="e">
        <f t="shared" si="43"/>
        <v>#DIV/0!</v>
      </c>
      <c r="I96" s="14" t="e">
        <f t="shared" si="43"/>
        <v>#DIV/0!</v>
      </c>
      <c r="J96" s="14" t="e">
        <f t="shared" si="43"/>
        <v>#DIV/0!</v>
      </c>
      <c r="K96" s="14" t="e">
        <f t="shared" si="43"/>
        <v>#DIV/0!</v>
      </c>
      <c r="L96" s="14" t="e">
        <f t="shared" si="43"/>
        <v>#DIV/0!</v>
      </c>
      <c r="M96" s="14" t="e">
        <f t="shared" si="43"/>
        <v>#DIV/0!</v>
      </c>
      <c r="N96" s="14" t="e">
        <f t="shared" si="43"/>
        <v>#DIV/0!</v>
      </c>
      <c r="O96" s="14" t="e">
        <f t="shared" si="43"/>
        <v>#DIV/0!</v>
      </c>
      <c r="P96" s="14" t="e">
        <f t="shared" si="43"/>
        <v>#DIV/0!</v>
      </c>
      <c r="Q96" s="14" t="e">
        <f t="shared" si="43"/>
        <v>#DIV/0!</v>
      </c>
      <c r="R96" s="14" t="e">
        <f t="shared" si="43"/>
        <v>#DIV/0!</v>
      </c>
      <c r="S96" s="14" t="e">
        <f t="shared" si="43"/>
        <v>#DIV/0!</v>
      </c>
      <c r="T96" s="14" t="e">
        <f t="shared" si="43"/>
        <v>#DIV/0!</v>
      </c>
      <c r="U96" s="14" t="e">
        <f t="shared" si="43"/>
        <v>#DIV/0!</v>
      </c>
      <c r="V96" s="14" t="e">
        <f t="shared" si="43"/>
        <v>#DIV/0!</v>
      </c>
      <c r="W96" s="14" t="e">
        <f t="shared" si="43"/>
        <v>#DIV/0!</v>
      </c>
      <c r="X96" s="14" t="e">
        <f t="shared" si="43"/>
        <v>#DIV/0!</v>
      </c>
      <c r="Y96" s="14" t="e">
        <f t="shared" si="43"/>
        <v>#DIV/0!</v>
      </c>
      <c r="Z96" s="14" t="e">
        <f t="shared" si="43"/>
        <v>#DIV/0!</v>
      </c>
      <c r="AA96" s="14" t="e">
        <f t="shared" si="43"/>
        <v>#DIV/0!</v>
      </c>
      <c r="AB96" s="14" t="e">
        <f t="shared" si="43"/>
        <v>#DIV/0!</v>
      </c>
      <c r="AC96" s="14" t="e">
        <f t="shared" si="43"/>
        <v>#DIV/0!</v>
      </c>
      <c r="AD96" s="14" t="e">
        <f t="shared" si="43"/>
        <v>#DIV/0!</v>
      </c>
      <c r="AE96" s="14" t="e">
        <f t="shared" si="43"/>
        <v>#DIV/0!</v>
      </c>
      <c r="AF96" s="14" t="e">
        <f t="shared" si="43"/>
        <v>#DIV/0!</v>
      </c>
      <c r="AG96" s="14" t="e">
        <f t="shared" si="43"/>
        <v>#DIV/0!</v>
      </c>
      <c r="AH96" s="14" t="e">
        <f t="shared" si="43"/>
        <v>#DIV/0!</v>
      </c>
      <c r="AI96" s="14" t="e">
        <f t="shared" si="43"/>
        <v>#DIV/0!</v>
      </c>
      <c r="AJ96" s="14" t="e">
        <f t="shared" si="43"/>
        <v>#DIV/0!</v>
      </c>
      <c r="AK96" s="14" t="e">
        <f t="shared" si="43"/>
        <v>#DIV/0!</v>
      </c>
      <c r="AL96" s="14" t="e">
        <f t="shared" si="43"/>
        <v>#DIV/0!</v>
      </c>
    </row>
    <row r="97" spans="1:54" ht="21" hidden="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0</v>
      </c>
      <c r="D97" s="5">
        <f t="shared" si="44"/>
        <v>0</v>
      </c>
      <c r="E97" s="6">
        <f t="shared" si="23"/>
        <v>0</v>
      </c>
      <c r="F97" s="14" t="e">
        <f t="shared" ref="F97:AL97" si="45">F21*$C$78</f>
        <v>#DIV/0!</v>
      </c>
      <c r="G97" s="14" t="e">
        <f t="shared" si="45"/>
        <v>#DIV/0!</v>
      </c>
      <c r="H97" s="14" t="e">
        <f t="shared" si="45"/>
        <v>#DIV/0!</v>
      </c>
      <c r="I97" s="14" t="e">
        <f t="shared" si="45"/>
        <v>#DIV/0!</v>
      </c>
      <c r="J97" s="14" t="e">
        <f t="shared" si="45"/>
        <v>#DIV/0!</v>
      </c>
      <c r="K97" s="14" t="e">
        <f t="shared" si="45"/>
        <v>#DIV/0!</v>
      </c>
      <c r="L97" s="14" t="e">
        <f t="shared" si="45"/>
        <v>#DIV/0!</v>
      </c>
      <c r="M97" s="14" t="e">
        <f t="shared" si="45"/>
        <v>#DIV/0!</v>
      </c>
      <c r="N97" s="14" t="e">
        <f t="shared" si="45"/>
        <v>#DIV/0!</v>
      </c>
      <c r="O97" s="14" t="e">
        <f t="shared" si="45"/>
        <v>#DIV/0!</v>
      </c>
      <c r="P97" s="14" t="e">
        <f t="shared" si="45"/>
        <v>#DIV/0!</v>
      </c>
      <c r="Q97" s="14" t="e">
        <f t="shared" si="45"/>
        <v>#DIV/0!</v>
      </c>
      <c r="R97" s="14" t="e">
        <f t="shared" si="45"/>
        <v>#DIV/0!</v>
      </c>
      <c r="S97" s="14" t="e">
        <f t="shared" si="45"/>
        <v>#DIV/0!</v>
      </c>
      <c r="T97" s="14" t="e">
        <f t="shared" si="45"/>
        <v>#DIV/0!</v>
      </c>
      <c r="U97" s="14" t="e">
        <f t="shared" si="45"/>
        <v>#DIV/0!</v>
      </c>
      <c r="V97" s="14" t="e">
        <f t="shared" si="45"/>
        <v>#DIV/0!</v>
      </c>
      <c r="W97" s="14" t="e">
        <f t="shared" si="45"/>
        <v>#DIV/0!</v>
      </c>
      <c r="X97" s="14" t="e">
        <f t="shared" si="45"/>
        <v>#DIV/0!</v>
      </c>
      <c r="Y97" s="14" t="e">
        <f t="shared" si="45"/>
        <v>#DIV/0!</v>
      </c>
      <c r="Z97" s="14" t="e">
        <f t="shared" si="45"/>
        <v>#DIV/0!</v>
      </c>
      <c r="AA97" s="14" t="e">
        <f t="shared" si="45"/>
        <v>#DIV/0!</v>
      </c>
      <c r="AB97" s="14" t="e">
        <f t="shared" si="45"/>
        <v>#DIV/0!</v>
      </c>
      <c r="AC97" s="14" t="e">
        <f t="shared" si="45"/>
        <v>#DIV/0!</v>
      </c>
      <c r="AD97" s="14" t="e">
        <f t="shared" si="45"/>
        <v>#DIV/0!</v>
      </c>
      <c r="AE97" s="14" t="e">
        <f t="shared" si="45"/>
        <v>#DIV/0!</v>
      </c>
      <c r="AF97" s="14" t="e">
        <f t="shared" si="45"/>
        <v>#DIV/0!</v>
      </c>
      <c r="AG97" s="14" t="e">
        <f t="shared" si="45"/>
        <v>#DIV/0!</v>
      </c>
      <c r="AH97" s="14" t="e">
        <f t="shared" si="45"/>
        <v>#DIV/0!</v>
      </c>
      <c r="AI97" s="14" t="e">
        <f t="shared" si="45"/>
        <v>#DIV/0!</v>
      </c>
      <c r="AJ97" s="14" t="e">
        <f t="shared" si="45"/>
        <v>#DIV/0!</v>
      </c>
      <c r="AK97" s="14" t="e">
        <f t="shared" si="45"/>
        <v>#DIV/0!</v>
      </c>
      <c r="AL97" s="14" t="e">
        <f t="shared" si="45"/>
        <v>#DIV/0!</v>
      </c>
    </row>
    <row r="98" spans="1:54" ht="21" hidden="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 t="e">
        <f t="shared" ref="F98:AL98" si="46">F22*$C$78</f>
        <v>#DIV/0!</v>
      </c>
      <c r="G98" s="14" t="e">
        <f t="shared" si="46"/>
        <v>#DIV/0!</v>
      </c>
      <c r="H98" s="14" t="e">
        <f t="shared" si="46"/>
        <v>#DIV/0!</v>
      </c>
      <c r="I98" s="14" t="e">
        <f t="shared" si="46"/>
        <v>#DIV/0!</v>
      </c>
      <c r="J98" s="14" t="e">
        <f t="shared" si="46"/>
        <v>#DIV/0!</v>
      </c>
      <c r="K98" s="14" t="e">
        <f t="shared" si="46"/>
        <v>#DIV/0!</v>
      </c>
      <c r="L98" s="14" t="e">
        <f t="shared" si="46"/>
        <v>#DIV/0!</v>
      </c>
      <c r="M98" s="14" t="e">
        <f t="shared" si="46"/>
        <v>#DIV/0!</v>
      </c>
      <c r="N98" s="14" t="e">
        <f t="shared" si="46"/>
        <v>#DIV/0!</v>
      </c>
      <c r="O98" s="14" t="e">
        <f t="shared" si="46"/>
        <v>#DIV/0!</v>
      </c>
      <c r="P98" s="14" t="e">
        <f t="shared" si="46"/>
        <v>#DIV/0!</v>
      </c>
      <c r="Q98" s="14" t="e">
        <f t="shared" si="46"/>
        <v>#DIV/0!</v>
      </c>
      <c r="R98" s="14" t="e">
        <f t="shared" si="46"/>
        <v>#DIV/0!</v>
      </c>
      <c r="S98" s="14" t="e">
        <f t="shared" si="46"/>
        <v>#DIV/0!</v>
      </c>
      <c r="T98" s="14" t="e">
        <f t="shared" si="46"/>
        <v>#DIV/0!</v>
      </c>
      <c r="U98" s="14" t="e">
        <f t="shared" si="46"/>
        <v>#DIV/0!</v>
      </c>
      <c r="V98" s="14" t="e">
        <f t="shared" si="46"/>
        <v>#DIV/0!</v>
      </c>
      <c r="W98" s="14" t="e">
        <f t="shared" si="46"/>
        <v>#DIV/0!</v>
      </c>
      <c r="X98" s="14" t="e">
        <f t="shared" si="46"/>
        <v>#DIV/0!</v>
      </c>
      <c r="Y98" s="14" t="e">
        <f t="shared" si="46"/>
        <v>#DIV/0!</v>
      </c>
      <c r="Z98" s="14" t="e">
        <f t="shared" si="46"/>
        <v>#DIV/0!</v>
      </c>
      <c r="AA98" s="14" t="e">
        <f t="shared" si="46"/>
        <v>#DIV/0!</v>
      </c>
      <c r="AB98" s="14" t="e">
        <f t="shared" si="46"/>
        <v>#DIV/0!</v>
      </c>
      <c r="AC98" s="14" t="e">
        <f t="shared" si="46"/>
        <v>#DIV/0!</v>
      </c>
      <c r="AD98" s="14" t="e">
        <f t="shared" si="46"/>
        <v>#DIV/0!</v>
      </c>
      <c r="AE98" s="14" t="e">
        <f t="shared" si="46"/>
        <v>#DIV/0!</v>
      </c>
      <c r="AF98" s="14" t="e">
        <f t="shared" si="46"/>
        <v>#DIV/0!</v>
      </c>
      <c r="AG98" s="14" t="e">
        <f t="shared" si="46"/>
        <v>#DIV/0!</v>
      </c>
      <c r="AH98" s="14" t="e">
        <f t="shared" si="46"/>
        <v>#DIV/0!</v>
      </c>
      <c r="AI98" s="14" t="e">
        <f t="shared" si="46"/>
        <v>#DIV/0!</v>
      </c>
      <c r="AJ98" s="14" t="e">
        <f t="shared" si="46"/>
        <v>#DIV/0!</v>
      </c>
      <c r="AK98" s="14" t="e">
        <f t="shared" si="46"/>
        <v>#DIV/0!</v>
      </c>
      <c r="AL98" s="14" t="e">
        <f t="shared" si="46"/>
        <v>#DIV/0!</v>
      </c>
    </row>
    <row r="99" spans="1:54" ht="21" hidden="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 t="e">
        <f t="shared" ref="F99:AL99" si="47">F23*$C$78</f>
        <v>#DIV/0!</v>
      </c>
      <c r="G99" s="14" t="e">
        <f t="shared" si="47"/>
        <v>#DIV/0!</v>
      </c>
      <c r="H99" s="14" t="e">
        <f t="shared" si="47"/>
        <v>#DIV/0!</v>
      </c>
      <c r="I99" s="14" t="e">
        <f t="shared" si="47"/>
        <v>#DIV/0!</v>
      </c>
      <c r="J99" s="14" t="e">
        <f t="shared" si="47"/>
        <v>#DIV/0!</v>
      </c>
      <c r="K99" s="14" t="e">
        <f t="shared" si="47"/>
        <v>#DIV/0!</v>
      </c>
      <c r="L99" s="14" t="e">
        <f t="shared" si="47"/>
        <v>#DIV/0!</v>
      </c>
      <c r="M99" s="14" t="e">
        <f t="shared" si="47"/>
        <v>#DIV/0!</v>
      </c>
      <c r="N99" s="14" t="e">
        <f t="shared" si="47"/>
        <v>#DIV/0!</v>
      </c>
      <c r="O99" s="14" t="e">
        <f t="shared" si="47"/>
        <v>#DIV/0!</v>
      </c>
      <c r="P99" s="14" t="e">
        <f t="shared" si="47"/>
        <v>#DIV/0!</v>
      </c>
      <c r="Q99" s="14" t="e">
        <f t="shared" si="47"/>
        <v>#DIV/0!</v>
      </c>
      <c r="R99" s="14" t="e">
        <f t="shared" si="47"/>
        <v>#DIV/0!</v>
      </c>
      <c r="S99" s="14" t="e">
        <f t="shared" si="47"/>
        <v>#DIV/0!</v>
      </c>
      <c r="T99" s="14" t="e">
        <f t="shared" si="47"/>
        <v>#DIV/0!</v>
      </c>
      <c r="U99" s="14" t="e">
        <f t="shared" si="47"/>
        <v>#DIV/0!</v>
      </c>
      <c r="V99" s="14" t="e">
        <f t="shared" si="47"/>
        <v>#DIV/0!</v>
      </c>
      <c r="W99" s="14" t="e">
        <f t="shared" si="47"/>
        <v>#DIV/0!</v>
      </c>
      <c r="X99" s="14" t="e">
        <f t="shared" si="47"/>
        <v>#DIV/0!</v>
      </c>
      <c r="Y99" s="14" t="e">
        <f t="shared" si="47"/>
        <v>#DIV/0!</v>
      </c>
      <c r="Z99" s="14" t="e">
        <f t="shared" si="47"/>
        <v>#DIV/0!</v>
      </c>
      <c r="AA99" s="14" t="e">
        <f t="shared" si="47"/>
        <v>#DIV/0!</v>
      </c>
      <c r="AB99" s="14" t="e">
        <f t="shared" si="47"/>
        <v>#DIV/0!</v>
      </c>
      <c r="AC99" s="14" t="e">
        <f t="shared" si="47"/>
        <v>#DIV/0!</v>
      </c>
      <c r="AD99" s="14" t="e">
        <f t="shared" si="47"/>
        <v>#DIV/0!</v>
      </c>
      <c r="AE99" s="14" t="e">
        <f t="shared" si="47"/>
        <v>#DIV/0!</v>
      </c>
      <c r="AF99" s="14" t="e">
        <f t="shared" si="47"/>
        <v>#DIV/0!</v>
      </c>
      <c r="AG99" s="14" t="e">
        <f t="shared" si="47"/>
        <v>#DIV/0!</v>
      </c>
      <c r="AH99" s="14" t="e">
        <f t="shared" si="47"/>
        <v>#DIV/0!</v>
      </c>
      <c r="AI99" s="14" t="e">
        <f t="shared" si="47"/>
        <v>#DIV/0!</v>
      </c>
      <c r="AJ99" s="14" t="e">
        <f t="shared" si="47"/>
        <v>#DIV/0!</v>
      </c>
      <c r="AK99" s="14" t="e">
        <f t="shared" si="47"/>
        <v>#DIV/0!</v>
      </c>
      <c r="AL99" s="14" t="e">
        <f t="shared" si="47"/>
        <v>#DIV/0!</v>
      </c>
    </row>
    <row r="100" spans="1:54" ht="21" hidden="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 t="e">
        <f t="shared" ref="F100:AL100" si="48">F24*$C$78</f>
        <v>#DIV/0!</v>
      </c>
      <c r="G100" s="14" t="e">
        <f t="shared" si="48"/>
        <v>#DIV/0!</v>
      </c>
      <c r="H100" s="14" t="e">
        <f t="shared" si="48"/>
        <v>#DIV/0!</v>
      </c>
      <c r="I100" s="14" t="e">
        <f t="shared" si="48"/>
        <v>#DIV/0!</v>
      </c>
      <c r="J100" s="14" t="e">
        <f t="shared" si="48"/>
        <v>#DIV/0!</v>
      </c>
      <c r="K100" s="14" t="e">
        <f t="shared" si="48"/>
        <v>#DIV/0!</v>
      </c>
      <c r="L100" s="14" t="e">
        <f t="shared" si="48"/>
        <v>#DIV/0!</v>
      </c>
      <c r="M100" s="14" t="e">
        <f t="shared" si="48"/>
        <v>#DIV/0!</v>
      </c>
      <c r="N100" s="14" t="e">
        <f t="shared" si="48"/>
        <v>#DIV/0!</v>
      </c>
      <c r="O100" s="14" t="e">
        <f t="shared" si="48"/>
        <v>#DIV/0!</v>
      </c>
      <c r="P100" s="14" t="e">
        <f t="shared" si="48"/>
        <v>#DIV/0!</v>
      </c>
      <c r="Q100" s="14" t="e">
        <f t="shared" si="48"/>
        <v>#DIV/0!</v>
      </c>
      <c r="R100" s="14" t="e">
        <f t="shared" si="48"/>
        <v>#DIV/0!</v>
      </c>
      <c r="S100" s="14" t="e">
        <f t="shared" si="48"/>
        <v>#DIV/0!</v>
      </c>
      <c r="T100" s="14" t="e">
        <f t="shared" si="48"/>
        <v>#DIV/0!</v>
      </c>
      <c r="U100" s="14" t="e">
        <f t="shared" si="48"/>
        <v>#DIV/0!</v>
      </c>
      <c r="V100" s="14" t="e">
        <f t="shared" si="48"/>
        <v>#DIV/0!</v>
      </c>
      <c r="W100" s="14" t="e">
        <f t="shared" si="48"/>
        <v>#DIV/0!</v>
      </c>
      <c r="X100" s="14" t="e">
        <f t="shared" si="48"/>
        <v>#DIV/0!</v>
      </c>
      <c r="Y100" s="14" t="e">
        <f t="shared" si="48"/>
        <v>#DIV/0!</v>
      </c>
      <c r="Z100" s="14" t="e">
        <f t="shared" si="48"/>
        <v>#DIV/0!</v>
      </c>
      <c r="AA100" s="14" t="e">
        <f t="shared" si="48"/>
        <v>#DIV/0!</v>
      </c>
      <c r="AB100" s="14" t="e">
        <f t="shared" si="48"/>
        <v>#DIV/0!</v>
      </c>
      <c r="AC100" s="14" t="e">
        <f t="shared" si="48"/>
        <v>#DIV/0!</v>
      </c>
      <c r="AD100" s="14" t="e">
        <f t="shared" si="48"/>
        <v>#DIV/0!</v>
      </c>
      <c r="AE100" s="14" t="e">
        <f t="shared" si="48"/>
        <v>#DIV/0!</v>
      </c>
      <c r="AF100" s="14" t="e">
        <f t="shared" si="48"/>
        <v>#DIV/0!</v>
      </c>
      <c r="AG100" s="14" t="e">
        <f t="shared" si="48"/>
        <v>#DIV/0!</v>
      </c>
      <c r="AH100" s="14" t="e">
        <f t="shared" si="48"/>
        <v>#DIV/0!</v>
      </c>
      <c r="AI100" s="14" t="e">
        <f t="shared" si="48"/>
        <v>#DIV/0!</v>
      </c>
      <c r="AJ100" s="14" t="e">
        <f t="shared" si="48"/>
        <v>#DIV/0!</v>
      </c>
      <c r="AK100" s="14" t="e">
        <f t="shared" si="48"/>
        <v>#DIV/0!</v>
      </c>
      <c r="AL100" s="14" t="e">
        <f t="shared" si="48"/>
        <v>#DIV/0!</v>
      </c>
    </row>
    <row r="101" spans="1:54" ht="21" hidden="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 t="e">
        <f t="shared" ref="F101:AL101" si="49">F25*$C$78</f>
        <v>#DIV/0!</v>
      </c>
      <c r="G101" s="14" t="e">
        <f t="shared" si="49"/>
        <v>#DIV/0!</v>
      </c>
      <c r="H101" s="14" t="e">
        <f t="shared" si="49"/>
        <v>#DIV/0!</v>
      </c>
      <c r="I101" s="14" t="e">
        <f t="shared" si="49"/>
        <v>#DIV/0!</v>
      </c>
      <c r="J101" s="14" t="e">
        <f t="shared" si="49"/>
        <v>#DIV/0!</v>
      </c>
      <c r="K101" s="14" t="e">
        <f t="shared" si="49"/>
        <v>#DIV/0!</v>
      </c>
      <c r="L101" s="14" t="e">
        <f t="shared" si="49"/>
        <v>#DIV/0!</v>
      </c>
      <c r="M101" s="14" t="e">
        <f t="shared" si="49"/>
        <v>#DIV/0!</v>
      </c>
      <c r="N101" s="14" t="e">
        <f t="shared" si="49"/>
        <v>#DIV/0!</v>
      </c>
      <c r="O101" s="14" t="e">
        <f t="shared" si="49"/>
        <v>#DIV/0!</v>
      </c>
      <c r="P101" s="14" t="e">
        <f t="shared" si="49"/>
        <v>#DIV/0!</v>
      </c>
      <c r="Q101" s="14" t="e">
        <f t="shared" si="49"/>
        <v>#DIV/0!</v>
      </c>
      <c r="R101" s="14" t="e">
        <f t="shared" si="49"/>
        <v>#DIV/0!</v>
      </c>
      <c r="S101" s="14" t="e">
        <f t="shared" si="49"/>
        <v>#DIV/0!</v>
      </c>
      <c r="T101" s="14" t="e">
        <f t="shared" si="49"/>
        <v>#DIV/0!</v>
      </c>
      <c r="U101" s="14" t="e">
        <f t="shared" si="49"/>
        <v>#DIV/0!</v>
      </c>
      <c r="V101" s="14" t="e">
        <f t="shared" si="49"/>
        <v>#DIV/0!</v>
      </c>
      <c r="W101" s="14" t="e">
        <f t="shared" si="49"/>
        <v>#DIV/0!</v>
      </c>
      <c r="X101" s="14" t="e">
        <f t="shared" si="49"/>
        <v>#DIV/0!</v>
      </c>
      <c r="Y101" s="14" t="e">
        <f t="shared" si="49"/>
        <v>#DIV/0!</v>
      </c>
      <c r="Z101" s="14" t="e">
        <f t="shared" si="49"/>
        <v>#DIV/0!</v>
      </c>
      <c r="AA101" s="14" t="e">
        <f t="shared" si="49"/>
        <v>#DIV/0!</v>
      </c>
      <c r="AB101" s="14" t="e">
        <f t="shared" si="49"/>
        <v>#DIV/0!</v>
      </c>
      <c r="AC101" s="14" t="e">
        <f t="shared" si="49"/>
        <v>#DIV/0!</v>
      </c>
      <c r="AD101" s="14" t="e">
        <f t="shared" si="49"/>
        <v>#DIV/0!</v>
      </c>
      <c r="AE101" s="14" t="e">
        <f t="shared" si="49"/>
        <v>#DIV/0!</v>
      </c>
      <c r="AF101" s="14" t="e">
        <f t="shared" si="49"/>
        <v>#DIV/0!</v>
      </c>
      <c r="AG101" s="14" t="e">
        <f t="shared" si="49"/>
        <v>#DIV/0!</v>
      </c>
      <c r="AH101" s="14" t="e">
        <f t="shared" si="49"/>
        <v>#DIV/0!</v>
      </c>
      <c r="AI101" s="14" t="e">
        <f t="shared" si="49"/>
        <v>#DIV/0!</v>
      </c>
      <c r="AJ101" s="14" t="e">
        <f t="shared" si="49"/>
        <v>#DIV/0!</v>
      </c>
      <c r="AK101" s="14" t="e">
        <f t="shared" si="49"/>
        <v>#DIV/0!</v>
      </c>
      <c r="AL101" s="14" t="e">
        <f t="shared" si="49"/>
        <v>#DIV/0!</v>
      </c>
    </row>
    <row r="102" spans="1:54" ht="21" hidden="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 t="e">
        <f t="shared" ref="F102:AL102" si="50">F26*$C$78</f>
        <v>#DIV/0!</v>
      </c>
      <c r="G102" s="14" t="e">
        <f t="shared" si="50"/>
        <v>#DIV/0!</v>
      </c>
      <c r="H102" s="14" t="e">
        <f t="shared" si="50"/>
        <v>#DIV/0!</v>
      </c>
      <c r="I102" s="14" t="e">
        <f t="shared" si="50"/>
        <v>#DIV/0!</v>
      </c>
      <c r="J102" s="14" t="e">
        <f t="shared" si="50"/>
        <v>#DIV/0!</v>
      </c>
      <c r="K102" s="14" t="e">
        <f t="shared" si="50"/>
        <v>#DIV/0!</v>
      </c>
      <c r="L102" s="14" t="e">
        <f t="shared" si="50"/>
        <v>#DIV/0!</v>
      </c>
      <c r="M102" s="14" t="e">
        <f t="shared" si="50"/>
        <v>#DIV/0!</v>
      </c>
      <c r="N102" s="14" t="e">
        <f t="shared" si="50"/>
        <v>#DIV/0!</v>
      </c>
      <c r="O102" s="14" t="e">
        <f t="shared" si="50"/>
        <v>#DIV/0!</v>
      </c>
      <c r="P102" s="14" t="e">
        <f t="shared" si="50"/>
        <v>#DIV/0!</v>
      </c>
      <c r="Q102" s="14" t="e">
        <f t="shared" si="50"/>
        <v>#DIV/0!</v>
      </c>
      <c r="R102" s="14" t="e">
        <f t="shared" si="50"/>
        <v>#DIV/0!</v>
      </c>
      <c r="S102" s="14" t="e">
        <f t="shared" si="50"/>
        <v>#DIV/0!</v>
      </c>
      <c r="T102" s="14" t="e">
        <f t="shared" si="50"/>
        <v>#DIV/0!</v>
      </c>
      <c r="U102" s="14" t="e">
        <f t="shared" si="50"/>
        <v>#DIV/0!</v>
      </c>
      <c r="V102" s="14" t="e">
        <f t="shared" si="50"/>
        <v>#DIV/0!</v>
      </c>
      <c r="W102" s="14" t="e">
        <f t="shared" si="50"/>
        <v>#DIV/0!</v>
      </c>
      <c r="X102" s="14" t="e">
        <f t="shared" si="50"/>
        <v>#DIV/0!</v>
      </c>
      <c r="Y102" s="14" t="e">
        <f t="shared" si="50"/>
        <v>#DIV/0!</v>
      </c>
      <c r="Z102" s="14" t="e">
        <f t="shared" si="50"/>
        <v>#DIV/0!</v>
      </c>
      <c r="AA102" s="14" t="e">
        <f t="shared" si="50"/>
        <v>#DIV/0!</v>
      </c>
      <c r="AB102" s="14" t="e">
        <f t="shared" si="50"/>
        <v>#DIV/0!</v>
      </c>
      <c r="AC102" s="14" t="e">
        <f t="shared" si="50"/>
        <v>#DIV/0!</v>
      </c>
      <c r="AD102" s="14" t="e">
        <f t="shared" si="50"/>
        <v>#DIV/0!</v>
      </c>
      <c r="AE102" s="14" t="e">
        <f t="shared" si="50"/>
        <v>#DIV/0!</v>
      </c>
      <c r="AF102" s="14" t="e">
        <f t="shared" si="50"/>
        <v>#DIV/0!</v>
      </c>
      <c r="AG102" s="14" t="e">
        <f t="shared" si="50"/>
        <v>#DIV/0!</v>
      </c>
      <c r="AH102" s="14" t="e">
        <f t="shared" si="50"/>
        <v>#DIV/0!</v>
      </c>
      <c r="AI102" s="14" t="e">
        <f t="shared" si="50"/>
        <v>#DIV/0!</v>
      </c>
      <c r="AJ102" s="14" t="e">
        <f t="shared" si="50"/>
        <v>#DIV/0!</v>
      </c>
      <c r="AK102" s="14" t="e">
        <f t="shared" si="50"/>
        <v>#DIV/0!</v>
      </c>
      <c r="AL102" s="14" t="e">
        <f t="shared" si="50"/>
        <v>#DIV/0!</v>
      </c>
    </row>
    <row r="103" spans="1:54" ht="21" hidden="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 t="e">
        <f t="shared" ref="F103:AL103" si="51">F27*$C$78</f>
        <v>#DIV/0!</v>
      </c>
      <c r="G103" s="14" t="e">
        <f t="shared" si="51"/>
        <v>#DIV/0!</v>
      </c>
      <c r="H103" s="14" t="e">
        <f t="shared" si="51"/>
        <v>#DIV/0!</v>
      </c>
      <c r="I103" s="14" t="e">
        <f t="shared" si="51"/>
        <v>#DIV/0!</v>
      </c>
      <c r="J103" s="14" t="e">
        <f t="shared" si="51"/>
        <v>#DIV/0!</v>
      </c>
      <c r="K103" s="14" t="e">
        <f t="shared" si="51"/>
        <v>#DIV/0!</v>
      </c>
      <c r="L103" s="14" t="e">
        <f t="shared" si="51"/>
        <v>#DIV/0!</v>
      </c>
      <c r="M103" s="14" t="e">
        <f t="shared" si="51"/>
        <v>#DIV/0!</v>
      </c>
      <c r="N103" s="14" t="e">
        <f t="shared" si="51"/>
        <v>#DIV/0!</v>
      </c>
      <c r="O103" s="14" t="e">
        <f t="shared" si="51"/>
        <v>#DIV/0!</v>
      </c>
      <c r="P103" s="14" t="e">
        <f t="shared" si="51"/>
        <v>#DIV/0!</v>
      </c>
      <c r="Q103" s="14" t="e">
        <f t="shared" si="51"/>
        <v>#DIV/0!</v>
      </c>
      <c r="R103" s="14" t="e">
        <f t="shared" si="51"/>
        <v>#DIV/0!</v>
      </c>
      <c r="S103" s="14" t="e">
        <f t="shared" si="51"/>
        <v>#DIV/0!</v>
      </c>
      <c r="T103" s="14" t="e">
        <f t="shared" si="51"/>
        <v>#DIV/0!</v>
      </c>
      <c r="U103" s="14" t="e">
        <f t="shared" si="51"/>
        <v>#DIV/0!</v>
      </c>
      <c r="V103" s="14" t="e">
        <f t="shared" si="51"/>
        <v>#DIV/0!</v>
      </c>
      <c r="W103" s="14" t="e">
        <f t="shared" si="51"/>
        <v>#DIV/0!</v>
      </c>
      <c r="X103" s="14" t="e">
        <f t="shared" si="51"/>
        <v>#DIV/0!</v>
      </c>
      <c r="Y103" s="14" t="e">
        <f t="shared" si="51"/>
        <v>#DIV/0!</v>
      </c>
      <c r="Z103" s="14" t="e">
        <f t="shared" si="51"/>
        <v>#DIV/0!</v>
      </c>
      <c r="AA103" s="14" t="e">
        <f t="shared" si="51"/>
        <v>#DIV/0!</v>
      </c>
      <c r="AB103" s="14" t="e">
        <f t="shared" si="51"/>
        <v>#DIV/0!</v>
      </c>
      <c r="AC103" s="14" t="e">
        <f t="shared" si="51"/>
        <v>#DIV/0!</v>
      </c>
      <c r="AD103" s="14" t="e">
        <f t="shared" si="51"/>
        <v>#DIV/0!</v>
      </c>
      <c r="AE103" s="14" t="e">
        <f t="shared" si="51"/>
        <v>#DIV/0!</v>
      </c>
      <c r="AF103" s="14" t="e">
        <f t="shared" si="51"/>
        <v>#DIV/0!</v>
      </c>
      <c r="AG103" s="14" t="e">
        <f t="shared" si="51"/>
        <v>#DIV/0!</v>
      </c>
      <c r="AH103" s="14" t="e">
        <f t="shared" si="51"/>
        <v>#DIV/0!</v>
      </c>
      <c r="AI103" s="14" t="e">
        <f t="shared" si="51"/>
        <v>#DIV/0!</v>
      </c>
      <c r="AJ103" s="14" t="e">
        <f t="shared" si="51"/>
        <v>#DIV/0!</v>
      </c>
      <c r="AK103" s="14" t="e">
        <f t="shared" si="51"/>
        <v>#DIV/0!</v>
      </c>
      <c r="AL103" s="14" t="e">
        <f t="shared" si="51"/>
        <v>#DIV/0!</v>
      </c>
    </row>
    <row r="104" spans="1:54" ht="21" hidden="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 t="e">
        <f t="shared" ref="F104:AL104" si="52">F28*$C$78</f>
        <v>#DIV/0!</v>
      </c>
      <c r="G104" s="14" t="e">
        <f t="shared" si="52"/>
        <v>#DIV/0!</v>
      </c>
      <c r="H104" s="14" t="e">
        <f t="shared" si="52"/>
        <v>#DIV/0!</v>
      </c>
      <c r="I104" s="14" t="e">
        <f t="shared" si="52"/>
        <v>#DIV/0!</v>
      </c>
      <c r="J104" s="14" t="e">
        <f t="shared" si="52"/>
        <v>#DIV/0!</v>
      </c>
      <c r="K104" s="14" t="e">
        <f t="shared" si="52"/>
        <v>#DIV/0!</v>
      </c>
      <c r="L104" s="14" t="e">
        <f t="shared" si="52"/>
        <v>#DIV/0!</v>
      </c>
      <c r="M104" s="14" t="e">
        <f t="shared" si="52"/>
        <v>#DIV/0!</v>
      </c>
      <c r="N104" s="14" t="e">
        <f t="shared" si="52"/>
        <v>#DIV/0!</v>
      </c>
      <c r="O104" s="14" t="e">
        <f t="shared" si="52"/>
        <v>#DIV/0!</v>
      </c>
      <c r="P104" s="14" t="e">
        <f t="shared" si="52"/>
        <v>#DIV/0!</v>
      </c>
      <c r="Q104" s="14" t="e">
        <f t="shared" si="52"/>
        <v>#DIV/0!</v>
      </c>
      <c r="R104" s="14" t="e">
        <f t="shared" si="52"/>
        <v>#DIV/0!</v>
      </c>
      <c r="S104" s="14" t="e">
        <f t="shared" si="52"/>
        <v>#DIV/0!</v>
      </c>
      <c r="T104" s="14" t="e">
        <f t="shared" si="52"/>
        <v>#DIV/0!</v>
      </c>
      <c r="U104" s="14" t="e">
        <f t="shared" si="52"/>
        <v>#DIV/0!</v>
      </c>
      <c r="V104" s="14" t="e">
        <f t="shared" si="52"/>
        <v>#DIV/0!</v>
      </c>
      <c r="W104" s="14" t="e">
        <f t="shared" si="52"/>
        <v>#DIV/0!</v>
      </c>
      <c r="X104" s="14" t="e">
        <f t="shared" si="52"/>
        <v>#DIV/0!</v>
      </c>
      <c r="Y104" s="14" t="e">
        <f t="shared" si="52"/>
        <v>#DIV/0!</v>
      </c>
      <c r="Z104" s="14" t="e">
        <f t="shared" si="52"/>
        <v>#DIV/0!</v>
      </c>
      <c r="AA104" s="14" t="e">
        <f t="shared" si="52"/>
        <v>#DIV/0!</v>
      </c>
      <c r="AB104" s="14" t="e">
        <f t="shared" si="52"/>
        <v>#DIV/0!</v>
      </c>
      <c r="AC104" s="14" t="e">
        <f t="shared" si="52"/>
        <v>#DIV/0!</v>
      </c>
      <c r="AD104" s="14" t="e">
        <f t="shared" si="52"/>
        <v>#DIV/0!</v>
      </c>
      <c r="AE104" s="14" t="e">
        <f t="shared" si="52"/>
        <v>#DIV/0!</v>
      </c>
      <c r="AF104" s="14" t="e">
        <f t="shared" si="52"/>
        <v>#DIV/0!</v>
      </c>
      <c r="AG104" s="14" t="e">
        <f t="shared" si="52"/>
        <v>#DIV/0!</v>
      </c>
      <c r="AH104" s="14" t="e">
        <f t="shared" si="52"/>
        <v>#DIV/0!</v>
      </c>
      <c r="AI104" s="14" t="e">
        <f t="shared" si="52"/>
        <v>#DIV/0!</v>
      </c>
      <c r="AJ104" s="14" t="e">
        <f t="shared" si="52"/>
        <v>#DIV/0!</v>
      </c>
      <c r="AK104" s="14" t="e">
        <f t="shared" si="52"/>
        <v>#DIV/0!</v>
      </c>
      <c r="AL104" s="14" t="e">
        <f t="shared" si="52"/>
        <v>#DIV/0!</v>
      </c>
    </row>
    <row r="105" spans="1:54" ht="21" hidden="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 t="e">
        <f t="shared" ref="F105:AL105" si="53">F29*$C$78</f>
        <v>#DIV/0!</v>
      </c>
      <c r="G105" s="14" t="e">
        <f t="shared" si="53"/>
        <v>#DIV/0!</v>
      </c>
      <c r="H105" s="14" t="e">
        <f t="shared" si="53"/>
        <v>#DIV/0!</v>
      </c>
      <c r="I105" s="14" t="e">
        <f t="shared" si="53"/>
        <v>#DIV/0!</v>
      </c>
      <c r="J105" s="14" t="e">
        <f t="shared" si="53"/>
        <v>#DIV/0!</v>
      </c>
      <c r="K105" s="14" t="e">
        <f t="shared" si="53"/>
        <v>#DIV/0!</v>
      </c>
      <c r="L105" s="14" t="e">
        <f t="shared" si="53"/>
        <v>#DIV/0!</v>
      </c>
      <c r="M105" s="14" t="e">
        <f t="shared" si="53"/>
        <v>#DIV/0!</v>
      </c>
      <c r="N105" s="14" t="e">
        <f t="shared" si="53"/>
        <v>#DIV/0!</v>
      </c>
      <c r="O105" s="14" t="e">
        <f t="shared" si="53"/>
        <v>#DIV/0!</v>
      </c>
      <c r="P105" s="14" t="e">
        <f t="shared" si="53"/>
        <v>#DIV/0!</v>
      </c>
      <c r="Q105" s="14" t="e">
        <f t="shared" si="53"/>
        <v>#DIV/0!</v>
      </c>
      <c r="R105" s="14" t="e">
        <f t="shared" si="53"/>
        <v>#DIV/0!</v>
      </c>
      <c r="S105" s="14" t="e">
        <f t="shared" si="53"/>
        <v>#DIV/0!</v>
      </c>
      <c r="T105" s="14" t="e">
        <f t="shared" si="53"/>
        <v>#DIV/0!</v>
      </c>
      <c r="U105" s="14" t="e">
        <f t="shared" si="53"/>
        <v>#DIV/0!</v>
      </c>
      <c r="V105" s="14" t="e">
        <f t="shared" si="53"/>
        <v>#DIV/0!</v>
      </c>
      <c r="W105" s="14" t="e">
        <f t="shared" si="53"/>
        <v>#DIV/0!</v>
      </c>
      <c r="X105" s="14" t="e">
        <f t="shared" si="53"/>
        <v>#DIV/0!</v>
      </c>
      <c r="Y105" s="14" t="e">
        <f t="shared" si="53"/>
        <v>#DIV/0!</v>
      </c>
      <c r="Z105" s="14" t="e">
        <f t="shared" si="53"/>
        <v>#DIV/0!</v>
      </c>
      <c r="AA105" s="14" t="e">
        <f t="shared" si="53"/>
        <v>#DIV/0!</v>
      </c>
      <c r="AB105" s="14" t="e">
        <f t="shared" si="53"/>
        <v>#DIV/0!</v>
      </c>
      <c r="AC105" s="14" t="e">
        <f t="shared" si="53"/>
        <v>#DIV/0!</v>
      </c>
      <c r="AD105" s="14" t="e">
        <f t="shared" si="53"/>
        <v>#DIV/0!</v>
      </c>
      <c r="AE105" s="14" t="e">
        <f t="shared" si="53"/>
        <v>#DIV/0!</v>
      </c>
      <c r="AF105" s="14" t="e">
        <f t="shared" si="53"/>
        <v>#DIV/0!</v>
      </c>
      <c r="AG105" s="14" t="e">
        <f t="shared" si="53"/>
        <v>#DIV/0!</v>
      </c>
      <c r="AH105" s="14" t="e">
        <f t="shared" si="53"/>
        <v>#DIV/0!</v>
      </c>
      <c r="AI105" s="14" t="e">
        <f t="shared" si="53"/>
        <v>#DIV/0!</v>
      </c>
      <c r="AJ105" s="14" t="e">
        <f t="shared" si="53"/>
        <v>#DIV/0!</v>
      </c>
      <c r="AK105" s="14" t="e">
        <f t="shared" si="53"/>
        <v>#DIV/0!</v>
      </c>
      <c r="AL105" s="14" t="e">
        <f t="shared" si="53"/>
        <v>#DIV/0!</v>
      </c>
    </row>
    <row r="106" spans="1:54" ht="21" hidden="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 t="e">
        <f t="shared" ref="F106:AL106" si="54">F30*$C$78</f>
        <v>#DIV/0!</v>
      </c>
      <c r="G106" s="14" t="e">
        <f t="shared" si="54"/>
        <v>#DIV/0!</v>
      </c>
      <c r="H106" s="14" t="e">
        <f t="shared" si="54"/>
        <v>#DIV/0!</v>
      </c>
      <c r="I106" s="14" t="e">
        <f t="shared" si="54"/>
        <v>#DIV/0!</v>
      </c>
      <c r="J106" s="14" t="e">
        <f t="shared" si="54"/>
        <v>#DIV/0!</v>
      </c>
      <c r="K106" s="14" t="e">
        <f t="shared" si="54"/>
        <v>#DIV/0!</v>
      </c>
      <c r="L106" s="14" t="e">
        <f t="shared" si="54"/>
        <v>#DIV/0!</v>
      </c>
      <c r="M106" s="14" t="e">
        <f t="shared" si="54"/>
        <v>#DIV/0!</v>
      </c>
      <c r="N106" s="14" t="e">
        <f t="shared" si="54"/>
        <v>#DIV/0!</v>
      </c>
      <c r="O106" s="14" t="e">
        <f t="shared" si="54"/>
        <v>#DIV/0!</v>
      </c>
      <c r="P106" s="14" t="e">
        <f t="shared" si="54"/>
        <v>#DIV/0!</v>
      </c>
      <c r="Q106" s="14" t="e">
        <f t="shared" si="54"/>
        <v>#DIV/0!</v>
      </c>
      <c r="R106" s="14" t="e">
        <f t="shared" si="54"/>
        <v>#DIV/0!</v>
      </c>
      <c r="S106" s="14" t="e">
        <f t="shared" si="54"/>
        <v>#DIV/0!</v>
      </c>
      <c r="T106" s="14" t="e">
        <f t="shared" si="54"/>
        <v>#DIV/0!</v>
      </c>
      <c r="U106" s="14" t="e">
        <f t="shared" si="54"/>
        <v>#DIV/0!</v>
      </c>
      <c r="V106" s="14" t="e">
        <f t="shared" si="54"/>
        <v>#DIV/0!</v>
      </c>
      <c r="W106" s="14" t="e">
        <f t="shared" si="54"/>
        <v>#DIV/0!</v>
      </c>
      <c r="X106" s="14" t="e">
        <f t="shared" si="54"/>
        <v>#DIV/0!</v>
      </c>
      <c r="Y106" s="14" t="e">
        <f t="shared" si="54"/>
        <v>#DIV/0!</v>
      </c>
      <c r="Z106" s="14" t="e">
        <f t="shared" si="54"/>
        <v>#DIV/0!</v>
      </c>
      <c r="AA106" s="14" t="e">
        <f t="shared" si="54"/>
        <v>#DIV/0!</v>
      </c>
      <c r="AB106" s="14" t="e">
        <f t="shared" si="54"/>
        <v>#DIV/0!</v>
      </c>
      <c r="AC106" s="14" t="e">
        <f t="shared" si="54"/>
        <v>#DIV/0!</v>
      </c>
      <c r="AD106" s="14" t="e">
        <f t="shared" si="54"/>
        <v>#DIV/0!</v>
      </c>
      <c r="AE106" s="14" t="e">
        <f t="shared" si="54"/>
        <v>#DIV/0!</v>
      </c>
      <c r="AF106" s="14" t="e">
        <f t="shared" si="54"/>
        <v>#DIV/0!</v>
      </c>
      <c r="AG106" s="14" t="e">
        <f t="shared" si="54"/>
        <v>#DIV/0!</v>
      </c>
      <c r="AH106" s="14" t="e">
        <f t="shared" si="54"/>
        <v>#DIV/0!</v>
      </c>
      <c r="AI106" s="14" t="e">
        <f t="shared" si="54"/>
        <v>#DIV/0!</v>
      </c>
      <c r="AJ106" s="14" t="e">
        <f t="shared" si="54"/>
        <v>#DIV/0!</v>
      </c>
      <c r="AK106" s="14" t="e">
        <f t="shared" si="54"/>
        <v>#DIV/0!</v>
      </c>
      <c r="AL106" s="14" t="e">
        <f t="shared" si="54"/>
        <v>#DIV/0!</v>
      </c>
    </row>
    <row r="107" spans="1:54" ht="21" hidden="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 t="e">
        <f t="shared" ref="F107:AL107" si="55">F31*$C$78</f>
        <v>#DIV/0!</v>
      </c>
      <c r="G107" s="14" t="e">
        <f t="shared" si="55"/>
        <v>#DIV/0!</v>
      </c>
      <c r="H107" s="14" t="e">
        <f t="shared" si="55"/>
        <v>#DIV/0!</v>
      </c>
      <c r="I107" s="14" t="e">
        <f t="shared" si="55"/>
        <v>#DIV/0!</v>
      </c>
      <c r="J107" s="14" t="e">
        <f t="shared" si="55"/>
        <v>#DIV/0!</v>
      </c>
      <c r="K107" s="14" t="e">
        <f t="shared" si="55"/>
        <v>#DIV/0!</v>
      </c>
      <c r="L107" s="14" t="e">
        <f t="shared" si="55"/>
        <v>#DIV/0!</v>
      </c>
      <c r="M107" s="14" t="e">
        <f t="shared" si="55"/>
        <v>#DIV/0!</v>
      </c>
      <c r="N107" s="14" t="e">
        <f t="shared" si="55"/>
        <v>#DIV/0!</v>
      </c>
      <c r="O107" s="14" t="e">
        <f t="shared" si="55"/>
        <v>#DIV/0!</v>
      </c>
      <c r="P107" s="14" t="e">
        <f t="shared" si="55"/>
        <v>#DIV/0!</v>
      </c>
      <c r="Q107" s="14" t="e">
        <f t="shared" si="55"/>
        <v>#DIV/0!</v>
      </c>
      <c r="R107" s="14" t="e">
        <f t="shared" si="55"/>
        <v>#DIV/0!</v>
      </c>
      <c r="S107" s="14" t="e">
        <f t="shared" si="55"/>
        <v>#DIV/0!</v>
      </c>
      <c r="T107" s="14" t="e">
        <f t="shared" si="55"/>
        <v>#DIV/0!</v>
      </c>
      <c r="U107" s="14" t="e">
        <f t="shared" si="55"/>
        <v>#DIV/0!</v>
      </c>
      <c r="V107" s="14" t="e">
        <f t="shared" si="55"/>
        <v>#DIV/0!</v>
      </c>
      <c r="W107" s="14" t="e">
        <f t="shared" si="55"/>
        <v>#DIV/0!</v>
      </c>
      <c r="X107" s="14" t="e">
        <f t="shared" si="55"/>
        <v>#DIV/0!</v>
      </c>
      <c r="Y107" s="14" t="e">
        <f t="shared" si="55"/>
        <v>#DIV/0!</v>
      </c>
      <c r="Z107" s="14" t="e">
        <f t="shared" si="55"/>
        <v>#DIV/0!</v>
      </c>
      <c r="AA107" s="14" t="e">
        <f t="shared" si="55"/>
        <v>#DIV/0!</v>
      </c>
      <c r="AB107" s="14" t="e">
        <f t="shared" si="55"/>
        <v>#DIV/0!</v>
      </c>
      <c r="AC107" s="14" t="e">
        <f t="shared" si="55"/>
        <v>#DIV/0!</v>
      </c>
      <c r="AD107" s="14" t="e">
        <f t="shared" si="55"/>
        <v>#DIV/0!</v>
      </c>
      <c r="AE107" s="14" t="e">
        <f t="shared" si="55"/>
        <v>#DIV/0!</v>
      </c>
      <c r="AF107" s="14" t="e">
        <f t="shared" si="55"/>
        <v>#DIV/0!</v>
      </c>
      <c r="AG107" s="14" t="e">
        <f t="shared" si="55"/>
        <v>#DIV/0!</v>
      </c>
      <c r="AH107" s="14" t="e">
        <f t="shared" si="55"/>
        <v>#DIV/0!</v>
      </c>
      <c r="AI107" s="14" t="e">
        <f t="shared" si="55"/>
        <v>#DIV/0!</v>
      </c>
      <c r="AJ107" s="14" t="e">
        <f t="shared" si="55"/>
        <v>#DIV/0!</v>
      </c>
      <c r="AK107" s="14" t="e">
        <f t="shared" si="55"/>
        <v>#DIV/0!</v>
      </c>
      <c r="AL107" s="14" t="e">
        <f t="shared" si="55"/>
        <v>#DIV/0!</v>
      </c>
    </row>
    <row r="108" spans="1:54" ht="21" hidden="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 t="e">
        <f t="shared" ref="F108:AL108" si="56">F32*$C$78</f>
        <v>#DIV/0!</v>
      </c>
      <c r="G108" s="14" t="e">
        <f t="shared" si="56"/>
        <v>#DIV/0!</v>
      </c>
      <c r="H108" s="14" t="e">
        <f t="shared" si="56"/>
        <v>#DIV/0!</v>
      </c>
      <c r="I108" s="14" t="e">
        <f t="shared" si="56"/>
        <v>#DIV/0!</v>
      </c>
      <c r="J108" s="14" t="e">
        <f t="shared" si="56"/>
        <v>#DIV/0!</v>
      </c>
      <c r="K108" s="14" t="e">
        <f t="shared" si="56"/>
        <v>#DIV/0!</v>
      </c>
      <c r="L108" s="14" t="e">
        <f t="shared" si="56"/>
        <v>#DIV/0!</v>
      </c>
      <c r="M108" s="14" t="e">
        <f t="shared" si="56"/>
        <v>#DIV/0!</v>
      </c>
      <c r="N108" s="14" t="e">
        <f t="shared" si="56"/>
        <v>#DIV/0!</v>
      </c>
      <c r="O108" s="14" t="e">
        <f t="shared" si="56"/>
        <v>#DIV/0!</v>
      </c>
      <c r="P108" s="14" t="e">
        <f t="shared" si="56"/>
        <v>#DIV/0!</v>
      </c>
      <c r="Q108" s="14" t="e">
        <f t="shared" si="56"/>
        <v>#DIV/0!</v>
      </c>
      <c r="R108" s="14" t="e">
        <f t="shared" si="56"/>
        <v>#DIV/0!</v>
      </c>
      <c r="S108" s="14" t="e">
        <f t="shared" si="56"/>
        <v>#DIV/0!</v>
      </c>
      <c r="T108" s="14" t="e">
        <f t="shared" si="56"/>
        <v>#DIV/0!</v>
      </c>
      <c r="U108" s="14" t="e">
        <f t="shared" si="56"/>
        <v>#DIV/0!</v>
      </c>
      <c r="V108" s="14" t="e">
        <f t="shared" si="56"/>
        <v>#DIV/0!</v>
      </c>
      <c r="W108" s="14" t="e">
        <f t="shared" si="56"/>
        <v>#DIV/0!</v>
      </c>
      <c r="X108" s="14" t="e">
        <f t="shared" si="56"/>
        <v>#DIV/0!</v>
      </c>
      <c r="Y108" s="14" t="e">
        <f t="shared" si="56"/>
        <v>#DIV/0!</v>
      </c>
      <c r="Z108" s="14" t="e">
        <f t="shared" si="56"/>
        <v>#DIV/0!</v>
      </c>
      <c r="AA108" s="14" t="e">
        <f t="shared" si="56"/>
        <v>#DIV/0!</v>
      </c>
      <c r="AB108" s="14" t="e">
        <f t="shared" si="56"/>
        <v>#DIV/0!</v>
      </c>
      <c r="AC108" s="14" t="e">
        <f t="shared" si="56"/>
        <v>#DIV/0!</v>
      </c>
      <c r="AD108" s="14" t="e">
        <f t="shared" si="56"/>
        <v>#DIV/0!</v>
      </c>
      <c r="AE108" s="14" t="e">
        <f t="shared" si="56"/>
        <v>#DIV/0!</v>
      </c>
      <c r="AF108" s="14" t="e">
        <f t="shared" si="56"/>
        <v>#DIV/0!</v>
      </c>
      <c r="AG108" s="14" t="e">
        <f t="shared" si="56"/>
        <v>#DIV/0!</v>
      </c>
      <c r="AH108" s="14" t="e">
        <f t="shared" si="56"/>
        <v>#DIV/0!</v>
      </c>
      <c r="AI108" s="14" t="e">
        <f t="shared" si="56"/>
        <v>#DIV/0!</v>
      </c>
      <c r="AJ108" s="14" t="e">
        <f t="shared" si="56"/>
        <v>#DIV/0!</v>
      </c>
      <c r="AK108" s="14" t="e">
        <f t="shared" si="56"/>
        <v>#DIV/0!</v>
      </c>
      <c r="AL108" s="14" t="e">
        <f t="shared" si="56"/>
        <v>#DIV/0!</v>
      </c>
    </row>
    <row r="109" spans="1:54" ht="21" hidden="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5"/>
      <c r="B112" s="75"/>
      <c r="C112" s="75"/>
      <c r="D112" s="75"/>
      <c r="E112" s="74" t="s">
        <v>23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94" t="s">
        <v>10</v>
      </c>
      <c r="B113" s="95"/>
      <c r="C113" s="23" t="s">
        <v>11</v>
      </c>
      <c r="D113" s="15" t="s">
        <v>12</v>
      </c>
      <c r="E113" s="15"/>
      <c r="F113" s="4">
        <f t="shared" ref="F113:AL113" si="57">F3</f>
        <v>0</v>
      </c>
      <c r="G113" s="4">
        <f t="shared" si="57"/>
        <v>0</v>
      </c>
      <c r="H113" s="4">
        <f t="shared" si="57"/>
        <v>0</v>
      </c>
      <c r="I113" s="4">
        <f t="shared" si="57"/>
        <v>0</v>
      </c>
      <c r="J113" s="4">
        <f t="shared" si="57"/>
        <v>0</v>
      </c>
      <c r="K113" s="4">
        <f t="shared" si="57"/>
        <v>0</v>
      </c>
      <c r="L113" s="4">
        <f t="shared" si="57"/>
        <v>0</v>
      </c>
      <c r="M113" s="4">
        <f t="shared" si="57"/>
        <v>0</v>
      </c>
      <c r="N113" s="4">
        <f t="shared" si="57"/>
        <v>0</v>
      </c>
      <c r="O113" s="4">
        <f t="shared" si="57"/>
        <v>0</v>
      </c>
      <c r="P113" s="4">
        <f t="shared" si="57"/>
        <v>0</v>
      </c>
      <c r="Q113" s="4">
        <f t="shared" si="57"/>
        <v>0</v>
      </c>
      <c r="R113" s="4">
        <f t="shared" si="57"/>
        <v>0</v>
      </c>
      <c r="S113" s="4">
        <f t="shared" si="57"/>
        <v>0</v>
      </c>
      <c r="T113" s="4">
        <f t="shared" si="57"/>
        <v>0</v>
      </c>
      <c r="U113" s="4">
        <f t="shared" si="57"/>
        <v>0</v>
      </c>
      <c r="V113" s="4">
        <f t="shared" si="57"/>
        <v>0</v>
      </c>
      <c r="W113" s="4">
        <f t="shared" si="57"/>
        <v>0</v>
      </c>
      <c r="X113" s="4">
        <f t="shared" si="57"/>
        <v>0</v>
      </c>
      <c r="Y113" s="4">
        <f t="shared" si="57"/>
        <v>0</v>
      </c>
      <c r="Z113" s="4">
        <f t="shared" si="57"/>
        <v>0</v>
      </c>
      <c r="AA113" s="4">
        <f t="shared" si="57"/>
        <v>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 t="e">
        <f ca="1">MIN(MIN(F114:AL117),MIN(F41:AL41))</f>
        <v>#DIV/0!</v>
      </c>
      <c r="C114" s="24">
        <f>COUNTA(E114:E121)+1</f>
        <v>5</v>
      </c>
      <c r="E114" s="17" t="s">
        <v>32</v>
      </c>
      <c r="F114" s="52" t="e">
        <f t="shared" ref="F114:AL114" si="58">F$113*$B$2*SUMPRODUCT(F$90:F$91,F$56:F$57)/1000</f>
        <v>#DIV/0!</v>
      </c>
      <c r="G114" s="52" t="e">
        <f t="shared" si="58"/>
        <v>#DIV/0!</v>
      </c>
      <c r="H114" s="52" t="e">
        <f t="shared" si="58"/>
        <v>#DIV/0!</v>
      </c>
      <c r="I114" s="52" t="e">
        <f t="shared" si="58"/>
        <v>#DIV/0!</v>
      </c>
      <c r="J114" s="52" t="e">
        <f t="shared" si="58"/>
        <v>#DIV/0!</v>
      </c>
      <c r="K114" s="52" t="e">
        <f t="shared" si="58"/>
        <v>#DIV/0!</v>
      </c>
      <c r="L114" s="52" t="e">
        <f t="shared" si="58"/>
        <v>#DIV/0!</v>
      </c>
      <c r="M114" s="52" t="e">
        <f t="shared" si="58"/>
        <v>#DIV/0!</v>
      </c>
      <c r="N114" s="52" t="e">
        <f t="shared" si="58"/>
        <v>#DIV/0!</v>
      </c>
      <c r="O114" s="52" t="e">
        <f t="shared" si="58"/>
        <v>#DIV/0!</v>
      </c>
      <c r="P114" s="52" t="e">
        <f t="shared" si="58"/>
        <v>#DIV/0!</v>
      </c>
      <c r="Q114" s="52" t="e">
        <f t="shared" si="58"/>
        <v>#DIV/0!</v>
      </c>
      <c r="R114" s="52" t="e">
        <f t="shared" si="58"/>
        <v>#DIV/0!</v>
      </c>
      <c r="S114" s="52" t="e">
        <f t="shared" si="58"/>
        <v>#DIV/0!</v>
      </c>
      <c r="T114" s="52" t="e">
        <f t="shared" si="58"/>
        <v>#DIV/0!</v>
      </c>
      <c r="U114" s="52" t="e">
        <f t="shared" si="58"/>
        <v>#DIV/0!</v>
      </c>
      <c r="V114" s="52" t="e">
        <f t="shared" si="58"/>
        <v>#DIV/0!</v>
      </c>
      <c r="W114" s="52" t="e">
        <f t="shared" si="58"/>
        <v>#DIV/0!</v>
      </c>
      <c r="X114" s="52" t="e">
        <f t="shared" si="58"/>
        <v>#DIV/0!</v>
      </c>
      <c r="Y114" s="52" t="e">
        <f t="shared" si="58"/>
        <v>#DIV/0!</v>
      </c>
      <c r="Z114" s="52" t="e">
        <f t="shared" si="58"/>
        <v>#DIV/0!</v>
      </c>
      <c r="AA114" s="52" t="e">
        <f t="shared" si="58"/>
        <v>#DIV/0!</v>
      </c>
      <c r="AB114" s="52" t="e">
        <f t="shared" si="58"/>
        <v>#DIV/0!</v>
      </c>
      <c r="AC114" s="52" t="e">
        <f t="shared" si="58"/>
        <v>#DIV/0!</v>
      </c>
      <c r="AD114" s="52" t="e">
        <f t="shared" si="58"/>
        <v>#DIV/0!</v>
      </c>
      <c r="AE114" s="52" t="e">
        <f t="shared" si="58"/>
        <v>#DIV/0!</v>
      </c>
      <c r="AF114" s="52" t="e">
        <f t="shared" si="58"/>
        <v>#DIV/0!</v>
      </c>
      <c r="AG114" s="52" t="e">
        <f t="shared" si="58"/>
        <v>#DIV/0!</v>
      </c>
      <c r="AH114" s="52" t="e">
        <f t="shared" si="58"/>
        <v>#DIV/0!</v>
      </c>
      <c r="AI114" s="52" t="e">
        <f t="shared" si="58"/>
        <v>#DIV/0!</v>
      </c>
      <c r="AJ114" s="52" t="e">
        <f t="shared" si="58"/>
        <v>#DIV/0!</v>
      </c>
      <c r="AK114" s="52" t="e">
        <f t="shared" si="58"/>
        <v>#DIV/0!</v>
      </c>
      <c r="AL114" s="52" t="e">
        <f t="shared" si="58"/>
        <v>#DIV/0!</v>
      </c>
    </row>
    <row r="115" spans="1:38" ht="21" customHeight="1" outlineLevel="1" thickBot="1" x14ac:dyDescent="0.4">
      <c r="A115" s="22">
        <f>$A$114</f>
        <v>700</v>
      </c>
      <c r="B115" s="51" t="e">
        <f ca="1">MAX(MAX(F114:AL117),MAX(F41:AL41))</f>
        <v>#DIV/0!</v>
      </c>
      <c r="C115" s="25">
        <f xml:space="preserve"> COUNTIF(F113:AL113,"&lt;&gt;"&amp;0)</f>
        <v>0</v>
      </c>
      <c r="E115" s="17" t="s">
        <v>14</v>
      </c>
      <c r="F115" s="14" t="e">
        <f t="shared" ref="F115:AL115" si="59">F$113*$B$2*SUMPRODUCT(F$87:F$88,F$53:F$54)/1000</f>
        <v>#DIV/0!</v>
      </c>
      <c r="G115" s="14" t="e">
        <f t="shared" si="59"/>
        <v>#DIV/0!</v>
      </c>
      <c r="H115" s="14" t="e">
        <f t="shared" si="59"/>
        <v>#DIV/0!</v>
      </c>
      <c r="I115" s="14" t="e">
        <f t="shared" si="59"/>
        <v>#DIV/0!</v>
      </c>
      <c r="J115" s="14" t="e">
        <f t="shared" si="59"/>
        <v>#DIV/0!</v>
      </c>
      <c r="K115" s="14" t="e">
        <f t="shared" si="59"/>
        <v>#DIV/0!</v>
      </c>
      <c r="L115" s="14" t="e">
        <f t="shared" si="59"/>
        <v>#DIV/0!</v>
      </c>
      <c r="M115" s="14" t="e">
        <f t="shared" si="59"/>
        <v>#DIV/0!</v>
      </c>
      <c r="N115" s="14" t="e">
        <f t="shared" si="59"/>
        <v>#DIV/0!</v>
      </c>
      <c r="O115" s="14" t="e">
        <f t="shared" si="59"/>
        <v>#DIV/0!</v>
      </c>
      <c r="P115" s="14" t="e">
        <f t="shared" si="59"/>
        <v>#DIV/0!</v>
      </c>
      <c r="Q115" s="14" t="e">
        <f t="shared" si="59"/>
        <v>#DIV/0!</v>
      </c>
      <c r="R115" s="14" t="e">
        <f t="shared" si="59"/>
        <v>#DIV/0!</v>
      </c>
      <c r="S115" s="14" t="e">
        <f t="shared" si="59"/>
        <v>#DIV/0!</v>
      </c>
      <c r="T115" s="14" t="e">
        <f t="shared" si="59"/>
        <v>#DIV/0!</v>
      </c>
      <c r="U115" s="14" t="e">
        <f t="shared" si="59"/>
        <v>#DIV/0!</v>
      </c>
      <c r="V115" s="14" t="e">
        <f t="shared" si="59"/>
        <v>#DIV/0!</v>
      </c>
      <c r="W115" s="14" t="e">
        <f t="shared" si="59"/>
        <v>#DIV/0!</v>
      </c>
      <c r="X115" s="14" t="e">
        <f t="shared" si="59"/>
        <v>#DIV/0!</v>
      </c>
      <c r="Y115" s="14" t="e">
        <f t="shared" si="59"/>
        <v>#DIV/0!</v>
      </c>
      <c r="Z115" s="14" t="e">
        <f t="shared" si="59"/>
        <v>#DIV/0!</v>
      </c>
      <c r="AA115" s="14" t="e">
        <f t="shared" si="59"/>
        <v>#DIV/0!</v>
      </c>
      <c r="AB115" s="14" t="e">
        <f t="shared" si="59"/>
        <v>#DIV/0!</v>
      </c>
      <c r="AC115" s="14" t="e">
        <f t="shared" si="59"/>
        <v>#DIV/0!</v>
      </c>
      <c r="AD115" s="14" t="e">
        <f t="shared" si="59"/>
        <v>#DIV/0!</v>
      </c>
      <c r="AE115" s="14" t="e">
        <f t="shared" si="59"/>
        <v>#DIV/0!</v>
      </c>
      <c r="AF115" s="14" t="e">
        <f t="shared" si="59"/>
        <v>#DIV/0!</v>
      </c>
      <c r="AG115" s="14" t="e">
        <f t="shared" si="59"/>
        <v>#DIV/0!</v>
      </c>
      <c r="AH115" s="14" t="e">
        <f t="shared" si="59"/>
        <v>#DIV/0!</v>
      </c>
      <c r="AI115" s="14" t="e">
        <f t="shared" si="59"/>
        <v>#DIV/0!</v>
      </c>
      <c r="AJ115" s="14" t="e">
        <f t="shared" si="59"/>
        <v>#DIV/0!</v>
      </c>
      <c r="AK115" s="14" t="e">
        <f t="shared" si="59"/>
        <v>#DIV/0!</v>
      </c>
      <c r="AL115" s="14" t="e">
        <f t="shared" si="59"/>
        <v>#DIV/0!</v>
      </c>
    </row>
    <row r="116" spans="1:38" ht="21" customHeight="1" outlineLevel="1" thickBot="1" x14ac:dyDescent="0.4">
      <c r="E116" s="17" t="s">
        <v>15</v>
      </c>
      <c r="F116" s="14" t="e">
        <f t="shared" ref="F116:AL116" si="60">F$113*$B$2*SUMPRODUCT(F$87:F$89,F$53:F$55)/1000</f>
        <v>#DIV/0!</v>
      </c>
      <c r="G116" s="14" t="e">
        <f t="shared" si="60"/>
        <v>#DIV/0!</v>
      </c>
      <c r="H116" s="14" t="e">
        <f t="shared" si="60"/>
        <v>#DIV/0!</v>
      </c>
      <c r="I116" s="14" t="e">
        <f t="shared" si="60"/>
        <v>#DIV/0!</v>
      </c>
      <c r="J116" s="14" t="e">
        <f t="shared" si="60"/>
        <v>#DIV/0!</v>
      </c>
      <c r="K116" s="14" t="e">
        <f t="shared" si="60"/>
        <v>#DIV/0!</v>
      </c>
      <c r="L116" s="14" t="e">
        <f t="shared" si="60"/>
        <v>#DIV/0!</v>
      </c>
      <c r="M116" s="14" t="e">
        <f t="shared" si="60"/>
        <v>#DIV/0!</v>
      </c>
      <c r="N116" s="14" t="e">
        <f t="shared" si="60"/>
        <v>#DIV/0!</v>
      </c>
      <c r="O116" s="14" t="e">
        <f t="shared" si="60"/>
        <v>#DIV/0!</v>
      </c>
      <c r="P116" s="14" t="e">
        <f t="shared" si="60"/>
        <v>#DIV/0!</v>
      </c>
      <c r="Q116" s="14" t="e">
        <f t="shared" si="60"/>
        <v>#DIV/0!</v>
      </c>
      <c r="R116" s="14" t="e">
        <f t="shared" si="60"/>
        <v>#DIV/0!</v>
      </c>
      <c r="S116" s="14" t="e">
        <f t="shared" si="60"/>
        <v>#DIV/0!</v>
      </c>
      <c r="T116" s="14" t="e">
        <f t="shared" si="60"/>
        <v>#DIV/0!</v>
      </c>
      <c r="U116" s="14" t="e">
        <f t="shared" si="60"/>
        <v>#DIV/0!</v>
      </c>
      <c r="V116" s="14" t="e">
        <f t="shared" si="60"/>
        <v>#DIV/0!</v>
      </c>
      <c r="W116" s="14" t="e">
        <f t="shared" si="60"/>
        <v>#DIV/0!</v>
      </c>
      <c r="X116" s="14" t="e">
        <f t="shared" si="60"/>
        <v>#DIV/0!</v>
      </c>
      <c r="Y116" s="14" t="e">
        <f t="shared" si="60"/>
        <v>#DIV/0!</v>
      </c>
      <c r="Z116" s="14" t="e">
        <f t="shared" si="60"/>
        <v>#DIV/0!</v>
      </c>
      <c r="AA116" s="14" t="e">
        <f t="shared" si="60"/>
        <v>#DIV/0!</v>
      </c>
      <c r="AB116" s="14" t="e">
        <f t="shared" si="60"/>
        <v>#DIV/0!</v>
      </c>
      <c r="AC116" s="14" t="e">
        <f t="shared" si="60"/>
        <v>#DIV/0!</v>
      </c>
      <c r="AD116" s="14" t="e">
        <f t="shared" si="60"/>
        <v>#DIV/0!</v>
      </c>
      <c r="AE116" s="14" t="e">
        <f t="shared" si="60"/>
        <v>#DIV/0!</v>
      </c>
      <c r="AF116" s="14" t="e">
        <f t="shared" si="60"/>
        <v>#DIV/0!</v>
      </c>
      <c r="AG116" s="14" t="e">
        <f t="shared" si="60"/>
        <v>#DIV/0!</v>
      </c>
      <c r="AH116" s="14" t="e">
        <f t="shared" si="60"/>
        <v>#DIV/0!</v>
      </c>
      <c r="AI116" s="14" t="e">
        <f t="shared" si="60"/>
        <v>#DIV/0!</v>
      </c>
      <c r="AJ116" s="14" t="e">
        <f t="shared" si="60"/>
        <v>#DIV/0!</v>
      </c>
      <c r="AK116" s="14" t="e">
        <f t="shared" si="60"/>
        <v>#DIV/0!</v>
      </c>
      <c r="AL116" s="14" t="e">
        <f t="shared" si="60"/>
        <v>#DIV/0!</v>
      </c>
    </row>
    <row r="117" spans="1:38" ht="21" customHeight="1" outlineLevel="1" thickBot="1" x14ac:dyDescent="0.4">
      <c r="E117" s="17" t="s">
        <v>33</v>
      </c>
      <c r="F117" s="14" t="e">
        <f>F115+F114</f>
        <v>#DIV/0!</v>
      </c>
      <c r="G117" s="14" t="e">
        <f t="shared" ref="G117:AL117" si="61">G115+G114</f>
        <v>#DIV/0!</v>
      </c>
      <c r="H117" s="14" t="e">
        <f t="shared" si="61"/>
        <v>#DIV/0!</v>
      </c>
      <c r="I117" s="14" t="e">
        <f t="shared" si="61"/>
        <v>#DIV/0!</v>
      </c>
      <c r="J117" s="14" t="e">
        <f t="shared" si="61"/>
        <v>#DIV/0!</v>
      </c>
      <c r="K117" s="14" t="e">
        <f t="shared" si="61"/>
        <v>#DIV/0!</v>
      </c>
      <c r="L117" s="14" t="e">
        <f t="shared" si="61"/>
        <v>#DIV/0!</v>
      </c>
      <c r="M117" s="14" t="e">
        <f t="shared" si="61"/>
        <v>#DIV/0!</v>
      </c>
      <c r="N117" s="14" t="e">
        <f t="shared" si="61"/>
        <v>#DIV/0!</v>
      </c>
      <c r="O117" s="14" t="e">
        <f t="shared" si="61"/>
        <v>#DIV/0!</v>
      </c>
      <c r="P117" s="14" t="e">
        <f t="shared" si="61"/>
        <v>#DIV/0!</v>
      </c>
      <c r="Q117" s="14" t="e">
        <f t="shared" si="61"/>
        <v>#DIV/0!</v>
      </c>
      <c r="R117" s="14" t="e">
        <f t="shared" si="61"/>
        <v>#DIV/0!</v>
      </c>
      <c r="S117" s="14" t="e">
        <f t="shared" si="61"/>
        <v>#DIV/0!</v>
      </c>
      <c r="T117" s="14" t="e">
        <f t="shared" si="61"/>
        <v>#DIV/0!</v>
      </c>
      <c r="U117" s="14" t="e">
        <f t="shared" si="61"/>
        <v>#DIV/0!</v>
      </c>
      <c r="V117" s="14" t="e">
        <f t="shared" si="61"/>
        <v>#DIV/0!</v>
      </c>
      <c r="W117" s="14" t="e">
        <f t="shared" si="61"/>
        <v>#DIV/0!</v>
      </c>
      <c r="X117" s="14" t="e">
        <f t="shared" si="61"/>
        <v>#DIV/0!</v>
      </c>
      <c r="Y117" s="14" t="e">
        <f t="shared" si="61"/>
        <v>#DIV/0!</v>
      </c>
      <c r="Z117" s="14" t="e">
        <f t="shared" si="61"/>
        <v>#DIV/0!</v>
      </c>
      <c r="AA117" s="14" t="e">
        <f t="shared" si="61"/>
        <v>#DIV/0!</v>
      </c>
      <c r="AB117" s="14" t="e">
        <f t="shared" si="61"/>
        <v>#DIV/0!</v>
      </c>
      <c r="AC117" s="14" t="e">
        <f t="shared" si="61"/>
        <v>#DIV/0!</v>
      </c>
      <c r="AD117" s="14" t="e">
        <f t="shared" si="61"/>
        <v>#DIV/0!</v>
      </c>
      <c r="AE117" s="14" t="e">
        <f t="shared" si="61"/>
        <v>#DIV/0!</v>
      </c>
      <c r="AF117" s="14" t="e">
        <f t="shared" si="61"/>
        <v>#DIV/0!</v>
      </c>
      <c r="AG117" s="14" t="e">
        <f t="shared" si="61"/>
        <v>#DIV/0!</v>
      </c>
      <c r="AH117" s="14" t="e">
        <f t="shared" si="61"/>
        <v>#DIV/0!</v>
      </c>
      <c r="AI117" s="14" t="e">
        <f t="shared" si="61"/>
        <v>#DIV/0!</v>
      </c>
      <c r="AJ117" s="14" t="e">
        <f t="shared" si="61"/>
        <v>#DIV/0!</v>
      </c>
      <c r="AK117" s="14" t="e">
        <f t="shared" si="61"/>
        <v>#DIV/0!</v>
      </c>
      <c r="AL117" s="14" t="e">
        <f t="shared" si="61"/>
        <v>#DIV/0!</v>
      </c>
    </row>
    <row r="118" spans="1:38" ht="21" customHeight="1" outlineLevel="1" x14ac:dyDescent="0.35">
      <c r="U118" s="55"/>
      <c r="V118" s="55"/>
      <c r="W118" s="55"/>
    </row>
    <row r="119" spans="1:38" ht="21" customHeight="1" outlineLevel="1" x14ac:dyDescent="0.35">
      <c r="U119" s="55"/>
      <c r="V119" s="55"/>
      <c r="W119" s="55"/>
    </row>
    <row r="120" spans="1:38" ht="21" customHeight="1" outlineLevel="1" x14ac:dyDescent="0.35">
      <c r="U120" s="55"/>
      <c r="V120" s="55"/>
      <c r="W120" s="55"/>
    </row>
    <row r="121" spans="1:38" ht="21" customHeight="1" outlineLevel="1" thickBot="1" x14ac:dyDescent="0.4"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65">
        <f ca="1"/>
        <v>0</v>
      </c>
      <c r="V122" s="66">
        <f ca="1"/>
        <v>0</v>
      </c>
      <c r="W122" s="68">
        <f ca="1"/>
        <v>0</v>
      </c>
      <c r="X122" s="62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</row>
    <row r="123" spans="1:38" ht="21" customHeight="1" outlineLevel="1" thickTop="1" thickBot="1" x14ac:dyDescent="0.4">
      <c r="E123" s="17" t="str">
        <f ca="1"/>
        <v xml:space="preserve">Расвор: </v>
      </c>
      <c r="F123" s="55" t="str">
        <f ca="1"/>
        <v xml:space="preserve">Расвор: </v>
      </c>
      <c r="G123" s="55" t="str">
        <f ca="1"/>
        <v xml:space="preserve">Расвор: </v>
      </c>
      <c r="H123" s="55" t="str">
        <f ca="1"/>
        <v xml:space="preserve">Расвор: </v>
      </c>
      <c r="I123" s="55" t="str">
        <f ca="1"/>
        <v xml:space="preserve">Расвор: </v>
      </c>
      <c r="J123" s="55" t="str">
        <f ca="1"/>
        <v xml:space="preserve">Расвор: </v>
      </c>
      <c r="K123" s="55" t="str">
        <f ca="1"/>
        <v xml:space="preserve">Расвор: </v>
      </c>
      <c r="L123" s="55" t="str">
        <f ca="1"/>
        <v xml:space="preserve">Расвор: </v>
      </c>
      <c r="M123" s="55" t="str">
        <f ca="1"/>
        <v xml:space="preserve">Расвор: </v>
      </c>
      <c r="N123" s="55" t="str">
        <f ca="1"/>
        <v xml:space="preserve">Расвор: </v>
      </c>
      <c r="O123" s="55" t="str">
        <f ca="1"/>
        <v xml:space="preserve">Расвор: </v>
      </c>
      <c r="P123" s="55" t="str">
        <f ca="1"/>
        <v xml:space="preserve">Расвор: </v>
      </c>
      <c r="Q123" s="55" t="str">
        <f ca="1"/>
        <v xml:space="preserve">Расвор: </v>
      </c>
      <c r="R123" s="55" t="str">
        <f ca="1"/>
        <v xml:space="preserve">Расвор: </v>
      </c>
      <c r="S123" s="55" t="str">
        <f ca="1"/>
        <v xml:space="preserve">Расвор: </v>
      </c>
      <c r="T123" s="55" t="str">
        <f ca="1"/>
        <v xml:space="preserve">Расвор: </v>
      </c>
      <c r="U123" s="55" t="str">
        <f ca="1"/>
        <v xml:space="preserve">Расвор: </v>
      </c>
      <c r="V123" s="55" t="str">
        <f ca="1"/>
        <v xml:space="preserve">Расвор: </v>
      </c>
      <c r="W123" s="55" t="str">
        <f ca="1"/>
        <v xml:space="preserve">Расвор: </v>
      </c>
      <c r="X123" s="55" t="str">
        <f ca="1"/>
        <v xml:space="preserve">Расвор: </v>
      </c>
      <c r="Y123" s="55" t="str">
        <f ca="1"/>
        <v xml:space="preserve">Расвор: </v>
      </c>
      <c r="Z123" s="55" t="str">
        <f ca="1"/>
        <v xml:space="preserve">Расвор: </v>
      </c>
      <c r="AA123" s="55" t="str">
        <f ca="1"/>
        <v xml:space="preserve">Расвор: </v>
      </c>
      <c r="AB123" s="55" t="str">
        <f ca="1"/>
        <v xml:space="preserve">Расвор: </v>
      </c>
      <c r="AC123" s="55" t="str">
        <f ca="1"/>
        <v xml:space="preserve">Расвор: </v>
      </c>
      <c r="AD123" s="55" t="str">
        <f ca="1"/>
        <v xml:space="preserve">Расвор: </v>
      </c>
      <c r="AE123" s="55" t="str">
        <f ca="1"/>
        <v xml:space="preserve">Расвор: </v>
      </c>
      <c r="AF123" s="55" t="str">
        <f ca="1"/>
        <v xml:space="preserve">Расвор: </v>
      </c>
      <c r="AG123" s="55" t="str">
        <f ca="1"/>
        <v xml:space="preserve">Расвор: </v>
      </c>
      <c r="AH123" s="55" t="str">
        <f ca="1"/>
        <v xml:space="preserve">Расвор: </v>
      </c>
      <c r="AI123" s="55" t="str">
        <f ca="1"/>
        <v xml:space="preserve">Расвор: </v>
      </c>
      <c r="AJ123" s="55" t="str">
        <f ca="1"/>
        <v xml:space="preserve">Расвор: </v>
      </c>
      <c r="AK123" s="55" t="str">
        <f ca="1"/>
        <v xml:space="preserve">Расвор: </v>
      </c>
      <c r="AL123" s="55" t="str">
        <f ca="1"/>
        <v xml:space="preserve">Расвор: 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 t="str">
        <f ca="1"/>
        <v xml:space="preserve">Газовая без Ar: </v>
      </c>
      <c r="G124" s="55" t="str">
        <f ca="1"/>
        <v xml:space="preserve">Газовая без Ar: </v>
      </c>
      <c r="H124" s="55" t="str">
        <f ca="1"/>
        <v xml:space="preserve">Газовая без Ar: </v>
      </c>
      <c r="I124" s="55" t="str">
        <f ca="1"/>
        <v xml:space="preserve">Газовая без Ar: </v>
      </c>
      <c r="J124" s="55" t="str">
        <f ca="1"/>
        <v xml:space="preserve">Газовая без Ar: </v>
      </c>
      <c r="K124" s="55" t="str">
        <f ca="1"/>
        <v xml:space="preserve">Газовая без Ar: </v>
      </c>
      <c r="L124" s="55" t="str">
        <f ca="1"/>
        <v xml:space="preserve">Газовая без Ar: </v>
      </c>
      <c r="M124" s="55" t="str">
        <f ca="1"/>
        <v xml:space="preserve">Газовая без Ar: </v>
      </c>
      <c r="N124" s="55" t="str">
        <f ca="1"/>
        <v xml:space="preserve">Газовая без Ar: </v>
      </c>
      <c r="O124" s="55" t="str">
        <f ca="1"/>
        <v xml:space="preserve">Газовая без Ar: </v>
      </c>
      <c r="P124" s="55" t="str">
        <f ca="1"/>
        <v xml:space="preserve">Газовая без Ar: </v>
      </c>
      <c r="Q124" s="55" t="str">
        <f ca="1"/>
        <v xml:space="preserve">Газовая без Ar: </v>
      </c>
      <c r="R124" s="55" t="str">
        <f ca="1"/>
        <v xml:space="preserve">Газовая без Ar: </v>
      </c>
      <c r="S124" s="55" t="str">
        <f ca="1"/>
        <v xml:space="preserve">Газовая без Ar: </v>
      </c>
      <c r="T124" s="55" t="str">
        <f ca="1"/>
        <v xml:space="preserve">Газовая без Ar: </v>
      </c>
      <c r="U124" s="55" t="str">
        <f ca="1"/>
        <v xml:space="preserve">Газовая без Ar: </v>
      </c>
      <c r="V124" s="55" t="str">
        <f ca="1"/>
        <v xml:space="preserve">Газовая без Ar: </v>
      </c>
      <c r="W124" s="55" t="str">
        <f ca="1"/>
        <v xml:space="preserve">Газовая без Ar: </v>
      </c>
      <c r="X124" s="55" t="str">
        <f ca="1"/>
        <v xml:space="preserve">Газовая без Ar: </v>
      </c>
      <c r="Y124" s="55" t="str">
        <f ca="1"/>
        <v xml:space="preserve">Газовая без Ar: </v>
      </c>
      <c r="Z124" s="55" t="str">
        <f ca="1"/>
        <v xml:space="preserve">Газовая без Ar: </v>
      </c>
      <c r="AA124" s="55" t="str">
        <f ca="1"/>
        <v xml:space="preserve">Газовая без Ar: </v>
      </c>
      <c r="AB124" s="55" t="str">
        <f ca="1"/>
        <v xml:space="preserve">Газовая без Ar: </v>
      </c>
      <c r="AC124" s="55" t="str">
        <f ca="1"/>
        <v xml:space="preserve">Газовая без Ar: </v>
      </c>
      <c r="AD124" s="55" t="str">
        <f ca="1"/>
        <v xml:space="preserve">Газовая без Ar: </v>
      </c>
      <c r="AE124" s="55" t="str">
        <f ca="1"/>
        <v xml:space="preserve">Газовая без Ar: </v>
      </c>
      <c r="AF124" s="55" t="str">
        <f ca="1"/>
        <v xml:space="preserve">Газовая без Ar: </v>
      </c>
      <c r="AG124" s="55" t="str">
        <f ca="1"/>
        <v xml:space="preserve">Газовая без Ar: </v>
      </c>
      <c r="AH124" s="55" t="str">
        <f ca="1"/>
        <v xml:space="preserve">Газовая без Ar: </v>
      </c>
      <c r="AI124" s="55" t="str">
        <f ca="1"/>
        <v xml:space="preserve">Газовая без Ar: </v>
      </c>
      <c r="AJ124" s="55" t="str">
        <f ca="1"/>
        <v xml:space="preserve">Газовая без Ar: </v>
      </c>
      <c r="AK124" s="55" t="str">
        <f ca="1"/>
        <v xml:space="preserve">Газовая без Ar: </v>
      </c>
      <c r="AL124" s="55" t="str">
        <f ca="1"/>
        <v xml:space="preserve">Газовая без Ar: </v>
      </c>
    </row>
    <row r="125" spans="1:38" ht="21" customHeight="1" outlineLevel="1" thickBot="1" x14ac:dyDescent="0.4">
      <c r="E125" s="17" t="str">
        <f ca="1"/>
        <v xml:space="preserve">Газовая: </v>
      </c>
      <c r="F125" s="55" t="str">
        <f ca="1"/>
        <v xml:space="preserve">Газовая: </v>
      </c>
      <c r="G125" s="55" t="str">
        <f ca="1"/>
        <v xml:space="preserve">Газовая: </v>
      </c>
      <c r="H125" s="55" t="str">
        <f ca="1"/>
        <v xml:space="preserve">Газовая: </v>
      </c>
      <c r="I125" s="55" t="str">
        <f ca="1"/>
        <v xml:space="preserve">Газовая: </v>
      </c>
      <c r="J125" s="55" t="str">
        <f ca="1"/>
        <v xml:space="preserve">Газовая: </v>
      </c>
      <c r="K125" s="55" t="str">
        <f ca="1"/>
        <v xml:space="preserve">Газовая: </v>
      </c>
      <c r="L125" s="55" t="str">
        <f ca="1"/>
        <v xml:space="preserve">Газовая: </v>
      </c>
      <c r="M125" s="55" t="str">
        <f ca="1"/>
        <v xml:space="preserve">Газовая: </v>
      </c>
      <c r="N125" s="55" t="str">
        <f ca="1"/>
        <v xml:space="preserve">Газовая: </v>
      </c>
      <c r="O125" s="55" t="str">
        <f ca="1"/>
        <v xml:space="preserve">Газовая: </v>
      </c>
      <c r="P125" s="55" t="str">
        <f ca="1"/>
        <v xml:space="preserve">Газовая: </v>
      </c>
      <c r="Q125" s="55" t="str">
        <f ca="1"/>
        <v xml:space="preserve">Газовая: </v>
      </c>
      <c r="R125" s="55" t="str">
        <f ca="1"/>
        <v xml:space="preserve">Газовая: </v>
      </c>
      <c r="S125" s="55" t="str">
        <f ca="1"/>
        <v xml:space="preserve">Газовая: </v>
      </c>
      <c r="T125" s="55" t="str">
        <f ca="1"/>
        <v xml:space="preserve">Газовая: </v>
      </c>
      <c r="U125" s="55" t="str">
        <f ca="1"/>
        <v xml:space="preserve">Газовая: </v>
      </c>
      <c r="V125" s="55" t="str">
        <f ca="1"/>
        <v xml:space="preserve">Газовая: </v>
      </c>
      <c r="W125" s="55" t="str">
        <f ca="1"/>
        <v xml:space="preserve">Газовая: </v>
      </c>
      <c r="X125" s="55" t="str">
        <f ca="1"/>
        <v xml:space="preserve">Газовая: </v>
      </c>
      <c r="Y125" s="55" t="str">
        <f ca="1"/>
        <v xml:space="preserve">Газовая: </v>
      </c>
      <c r="Z125" s="55" t="str">
        <f ca="1"/>
        <v xml:space="preserve">Газовая: </v>
      </c>
      <c r="AA125" s="55" t="str">
        <f ca="1"/>
        <v xml:space="preserve">Газовая: </v>
      </c>
      <c r="AB125" s="55" t="str">
        <f ca="1"/>
        <v xml:space="preserve">Газовая: </v>
      </c>
      <c r="AC125" s="55" t="str">
        <f ca="1"/>
        <v xml:space="preserve">Газовая: </v>
      </c>
      <c r="AD125" s="55" t="str">
        <f ca="1"/>
        <v xml:space="preserve">Газовая: </v>
      </c>
      <c r="AE125" s="55" t="str">
        <f ca="1"/>
        <v xml:space="preserve">Газовая: </v>
      </c>
      <c r="AF125" s="55" t="str">
        <f ca="1"/>
        <v xml:space="preserve">Газовая: </v>
      </c>
      <c r="AG125" s="55" t="str">
        <f ca="1"/>
        <v xml:space="preserve">Газовая: </v>
      </c>
      <c r="AH125" s="55" t="str">
        <f ca="1"/>
        <v xml:space="preserve">Газовая: </v>
      </c>
      <c r="AI125" s="55" t="str">
        <f ca="1"/>
        <v xml:space="preserve">Газовая: </v>
      </c>
      <c r="AJ125" s="55" t="str">
        <f ca="1"/>
        <v xml:space="preserve">Газовая: </v>
      </c>
      <c r="AK125" s="55" t="str">
        <f ca="1"/>
        <v xml:space="preserve">Газовая: </v>
      </c>
      <c r="AL125" s="55" t="str">
        <f ca="1"/>
        <v xml:space="preserve">Газовая: </v>
      </c>
    </row>
    <row r="126" spans="1:38" ht="21" customHeight="1" outlineLevel="1" thickBot="1" x14ac:dyDescent="0.4">
      <c r="E126" s="17" t="str">
        <f ca="1"/>
        <v>Раствор + газовая без Ar</v>
      </c>
      <c r="F126" s="55" t="str">
        <f ca="1"/>
        <v>Раствор + газовая без Ar</v>
      </c>
      <c r="G126" s="55" t="str">
        <f ca="1"/>
        <v>Раствор + газовая без Ar</v>
      </c>
      <c r="H126" s="55" t="str">
        <f ca="1"/>
        <v>Раствор + газовая без Ar</v>
      </c>
      <c r="I126" s="55" t="str">
        <f ca="1"/>
        <v>Раствор + газовая без Ar</v>
      </c>
      <c r="J126" s="55" t="str">
        <f ca="1"/>
        <v>Раствор + газовая без Ar</v>
      </c>
      <c r="K126" s="55" t="str">
        <f ca="1"/>
        <v>Раствор + газовая без Ar</v>
      </c>
      <c r="L126" s="55" t="str">
        <f ca="1"/>
        <v>Раствор + газовая без Ar</v>
      </c>
      <c r="M126" s="55" t="str">
        <f ca="1"/>
        <v>Раствор + газовая без Ar</v>
      </c>
      <c r="N126" s="55" t="str">
        <f ca="1"/>
        <v>Раствор + газовая без Ar</v>
      </c>
      <c r="O126" s="55" t="str">
        <f ca="1"/>
        <v>Раствор + газовая без Ar</v>
      </c>
      <c r="P126" s="55" t="str">
        <f ca="1"/>
        <v>Раствор + газовая без Ar</v>
      </c>
      <c r="Q126" s="55" t="str">
        <f ca="1"/>
        <v>Раствор + газовая без Ar</v>
      </c>
      <c r="R126" s="55" t="str">
        <f ca="1"/>
        <v>Раствор + газовая без Ar</v>
      </c>
      <c r="S126" s="55" t="str">
        <f ca="1"/>
        <v>Раствор + газовая без Ar</v>
      </c>
      <c r="T126" s="55" t="str">
        <f ca="1"/>
        <v>Раствор + газовая без Ar</v>
      </c>
      <c r="U126" s="55" t="str">
        <f ca="1"/>
        <v>Раствор + газовая без Ar</v>
      </c>
      <c r="V126" s="55" t="str">
        <f ca="1"/>
        <v>Раствор + газовая без Ar</v>
      </c>
      <c r="W126" s="55" t="str">
        <f ca="1"/>
        <v>Раствор + газовая без Ar</v>
      </c>
      <c r="X126" s="55" t="str">
        <f ca="1"/>
        <v>Раствор + газовая без Ar</v>
      </c>
      <c r="Y126" s="55" t="str">
        <f ca="1"/>
        <v>Раствор + газовая без Ar</v>
      </c>
      <c r="Z126" s="55" t="str">
        <f ca="1"/>
        <v>Раствор + газовая без Ar</v>
      </c>
      <c r="AA126" s="55" t="str">
        <f ca="1"/>
        <v>Раствор + газовая без Ar</v>
      </c>
      <c r="AB126" s="55" t="str">
        <f ca="1"/>
        <v>Раствор + газовая без Ar</v>
      </c>
      <c r="AC126" s="55" t="str">
        <f ca="1"/>
        <v>Раствор + газовая без Ar</v>
      </c>
      <c r="AD126" s="55" t="str">
        <f ca="1"/>
        <v>Раствор + газовая без Ar</v>
      </c>
      <c r="AE126" s="55" t="str">
        <f ca="1"/>
        <v>Раствор + газовая без Ar</v>
      </c>
      <c r="AF126" s="55" t="str">
        <f ca="1"/>
        <v>Раствор + газовая без Ar</v>
      </c>
      <c r="AG126" s="55" t="str">
        <f ca="1"/>
        <v>Раствор + газовая без Ar</v>
      </c>
      <c r="AH126" s="55" t="str">
        <f ca="1"/>
        <v>Раствор + газовая без Ar</v>
      </c>
      <c r="AI126" s="55" t="str">
        <f ca="1"/>
        <v>Раствор + газовая без Ar</v>
      </c>
      <c r="AJ126" s="55" t="str">
        <f ca="1"/>
        <v>Раствор + газовая без Ar</v>
      </c>
      <c r="AK126" s="55" t="str">
        <f ca="1"/>
        <v>Раствор + газовая без Ar</v>
      </c>
      <c r="AL126" s="55" t="str">
        <f ca="1"/>
        <v>Раствор + газовая без Ar</v>
      </c>
    </row>
    <row r="127" spans="1:38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3" priority="49" operator="equal">
      <formula>0</formula>
    </cfRule>
  </conditionalFormatting>
  <conditionalFormatting sqref="A80:D109">
    <cfRule type="cellIs" dxfId="2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1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C6C071D-4003-4C5C-9A78-C18F168C0DA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SOLID!F29:AK29</xm:f>
              <xm:sqref>AL29</xm:sqref>
            </x14:sparkline>
            <x14:sparkline>
              <xm:f>SOLID!F30:AK30</xm:f>
              <xm:sqref>AL30</xm:sqref>
            </x14:sparkline>
            <x14:sparkline>
              <xm:f>SOLID!F31:AK31</xm:f>
              <xm:sqref>AL31</xm:sqref>
            </x14:sparkline>
            <x14:sparkline>
              <xm:f>SOLID!F32:AK32</xm:f>
              <xm:sqref>AL32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Q161"/>
  <sheetViews>
    <sheetView zoomScale="70" zoomScaleNormal="70" workbookViewId="0">
      <pane ySplit="1" topLeftCell="A130" activePane="bottomLeft" state="frozen"/>
      <selection pane="bottomLeft" activeCell="DB146" sqref="DB146"/>
    </sheetView>
  </sheetViews>
  <sheetFormatPr defaultRowHeight="21" outlineLevelRow="1" x14ac:dyDescent="0.35"/>
  <cols>
    <col min="1" max="1" width="13.81640625" bestFit="1" customWidth="1"/>
    <col min="2" max="5" width="4.26953125" style="38" customWidth="1"/>
    <col min="6" max="33" width="4.26953125" hidden="1" customWidth="1"/>
    <col min="34" max="34" width="4.26953125" customWidth="1"/>
    <col min="35" max="94" width="4.26953125" hidden="1" customWidth="1"/>
    <col min="95" max="95" width="3.453125" style="55" customWidth="1"/>
    <col min="96" max="16384" width="8.7265625" style="37"/>
  </cols>
  <sheetData>
    <row r="1" spans="1:94" ht="18.75" customHeight="1" thickBot="1" x14ac:dyDescent="0.4">
      <c r="A1" s="34" t="s">
        <v>17</v>
      </c>
      <c r="B1" s="39">
        <v>290</v>
      </c>
      <c r="C1" s="69">
        <v>1000</v>
      </c>
      <c r="D1" s="70" t="s">
        <v>18</v>
      </c>
      <c r="E1" s="71">
        <v>80</v>
      </c>
      <c r="F1" s="37"/>
      <c r="G1" s="37"/>
      <c r="H1" s="37"/>
      <c r="I1" s="37"/>
      <c r="J1" s="37"/>
    </row>
    <row r="2" spans="1:94" ht="23.25" customHeight="1" thickTop="1" thickBot="1" x14ac:dyDescent="0.4">
      <c r="A2" s="4" t="s">
        <v>28</v>
      </c>
      <c r="B2" s="72">
        <f>FLUID!F45</f>
        <v>0</v>
      </c>
      <c r="C2" s="72">
        <f>FLUID!G45</f>
        <v>0</v>
      </c>
      <c r="D2" s="72">
        <f>FLUID!H45</f>
        <v>0</v>
      </c>
      <c r="E2" s="72">
        <f>FLUID!I45</f>
        <v>0</v>
      </c>
      <c r="F2" s="72">
        <f>FLUID!J45</f>
        <v>0</v>
      </c>
      <c r="G2" s="72">
        <f>FLUID!K45</f>
        <v>0</v>
      </c>
      <c r="H2" s="72">
        <f>FLUID!L45</f>
        <v>0</v>
      </c>
      <c r="I2" s="72">
        <f>FLUID!M45</f>
        <v>0</v>
      </c>
      <c r="J2" s="72">
        <f>FLUID!N45</f>
        <v>0</v>
      </c>
      <c r="K2" s="72">
        <f>FLUID!O45</f>
        <v>0</v>
      </c>
      <c r="L2" s="72">
        <f>FLUID!P45</f>
        <v>0</v>
      </c>
      <c r="M2" s="72">
        <f>FLUID!Q45</f>
        <v>0</v>
      </c>
      <c r="N2" s="72">
        <f>FLUID!R45</f>
        <v>0</v>
      </c>
      <c r="O2" s="72">
        <f>FLUID!S45</f>
        <v>0</v>
      </c>
      <c r="P2" s="72">
        <f>FLUID!T45</f>
        <v>0</v>
      </c>
      <c r="Q2" s="72">
        <f>FLUID!U45</f>
        <v>0</v>
      </c>
      <c r="R2" s="72">
        <f>FLUID!V45</f>
        <v>0</v>
      </c>
      <c r="S2" s="72">
        <f>FLUID!W45</f>
        <v>0</v>
      </c>
      <c r="T2" s="72">
        <f>FLUID!X45</f>
        <v>0</v>
      </c>
      <c r="U2" s="72">
        <f>FLUID!Y45</f>
        <v>0</v>
      </c>
      <c r="V2" s="72">
        <f>FLUID!Z45</f>
        <v>0</v>
      </c>
      <c r="W2" s="72">
        <f>FLUID!AA45</f>
        <v>0</v>
      </c>
      <c r="X2" s="72">
        <f>FLUID!AB45</f>
        <v>0</v>
      </c>
      <c r="Y2" s="72">
        <f>FLUID!AC45</f>
        <v>0</v>
      </c>
      <c r="Z2" s="72">
        <f>FLUID!AD45</f>
        <v>0</v>
      </c>
      <c r="AA2" s="72">
        <f>FLUID!AE45</f>
        <v>0</v>
      </c>
      <c r="AB2" s="72">
        <f>FLUID!AF45</f>
        <v>0</v>
      </c>
      <c r="AC2" s="72">
        <f>FLUID!AG45</f>
        <v>0</v>
      </c>
      <c r="AD2" s="72">
        <f>FLUID!AH45</f>
        <v>0</v>
      </c>
      <c r="AE2" s="72">
        <f>FLUID!AI45</f>
        <v>0</v>
      </c>
      <c r="AF2" s="72">
        <f>FLUID!AJ45</f>
        <v>0</v>
      </c>
      <c r="AG2" s="72">
        <f>FLUID!AK45</f>
        <v>0</v>
      </c>
      <c r="AH2" s="72">
        <f>FLUID!AL45</f>
        <v>0</v>
      </c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</row>
    <row r="3" spans="1:94" ht="22.5" hidden="1" outlineLevel="1" thickTop="1" thickBot="1" x14ac:dyDescent="0.4">
      <c r="A3" s="48">
        <f>FLUID!E46</f>
        <v>0</v>
      </c>
      <c r="B3" s="16" t="e">
        <f ca="1">FLUID!F46</f>
        <v>#N/A</v>
      </c>
      <c r="C3" s="16" t="e">
        <f ca="1">FLUID!G46</f>
        <v>#N/A</v>
      </c>
      <c r="D3" s="16" t="e">
        <f ca="1">FLUID!H46</f>
        <v>#N/A</v>
      </c>
      <c r="E3" s="16" t="e">
        <f ca="1">FLUID!I46</f>
        <v>#N/A</v>
      </c>
      <c r="F3" s="14" t="e">
        <f ca="1">FLUID!J46</f>
        <v>#N/A</v>
      </c>
      <c r="G3" s="14" t="e">
        <f ca="1">FLUID!K46</f>
        <v>#N/A</v>
      </c>
      <c r="H3" s="14" t="e">
        <f ca="1">FLUID!L46</f>
        <v>#N/A</v>
      </c>
      <c r="I3" s="14" t="e">
        <f ca="1">FLUID!M46</f>
        <v>#N/A</v>
      </c>
      <c r="J3" s="14" t="e">
        <f ca="1">FLUID!N46</f>
        <v>#N/A</v>
      </c>
      <c r="K3" s="14" t="e">
        <f ca="1">FLUID!O46</f>
        <v>#N/A</v>
      </c>
      <c r="L3" s="14" t="e">
        <f ca="1">FLUID!P46</f>
        <v>#N/A</v>
      </c>
      <c r="M3" s="14" t="e">
        <f ca="1">FLUID!Q46</f>
        <v>#N/A</v>
      </c>
      <c r="N3" s="14" t="e">
        <f ca="1">FLUID!R46</f>
        <v>#N/A</v>
      </c>
      <c r="O3" s="14" t="e">
        <f ca="1">FLUID!S46</f>
        <v>#N/A</v>
      </c>
      <c r="P3" s="14" t="e">
        <f ca="1">FLUID!T46</f>
        <v>#N/A</v>
      </c>
      <c r="Q3" s="14" t="e">
        <f ca="1">FLUID!U46</f>
        <v>#N/A</v>
      </c>
      <c r="R3" s="14" t="e">
        <f ca="1">FLUID!V46</f>
        <v>#N/A</v>
      </c>
      <c r="S3" s="14" t="e">
        <f ca="1">FLUID!W46</f>
        <v>#N/A</v>
      </c>
      <c r="T3" s="14" t="e">
        <f ca="1">FLUID!X46</f>
        <v>#N/A</v>
      </c>
      <c r="U3" s="14" t="e">
        <f ca="1">FLUID!Y46</f>
        <v>#N/A</v>
      </c>
      <c r="V3" s="14" t="e">
        <f ca="1">FLUID!Z46</f>
        <v>#N/A</v>
      </c>
      <c r="W3" s="14" t="e">
        <f ca="1">FLUID!AA46</f>
        <v>#N/A</v>
      </c>
      <c r="X3" s="14" t="e">
        <f ca="1">FLUID!AB46</f>
        <v>#N/A</v>
      </c>
      <c r="Y3" s="14" t="e">
        <f ca="1">FLUID!AC46</f>
        <v>#N/A</v>
      </c>
      <c r="Z3" s="14" t="e">
        <f ca="1">FLUID!AD46</f>
        <v>#N/A</v>
      </c>
      <c r="AA3" s="14" t="e">
        <f ca="1">FLUID!AE46</f>
        <v>#N/A</v>
      </c>
      <c r="AB3" s="14" t="e">
        <f ca="1">FLUID!AF46</f>
        <v>#N/A</v>
      </c>
      <c r="AC3" s="14" t="e">
        <f ca="1">FLUID!AG46</f>
        <v>#N/A</v>
      </c>
      <c r="AD3" s="14" t="e">
        <f ca="1">FLUID!AH46</f>
        <v>#N/A</v>
      </c>
      <c r="AE3" s="14" t="e">
        <f ca="1">FLUID!AI46</f>
        <v>#N/A</v>
      </c>
      <c r="AF3" s="14" t="e">
        <f ca="1">FLUID!AJ46</f>
        <v>#N/A</v>
      </c>
      <c r="AG3" s="14" t="e">
        <f ca="1">FLUID!AK46</f>
        <v>#N/A</v>
      </c>
      <c r="AH3" s="14" t="e">
        <f ca="1">FLUID!AL46</f>
        <v>#N/A</v>
      </c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</row>
    <row r="4" spans="1:94" ht="22.5" hidden="1" outlineLevel="1" thickTop="1" thickBot="1" x14ac:dyDescent="0.4">
      <c r="A4" s="36">
        <f>FLUID!E47</f>
        <v>0</v>
      </c>
      <c r="B4" s="16" t="e">
        <f ca="1">FLUID!F47</f>
        <v>#N/A</v>
      </c>
      <c r="C4" s="16" t="e">
        <f ca="1">FLUID!G47</f>
        <v>#N/A</v>
      </c>
      <c r="D4" s="16" t="e">
        <f ca="1">FLUID!H47</f>
        <v>#N/A</v>
      </c>
      <c r="E4" s="16" t="e">
        <f ca="1">FLUID!I47</f>
        <v>#N/A</v>
      </c>
      <c r="F4" s="14" t="e">
        <f ca="1">FLUID!J47</f>
        <v>#N/A</v>
      </c>
      <c r="G4" s="14" t="e">
        <f ca="1">FLUID!K47</f>
        <v>#N/A</v>
      </c>
      <c r="H4" s="14" t="e">
        <f ca="1">FLUID!L47</f>
        <v>#N/A</v>
      </c>
      <c r="I4" s="14" t="e">
        <f ca="1">FLUID!M47</f>
        <v>#N/A</v>
      </c>
      <c r="J4" s="14" t="e">
        <f ca="1">FLUID!N47</f>
        <v>#N/A</v>
      </c>
      <c r="K4" s="14" t="e">
        <f ca="1">FLUID!O47</f>
        <v>#N/A</v>
      </c>
      <c r="L4" s="14" t="e">
        <f ca="1">FLUID!P47</f>
        <v>#N/A</v>
      </c>
      <c r="M4" s="14" t="e">
        <f ca="1">FLUID!Q47</f>
        <v>#N/A</v>
      </c>
      <c r="N4" s="14" t="e">
        <f ca="1">FLUID!R47</f>
        <v>#N/A</v>
      </c>
      <c r="O4" s="14" t="e">
        <f ca="1">FLUID!S47</f>
        <v>#N/A</v>
      </c>
      <c r="P4" s="14" t="e">
        <f ca="1">FLUID!T47</f>
        <v>#N/A</v>
      </c>
      <c r="Q4" s="14" t="e">
        <f ca="1">FLUID!U47</f>
        <v>#N/A</v>
      </c>
      <c r="R4" s="14" t="e">
        <f ca="1">FLUID!V47</f>
        <v>#N/A</v>
      </c>
      <c r="S4" s="14" t="e">
        <f ca="1">FLUID!W47</f>
        <v>#N/A</v>
      </c>
      <c r="T4" s="14" t="e">
        <f ca="1">FLUID!X47</f>
        <v>#N/A</v>
      </c>
      <c r="U4" s="14" t="e">
        <f ca="1">FLUID!Y47</f>
        <v>#N/A</v>
      </c>
      <c r="V4" s="14" t="e">
        <f ca="1">FLUID!Z47</f>
        <v>#N/A</v>
      </c>
      <c r="W4" s="14" t="e">
        <f ca="1">FLUID!AA47</f>
        <v>#N/A</v>
      </c>
      <c r="X4" s="14" t="e">
        <f ca="1">FLUID!AB47</f>
        <v>#N/A</v>
      </c>
      <c r="Y4" s="14" t="e">
        <f ca="1">FLUID!AC47</f>
        <v>#N/A</v>
      </c>
      <c r="Z4" s="14" t="e">
        <f ca="1">FLUID!AD47</f>
        <v>#N/A</v>
      </c>
      <c r="AA4" s="14" t="e">
        <f ca="1">FLUID!AE47</f>
        <v>#N/A</v>
      </c>
      <c r="AB4" s="14" t="e">
        <f ca="1">FLUID!AF47</f>
        <v>#N/A</v>
      </c>
      <c r="AC4" s="14" t="e">
        <f ca="1">FLUID!AG47</f>
        <v>#N/A</v>
      </c>
      <c r="AD4" s="14" t="e">
        <f ca="1">FLUID!AH47</f>
        <v>#N/A</v>
      </c>
      <c r="AE4" s="14" t="e">
        <f ca="1">FLUID!AI47</f>
        <v>#N/A</v>
      </c>
      <c r="AF4" s="14" t="e">
        <f ca="1">FLUID!AJ47</f>
        <v>#N/A</v>
      </c>
      <c r="AG4" s="14" t="e">
        <f ca="1">FLUID!AK47</f>
        <v>#N/A</v>
      </c>
      <c r="AH4" s="14" t="e">
        <f ca="1">FLUID!AL47</f>
        <v>#N/A</v>
      </c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</row>
    <row r="5" spans="1:94" ht="22.5" hidden="1" outlineLevel="1" thickTop="1" thickBot="1" x14ac:dyDescent="0.4">
      <c r="A5" s="36">
        <f>FLUID!E48</f>
        <v>0</v>
      </c>
      <c r="B5" s="16" t="e">
        <f ca="1">FLUID!F48</f>
        <v>#N/A</v>
      </c>
      <c r="C5" s="16" t="e">
        <f ca="1">FLUID!G48</f>
        <v>#N/A</v>
      </c>
      <c r="D5" s="16" t="e">
        <f ca="1">FLUID!H48</f>
        <v>#N/A</v>
      </c>
      <c r="E5" s="16" t="e">
        <f ca="1">FLUID!I48</f>
        <v>#N/A</v>
      </c>
      <c r="F5" s="14" t="e">
        <f ca="1">FLUID!J48</f>
        <v>#N/A</v>
      </c>
      <c r="G5" s="14" t="e">
        <f ca="1">FLUID!K48</f>
        <v>#N/A</v>
      </c>
      <c r="H5" s="14" t="e">
        <f ca="1">FLUID!L48</f>
        <v>#N/A</v>
      </c>
      <c r="I5" s="14" t="e">
        <f ca="1">FLUID!M48</f>
        <v>#N/A</v>
      </c>
      <c r="J5" s="14" t="e">
        <f ca="1">FLUID!N48</f>
        <v>#N/A</v>
      </c>
      <c r="K5" s="14" t="e">
        <f ca="1">FLUID!O48</f>
        <v>#N/A</v>
      </c>
      <c r="L5" s="14" t="e">
        <f ca="1">FLUID!P48</f>
        <v>#N/A</v>
      </c>
      <c r="M5" s="14" t="e">
        <f ca="1">FLUID!Q48</f>
        <v>#N/A</v>
      </c>
      <c r="N5" s="14" t="e">
        <f ca="1">FLUID!R48</f>
        <v>#N/A</v>
      </c>
      <c r="O5" s="14" t="e">
        <f ca="1">FLUID!S48</f>
        <v>#N/A</v>
      </c>
      <c r="P5" s="14" t="e">
        <f ca="1">FLUID!T48</f>
        <v>#N/A</v>
      </c>
      <c r="Q5" s="14" t="e">
        <f ca="1">FLUID!U48</f>
        <v>#N/A</v>
      </c>
      <c r="R5" s="14" t="e">
        <f ca="1">FLUID!V48</f>
        <v>#N/A</v>
      </c>
      <c r="S5" s="14" t="e">
        <f ca="1">FLUID!W48</f>
        <v>#N/A</v>
      </c>
      <c r="T5" s="14" t="e">
        <f ca="1">FLUID!X48</f>
        <v>#N/A</v>
      </c>
      <c r="U5" s="14" t="e">
        <f ca="1">FLUID!Y48</f>
        <v>#N/A</v>
      </c>
      <c r="V5" s="14" t="e">
        <f ca="1">FLUID!Z48</f>
        <v>#N/A</v>
      </c>
      <c r="W5" s="14" t="e">
        <f ca="1">FLUID!AA48</f>
        <v>#N/A</v>
      </c>
      <c r="X5" s="14" t="e">
        <f ca="1">FLUID!AB48</f>
        <v>#N/A</v>
      </c>
      <c r="Y5" s="14" t="e">
        <f ca="1">FLUID!AC48</f>
        <v>#N/A</v>
      </c>
      <c r="Z5" s="14" t="e">
        <f ca="1">FLUID!AD48</f>
        <v>#N/A</v>
      </c>
      <c r="AA5" s="14" t="e">
        <f ca="1">FLUID!AE48</f>
        <v>#N/A</v>
      </c>
      <c r="AB5" s="14" t="e">
        <f ca="1">FLUID!AF48</f>
        <v>#N/A</v>
      </c>
      <c r="AC5" s="14" t="e">
        <f ca="1">FLUID!AG48</f>
        <v>#N/A</v>
      </c>
      <c r="AD5" s="14" t="e">
        <f ca="1">FLUID!AH48</f>
        <v>#N/A</v>
      </c>
      <c r="AE5" s="14" t="e">
        <f ca="1">FLUID!AI48</f>
        <v>#N/A</v>
      </c>
      <c r="AF5" s="14" t="e">
        <f ca="1">FLUID!AJ48</f>
        <v>#N/A</v>
      </c>
      <c r="AG5" s="14" t="e">
        <f ca="1">FLUID!AK48</f>
        <v>#N/A</v>
      </c>
      <c r="AH5" s="14" t="e">
        <f ca="1">FLUID!AL48</f>
        <v>#N/A</v>
      </c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</row>
    <row r="6" spans="1:94" ht="22.5" hidden="1" outlineLevel="1" thickTop="1" thickBot="1" x14ac:dyDescent="0.4">
      <c r="A6" s="36">
        <f>FLUID!E49</f>
        <v>0</v>
      </c>
      <c r="B6" s="16" t="e">
        <f ca="1">FLUID!F49</f>
        <v>#N/A</v>
      </c>
      <c r="C6" s="16" t="e">
        <f ca="1">FLUID!G49</f>
        <v>#N/A</v>
      </c>
      <c r="D6" s="16" t="e">
        <f ca="1">FLUID!H49</f>
        <v>#N/A</v>
      </c>
      <c r="E6" s="16" t="e">
        <f ca="1">FLUID!I49</f>
        <v>#N/A</v>
      </c>
      <c r="F6" s="14" t="e">
        <f ca="1">FLUID!J49</f>
        <v>#N/A</v>
      </c>
      <c r="G6" s="14" t="e">
        <f ca="1">FLUID!K49</f>
        <v>#N/A</v>
      </c>
      <c r="H6" s="14" t="e">
        <f ca="1">FLUID!L49</f>
        <v>#N/A</v>
      </c>
      <c r="I6" s="14" t="e">
        <f ca="1">FLUID!M49</f>
        <v>#N/A</v>
      </c>
      <c r="J6" s="14" t="e">
        <f ca="1">FLUID!N49</f>
        <v>#N/A</v>
      </c>
      <c r="K6" s="14" t="e">
        <f ca="1">FLUID!O49</f>
        <v>#N/A</v>
      </c>
      <c r="L6" s="14" t="e">
        <f ca="1">FLUID!P49</f>
        <v>#N/A</v>
      </c>
      <c r="M6" s="14" t="e">
        <f ca="1">FLUID!Q49</f>
        <v>#N/A</v>
      </c>
      <c r="N6" s="14" t="e">
        <f ca="1">FLUID!R49</f>
        <v>#N/A</v>
      </c>
      <c r="O6" s="14" t="e">
        <f ca="1">FLUID!S49</f>
        <v>#N/A</v>
      </c>
      <c r="P6" s="14" t="e">
        <f ca="1">FLUID!T49</f>
        <v>#N/A</v>
      </c>
      <c r="Q6" s="14" t="e">
        <f ca="1">FLUID!U49</f>
        <v>#N/A</v>
      </c>
      <c r="R6" s="14" t="e">
        <f ca="1">FLUID!V49</f>
        <v>#N/A</v>
      </c>
      <c r="S6" s="14" t="e">
        <f ca="1">FLUID!W49</f>
        <v>#N/A</v>
      </c>
      <c r="T6" s="14" t="e">
        <f ca="1">FLUID!X49</f>
        <v>#N/A</v>
      </c>
      <c r="U6" s="14" t="e">
        <f ca="1">FLUID!Y49</f>
        <v>#N/A</v>
      </c>
      <c r="V6" s="14" t="e">
        <f ca="1">FLUID!Z49</f>
        <v>#N/A</v>
      </c>
      <c r="W6" s="14" t="e">
        <f ca="1">FLUID!AA49</f>
        <v>#N/A</v>
      </c>
      <c r="X6" s="14" t="e">
        <f ca="1">FLUID!AB49</f>
        <v>#N/A</v>
      </c>
      <c r="Y6" s="14" t="e">
        <f ca="1">FLUID!AC49</f>
        <v>#N/A</v>
      </c>
      <c r="Z6" s="14" t="e">
        <f ca="1">FLUID!AD49</f>
        <v>#N/A</v>
      </c>
      <c r="AA6" s="14" t="e">
        <f ca="1">FLUID!AE49</f>
        <v>#N/A</v>
      </c>
      <c r="AB6" s="14" t="e">
        <f ca="1">FLUID!AF49</f>
        <v>#N/A</v>
      </c>
      <c r="AC6" s="14" t="e">
        <f ca="1">FLUID!AG49</f>
        <v>#N/A</v>
      </c>
      <c r="AD6" s="14" t="e">
        <f ca="1">FLUID!AH49</f>
        <v>#N/A</v>
      </c>
      <c r="AE6" s="14" t="e">
        <f ca="1">FLUID!AI49</f>
        <v>#N/A</v>
      </c>
      <c r="AF6" s="14" t="e">
        <f ca="1">FLUID!AJ49</f>
        <v>#N/A</v>
      </c>
      <c r="AG6" s="14" t="e">
        <f ca="1">FLUID!AK49</f>
        <v>#N/A</v>
      </c>
      <c r="AH6" s="14" t="e">
        <f ca="1">FLUID!AL49</f>
        <v>#N/A</v>
      </c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</row>
    <row r="7" spans="1:94" ht="22.5" hidden="1" outlineLevel="1" thickTop="1" thickBot="1" x14ac:dyDescent="0.4">
      <c r="A7" s="36">
        <f>FLUID!E50</f>
        <v>0</v>
      </c>
      <c r="B7" s="16" t="e">
        <f ca="1">FLUID!F50</f>
        <v>#N/A</v>
      </c>
      <c r="C7" s="16" t="e">
        <f ca="1">FLUID!G50</f>
        <v>#N/A</v>
      </c>
      <c r="D7" s="16" t="e">
        <f ca="1">FLUID!H50</f>
        <v>#N/A</v>
      </c>
      <c r="E7" s="16" t="e">
        <f ca="1">FLUID!I50</f>
        <v>#N/A</v>
      </c>
      <c r="F7" s="14" t="e">
        <f ca="1">FLUID!J50</f>
        <v>#N/A</v>
      </c>
      <c r="G7" s="14" t="e">
        <f ca="1">FLUID!K50</f>
        <v>#N/A</v>
      </c>
      <c r="H7" s="14" t="e">
        <f ca="1">FLUID!L50</f>
        <v>#N/A</v>
      </c>
      <c r="I7" s="14" t="e">
        <f ca="1">FLUID!M50</f>
        <v>#N/A</v>
      </c>
      <c r="J7" s="14" t="e">
        <f ca="1">FLUID!N50</f>
        <v>#N/A</v>
      </c>
      <c r="K7" s="14" t="e">
        <f ca="1">FLUID!O50</f>
        <v>#N/A</v>
      </c>
      <c r="L7" s="14" t="e">
        <f ca="1">FLUID!P50</f>
        <v>#N/A</v>
      </c>
      <c r="M7" s="14" t="e">
        <f ca="1">FLUID!Q50</f>
        <v>#N/A</v>
      </c>
      <c r="N7" s="14" t="e">
        <f ca="1">FLUID!R50</f>
        <v>#N/A</v>
      </c>
      <c r="O7" s="14" t="e">
        <f ca="1">FLUID!S50</f>
        <v>#N/A</v>
      </c>
      <c r="P7" s="14" t="e">
        <f ca="1">FLUID!T50</f>
        <v>#N/A</v>
      </c>
      <c r="Q7" s="14" t="e">
        <f ca="1">FLUID!U50</f>
        <v>#N/A</v>
      </c>
      <c r="R7" s="14" t="e">
        <f ca="1">FLUID!V50</f>
        <v>#N/A</v>
      </c>
      <c r="S7" s="14" t="e">
        <f ca="1">FLUID!W50</f>
        <v>#N/A</v>
      </c>
      <c r="T7" s="14" t="e">
        <f ca="1">FLUID!X50</f>
        <v>#N/A</v>
      </c>
      <c r="U7" s="14" t="e">
        <f ca="1">FLUID!Y50</f>
        <v>#N/A</v>
      </c>
      <c r="V7" s="14" t="e">
        <f ca="1">FLUID!Z50</f>
        <v>#N/A</v>
      </c>
      <c r="W7" s="14" t="e">
        <f ca="1">FLUID!AA50</f>
        <v>#N/A</v>
      </c>
      <c r="X7" s="14" t="e">
        <f ca="1">FLUID!AB50</f>
        <v>#N/A</v>
      </c>
      <c r="Y7" s="14" t="e">
        <f ca="1">FLUID!AC50</f>
        <v>#N/A</v>
      </c>
      <c r="Z7" s="14" t="e">
        <f ca="1">FLUID!AD50</f>
        <v>#N/A</v>
      </c>
      <c r="AA7" s="14" t="e">
        <f ca="1">FLUID!AE50</f>
        <v>#N/A</v>
      </c>
      <c r="AB7" s="14" t="e">
        <f ca="1">FLUID!AF50</f>
        <v>#N/A</v>
      </c>
      <c r="AC7" s="14" t="e">
        <f ca="1">FLUID!AG50</f>
        <v>#N/A</v>
      </c>
      <c r="AD7" s="14" t="e">
        <f ca="1">FLUID!AH50</f>
        <v>#N/A</v>
      </c>
      <c r="AE7" s="14" t="e">
        <f ca="1">FLUID!AI50</f>
        <v>#N/A</v>
      </c>
      <c r="AF7" s="14" t="e">
        <f ca="1">FLUID!AJ50</f>
        <v>#N/A</v>
      </c>
      <c r="AG7" s="14" t="e">
        <f ca="1">FLUID!AK50</f>
        <v>#N/A</v>
      </c>
      <c r="AH7" s="14" t="e">
        <f ca="1">FLUID!AL50</f>
        <v>#N/A</v>
      </c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</row>
    <row r="8" spans="1:94" ht="22.5" hidden="1" outlineLevel="1" thickTop="1" thickBot="1" x14ac:dyDescent="0.4">
      <c r="A8" s="36">
        <f>FLUID!E51</f>
        <v>0</v>
      </c>
      <c r="B8" s="16" t="e">
        <f ca="1">FLUID!F51</f>
        <v>#N/A</v>
      </c>
      <c r="C8" s="16" t="e">
        <f ca="1">FLUID!G51</f>
        <v>#N/A</v>
      </c>
      <c r="D8" s="16" t="e">
        <f ca="1">FLUID!H51</f>
        <v>#N/A</v>
      </c>
      <c r="E8" s="16" t="e">
        <f ca="1">FLUID!I51</f>
        <v>#N/A</v>
      </c>
      <c r="F8" s="14" t="e">
        <f ca="1">FLUID!J51</f>
        <v>#N/A</v>
      </c>
      <c r="G8" s="14" t="e">
        <f ca="1">FLUID!K51</f>
        <v>#N/A</v>
      </c>
      <c r="H8" s="14" t="e">
        <f ca="1">FLUID!L51</f>
        <v>#N/A</v>
      </c>
      <c r="I8" s="14" t="e">
        <f ca="1">FLUID!M51</f>
        <v>#N/A</v>
      </c>
      <c r="J8" s="14" t="e">
        <f ca="1">FLUID!N51</f>
        <v>#N/A</v>
      </c>
      <c r="K8" s="14" t="e">
        <f ca="1">FLUID!O51</f>
        <v>#N/A</v>
      </c>
      <c r="L8" s="14" t="e">
        <f ca="1">FLUID!P51</f>
        <v>#N/A</v>
      </c>
      <c r="M8" s="14" t="e">
        <f ca="1">FLUID!Q51</f>
        <v>#N/A</v>
      </c>
      <c r="N8" s="14" t="e">
        <f ca="1">FLUID!R51</f>
        <v>#N/A</v>
      </c>
      <c r="O8" s="14" t="e">
        <f ca="1">FLUID!S51</f>
        <v>#N/A</v>
      </c>
      <c r="P8" s="14" t="e">
        <f ca="1">FLUID!T51</f>
        <v>#N/A</v>
      </c>
      <c r="Q8" s="14" t="e">
        <f ca="1">FLUID!U51</f>
        <v>#N/A</v>
      </c>
      <c r="R8" s="14" t="e">
        <f ca="1">FLUID!V51</f>
        <v>#N/A</v>
      </c>
      <c r="S8" s="14" t="e">
        <f ca="1">FLUID!W51</f>
        <v>#N/A</v>
      </c>
      <c r="T8" s="14" t="e">
        <f ca="1">FLUID!X51</f>
        <v>#N/A</v>
      </c>
      <c r="U8" s="14" t="e">
        <f ca="1">FLUID!Y51</f>
        <v>#N/A</v>
      </c>
      <c r="V8" s="14" t="e">
        <f ca="1">FLUID!Z51</f>
        <v>#N/A</v>
      </c>
      <c r="W8" s="14" t="e">
        <f ca="1">FLUID!AA51</f>
        <v>#N/A</v>
      </c>
      <c r="X8" s="14" t="e">
        <f ca="1">FLUID!AB51</f>
        <v>#N/A</v>
      </c>
      <c r="Y8" s="14" t="e">
        <f ca="1">FLUID!AC51</f>
        <v>#N/A</v>
      </c>
      <c r="Z8" s="14" t="e">
        <f ca="1">FLUID!AD51</f>
        <v>#N/A</v>
      </c>
      <c r="AA8" s="14" t="e">
        <f ca="1">FLUID!AE51</f>
        <v>#N/A</v>
      </c>
      <c r="AB8" s="14" t="e">
        <f ca="1">FLUID!AF51</f>
        <v>#N/A</v>
      </c>
      <c r="AC8" s="14" t="e">
        <f ca="1">FLUID!AG51</f>
        <v>#N/A</v>
      </c>
      <c r="AD8" s="14" t="e">
        <f ca="1">FLUID!AH51</f>
        <v>#N/A</v>
      </c>
      <c r="AE8" s="14" t="e">
        <f ca="1">FLUID!AI51</f>
        <v>#N/A</v>
      </c>
      <c r="AF8" s="14" t="e">
        <f ca="1">FLUID!AJ51</f>
        <v>#N/A</v>
      </c>
      <c r="AG8" s="14" t="e">
        <f ca="1">FLUID!AK51</f>
        <v>#N/A</v>
      </c>
      <c r="AH8" s="14" t="e">
        <f ca="1">FLUID!AL51</f>
        <v>#N/A</v>
      </c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</row>
    <row r="9" spans="1:94" ht="22.5" hidden="1" outlineLevel="1" thickTop="1" thickBot="1" x14ac:dyDescent="0.4">
      <c r="A9" s="36">
        <f>FLUID!E52</f>
        <v>0</v>
      </c>
      <c r="B9" s="16" t="e">
        <f ca="1">FLUID!F52</f>
        <v>#N/A</v>
      </c>
      <c r="C9" s="16" t="e">
        <f ca="1">FLUID!G52</f>
        <v>#N/A</v>
      </c>
      <c r="D9" s="16" t="e">
        <f ca="1">FLUID!H52</f>
        <v>#N/A</v>
      </c>
      <c r="E9" s="16" t="e">
        <f ca="1">FLUID!I52</f>
        <v>#N/A</v>
      </c>
      <c r="F9" s="14" t="e">
        <f ca="1">FLUID!J52</f>
        <v>#N/A</v>
      </c>
      <c r="G9" s="14" t="e">
        <f ca="1">FLUID!K52</f>
        <v>#N/A</v>
      </c>
      <c r="H9" s="14" t="e">
        <f ca="1">FLUID!L52</f>
        <v>#N/A</v>
      </c>
      <c r="I9" s="14" t="e">
        <f ca="1">FLUID!M52</f>
        <v>#N/A</v>
      </c>
      <c r="J9" s="14" t="e">
        <f ca="1">FLUID!N52</f>
        <v>#N/A</v>
      </c>
      <c r="K9" s="14" t="e">
        <f ca="1">FLUID!O52</f>
        <v>#N/A</v>
      </c>
      <c r="L9" s="14" t="e">
        <f ca="1">FLUID!P52</f>
        <v>#N/A</v>
      </c>
      <c r="M9" s="14" t="e">
        <f ca="1">FLUID!Q52</f>
        <v>#N/A</v>
      </c>
      <c r="N9" s="14" t="e">
        <f ca="1">FLUID!R52</f>
        <v>#N/A</v>
      </c>
      <c r="O9" s="14" t="e">
        <f ca="1">FLUID!S52</f>
        <v>#N/A</v>
      </c>
      <c r="P9" s="14" t="e">
        <f ca="1">FLUID!T52</f>
        <v>#N/A</v>
      </c>
      <c r="Q9" s="14" t="e">
        <f ca="1">FLUID!U52</f>
        <v>#N/A</v>
      </c>
      <c r="R9" s="14" t="e">
        <f ca="1">FLUID!V52</f>
        <v>#N/A</v>
      </c>
      <c r="S9" s="14" t="e">
        <f ca="1">FLUID!W52</f>
        <v>#N/A</v>
      </c>
      <c r="T9" s="14" t="e">
        <f ca="1">FLUID!X52</f>
        <v>#N/A</v>
      </c>
      <c r="U9" s="14" t="e">
        <f ca="1">FLUID!Y52</f>
        <v>#N/A</v>
      </c>
      <c r="V9" s="14" t="e">
        <f ca="1">FLUID!Z52</f>
        <v>#N/A</v>
      </c>
      <c r="W9" s="14" t="e">
        <f ca="1">FLUID!AA52</f>
        <v>#N/A</v>
      </c>
      <c r="X9" s="14" t="e">
        <f ca="1">FLUID!AB52</f>
        <v>#N/A</v>
      </c>
      <c r="Y9" s="14" t="e">
        <f ca="1">FLUID!AC52</f>
        <v>#N/A</v>
      </c>
      <c r="Z9" s="14" t="e">
        <f ca="1">FLUID!AD52</f>
        <v>#N/A</v>
      </c>
      <c r="AA9" s="14" t="e">
        <f ca="1">FLUID!AE52</f>
        <v>#N/A</v>
      </c>
      <c r="AB9" s="14" t="e">
        <f ca="1">FLUID!AF52</f>
        <v>#N/A</v>
      </c>
      <c r="AC9" s="14" t="e">
        <f ca="1">FLUID!AG52</f>
        <v>#N/A</v>
      </c>
      <c r="AD9" s="14" t="e">
        <f ca="1">FLUID!AH52</f>
        <v>#N/A</v>
      </c>
      <c r="AE9" s="14" t="e">
        <f ca="1">FLUID!AI52</f>
        <v>#N/A</v>
      </c>
      <c r="AF9" s="14" t="e">
        <f ca="1">FLUID!AJ52</f>
        <v>#N/A</v>
      </c>
      <c r="AG9" s="14" t="e">
        <f ca="1">FLUID!AK52</f>
        <v>#N/A</v>
      </c>
      <c r="AH9" s="14" t="e">
        <f ca="1">FLUID!AL52</f>
        <v>#N/A</v>
      </c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</row>
    <row r="10" spans="1:94" ht="22.5" hidden="1" outlineLevel="1" thickTop="1" thickBot="1" x14ac:dyDescent="0.4">
      <c r="A10" s="36">
        <f>FLUID!E53</f>
        <v>0</v>
      </c>
      <c r="B10" s="16" t="e">
        <f ca="1">FLUID!F53</f>
        <v>#N/A</v>
      </c>
      <c r="C10" s="16" t="e">
        <f ca="1">FLUID!G53</f>
        <v>#N/A</v>
      </c>
      <c r="D10" s="16" t="e">
        <f ca="1">FLUID!H53</f>
        <v>#N/A</v>
      </c>
      <c r="E10" s="16" t="e">
        <f ca="1">FLUID!I53</f>
        <v>#N/A</v>
      </c>
      <c r="F10" s="14" t="e">
        <f ca="1">FLUID!J53</f>
        <v>#N/A</v>
      </c>
      <c r="G10" s="14" t="e">
        <f ca="1">FLUID!K53</f>
        <v>#N/A</v>
      </c>
      <c r="H10" s="14" t="e">
        <f ca="1">FLUID!L53</f>
        <v>#N/A</v>
      </c>
      <c r="I10" s="14" t="e">
        <f ca="1">FLUID!M53</f>
        <v>#N/A</v>
      </c>
      <c r="J10" s="14" t="e">
        <f ca="1">FLUID!N53</f>
        <v>#N/A</v>
      </c>
      <c r="K10" s="14" t="e">
        <f ca="1">FLUID!O53</f>
        <v>#N/A</v>
      </c>
      <c r="L10" s="14" t="e">
        <f ca="1">FLUID!P53</f>
        <v>#N/A</v>
      </c>
      <c r="M10" s="14" t="e">
        <f ca="1">FLUID!Q53</f>
        <v>#N/A</v>
      </c>
      <c r="N10" s="14" t="e">
        <f ca="1">FLUID!R53</f>
        <v>#N/A</v>
      </c>
      <c r="O10" s="14" t="e">
        <f ca="1">FLUID!S53</f>
        <v>#N/A</v>
      </c>
      <c r="P10" s="14" t="e">
        <f ca="1">FLUID!T53</f>
        <v>#N/A</v>
      </c>
      <c r="Q10" s="14" t="e">
        <f ca="1">FLUID!U53</f>
        <v>#N/A</v>
      </c>
      <c r="R10" s="14" t="e">
        <f ca="1">FLUID!V53</f>
        <v>#N/A</v>
      </c>
      <c r="S10" s="14" t="e">
        <f ca="1">FLUID!W53</f>
        <v>#N/A</v>
      </c>
      <c r="T10" s="14" t="e">
        <f ca="1">FLUID!X53</f>
        <v>#N/A</v>
      </c>
      <c r="U10" s="14" t="e">
        <f ca="1">FLUID!Y53</f>
        <v>#N/A</v>
      </c>
      <c r="V10" s="14" t="e">
        <f ca="1">FLUID!Z53</f>
        <v>#N/A</v>
      </c>
      <c r="W10" s="14" t="e">
        <f ca="1">FLUID!AA53</f>
        <v>#N/A</v>
      </c>
      <c r="X10" s="14" t="e">
        <f ca="1">FLUID!AB53</f>
        <v>#N/A</v>
      </c>
      <c r="Y10" s="14" t="e">
        <f ca="1">FLUID!AC53</f>
        <v>#N/A</v>
      </c>
      <c r="Z10" s="14" t="e">
        <f ca="1">FLUID!AD53</f>
        <v>#N/A</v>
      </c>
      <c r="AA10" s="14" t="e">
        <f ca="1">FLUID!AE53</f>
        <v>#N/A</v>
      </c>
      <c r="AB10" s="14" t="e">
        <f ca="1">FLUID!AF53</f>
        <v>#N/A</v>
      </c>
      <c r="AC10" s="14" t="e">
        <f ca="1">FLUID!AG53</f>
        <v>#N/A</v>
      </c>
      <c r="AD10" s="14" t="e">
        <f ca="1">FLUID!AH53</f>
        <v>#N/A</v>
      </c>
      <c r="AE10" s="14" t="e">
        <f ca="1">FLUID!AI53</f>
        <v>#N/A</v>
      </c>
      <c r="AF10" s="14" t="e">
        <f ca="1">FLUID!AJ53</f>
        <v>#N/A</v>
      </c>
      <c r="AG10" s="14" t="e">
        <f ca="1">FLUID!AK53</f>
        <v>#N/A</v>
      </c>
      <c r="AH10" s="14" t="e">
        <f ca="1">FLUID!AL53</f>
        <v>#N/A</v>
      </c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</row>
    <row r="11" spans="1:94" ht="22.5" hidden="1" outlineLevel="1" thickTop="1" thickBot="1" x14ac:dyDescent="0.4">
      <c r="A11" s="36">
        <f>FLUID!E54</f>
        <v>0</v>
      </c>
      <c r="B11" s="16" t="e">
        <f ca="1">FLUID!F54</f>
        <v>#N/A</v>
      </c>
      <c r="C11" s="16" t="e">
        <f ca="1">FLUID!G54</f>
        <v>#N/A</v>
      </c>
      <c r="D11" s="16" t="e">
        <f ca="1">FLUID!H54</f>
        <v>#N/A</v>
      </c>
      <c r="E11" s="16" t="e">
        <f ca="1">FLUID!I54</f>
        <v>#N/A</v>
      </c>
      <c r="F11" s="14" t="e">
        <f ca="1">FLUID!J54</f>
        <v>#N/A</v>
      </c>
      <c r="G11" s="14" t="e">
        <f ca="1">FLUID!K54</f>
        <v>#N/A</v>
      </c>
      <c r="H11" s="14" t="e">
        <f ca="1">FLUID!L54</f>
        <v>#N/A</v>
      </c>
      <c r="I11" s="14" t="e">
        <f ca="1">FLUID!M54</f>
        <v>#N/A</v>
      </c>
      <c r="J11" s="14" t="e">
        <f ca="1">FLUID!N54</f>
        <v>#N/A</v>
      </c>
      <c r="K11" s="14" t="e">
        <f ca="1">FLUID!O54</f>
        <v>#N/A</v>
      </c>
      <c r="L11" s="14" t="e">
        <f ca="1">FLUID!P54</f>
        <v>#N/A</v>
      </c>
      <c r="M11" s="14" t="e">
        <f ca="1">FLUID!Q54</f>
        <v>#N/A</v>
      </c>
      <c r="N11" s="14" t="e">
        <f ca="1">FLUID!R54</f>
        <v>#N/A</v>
      </c>
      <c r="O11" s="14" t="e">
        <f ca="1">FLUID!S54</f>
        <v>#N/A</v>
      </c>
      <c r="P11" s="14" t="e">
        <f ca="1">FLUID!T54</f>
        <v>#N/A</v>
      </c>
      <c r="Q11" s="14" t="e">
        <f ca="1">FLUID!U54</f>
        <v>#N/A</v>
      </c>
      <c r="R11" s="14" t="e">
        <f ca="1">FLUID!V54</f>
        <v>#N/A</v>
      </c>
      <c r="S11" s="14" t="e">
        <f ca="1">FLUID!W54</f>
        <v>#N/A</v>
      </c>
      <c r="T11" s="14" t="e">
        <f ca="1">FLUID!X54</f>
        <v>#N/A</v>
      </c>
      <c r="U11" s="14" t="e">
        <f ca="1">FLUID!Y54</f>
        <v>#N/A</v>
      </c>
      <c r="V11" s="14" t="e">
        <f ca="1">FLUID!Z54</f>
        <v>#N/A</v>
      </c>
      <c r="W11" s="14" t="e">
        <f ca="1">FLUID!AA54</f>
        <v>#N/A</v>
      </c>
      <c r="X11" s="14" t="e">
        <f ca="1">FLUID!AB54</f>
        <v>#N/A</v>
      </c>
      <c r="Y11" s="14" t="e">
        <f ca="1">FLUID!AC54</f>
        <v>#N/A</v>
      </c>
      <c r="Z11" s="14" t="e">
        <f ca="1">FLUID!AD54</f>
        <v>#N/A</v>
      </c>
      <c r="AA11" s="14" t="e">
        <f ca="1">FLUID!AE54</f>
        <v>#N/A</v>
      </c>
      <c r="AB11" s="14" t="e">
        <f ca="1">FLUID!AF54</f>
        <v>#N/A</v>
      </c>
      <c r="AC11" s="14" t="e">
        <f ca="1">FLUID!AG54</f>
        <v>#N/A</v>
      </c>
      <c r="AD11" s="14" t="e">
        <f ca="1">FLUID!AH54</f>
        <v>#N/A</v>
      </c>
      <c r="AE11" s="14" t="e">
        <f ca="1">FLUID!AI54</f>
        <v>#N/A</v>
      </c>
      <c r="AF11" s="14" t="e">
        <f ca="1">FLUID!AJ54</f>
        <v>#N/A</v>
      </c>
      <c r="AG11" s="14" t="e">
        <f ca="1">FLUID!AK54</f>
        <v>#N/A</v>
      </c>
      <c r="AH11" s="14" t="e">
        <f ca="1">FLUID!AL54</f>
        <v>#N/A</v>
      </c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</row>
    <row r="12" spans="1:94" ht="22.5" hidden="1" outlineLevel="1" thickTop="1" thickBot="1" x14ac:dyDescent="0.4">
      <c r="A12" s="36">
        <f>FLUID!E55</f>
        <v>0</v>
      </c>
      <c r="B12" s="16" t="e">
        <f ca="1">FLUID!F55</f>
        <v>#N/A</v>
      </c>
      <c r="C12" s="16" t="e">
        <f ca="1">FLUID!G55</f>
        <v>#N/A</v>
      </c>
      <c r="D12" s="16" t="e">
        <f ca="1">FLUID!H55</f>
        <v>#N/A</v>
      </c>
      <c r="E12" s="16" t="e">
        <f ca="1">FLUID!I55</f>
        <v>#N/A</v>
      </c>
      <c r="F12" s="14" t="e">
        <f ca="1">FLUID!J55</f>
        <v>#N/A</v>
      </c>
      <c r="G12" s="14" t="e">
        <f ca="1">FLUID!K55</f>
        <v>#N/A</v>
      </c>
      <c r="H12" s="14" t="e">
        <f ca="1">FLUID!L55</f>
        <v>#N/A</v>
      </c>
      <c r="I12" s="14" t="e">
        <f ca="1">FLUID!M55</f>
        <v>#N/A</v>
      </c>
      <c r="J12" s="14" t="e">
        <f ca="1">FLUID!N55</f>
        <v>#N/A</v>
      </c>
      <c r="K12" s="14" t="e">
        <f ca="1">FLUID!O55</f>
        <v>#N/A</v>
      </c>
      <c r="L12" s="14" t="e">
        <f ca="1">FLUID!P55</f>
        <v>#N/A</v>
      </c>
      <c r="M12" s="14" t="e">
        <f ca="1">FLUID!Q55</f>
        <v>#N/A</v>
      </c>
      <c r="N12" s="14" t="e">
        <f ca="1">FLUID!R55</f>
        <v>#N/A</v>
      </c>
      <c r="O12" s="14" t="e">
        <f ca="1">FLUID!S55</f>
        <v>#N/A</v>
      </c>
      <c r="P12" s="14" t="e">
        <f ca="1">FLUID!T55</f>
        <v>#N/A</v>
      </c>
      <c r="Q12" s="14" t="e">
        <f ca="1">FLUID!U55</f>
        <v>#N/A</v>
      </c>
      <c r="R12" s="14" t="e">
        <f ca="1">FLUID!V55</f>
        <v>#N/A</v>
      </c>
      <c r="S12" s="14" t="e">
        <f ca="1">FLUID!W55</f>
        <v>#N/A</v>
      </c>
      <c r="T12" s="14" t="e">
        <f ca="1">FLUID!X55</f>
        <v>#N/A</v>
      </c>
      <c r="U12" s="14" t="e">
        <f ca="1">FLUID!Y55</f>
        <v>#N/A</v>
      </c>
      <c r="V12" s="14" t="e">
        <f ca="1">FLUID!Z55</f>
        <v>#N/A</v>
      </c>
      <c r="W12" s="14" t="e">
        <f ca="1">FLUID!AA55</f>
        <v>#N/A</v>
      </c>
      <c r="X12" s="14" t="e">
        <f ca="1">FLUID!AB55</f>
        <v>#N/A</v>
      </c>
      <c r="Y12" s="14" t="e">
        <f ca="1">FLUID!AC55</f>
        <v>#N/A</v>
      </c>
      <c r="Z12" s="14" t="e">
        <f ca="1">FLUID!AD55</f>
        <v>#N/A</v>
      </c>
      <c r="AA12" s="14" t="e">
        <f ca="1">FLUID!AE55</f>
        <v>#N/A</v>
      </c>
      <c r="AB12" s="14" t="e">
        <f ca="1">FLUID!AF55</f>
        <v>#N/A</v>
      </c>
      <c r="AC12" s="14" t="e">
        <f ca="1">FLUID!AG55</f>
        <v>#N/A</v>
      </c>
      <c r="AD12" s="14" t="e">
        <f ca="1">FLUID!AH55</f>
        <v>#N/A</v>
      </c>
      <c r="AE12" s="14" t="e">
        <f ca="1">FLUID!AI55</f>
        <v>#N/A</v>
      </c>
      <c r="AF12" s="14" t="e">
        <f ca="1">FLUID!AJ55</f>
        <v>#N/A</v>
      </c>
      <c r="AG12" s="14" t="e">
        <f ca="1">FLUID!AK55</f>
        <v>#N/A</v>
      </c>
      <c r="AH12" s="14" t="e">
        <f ca="1">FLUID!AL55</f>
        <v>#N/A</v>
      </c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</row>
    <row r="13" spans="1:94" ht="22.5" hidden="1" outlineLevel="1" thickTop="1" thickBot="1" x14ac:dyDescent="0.4">
      <c r="A13" s="36">
        <f>FLUID!E56</f>
        <v>0</v>
      </c>
      <c r="B13" s="16" t="e">
        <f ca="1">FLUID!F56</f>
        <v>#N/A</v>
      </c>
      <c r="C13" s="16" t="e">
        <f ca="1">FLUID!G56</f>
        <v>#N/A</v>
      </c>
      <c r="D13" s="16" t="e">
        <f ca="1">FLUID!H56</f>
        <v>#N/A</v>
      </c>
      <c r="E13" s="16" t="e">
        <f ca="1">FLUID!I56</f>
        <v>#N/A</v>
      </c>
      <c r="F13" s="14" t="e">
        <f ca="1">FLUID!J56</f>
        <v>#N/A</v>
      </c>
      <c r="G13" s="14" t="e">
        <f ca="1">FLUID!K56</f>
        <v>#N/A</v>
      </c>
      <c r="H13" s="14" t="e">
        <f ca="1">FLUID!L56</f>
        <v>#N/A</v>
      </c>
      <c r="I13" s="14" t="e">
        <f ca="1">FLUID!M56</f>
        <v>#N/A</v>
      </c>
      <c r="J13" s="14" t="e">
        <f ca="1">FLUID!N56</f>
        <v>#N/A</v>
      </c>
      <c r="K13" s="14" t="e">
        <f ca="1">FLUID!O56</f>
        <v>#N/A</v>
      </c>
      <c r="L13" s="14" t="e">
        <f ca="1">FLUID!P56</f>
        <v>#N/A</v>
      </c>
      <c r="M13" s="14" t="e">
        <f ca="1">FLUID!Q56</f>
        <v>#N/A</v>
      </c>
      <c r="N13" s="14" t="e">
        <f ca="1">FLUID!R56</f>
        <v>#N/A</v>
      </c>
      <c r="O13" s="14" t="e">
        <f ca="1">FLUID!S56</f>
        <v>#N/A</v>
      </c>
      <c r="P13" s="14" t="e">
        <f ca="1">FLUID!T56</f>
        <v>#N/A</v>
      </c>
      <c r="Q13" s="14" t="e">
        <f ca="1">FLUID!U56</f>
        <v>#N/A</v>
      </c>
      <c r="R13" s="14" t="e">
        <f ca="1">FLUID!V56</f>
        <v>#N/A</v>
      </c>
      <c r="S13" s="14" t="e">
        <f ca="1">FLUID!W56</f>
        <v>#N/A</v>
      </c>
      <c r="T13" s="14" t="e">
        <f ca="1">FLUID!X56</f>
        <v>#N/A</v>
      </c>
      <c r="U13" s="14" t="e">
        <f ca="1">FLUID!Y56</f>
        <v>#N/A</v>
      </c>
      <c r="V13" s="14" t="e">
        <f ca="1">FLUID!Z56</f>
        <v>#N/A</v>
      </c>
      <c r="W13" s="14" t="e">
        <f ca="1">FLUID!AA56</f>
        <v>#N/A</v>
      </c>
      <c r="X13" s="14" t="e">
        <f ca="1">FLUID!AB56</f>
        <v>#N/A</v>
      </c>
      <c r="Y13" s="14" t="e">
        <f ca="1">FLUID!AC56</f>
        <v>#N/A</v>
      </c>
      <c r="Z13" s="14" t="e">
        <f ca="1">FLUID!AD56</f>
        <v>#N/A</v>
      </c>
      <c r="AA13" s="14" t="e">
        <f ca="1">FLUID!AE56</f>
        <v>#N/A</v>
      </c>
      <c r="AB13" s="14" t="e">
        <f ca="1">FLUID!AF56</f>
        <v>#N/A</v>
      </c>
      <c r="AC13" s="14" t="e">
        <f ca="1">FLUID!AG56</f>
        <v>#N/A</v>
      </c>
      <c r="AD13" s="14" t="e">
        <f ca="1">FLUID!AH56</f>
        <v>#N/A</v>
      </c>
      <c r="AE13" s="14" t="e">
        <f ca="1">FLUID!AI56</f>
        <v>#N/A</v>
      </c>
      <c r="AF13" s="14" t="e">
        <f ca="1">FLUID!AJ56</f>
        <v>#N/A</v>
      </c>
      <c r="AG13" s="14" t="e">
        <f ca="1">FLUID!AK56</f>
        <v>#N/A</v>
      </c>
      <c r="AH13" s="14" t="e">
        <f ca="1">FLUID!AL56</f>
        <v>#N/A</v>
      </c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</row>
    <row r="14" spans="1:94" ht="22.5" hidden="1" outlineLevel="1" thickTop="1" thickBot="1" x14ac:dyDescent="0.4">
      <c r="A14" s="36">
        <f>FLUID!E57</f>
        <v>0</v>
      </c>
      <c r="B14" s="16" t="e">
        <f ca="1">FLUID!F57</f>
        <v>#N/A</v>
      </c>
      <c r="C14" s="16" t="e">
        <f ca="1">FLUID!G57</f>
        <v>#N/A</v>
      </c>
      <c r="D14" s="16" t="e">
        <f ca="1">FLUID!H57</f>
        <v>#N/A</v>
      </c>
      <c r="E14" s="16" t="e">
        <f ca="1">FLUID!I57</f>
        <v>#N/A</v>
      </c>
      <c r="F14" s="14" t="e">
        <f ca="1">FLUID!J57</f>
        <v>#N/A</v>
      </c>
      <c r="G14" s="14" t="e">
        <f ca="1">FLUID!K57</f>
        <v>#N/A</v>
      </c>
      <c r="H14" s="14" t="e">
        <f ca="1">FLUID!L57</f>
        <v>#N/A</v>
      </c>
      <c r="I14" s="14" t="e">
        <f ca="1">FLUID!M57</f>
        <v>#N/A</v>
      </c>
      <c r="J14" s="14" t="e">
        <f ca="1">FLUID!N57</f>
        <v>#N/A</v>
      </c>
      <c r="K14" s="14" t="e">
        <f ca="1">FLUID!O57</f>
        <v>#N/A</v>
      </c>
      <c r="L14" s="14" t="e">
        <f ca="1">FLUID!P57</f>
        <v>#N/A</v>
      </c>
      <c r="M14" s="14" t="e">
        <f ca="1">FLUID!Q57</f>
        <v>#N/A</v>
      </c>
      <c r="N14" s="14" t="e">
        <f ca="1">FLUID!R57</f>
        <v>#N/A</v>
      </c>
      <c r="O14" s="14" t="e">
        <f ca="1">FLUID!S57</f>
        <v>#N/A</v>
      </c>
      <c r="P14" s="14" t="e">
        <f ca="1">FLUID!T57</f>
        <v>#N/A</v>
      </c>
      <c r="Q14" s="14" t="e">
        <f ca="1">FLUID!U57</f>
        <v>#N/A</v>
      </c>
      <c r="R14" s="14" t="e">
        <f ca="1">FLUID!V57</f>
        <v>#N/A</v>
      </c>
      <c r="S14" s="14" t="e">
        <f ca="1">FLUID!W57</f>
        <v>#N/A</v>
      </c>
      <c r="T14" s="14" t="e">
        <f ca="1">FLUID!X57</f>
        <v>#N/A</v>
      </c>
      <c r="U14" s="14" t="e">
        <f ca="1">FLUID!Y57</f>
        <v>#N/A</v>
      </c>
      <c r="V14" s="14" t="e">
        <f ca="1">FLUID!Z57</f>
        <v>#N/A</v>
      </c>
      <c r="W14" s="14" t="e">
        <f ca="1">FLUID!AA57</f>
        <v>#N/A</v>
      </c>
      <c r="X14" s="14" t="e">
        <f ca="1">FLUID!AB57</f>
        <v>#N/A</v>
      </c>
      <c r="Y14" s="14" t="e">
        <f ca="1">FLUID!AC57</f>
        <v>#N/A</v>
      </c>
      <c r="Z14" s="14" t="e">
        <f ca="1">FLUID!AD57</f>
        <v>#N/A</v>
      </c>
      <c r="AA14" s="14" t="e">
        <f ca="1">FLUID!AE57</f>
        <v>#N/A</v>
      </c>
      <c r="AB14" s="14" t="e">
        <f ca="1">FLUID!AF57</f>
        <v>#N/A</v>
      </c>
      <c r="AC14" s="14" t="e">
        <f ca="1">FLUID!AG57</f>
        <v>#N/A</v>
      </c>
      <c r="AD14" s="14" t="e">
        <f ca="1">FLUID!AH57</f>
        <v>#N/A</v>
      </c>
      <c r="AE14" s="14" t="e">
        <f ca="1">FLUID!AI57</f>
        <v>#N/A</v>
      </c>
      <c r="AF14" s="14" t="e">
        <f ca="1">FLUID!AJ57</f>
        <v>#N/A</v>
      </c>
      <c r="AG14" s="14" t="e">
        <f ca="1">FLUID!AK57</f>
        <v>#N/A</v>
      </c>
      <c r="AH14" s="14" t="e">
        <f ca="1">FLUID!AL57</f>
        <v>#N/A</v>
      </c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</row>
    <row r="15" spans="1:94" ht="22.5" hidden="1" outlineLevel="1" thickTop="1" thickBot="1" x14ac:dyDescent="0.4">
      <c r="A15" s="36">
        <f>FLUID!E58</f>
        <v>0</v>
      </c>
      <c r="B15" s="16" t="e">
        <f ca="1">FLUID!F58</f>
        <v>#N/A</v>
      </c>
      <c r="C15" s="16" t="e">
        <f ca="1">FLUID!G58</f>
        <v>#N/A</v>
      </c>
      <c r="D15" s="16" t="e">
        <f ca="1">FLUID!H58</f>
        <v>#N/A</v>
      </c>
      <c r="E15" s="16" t="e">
        <f ca="1">FLUID!I58</f>
        <v>#N/A</v>
      </c>
      <c r="F15" s="14" t="e">
        <f ca="1">FLUID!J58</f>
        <v>#N/A</v>
      </c>
      <c r="G15" s="14" t="e">
        <f ca="1">FLUID!K58</f>
        <v>#N/A</v>
      </c>
      <c r="H15" s="14" t="e">
        <f ca="1">FLUID!L58</f>
        <v>#N/A</v>
      </c>
      <c r="I15" s="14" t="e">
        <f ca="1">FLUID!M58</f>
        <v>#N/A</v>
      </c>
      <c r="J15" s="14" t="e">
        <f ca="1">FLUID!N58</f>
        <v>#N/A</v>
      </c>
      <c r="K15" s="14" t="e">
        <f ca="1">FLUID!O58</f>
        <v>#N/A</v>
      </c>
      <c r="L15" s="14" t="e">
        <f ca="1">FLUID!P58</f>
        <v>#N/A</v>
      </c>
      <c r="M15" s="14" t="e">
        <f ca="1">FLUID!Q58</f>
        <v>#N/A</v>
      </c>
      <c r="N15" s="14" t="e">
        <f ca="1">FLUID!R58</f>
        <v>#N/A</v>
      </c>
      <c r="O15" s="14" t="e">
        <f ca="1">FLUID!S58</f>
        <v>#N/A</v>
      </c>
      <c r="P15" s="14" t="e">
        <f ca="1">FLUID!T58</f>
        <v>#N/A</v>
      </c>
      <c r="Q15" s="14" t="e">
        <f ca="1">FLUID!U58</f>
        <v>#N/A</v>
      </c>
      <c r="R15" s="14" t="e">
        <f ca="1">FLUID!V58</f>
        <v>#N/A</v>
      </c>
      <c r="S15" s="14" t="e">
        <f ca="1">FLUID!W58</f>
        <v>#N/A</v>
      </c>
      <c r="T15" s="14" t="e">
        <f ca="1">FLUID!X58</f>
        <v>#N/A</v>
      </c>
      <c r="U15" s="14" t="e">
        <f ca="1">FLUID!Y58</f>
        <v>#N/A</v>
      </c>
      <c r="V15" s="14" t="e">
        <f ca="1">FLUID!Z58</f>
        <v>#N/A</v>
      </c>
      <c r="W15" s="14" t="e">
        <f ca="1">FLUID!AA58</f>
        <v>#N/A</v>
      </c>
      <c r="X15" s="14" t="e">
        <f ca="1">FLUID!AB58</f>
        <v>#N/A</v>
      </c>
      <c r="Y15" s="14" t="e">
        <f ca="1">FLUID!AC58</f>
        <v>#N/A</v>
      </c>
      <c r="Z15" s="14" t="e">
        <f ca="1">FLUID!AD58</f>
        <v>#N/A</v>
      </c>
      <c r="AA15" s="14" t="e">
        <f ca="1">FLUID!AE58</f>
        <v>#N/A</v>
      </c>
      <c r="AB15" s="14" t="e">
        <f ca="1">FLUID!AF58</f>
        <v>#N/A</v>
      </c>
      <c r="AC15" s="14" t="e">
        <f ca="1">FLUID!AG58</f>
        <v>#N/A</v>
      </c>
      <c r="AD15" s="14" t="e">
        <f ca="1">FLUID!AH58</f>
        <v>#N/A</v>
      </c>
      <c r="AE15" s="14" t="e">
        <f ca="1">FLUID!AI58</f>
        <v>#N/A</v>
      </c>
      <c r="AF15" s="14" t="e">
        <f ca="1">FLUID!AJ58</f>
        <v>#N/A</v>
      </c>
      <c r="AG15" s="14" t="e">
        <f ca="1">FLUID!AK58</f>
        <v>#N/A</v>
      </c>
      <c r="AH15" s="14" t="e">
        <f ca="1">FLUID!AL58</f>
        <v>#N/A</v>
      </c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</row>
    <row r="16" spans="1:94" ht="22.5" hidden="1" outlineLevel="1" thickTop="1" thickBot="1" x14ac:dyDescent="0.4">
      <c r="A16" s="36">
        <f>FLUID!E59</f>
        <v>0</v>
      </c>
      <c r="B16" s="16" t="e">
        <f ca="1">FLUID!F59</f>
        <v>#N/A</v>
      </c>
      <c r="C16" s="16" t="e">
        <f ca="1">FLUID!G59</f>
        <v>#N/A</v>
      </c>
      <c r="D16" s="16" t="e">
        <f ca="1">FLUID!H59</f>
        <v>#N/A</v>
      </c>
      <c r="E16" s="16" t="e">
        <f ca="1">FLUID!I59</f>
        <v>#N/A</v>
      </c>
      <c r="F16" s="14" t="e">
        <f ca="1">FLUID!J59</f>
        <v>#N/A</v>
      </c>
      <c r="G16" s="14" t="e">
        <f ca="1">FLUID!K59</f>
        <v>#N/A</v>
      </c>
      <c r="H16" s="14" t="e">
        <f ca="1">FLUID!L59</f>
        <v>#N/A</v>
      </c>
      <c r="I16" s="14" t="e">
        <f ca="1">FLUID!M59</f>
        <v>#N/A</v>
      </c>
      <c r="J16" s="14" t="e">
        <f ca="1">FLUID!N59</f>
        <v>#N/A</v>
      </c>
      <c r="K16" s="14" t="e">
        <f ca="1">FLUID!O59</f>
        <v>#N/A</v>
      </c>
      <c r="L16" s="14" t="e">
        <f ca="1">FLUID!P59</f>
        <v>#N/A</v>
      </c>
      <c r="M16" s="14" t="e">
        <f ca="1">FLUID!Q59</f>
        <v>#N/A</v>
      </c>
      <c r="N16" s="14" t="e">
        <f ca="1">FLUID!R59</f>
        <v>#N/A</v>
      </c>
      <c r="O16" s="14" t="e">
        <f ca="1">FLUID!S59</f>
        <v>#N/A</v>
      </c>
      <c r="P16" s="14" t="e">
        <f ca="1">FLUID!T59</f>
        <v>#N/A</v>
      </c>
      <c r="Q16" s="14" t="e">
        <f ca="1">FLUID!U59</f>
        <v>#N/A</v>
      </c>
      <c r="R16" s="14" t="e">
        <f ca="1">FLUID!V59</f>
        <v>#N/A</v>
      </c>
      <c r="S16" s="14" t="e">
        <f ca="1">FLUID!W59</f>
        <v>#N/A</v>
      </c>
      <c r="T16" s="14" t="e">
        <f ca="1">FLUID!X59</f>
        <v>#N/A</v>
      </c>
      <c r="U16" s="14" t="e">
        <f ca="1">FLUID!Y59</f>
        <v>#N/A</v>
      </c>
      <c r="V16" s="14" t="e">
        <f ca="1">FLUID!Z59</f>
        <v>#N/A</v>
      </c>
      <c r="W16" s="14" t="e">
        <f ca="1">FLUID!AA59</f>
        <v>#N/A</v>
      </c>
      <c r="X16" s="14" t="e">
        <f ca="1">FLUID!AB59</f>
        <v>#N/A</v>
      </c>
      <c r="Y16" s="14" t="e">
        <f ca="1">FLUID!AC59</f>
        <v>#N/A</v>
      </c>
      <c r="Z16" s="14" t="e">
        <f ca="1">FLUID!AD59</f>
        <v>#N/A</v>
      </c>
      <c r="AA16" s="14" t="e">
        <f ca="1">FLUID!AE59</f>
        <v>#N/A</v>
      </c>
      <c r="AB16" s="14" t="e">
        <f ca="1">FLUID!AF59</f>
        <v>#N/A</v>
      </c>
      <c r="AC16" s="14" t="e">
        <f ca="1">FLUID!AG59</f>
        <v>#N/A</v>
      </c>
      <c r="AD16" s="14" t="e">
        <f ca="1">FLUID!AH59</f>
        <v>#N/A</v>
      </c>
      <c r="AE16" s="14" t="e">
        <f ca="1">FLUID!AI59</f>
        <v>#N/A</v>
      </c>
      <c r="AF16" s="14" t="e">
        <f ca="1">FLUID!AJ59</f>
        <v>#N/A</v>
      </c>
      <c r="AG16" s="14" t="e">
        <f ca="1">FLUID!AK59</f>
        <v>#N/A</v>
      </c>
      <c r="AH16" s="14" t="e">
        <f ca="1">FLUID!AL59</f>
        <v>#N/A</v>
      </c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</row>
    <row r="17" spans="1:94" ht="22.5" hidden="1" outlineLevel="1" thickTop="1" thickBot="1" x14ac:dyDescent="0.4">
      <c r="A17" s="36">
        <f>FLUID!E60</f>
        <v>0</v>
      </c>
      <c r="B17" s="16" t="e">
        <f ca="1">FLUID!F60</f>
        <v>#N/A</v>
      </c>
      <c r="C17" s="16" t="e">
        <f ca="1">FLUID!G60</f>
        <v>#N/A</v>
      </c>
      <c r="D17" s="16" t="e">
        <f ca="1">FLUID!H60</f>
        <v>#N/A</v>
      </c>
      <c r="E17" s="16" t="e">
        <f ca="1">FLUID!I60</f>
        <v>#N/A</v>
      </c>
      <c r="F17" s="14" t="e">
        <f ca="1">FLUID!J60</f>
        <v>#N/A</v>
      </c>
      <c r="G17" s="14" t="e">
        <f ca="1">FLUID!K60</f>
        <v>#N/A</v>
      </c>
      <c r="H17" s="14" t="e">
        <f ca="1">FLUID!L60</f>
        <v>#N/A</v>
      </c>
      <c r="I17" s="14" t="e">
        <f ca="1">FLUID!M60</f>
        <v>#N/A</v>
      </c>
      <c r="J17" s="14" t="e">
        <f ca="1">FLUID!N60</f>
        <v>#N/A</v>
      </c>
      <c r="K17" s="14" t="e">
        <f ca="1">FLUID!O60</f>
        <v>#N/A</v>
      </c>
      <c r="L17" s="14" t="e">
        <f ca="1">FLUID!P60</f>
        <v>#N/A</v>
      </c>
      <c r="M17" s="14" t="e">
        <f ca="1">FLUID!Q60</f>
        <v>#N/A</v>
      </c>
      <c r="N17" s="14" t="e">
        <f ca="1">FLUID!R60</f>
        <v>#N/A</v>
      </c>
      <c r="O17" s="14" t="e">
        <f ca="1">FLUID!S60</f>
        <v>#N/A</v>
      </c>
      <c r="P17" s="14" t="e">
        <f ca="1">FLUID!T60</f>
        <v>#N/A</v>
      </c>
      <c r="Q17" s="14" t="e">
        <f ca="1">FLUID!U60</f>
        <v>#N/A</v>
      </c>
      <c r="R17" s="14" t="e">
        <f ca="1">FLUID!V60</f>
        <v>#N/A</v>
      </c>
      <c r="S17" s="14" t="e">
        <f ca="1">FLUID!W60</f>
        <v>#N/A</v>
      </c>
      <c r="T17" s="14" t="e">
        <f ca="1">FLUID!X60</f>
        <v>#N/A</v>
      </c>
      <c r="U17" s="14" t="e">
        <f ca="1">FLUID!Y60</f>
        <v>#N/A</v>
      </c>
      <c r="V17" s="14" t="e">
        <f ca="1">FLUID!Z60</f>
        <v>#N/A</v>
      </c>
      <c r="W17" s="14" t="e">
        <f ca="1">FLUID!AA60</f>
        <v>#N/A</v>
      </c>
      <c r="X17" s="14" t="e">
        <f ca="1">FLUID!AB60</f>
        <v>#N/A</v>
      </c>
      <c r="Y17" s="14" t="e">
        <f ca="1">FLUID!AC60</f>
        <v>#N/A</v>
      </c>
      <c r="Z17" s="14" t="e">
        <f ca="1">FLUID!AD60</f>
        <v>#N/A</v>
      </c>
      <c r="AA17" s="14" t="e">
        <f ca="1">FLUID!AE60</f>
        <v>#N/A</v>
      </c>
      <c r="AB17" s="14" t="e">
        <f ca="1">FLUID!AF60</f>
        <v>#N/A</v>
      </c>
      <c r="AC17" s="14" t="e">
        <f ca="1">FLUID!AG60</f>
        <v>#N/A</v>
      </c>
      <c r="AD17" s="14" t="e">
        <f ca="1">FLUID!AH60</f>
        <v>#N/A</v>
      </c>
      <c r="AE17" s="14" t="e">
        <f ca="1">FLUID!AI60</f>
        <v>#N/A</v>
      </c>
      <c r="AF17" s="14" t="e">
        <f ca="1">FLUID!AJ60</f>
        <v>#N/A</v>
      </c>
      <c r="AG17" s="14" t="e">
        <f ca="1">FLUID!AK60</f>
        <v>#N/A</v>
      </c>
      <c r="AH17" s="14" t="e">
        <f ca="1">FLUID!AL60</f>
        <v>#N/A</v>
      </c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</row>
    <row r="18" spans="1:94" ht="22.5" hidden="1" outlineLevel="1" thickTop="1" thickBot="1" x14ac:dyDescent="0.4">
      <c r="A18" s="36">
        <f>FLUID!E61</f>
        <v>0</v>
      </c>
      <c r="B18" s="16" t="e">
        <f ca="1">FLUID!F61</f>
        <v>#N/A</v>
      </c>
      <c r="C18" s="16" t="e">
        <f ca="1">FLUID!G61</f>
        <v>#N/A</v>
      </c>
      <c r="D18" s="16" t="e">
        <f ca="1">FLUID!H61</f>
        <v>#N/A</v>
      </c>
      <c r="E18" s="16" t="e">
        <f ca="1">FLUID!I61</f>
        <v>#N/A</v>
      </c>
      <c r="F18" s="14" t="e">
        <f ca="1">FLUID!J61</f>
        <v>#N/A</v>
      </c>
      <c r="G18" s="14" t="e">
        <f ca="1">FLUID!K61</f>
        <v>#N/A</v>
      </c>
      <c r="H18" s="14" t="e">
        <f ca="1">FLUID!L61</f>
        <v>#N/A</v>
      </c>
      <c r="I18" s="14" t="e">
        <f ca="1">FLUID!M61</f>
        <v>#N/A</v>
      </c>
      <c r="J18" s="14" t="e">
        <f ca="1">FLUID!N61</f>
        <v>#N/A</v>
      </c>
      <c r="K18" s="14" t="e">
        <f ca="1">FLUID!O61</f>
        <v>#N/A</v>
      </c>
      <c r="L18" s="14" t="e">
        <f ca="1">FLUID!P61</f>
        <v>#N/A</v>
      </c>
      <c r="M18" s="14" t="e">
        <f ca="1">FLUID!Q61</f>
        <v>#N/A</v>
      </c>
      <c r="N18" s="14" t="e">
        <f ca="1">FLUID!R61</f>
        <v>#N/A</v>
      </c>
      <c r="O18" s="14" t="e">
        <f ca="1">FLUID!S61</f>
        <v>#N/A</v>
      </c>
      <c r="P18" s="14" t="e">
        <f ca="1">FLUID!T61</f>
        <v>#N/A</v>
      </c>
      <c r="Q18" s="14" t="e">
        <f ca="1">FLUID!U61</f>
        <v>#N/A</v>
      </c>
      <c r="R18" s="14" t="e">
        <f ca="1">FLUID!V61</f>
        <v>#N/A</v>
      </c>
      <c r="S18" s="14" t="e">
        <f ca="1">FLUID!W61</f>
        <v>#N/A</v>
      </c>
      <c r="T18" s="14" t="e">
        <f ca="1">FLUID!X61</f>
        <v>#N/A</v>
      </c>
      <c r="U18" s="14" t="e">
        <f ca="1">FLUID!Y61</f>
        <v>#N/A</v>
      </c>
      <c r="V18" s="14" t="e">
        <f ca="1">FLUID!Z61</f>
        <v>#N/A</v>
      </c>
      <c r="W18" s="14" t="e">
        <f ca="1">FLUID!AA61</f>
        <v>#N/A</v>
      </c>
      <c r="X18" s="14" t="e">
        <f ca="1">FLUID!AB61</f>
        <v>#N/A</v>
      </c>
      <c r="Y18" s="14" t="e">
        <f ca="1">FLUID!AC61</f>
        <v>#N/A</v>
      </c>
      <c r="Z18" s="14" t="e">
        <f ca="1">FLUID!AD61</f>
        <v>#N/A</v>
      </c>
      <c r="AA18" s="14" t="e">
        <f ca="1">FLUID!AE61</f>
        <v>#N/A</v>
      </c>
      <c r="AB18" s="14" t="e">
        <f ca="1">FLUID!AF61</f>
        <v>#N/A</v>
      </c>
      <c r="AC18" s="14" t="e">
        <f ca="1">FLUID!AG61</f>
        <v>#N/A</v>
      </c>
      <c r="AD18" s="14" t="e">
        <f ca="1">FLUID!AH61</f>
        <v>#N/A</v>
      </c>
      <c r="AE18" s="14" t="e">
        <f ca="1">FLUID!AI61</f>
        <v>#N/A</v>
      </c>
      <c r="AF18" s="14" t="e">
        <f ca="1">FLUID!AJ61</f>
        <v>#N/A</v>
      </c>
      <c r="AG18" s="14" t="e">
        <f ca="1">FLUID!AK61</f>
        <v>#N/A</v>
      </c>
      <c r="AH18" s="14" t="e">
        <f ca="1">FLUID!AL61</f>
        <v>#N/A</v>
      </c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</row>
    <row r="19" spans="1:94" ht="22.5" hidden="1" customHeight="1" outlineLevel="1" thickBot="1" x14ac:dyDescent="0.4">
      <c r="A19" s="36">
        <f>FLUID!E62</f>
        <v>0</v>
      </c>
      <c r="B19" s="16" t="e">
        <f ca="1">FLUID!F62</f>
        <v>#N/A</v>
      </c>
      <c r="C19" s="16" t="e">
        <f ca="1">FLUID!G62</f>
        <v>#N/A</v>
      </c>
      <c r="D19" s="16" t="e">
        <f ca="1">FLUID!H62</f>
        <v>#N/A</v>
      </c>
      <c r="E19" s="16" t="e">
        <f ca="1">FLUID!I62</f>
        <v>#N/A</v>
      </c>
      <c r="F19" s="14" t="e">
        <f ca="1">FLUID!J62</f>
        <v>#N/A</v>
      </c>
      <c r="G19" s="14" t="e">
        <f ca="1">FLUID!K62</f>
        <v>#N/A</v>
      </c>
      <c r="H19" s="14" t="e">
        <f ca="1">FLUID!L62</f>
        <v>#N/A</v>
      </c>
      <c r="I19" s="14" t="e">
        <f ca="1">FLUID!M62</f>
        <v>#N/A</v>
      </c>
      <c r="J19" s="14" t="e">
        <f ca="1">FLUID!N62</f>
        <v>#N/A</v>
      </c>
      <c r="K19" s="14" t="e">
        <f ca="1">FLUID!O62</f>
        <v>#N/A</v>
      </c>
      <c r="L19" s="14" t="e">
        <f ca="1">FLUID!P62</f>
        <v>#N/A</v>
      </c>
      <c r="M19" s="14" t="e">
        <f ca="1">FLUID!Q62</f>
        <v>#N/A</v>
      </c>
      <c r="N19" s="14" t="e">
        <f ca="1">FLUID!R62</f>
        <v>#N/A</v>
      </c>
      <c r="O19" s="14" t="e">
        <f ca="1">FLUID!S62</f>
        <v>#N/A</v>
      </c>
      <c r="P19" s="14" t="e">
        <f ca="1">FLUID!T62</f>
        <v>#N/A</v>
      </c>
      <c r="Q19" s="14" t="e">
        <f ca="1">FLUID!U62</f>
        <v>#N/A</v>
      </c>
      <c r="R19" s="14" t="e">
        <f ca="1">FLUID!V62</f>
        <v>#N/A</v>
      </c>
      <c r="S19" s="14" t="e">
        <f ca="1">FLUID!W62</f>
        <v>#N/A</v>
      </c>
      <c r="T19" s="14" t="e">
        <f ca="1">FLUID!X62</f>
        <v>#N/A</v>
      </c>
      <c r="U19" s="14" t="e">
        <f ca="1">FLUID!Y62</f>
        <v>#N/A</v>
      </c>
      <c r="V19" s="14" t="e">
        <f ca="1">FLUID!Z62</f>
        <v>#N/A</v>
      </c>
      <c r="W19" s="14" t="e">
        <f ca="1">FLUID!AA62</f>
        <v>#N/A</v>
      </c>
      <c r="X19" s="14" t="e">
        <f ca="1">FLUID!AB62</f>
        <v>#N/A</v>
      </c>
      <c r="Y19" s="14" t="e">
        <f ca="1">FLUID!AC62</f>
        <v>#N/A</v>
      </c>
      <c r="Z19" s="14" t="e">
        <f ca="1">FLUID!AD62</f>
        <v>#N/A</v>
      </c>
      <c r="AA19" s="14" t="e">
        <f ca="1">FLUID!AE62</f>
        <v>#N/A</v>
      </c>
      <c r="AB19" s="14" t="e">
        <f ca="1">FLUID!AF62</f>
        <v>#N/A</v>
      </c>
      <c r="AC19" s="14" t="e">
        <f ca="1">FLUID!AG62</f>
        <v>#N/A</v>
      </c>
      <c r="AD19" s="14" t="e">
        <f ca="1">FLUID!AH62</f>
        <v>#N/A</v>
      </c>
      <c r="AE19" s="14" t="e">
        <f ca="1">FLUID!AI62</f>
        <v>#N/A</v>
      </c>
      <c r="AF19" s="14" t="e">
        <f ca="1">FLUID!AJ62</f>
        <v>#N/A</v>
      </c>
      <c r="AG19" s="14" t="e">
        <f ca="1">FLUID!AK62</f>
        <v>#N/A</v>
      </c>
      <c r="AH19" s="14" t="e">
        <f ca="1">FLUID!AL62</f>
        <v>#N/A</v>
      </c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</row>
    <row r="20" spans="1:94" ht="22.5" hidden="1" customHeight="1" outlineLevel="1" thickBot="1" x14ac:dyDescent="0.4">
      <c r="A20" s="36">
        <f>FLUID!E63</f>
        <v>0</v>
      </c>
      <c r="B20" s="16" t="e">
        <f ca="1">FLUID!F63</f>
        <v>#N/A</v>
      </c>
      <c r="C20" s="16" t="e">
        <f ca="1">FLUID!G63</f>
        <v>#N/A</v>
      </c>
      <c r="D20" s="16" t="e">
        <f ca="1">FLUID!H63</f>
        <v>#N/A</v>
      </c>
      <c r="E20" s="16" t="e">
        <f ca="1">FLUID!I63</f>
        <v>#N/A</v>
      </c>
      <c r="F20" s="14" t="e">
        <f ca="1">FLUID!J63</f>
        <v>#N/A</v>
      </c>
      <c r="G20" s="14" t="e">
        <f ca="1">FLUID!K63</f>
        <v>#N/A</v>
      </c>
      <c r="H20" s="14" t="e">
        <f ca="1">FLUID!L63</f>
        <v>#N/A</v>
      </c>
      <c r="I20" s="14" t="e">
        <f ca="1">FLUID!M63</f>
        <v>#N/A</v>
      </c>
      <c r="J20" s="14" t="e">
        <f ca="1">FLUID!N63</f>
        <v>#N/A</v>
      </c>
      <c r="K20" s="14" t="e">
        <f ca="1">FLUID!O63</f>
        <v>#N/A</v>
      </c>
      <c r="L20" s="14" t="e">
        <f ca="1">FLUID!P63</f>
        <v>#N/A</v>
      </c>
      <c r="M20" s="14" t="e">
        <f ca="1">FLUID!Q63</f>
        <v>#N/A</v>
      </c>
      <c r="N20" s="14" t="e">
        <f ca="1">FLUID!R63</f>
        <v>#N/A</v>
      </c>
      <c r="O20" s="14" t="e">
        <f ca="1">FLUID!S63</f>
        <v>#N/A</v>
      </c>
      <c r="P20" s="14" t="e">
        <f ca="1">FLUID!T63</f>
        <v>#N/A</v>
      </c>
      <c r="Q20" s="14" t="e">
        <f ca="1">FLUID!U63</f>
        <v>#N/A</v>
      </c>
      <c r="R20" s="14" t="e">
        <f ca="1">FLUID!V63</f>
        <v>#N/A</v>
      </c>
      <c r="S20" s="14" t="e">
        <f ca="1">FLUID!W63</f>
        <v>#N/A</v>
      </c>
      <c r="T20" s="14" t="e">
        <f ca="1">FLUID!X63</f>
        <v>#N/A</v>
      </c>
      <c r="U20" s="14" t="e">
        <f ca="1">FLUID!Y63</f>
        <v>#N/A</v>
      </c>
      <c r="V20" s="14" t="e">
        <f ca="1">FLUID!Z63</f>
        <v>#N/A</v>
      </c>
      <c r="W20" s="14" t="e">
        <f ca="1">FLUID!AA63</f>
        <v>#N/A</v>
      </c>
      <c r="X20" s="14" t="e">
        <f ca="1">FLUID!AB63</f>
        <v>#N/A</v>
      </c>
      <c r="Y20" s="14" t="e">
        <f ca="1">FLUID!AC63</f>
        <v>#N/A</v>
      </c>
      <c r="Z20" s="14" t="e">
        <f ca="1">FLUID!AD63</f>
        <v>#N/A</v>
      </c>
      <c r="AA20" s="14" t="e">
        <f ca="1">FLUID!AE63</f>
        <v>#N/A</v>
      </c>
      <c r="AB20" s="14" t="e">
        <f ca="1">FLUID!AF63</f>
        <v>#N/A</v>
      </c>
      <c r="AC20" s="14" t="e">
        <f ca="1">FLUID!AG63</f>
        <v>#N/A</v>
      </c>
      <c r="AD20" s="14" t="e">
        <f ca="1">FLUID!AH63</f>
        <v>#N/A</v>
      </c>
      <c r="AE20" s="14" t="e">
        <f ca="1">FLUID!AI63</f>
        <v>#N/A</v>
      </c>
      <c r="AF20" s="14" t="e">
        <f ca="1">FLUID!AJ63</f>
        <v>#N/A</v>
      </c>
      <c r="AG20" s="14" t="e">
        <f ca="1">FLUID!AK63</f>
        <v>#N/A</v>
      </c>
      <c r="AH20" s="14" t="e">
        <f ca="1">FLUID!AL63</f>
        <v>#N/A</v>
      </c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</row>
    <row r="21" spans="1:94" ht="22.5" hidden="1" customHeight="1" outlineLevel="1" thickBot="1" x14ac:dyDescent="0.4">
      <c r="A21" s="36">
        <f>FLUID!E64</f>
        <v>0</v>
      </c>
      <c r="B21" s="16" t="e">
        <f ca="1">FLUID!F64</f>
        <v>#N/A</v>
      </c>
      <c r="C21" s="16" t="e">
        <f ca="1">FLUID!G64</f>
        <v>#N/A</v>
      </c>
      <c r="D21" s="16" t="e">
        <f ca="1">FLUID!H64</f>
        <v>#N/A</v>
      </c>
      <c r="E21" s="16" t="e">
        <f ca="1">FLUID!I64</f>
        <v>#N/A</v>
      </c>
      <c r="F21" s="14" t="e">
        <f ca="1">FLUID!J64</f>
        <v>#N/A</v>
      </c>
      <c r="G21" s="14" t="e">
        <f ca="1">FLUID!K64</f>
        <v>#N/A</v>
      </c>
      <c r="H21" s="14" t="e">
        <f ca="1">FLUID!L64</f>
        <v>#N/A</v>
      </c>
      <c r="I21" s="14" t="e">
        <f ca="1">FLUID!M64</f>
        <v>#N/A</v>
      </c>
      <c r="J21" s="14" t="e">
        <f ca="1">FLUID!N64</f>
        <v>#N/A</v>
      </c>
      <c r="K21" s="14" t="e">
        <f ca="1">FLUID!O64</f>
        <v>#N/A</v>
      </c>
      <c r="L21" s="14" t="e">
        <f ca="1">FLUID!P64</f>
        <v>#N/A</v>
      </c>
      <c r="M21" s="14" t="e">
        <f ca="1">FLUID!Q64</f>
        <v>#N/A</v>
      </c>
      <c r="N21" s="14" t="e">
        <f ca="1">FLUID!R64</f>
        <v>#N/A</v>
      </c>
      <c r="O21" s="14" t="e">
        <f ca="1">FLUID!S64</f>
        <v>#N/A</v>
      </c>
      <c r="P21" s="14" t="e">
        <f ca="1">FLUID!T64</f>
        <v>#N/A</v>
      </c>
      <c r="Q21" s="14" t="e">
        <f ca="1">FLUID!U64</f>
        <v>#N/A</v>
      </c>
      <c r="R21" s="14" t="e">
        <f ca="1">FLUID!V64</f>
        <v>#N/A</v>
      </c>
      <c r="S21" s="14" t="e">
        <f ca="1">FLUID!W64</f>
        <v>#N/A</v>
      </c>
      <c r="T21" s="14" t="e">
        <f ca="1">FLUID!X64</f>
        <v>#N/A</v>
      </c>
      <c r="U21" s="14" t="e">
        <f ca="1">FLUID!Y64</f>
        <v>#N/A</v>
      </c>
      <c r="V21" s="14" t="e">
        <f ca="1">FLUID!Z64</f>
        <v>#N/A</v>
      </c>
      <c r="W21" s="14" t="e">
        <f ca="1">FLUID!AA64</f>
        <v>#N/A</v>
      </c>
      <c r="X21" s="14" t="e">
        <f ca="1">FLUID!AB64</f>
        <v>#N/A</v>
      </c>
      <c r="Y21" s="14" t="e">
        <f ca="1">FLUID!AC64</f>
        <v>#N/A</v>
      </c>
      <c r="Z21" s="14" t="e">
        <f ca="1">FLUID!AD64</f>
        <v>#N/A</v>
      </c>
      <c r="AA21" s="14" t="e">
        <f ca="1">FLUID!AE64</f>
        <v>#N/A</v>
      </c>
      <c r="AB21" s="14" t="e">
        <f ca="1">FLUID!AF64</f>
        <v>#N/A</v>
      </c>
      <c r="AC21" s="14" t="e">
        <f ca="1">FLUID!AG64</f>
        <v>#N/A</v>
      </c>
      <c r="AD21" s="14" t="e">
        <f ca="1">FLUID!AH64</f>
        <v>#N/A</v>
      </c>
      <c r="AE21" s="14" t="e">
        <f ca="1">FLUID!AI64</f>
        <v>#N/A</v>
      </c>
      <c r="AF21" s="14" t="e">
        <f ca="1">FLUID!AJ64</f>
        <v>#N/A</v>
      </c>
      <c r="AG21" s="14" t="e">
        <f ca="1">FLUID!AK64</f>
        <v>#N/A</v>
      </c>
      <c r="AH21" s="14" t="e">
        <f ca="1">FLUID!AL64</f>
        <v>#N/A</v>
      </c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</row>
    <row r="22" spans="1:94" ht="22.5" hidden="1" customHeight="1" outlineLevel="1" thickBot="1" x14ac:dyDescent="0.4">
      <c r="A22" s="36">
        <f>FLUID!E65</f>
        <v>0</v>
      </c>
      <c r="B22" s="16" t="e">
        <f ca="1">FLUID!F65</f>
        <v>#N/A</v>
      </c>
      <c r="C22" s="16" t="e">
        <f ca="1">FLUID!G65</f>
        <v>#N/A</v>
      </c>
      <c r="D22" s="16" t="e">
        <f ca="1">FLUID!H65</f>
        <v>#N/A</v>
      </c>
      <c r="E22" s="16" t="e">
        <f ca="1">FLUID!I65</f>
        <v>#N/A</v>
      </c>
      <c r="F22" s="14" t="e">
        <f ca="1">FLUID!J65</f>
        <v>#N/A</v>
      </c>
      <c r="G22" s="14" t="e">
        <f ca="1">FLUID!K65</f>
        <v>#N/A</v>
      </c>
      <c r="H22" s="14" t="e">
        <f ca="1">FLUID!L65</f>
        <v>#N/A</v>
      </c>
      <c r="I22" s="14" t="e">
        <f ca="1">FLUID!M65</f>
        <v>#N/A</v>
      </c>
      <c r="J22" s="14" t="e">
        <f ca="1">FLUID!N65</f>
        <v>#N/A</v>
      </c>
      <c r="K22" s="14" t="e">
        <f ca="1">FLUID!O65</f>
        <v>#N/A</v>
      </c>
      <c r="L22" s="14" t="e">
        <f ca="1">FLUID!P65</f>
        <v>#N/A</v>
      </c>
      <c r="M22" s="14" t="e">
        <f ca="1">FLUID!Q65</f>
        <v>#N/A</v>
      </c>
      <c r="N22" s="14" t="e">
        <f ca="1">FLUID!R65</f>
        <v>#N/A</v>
      </c>
      <c r="O22" s="14" t="e">
        <f ca="1">FLUID!S65</f>
        <v>#N/A</v>
      </c>
      <c r="P22" s="14" t="e">
        <f ca="1">FLUID!T65</f>
        <v>#N/A</v>
      </c>
      <c r="Q22" s="14" t="e">
        <f ca="1">FLUID!U65</f>
        <v>#N/A</v>
      </c>
      <c r="R22" s="14" t="e">
        <f ca="1">FLUID!V65</f>
        <v>#N/A</v>
      </c>
      <c r="S22" s="14" t="e">
        <f ca="1">FLUID!W65</f>
        <v>#N/A</v>
      </c>
      <c r="T22" s="14" t="e">
        <f ca="1">FLUID!X65</f>
        <v>#N/A</v>
      </c>
      <c r="U22" s="14" t="e">
        <f ca="1">FLUID!Y65</f>
        <v>#N/A</v>
      </c>
      <c r="V22" s="14" t="e">
        <f ca="1">FLUID!Z65</f>
        <v>#N/A</v>
      </c>
      <c r="W22" s="14" t="e">
        <f ca="1">FLUID!AA65</f>
        <v>#N/A</v>
      </c>
      <c r="X22" s="14" t="e">
        <f ca="1">FLUID!AB65</f>
        <v>#N/A</v>
      </c>
      <c r="Y22" s="14" t="e">
        <f ca="1">FLUID!AC65</f>
        <v>#N/A</v>
      </c>
      <c r="Z22" s="14" t="e">
        <f ca="1">FLUID!AD65</f>
        <v>#N/A</v>
      </c>
      <c r="AA22" s="14" t="e">
        <f ca="1">FLUID!AE65</f>
        <v>#N/A</v>
      </c>
      <c r="AB22" s="14" t="e">
        <f ca="1">FLUID!AF65</f>
        <v>#N/A</v>
      </c>
      <c r="AC22" s="14" t="e">
        <f ca="1">FLUID!AG65</f>
        <v>#N/A</v>
      </c>
      <c r="AD22" s="14" t="e">
        <f ca="1">FLUID!AH65</f>
        <v>#N/A</v>
      </c>
      <c r="AE22" s="14" t="e">
        <f ca="1">FLUID!AI65</f>
        <v>#N/A</v>
      </c>
      <c r="AF22" s="14" t="e">
        <f ca="1">FLUID!AJ65</f>
        <v>#N/A</v>
      </c>
      <c r="AG22" s="14" t="e">
        <f ca="1">FLUID!AK65</f>
        <v>#N/A</v>
      </c>
      <c r="AH22" s="14" t="e">
        <f ca="1">FLUID!AL65</f>
        <v>#N/A</v>
      </c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</row>
    <row r="23" spans="1:94" ht="22.5" hidden="1" customHeight="1" outlineLevel="1" thickBot="1" x14ac:dyDescent="0.4">
      <c r="A23" s="36">
        <f>FLUID!E66</f>
        <v>0</v>
      </c>
      <c r="B23" s="16" t="e">
        <f ca="1">FLUID!F66</f>
        <v>#N/A</v>
      </c>
      <c r="C23" s="16" t="e">
        <f ca="1">FLUID!G66</f>
        <v>#N/A</v>
      </c>
      <c r="D23" s="16" t="e">
        <f ca="1">FLUID!H66</f>
        <v>#N/A</v>
      </c>
      <c r="E23" s="16" t="e">
        <f ca="1">FLUID!I66</f>
        <v>#N/A</v>
      </c>
      <c r="F23" s="14" t="e">
        <f ca="1">FLUID!J66</f>
        <v>#N/A</v>
      </c>
      <c r="G23" s="14" t="e">
        <f ca="1">FLUID!K66</f>
        <v>#N/A</v>
      </c>
      <c r="H23" s="14" t="e">
        <f ca="1">FLUID!L66</f>
        <v>#N/A</v>
      </c>
      <c r="I23" s="14" t="e">
        <f ca="1">FLUID!M66</f>
        <v>#N/A</v>
      </c>
      <c r="J23" s="14" t="e">
        <f ca="1">FLUID!N66</f>
        <v>#N/A</v>
      </c>
      <c r="K23" s="14" t="e">
        <f ca="1">FLUID!O66</f>
        <v>#N/A</v>
      </c>
      <c r="L23" s="14" t="e">
        <f ca="1">FLUID!P66</f>
        <v>#N/A</v>
      </c>
      <c r="M23" s="14" t="e">
        <f ca="1">FLUID!Q66</f>
        <v>#N/A</v>
      </c>
      <c r="N23" s="14" t="e">
        <f ca="1">FLUID!R66</f>
        <v>#N/A</v>
      </c>
      <c r="O23" s="14" t="e">
        <f ca="1">FLUID!S66</f>
        <v>#N/A</v>
      </c>
      <c r="P23" s="14" t="e">
        <f ca="1">FLUID!T66</f>
        <v>#N/A</v>
      </c>
      <c r="Q23" s="14" t="e">
        <f ca="1">FLUID!U66</f>
        <v>#N/A</v>
      </c>
      <c r="R23" s="14" t="e">
        <f ca="1">FLUID!V66</f>
        <v>#N/A</v>
      </c>
      <c r="S23" s="14" t="e">
        <f ca="1">FLUID!W66</f>
        <v>#N/A</v>
      </c>
      <c r="T23" s="14" t="e">
        <f ca="1">FLUID!X66</f>
        <v>#N/A</v>
      </c>
      <c r="U23" s="14" t="e">
        <f ca="1">FLUID!Y66</f>
        <v>#N/A</v>
      </c>
      <c r="V23" s="14" t="e">
        <f ca="1">FLUID!Z66</f>
        <v>#N/A</v>
      </c>
      <c r="W23" s="14" t="e">
        <f ca="1">FLUID!AA66</f>
        <v>#N/A</v>
      </c>
      <c r="X23" s="14" t="e">
        <f ca="1">FLUID!AB66</f>
        <v>#N/A</v>
      </c>
      <c r="Y23" s="14" t="e">
        <f ca="1">FLUID!AC66</f>
        <v>#N/A</v>
      </c>
      <c r="Z23" s="14" t="e">
        <f ca="1">FLUID!AD66</f>
        <v>#N/A</v>
      </c>
      <c r="AA23" s="14" t="e">
        <f ca="1">FLUID!AE66</f>
        <v>#N/A</v>
      </c>
      <c r="AB23" s="14" t="e">
        <f ca="1">FLUID!AF66</f>
        <v>#N/A</v>
      </c>
      <c r="AC23" s="14" t="e">
        <f ca="1">FLUID!AG66</f>
        <v>#N/A</v>
      </c>
      <c r="AD23" s="14" t="e">
        <f ca="1">FLUID!AH66</f>
        <v>#N/A</v>
      </c>
      <c r="AE23" s="14" t="e">
        <f ca="1">FLUID!AI66</f>
        <v>#N/A</v>
      </c>
      <c r="AF23" s="14" t="e">
        <f ca="1">FLUID!AJ66</f>
        <v>#N/A</v>
      </c>
      <c r="AG23" s="14" t="e">
        <f ca="1">FLUID!AK66</f>
        <v>#N/A</v>
      </c>
      <c r="AH23" s="14" t="e">
        <f ca="1">FLUID!AL66</f>
        <v>#N/A</v>
      </c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</row>
    <row r="24" spans="1:94" ht="22.5" hidden="1" customHeight="1" outlineLevel="1" thickBot="1" x14ac:dyDescent="0.4">
      <c r="A24" s="36">
        <f>FLUID!E67</f>
        <v>0</v>
      </c>
      <c r="B24" s="16" t="e">
        <f ca="1">FLUID!F67</f>
        <v>#N/A</v>
      </c>
      <c r="C24" s="16" t="e">
        <f ca="1">FLUID!G67</f>
        <v>#N/A</v>
      </c>
      <c r="D24" s="16" t="e">
        <f ca="1">FLUID!H67</f>
        <v>#N/A</v>
      </c>
      <c r="E24" s="16" t="e">
        <f ca="1">FLUID!I67</f>
        <v>#N/A</v>
      </c>
      <c r="F24" s="14" t="e">
        <f ca="1">FLUID!J67</f>
        <v>#N/A</v>
      </c>
      <c r="G24" s="14" t="e">
        <f ca="1">FLUID!K67</f>
        <v>#N/A</v>
      </c>
      <c r="H24" s="14" t="e">
        <f ca="1">FLUID!L67</f>
        <v>#N/A</v>
      </c>
      <c r="I24" s="14" t="e">
        <f ca="1">FLUID!M67</f>
        <v>#N/A</v>
      </c>
      <c r="J24" s="14" t="e">
        <f ca="1">FLUID!N67</f>
        <v>#N/A</v>
      </c>
      <c r="K24" s="14" t="e">
        <f ca="1">FLUID!O67</f>
        <v>#N/A</v>
      </c>
      <c r="L24" s="14" t="e">
        <f ca="1">FLUID!P67</f>
        <v>#N/A</v>
      </c>
      <c r="M24" s="14" t="e">
        <f ca="1">FLUID!Q67</f>
        <v>#N/A</v>
      </c>
      <c r="N24" s="14" t="e">
        <f ca="1">FLUID!R67</f>
        <v>#N/A</v>
      </c>
      <c r="O24" s="14" t="e">
        <f ca="1">FLUID!S67</f>
        <v>#N/A</v>
      </c>
      <c r="P24" s="14" t="e">
        <f ca="1">FLUID!T67</f>
        <v>#N/A</v>
      </c>
      <c r="Q24" s="14" t="e">
        <f ca="1">FLUID!U67</f>
        <v>#N/A</v>
      </c>
      <c r="R24" s="14" t="e">
        <f ca="1">FLUID!V67</f>
        <v>#N/A</v>
      </c>
      <c r="S24" s="14" t="e">
        <f ca="1">FLUID!W67</f>
        <v>#N/A</v>
      </c>
      <c r="T24" s="14" t="e">
        <f ca="1">FLUID!X67</f>
        <v>#N/A</v>
      </c>
      <c r="U24" s="14" t="e">
        <f ca="1">FLUID!Y67</f>
        <v>#N/A</v>
      </c>
      <c r="V24" s="14" t="e">
        <f ca="1">FLUID!Z67</f>
        <v>#N/A</v>
      </c>
      <c r="W24" s="14" t="e">
        <f ca="1">FLUID!AA67</f>
        <v>#N/A</v>
      </c>
      <c r="X24" s="14" t="e">
        <f ca="1">FLUID!AB67</f>
        <v>#N/A</v>
      </c>
      <c r="Y24" s="14" t="e">
        <f ca="1">FLUID!AC67</f>
        <v>#N/A</v>
      </c>
      <c r="Z24" s="14" t="e">
        <f ca="1">FLUID!AD67</f>
        <v>#N/A</v>
      </c>
      <c r="AA24" s="14" t="e">
        <f ca="1">FLUID!AE67</f>
        <v>#N/A</v>
      </c>
      <c r="AB24" s="14" t="e">
        <f ca="1">FLUID!AF67</f>
        <v>#N/A</v>
      </c>
      <c r="AC24" s="14" t="e">
        <f ca="1">FLUID!AG67</f>
        <v>#N/A</v>
      </c>
      <c r="AD24" s="14" t="e">
        <f ca="1">FLUID!AH67</f>
        <v>#N/A</v>
      </c>
      <c r="AE24" s="14" t="e">
        <f ca="1">FLUID!AI67</f>
        <v>#N/A</v>
      </c>
      <c r="AF24" s="14" t="e">
        <f ca="1">FLUID!AJ67</f>
        <v>#N/A</v>
      </c>
      <c r="AG24" s="14" t="e">
        <f ca="1">FLUID!AK67</f>
        <v>#N/A</v>
      </c>
      <c r="AH24" s="14" t="e">
        <f ca="1">FLUID!AL67</f>
        <v>#N/A</v>
      </c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</row>
    <row r="25" spans="1:94" ht="22.5" hidden="1" customHeight="1" outlineLevel="1" thickBot="1" x14ac:dyDescent="0.4">
      <c r="A25" s="36">
        <f>FLUID!E68</f>
        <v>0</v>
      </c>
      <c r="B25" s="16" t="e">
        <f ca="1">FLUID!F68</f>
        <v>#N/A</v>
      </c>
      <c r="C25" s="16" t="e">
        <f ca="1">FLUID!G68</f>
        <v>#N/A</v>
      </c>
      <c r="D25" s="16" t="e">
        <f ca="1">FLUID!H68</f>
        <v>#N/A</v>
      </c>
      <c r="E25" s="16" t="e">
        <f ca="1">FLUID!I68</f>
        <v>#N/A</v>
      </c>
      <c r="F25" s="14" t="e">
        <f ca="1">FLUID!J68</f>
        <v>#N/A</v>
      </c>
      <c r="G25" s="14" t="e">
        <f ca="1">FLUID!K68</f>
        <v>#N/A</v>
      </c>
      <c r="H25" s="14" t="e">
        <f ca="1">FLUID!L68</f>
        <v>#N/A</v>
      </c>
      <c r="I25" s="14" t="e">
        <f ca="1">FLUID!M68</f>
        <v>#N/A</v>
      </c>
      <c r="J25" s="14" t="e">
        <f ca="1">FLUID!N68</f>
        <v>#N/A</v>
      </c>
      <c r="K25" s="14" t="e">
        <f ca="1">FLUID!O68</f>
        <v>#N/A</v>
      </c>
      <c r="L25" s="14" t="e">
        <f ca="1">FLUID!P68</f>
        <v>#N/A</v>
      </c>
      <c r="M25" s="14" t="e">
        <f ca="1">FLUID!Q68</f>
        <v>#N/A</v>
      </c>
      <c r="N25" s="14" t="e">
        <f ca="1">FLUID!R68</f>
        <v>#N/A</v>
      </c>
      <c r="O25" s="14" t="e">
        <f ca="1">FLUID!S68</f>
        <v>#N/A</v>
      </c>
      <c r="P25" s="14" t="e">
        <f ca="1">FLUID!T68</f>
        <v>#N/A</v>
      </c>
      <c r="Q25" s="14" t="e">
        <f ca="1">FLUID!U68</f>
        <v>#N/A</v>
      </c>
      <c r="R25" s="14" t="e">
        <f ca="1">FLUID!V68</f>
        <v>#N/A</v>
      </c>
      <c r="S25" s="14" t="e">
        <f ca="1">FLUID!W68</f>
        <v>#N/A</v>
      </c>
      <c r="T25" s="14" t="e">
        <f ca="1">FLUID!X68</f>
        <v>#N/A</v>
      </c>
      <c r="U25" s="14" t="e">
        <f ca="1">FLUID!Y68</f>
        <v>#N/A</v>
      </c>
      <c r="V25" s="14" t="e">
        <f ca="1">FLUID!Z68</f>
        <v>#N/A</v>
      </c>
      <c r="W25" s="14" t="e">
        <f ca="1">FLUID!AA68</f>
        <v>#N/A</v>
      </c>
      <c r="X25" s="14" t="e">
        <f ca="1">FLUID!AB68</f>
        <v>#N/A</v>
      </c>
      <c r="Y25" s="14" t="e">
        <f ca="1">FLUID!AC68</f>
        <v>#N/A</v>
      </c>
      <c r="Z25" s="14" t="e">
        <f ca="1">FLUID!AD68</f>
        <v>#N/A</v>
      </c>
      <c r="AA25" s="14" t="e">
        <f ca="1">FLUID!AE68</f>
        <v>#N/A</v>
      </c>
      <c r="AB25" s="14" t="e">
        <f ca="1">FLUID!AF68</f>
        <v>#N/A</v>
      </c>
      <c r="AC25" s="14" t="e">
        <f ca="1">FLUID!AG68</f>
        <v>#N/A</v>
      </c>
      <c r="AD25" s="14" t="e">
        <f ca="1">FLUID!AH68</f>
        <v>#N/A</v>
      </c>
      <c r="AE25" s="14" t="e">
        <f ca="1">FLUID!AI68</f>
        <v>#N/A</v>
      </c>
      <c r="AF25" s="14" t="e">
        <f ca="1">FLUID!AJ68</f>
        <v>#N/A</v>
      </c>
      <c r="AG25" s="14" t="e">
        <f ca="1">FLUID!AK68</f>
        <v>#N/A</v>
      </c>
      <c r="AH25" s="14" t="e">
        <f ca="1">FLUID!AL68</f>
        <v>#N/A</v>
      </c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</row>
    <row r="26" spans="1:94" ht="22.5" hidden="1" customHeight="1" outlineLevel="1" thickBot="1" x14ac:dyDescent="0.4">
      <c r="A26" s="36">
        <f>FLUID!E69</f>
        <v>0</v>
      </c>
      <c r="B26" s="16" t="e">
        <f ca="1">FLUID!F69</f>
        <v>#N/A</v>
      </c>
      <c r="C26" s="16" t="e">
        <f ca="1">FLUID!G69</f>
        <v>#N/A</v>
      </c>
      <c r="D26" s="16" t="e">
        <f ca="1">FLUID!H69</f>
        <v>#N/A</v>
      </c>
      <c r="E26" s="16" t="e">
        <f ca="1">FLUID!I69</f>
        <v>#N/A</v>
      </c>
      <c r="F26" s="14" t="e">
        <f ca="1">FLUID!J69</f>
        <v>#N/A</v>
      </c>
      <c r="G26" s="14" t="e">
        <f ca="1">FLUID!K69</f>
        <v>#N/A</v>
      </c>
      <c r="H26" s="14" t="e">
        <f ca="1">FLUID!L69</f>
        <v>#N/A</v>
      </c>
      <c r="I26" s="14" t="e">
        <f ca="1">FLUID!M69</f>
        <v>#N/A</v>
      </c>
      <c r="J26" s="14" t="e">
        <f ca="1">FLUID!N69</f>
        <v>#N/A</v>
      </c>
      <c r="K26" s="14" t="e">
        <f ca="1">FLUID!O69</f>
        <v>#N/A</v>
      </c>
      <c r="L26" s="14" t="e">
        <f ca="1">FLUID!P69</f>
        <v>#N/A</v>
      </c>
      <c r="M26" s="14" t="e">
        <f ca="1">FLUID!Q69</f>
        <v>#N/A</v>
      </c>
      <c r="N26" s="14" t="e">
        <f ca="1">FLUID!R69</f>
        <v>#N/A</v>
      </c>
      <c r="O26" s="14" t="e">
        <f ca="1">FLUID!S69</f>
        <v>#N/A</v>
      </c>
      <c r="P26" s="14" t="e">
        <f ca="1">FLUID!T69</f>
        <v>#N/A</v>
      </c>
      <c r="Q26" s="14" t="e">
        <f ca="1">FLUID!U69</f>
        <v>#N/A</v>
      </c>
      <c r="R26" s="14" t="e">
        <f ca="1">FLUID!V69</f>
        <v>#N/A</v>
      </c>
      <c r="S26" s="14" t="e">
        <f ca="1">FLUID!W69</f>
        <v>#N/A</v>
      </c>
      <c r="T26" s="14" t="e">
        <f ca="1">FLUID!X69</f>
        <v>#N/A</v>
      </c>
      <c r="U26" s="14" t="e">
        <f ca="1">FLUID!Y69</f>
        <v>#N/A</v>
      </c>
      <c r="V26" s="14" t="e">
        <f ca="1">FLUID!Z69</f>
        <v>#N/A</v>
      </c>
      <c r="W26" s="14" t="e">
        <f ca="1">FLUID!AA69</f>
        <v>#N/A</v>
      </c>
      <c r="X26" s="14" t="e">
        <f ca="1">FLUID!AB69</f>
        <v>#N/A</v>
      </c>
      <c r="Y26" s="14" t="e">
        <f ca="1">FLUID!AC69</f>
        <v>#N/A</v>
      </c>
      <c r="Z26" s="14" t="e">
        <f ca="1">FLUID!AD69</f>
        <v>#N/A</v>
      </c>
      <c r="AA26" s="14" t="e">
        <f ca="1">FLUID!AE69</f>
        <v>#N/A</v>
      </c>
      <c r="AB26" s="14" t="e">
        <f ca="1">FLUID!AF69</f>
        <v>#N/A</v>
      </c>
      <c r="AC26" s="14" t="e">
        <f ca="1">FLUID!AG69</f>
        <v>#N/A</v>
      </c>
      <c r="AD26" s="14" t="e">
        <f ca="1">FLUID!AH69</f>
        <v>#N/A</v>
      </c>
      <c r="AE26" s="14" t="e">
        <f ca="1">FLUID!AI69</f>
        <v>#N/A</v>
      </c>
      <c r="AF26" s="14" t="e">
        <f ca="1">FLUID!AJ69</f>
        <v>#N/A</v>
      </c>
      <c r="AG26" s="14" t="e">
        <f ca="1">FLUID!AK69</f>
        <v>#N/A</v>
      </c>
      <c r="AH26" s="14" t="e">
        <f ca="1">FLUID!AL69</f>
        <v>#N/A</v>
      </c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</row>
    <row r="27" spans="1:94" ht="22.5" hidden="1" customHeight="1" outlineLevel="1" thickBot="1" x14ac:dyDescent="0.4">
      <c r="A27" s="36">
        <f>FLUID!E70</f>
        <v>0</v>
      </c>
      <c r="B27" s="16" t="e">
        <f ca="1">FLUID!F70</f>
        <v>#N/A</v>
      </c>
      <c r="C27" s="16" t="e">
        <f ca="1">FLUID!G70</f>
        <v>#N/A</v>
      </c>
      <c r="D27" s="16" t="e">
        <f ca="1">FLUID!H70</f>
        <v>#N/A</v>
      </c>
      <c r="E27" s="16" t="e">
        <f ca="1">FLUID!I70</f>
        <v>#N/A</v>
      </c>
      <c r="F27" s="14" t="e">
        <f ca="1">FLUID!J70</f>
        <v>#N/A</v>
      </c>
      <c r="G27" s="14" t="e">
        <f ca="1">FLUID!K70</f>
        <v>#N/A</v>
      </c>
      <c r="H27" s="14" t="e">
        <f ca="1">FLUID!L70</f>
        <v>#N/A</v>
      </c>
      <c r="I27" s="14" t="e">
        <f ca="1">FLUID!M70</f>
        <v>#N/A</v>
      </c>
      <c r="J27" s="14" t="e">
        <f ca="1">FLUID!N70</f>
        <v>#N/A</v>
      </c>
      <c r="K27" s="14" t="e">
        <f ca="1">FLUID!O70</f>
        <v>#N/A</v>
      </c>
      <c r="L27" s="14" t="e">
        <f ca="1">FLUID!P70</f>
        <v>#N/A</v>
      </c>
      <c r="M27" s="14" t="e">
        <f ca="1">FLUID!Q70</f>
        <v>#N/A</v>
      </c>
      <c r="N27" s="14" t="e">
        <f ca="1">FLUID!R70</f>
        <v>#N/A</v>
      </c>
      <c r="O27" s="14" t="e">
        <f ca="1">FLUID!S70</f>
        <v>#N/A</v>
      </c>
      <c r="P27" s="14" t="e">
        <f ca="1">FLUID!T70</f>
        <v>#N/A</v>
      </c>
      <c r="Q27" s="14" t="e">
        <f ca="1">FLUID!U70</f>
        <v>#N/A</v>
      </c>
      <c r="R27" s="14" t="e">
        <f ca="1">FLUID!V70</f>
        <v>#N/A</v>
      </c>
      <c r="S27" s="14" t="e">
        <f ca="1">FLUID!W70</f>
        <v>#N/A</v>
      </c>
      <c r="T27" s="14" t="e">
        <f ca="1">FLUID!X70</f>
        <v>#N/A</v>
      </c>
      <c r="U27" s="14" t="e">
        <f ca="1">FLUID!Y70</f>
        <v>#N/A</v>
      </c>
      <c r="V27" s="14" t="e">
        <f ca="1">FLUID!Z70</f>
        <v>#N/A</v>
      </c>
      <c r="W27" s="14" t="e">
        <f ca="1">FLUID!AA70</f>
        <v>#N/A</v>
      </c>
      <c r="X27" s="14" t="e">
        <f ca="1">FLUID!AB70</f>
        <v>#N/A</v>
      </c>
      <c r="Y27" s="14" t="e">
        <f ca="1">FLUID!AC70</f>
        <v>#N/A</v>
      </c>
      <c r="Z27" s="14" t="e">
        <f ca="1">FLUID!AD70</f>
        <v>#N/A</v>
      </c>
      <c r="AA27" s="14" t="e">
        <f ca="1">FLUID!AE70</f>
        <v>#N/A</v>
      </c>
      <c r="AB27" s="14" t="e">
        <f ca="1">FLUID!AF70</f>
        <v>#N/A</v>
      </c>
      <c r="AC27" s="14" t="e">
        <f ca="1">FLUID!AG70</f>
        <v>#N/A</v>
      </c>
      <c r="AD27" s="14" t="e">
        <f ca="1">FLUID!AH70</f>
        <v>#N/A</v>
      </c>
      <c r="AE27" s="14" t="e">
        <f ca="1">FLUID!AI70</f>
        <v>#N/A</v>
      </c>
      <c r="AF27" s="14" t="e">
        <f ca="1">FLUID!AJ70</f>
        <v>#N/A</v>
      </c>
      <c r="AG27" s="14" t="e">
        <f ca="1">FLUID!AK70</f>
        <v>#N/A</v>
      </c>
      <c r="AH27" s="14" t="e">
        <f ca="1">FLUID!AL70</f>
        <v>#N/A</v>
      </c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</row>
    <row r="28" spans="1:94" ht="22.5" hidden="1" customHeight="1" outlineLevel="1" thickBot="1" x14ac:dyDescent="0.4">
      <c r="A28" s="36">
        <f>FLUID!E71</f>
        <v>0</v>
      </c>
      <c r="B28" s="16" t="e">
        <f ca="1">FLUID!F71</f>
        <v>#N/A</v>
      </c>
      <c r="C28" s="16" t="e">
        <f ca="1">FLUID!G71</f>
        <v>#N/A</v>
      </c>
      <c r="D28" s="16" t="e">
        <f ca="1">FLUID!H71</f>
        <v>#N/A</v>
      </c>
      <c r="E28" s="16" t="e">
        <f ca="1">FLUID!I71</f>
        <v>#N/A</v>
      </c>
      <c r="F28" s="14" t="e">
        <f ca="1">FLUID!J71</f>
        <v>#N/A</v>
      </c>
      <c r="G28" s="14" t="e">
        <f ca="1">FLUID!K71</f>
        <v>#N/A</v>
      </c>
      <c r="H28" s="14" t="e">
        <f ca="1">FLUID!L71</f>
        <v>#N/A</v>
      </c>
      <c r="I28" s="14" t="e">
        <f ca="1">FLUID!M71</f>
        <v>#N/A</v>
      </c>
      <c r="J28" s="14" t="e">
        <f ca="1">FLUID!N71</f>
        <v>#N/A</v>
      </c>
      <c r="K28" s="14" t="e">
        <f ca="1">FLUID!O71</f>
        <v>#N/A</v>
      </c>
      <c r="L28" s="14" t="e">
        <f ca="1">FLUID!P71</f>
        <v>#N/A</v>
      </c>
      <c r="M28" s="14" t="e">
        <f ca="1">FLUID!Q71</f>
        <v>#N/A</v>
      </c>
      <c r="N28" s="14" t="e">
        <f ca="1">FLUID!R71</f>
        <v>#N/A</v>
      </c>
      <c r="O28" s="14" t="e">
        <f ca="1">FLUID!S71</f>
        <v>#N/A</v>
      </c>
      <c r="P28" s="14" t="e">
        <f ca="1">FLUID!T71</f>
        <v>#N/A</v>
      </c>
      <c r="Q28" s="14" t="e">
        <f ca="1">FLUID!U71</f>
        <v>#N/A</v>
      </c>
      <c r="R28" s="14" t="e">
        <f ca="1">FLUID!V71</f>
        <v>#N/A</v>
      </c>
      <c r="S28" s="14" t="e">
        <f ca="1">FLUID!W71</f>
        <v>#N/A</v>
      </c>
      <c r="T28" s="14" t="e">
        <f ca="1">FLUID!X71</f>
        <v>#N/A</v>
      </c>
      <c r="U28" s="14" t="e">
        <f ca="1">FLUID!Y71</f>
        <v>#N/A</v>
      </c>
      <c r="V28" s="14" t="e">
        <f ca="1">FLUID!Z71</f>
        <v>#N/A</v>
      </c>
      <c r="W28" s="14" t="e">
        <f ca="1">FLUID!AA71</f>
        <v>#N/A</v>
      </c>
      <c r="X28" s="14" t="e">
        <f ca="1">FLUID!AB71</f>
        <v>#N/A</v>
      </c>
      <c r="Y28" s="14" t="e">
        <f ca="1">FLUID!AC71</f>
        <v>#N/A</v>
      </c>
      <c r="Z28" s="14" t="e">
        <f ca="1">FLUID!AD71</f>
        <v>#N/A</v>
      </c>
      <c r="AA28" s="14" t="e">
        <f ca="1">FLUID!AE71</f>
        <v>#N/A</v>
      </c>
      <c r="AB28" s="14" t="e">
        <f ca="1">FLUID!AF71</f>
        <v>#N/A</v>
      </c>
      <c r="AC28" s="14" t="e">
        <f ca="1">FLUID!AG71</f>
        <v>#N/A</v>
      </c>
      <c r="AD28" s="14" t="e">
        <f ca="1">FLUID!AH71</f>
        <v>#N/A</v>
      </c>
      <c r="AE28" s="14" t="e">
        <f ca="1">FLUID!AI71</f>
        <v>#N/A</v>
      </c>
      <c r="AF28" s="14" t="e">
        <f ca="1">FLUID!AJ71</f>
        <v>#N/A</v>
      </c>
      <c r="AG28" s="14" t="e">
        <f ca="1">FLUID!AK71</f>
        <v>#N/A</v>
      </c>
      <c r="AH28" s="14" t="e">
        <f ca="1">FLUID!AL71</f>
        <v>#N/A</v>
      </c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</row>
    <row r="29" spans="1:94" ht="22.5" hidden="1" customHeight="1" outlineLevel="1" thickBot="1" x14ac:dyDescent="0.4">
      <c r="A29" s="36">
        <f>FLUID!E72</f>
        <v>0</v>
      </c>
      <c r="B29" s="16" t="e">
        <f ca="1">FLUID!F72</f>
        <v>#N/A</v>
      </c>
      <c r="C29" s="16">
        <f>FLUID!G76</f>
        <v>0</v>
      </c>
      <c r="D29" s="16">
        <f>FLUID!H76</f>
        <v>0</v>
      </c>
      <c r="E29" s="16">
        <f>FLUID!I76</f>
        <v>0</v>
      </c>
      <c r="F29" s="14" t="e">
        <f>#REF!</f>
        <v>#REF!</v>
      </c>
      <c r="G29" s="14" t="e">
        <f>#REF!</f>
        <v>#REF!</v>
      </c>
      <c r="H29" s="14" t="e">
        <f>#REF!</f>
        <v>#REF!</v>
      </c>
      <c r="I29" s="14" t="e">
        <f>#REF!</f>
        <v>#REF!</v>
      </c>
      <c r="J29" s="14" t="e">
        <f>#REF!</f>
        <v>#REF!</v>
      </c>
      <c r="K29" s="14" t="e">
        <f>#REF!</f>
        <v>#REF!</v>
      </c>
      <c r="L29" s="14" t="e">
        <f>#REF!</f>
        <v>#REF!</v>
      </c>
      <c r="M29" s="14" t="e">
        <f>#REF!</f>
        <v>#REF!</v>
      </c>
      <c r="N29" s="14" t="e">
        <f>#REF!</f>
        <v>#REF!</v>
      </c>
      <c r="O29" s="14" t="e">
        <f>#REF!</f>
        <v>#REF!</v>
      </c>
      <c r="P29" s="14" t="e">
        <f>#REF!</f>
        <v>#REF!</v>
      </c>
      <c r="Q29" s="14" t="e">
        <f>#REF!</f>
        <v>#REF!</v>
      </c>
      <c r="R29" s="14" t="e">
        <f>#REF!</f>
        <v>#REF!</v>
      </c>
      <c r="S29" s="14" t="e">
        <f>#REF!</f>
        <v>#REF!</v>
      </c>
      <c r="T29" s="14" t="e">
        <f>#REF!</f>
        <v>#REF!</v>
      </c>
      <c r="U29" s="14" t="e">
        <f>#REF!</f>
        <v>#REF!</v>
      </c>
      <c r="V29" s="14" t="e">
        <f>#REF!</f>
        <v>#REF!</v>
      </c>
      <c r="W29" s="14" t="e">
        <f>#REF!</f>
        <v>#REF!</v>
      </c>
      <c r="X29" s="14" t="e">
        <f>#REF!</f>
        <v>#REF!</v>
      </c>
      <c r="Y29" s="14" t="e">
        <f>#REF!</f>
        <v>#REF!</v>
      </c>
      <c r="Z29" s="14" t="e">
        <f>#REF!</f>
        <v>#REF!</v>
      </c>
      <c r="AA29" s="14" t="e">
        <f>#REF!</f>
        <v>#REF!</v>
      </c>
      <c r="AB29" s="14" t="e">
        <f>#REF!</f>
        <v>#REF!</v>
      </c>
      <c r="AC29" s="14" t="e">
        <f>#REF!</f>
        <v>#REF!</v>
      </c>
      <c r="AD29" s="14" t="e">
        <f>#REF!</f>
        <v>#REF!</v>
      </c>
      <c r="AE29" s="14" t="e">
        <f>#REF!</f>
        <v>#REF!</v>
      </c>
      <c r="AF29" s="14" t="e">
        <f>#REF!</f>
        <v>#REF!</v>
      </c>
      <c r="AG29" s="14" t="e">
        <f>#REF!</f>
        <v>#REF!</v>
      </c>
      <c r="AH29" s="14" t="e">
        <f>#REF!</f>
        <v>#REF!</v>
      </c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</row>
    <row r="30" spans="1:94" ht="22.5" hidden="1" customHeight="1" outlineLevel="1" thickBot="1" x14ac:dyDescent="0.4">
      <c r="A30" s="36">
        <f>FLUID!E73</f>
        <v>0</v>
      </c>
      <c r="B30" s="16" t="e">
        <f ca="1">FLUID!F73</f>
        <v>#N/A</v>
      </c>
      <c r="C30" s="16">
        <f>FLUID!G77</f>
        <v>0</v>
      </c>
      <c r="D30" s="16">
        <f>FLUID!H77</f>
        <v>0</v>
      </c>
      <c r="E30" s="16">
        <f>FLUID!I77</f>
        <v>0</v>
      </c>
      <c r="F30" s="14" t="e">
        <f>#REF!</f>
        <v>#REF!</v>
      </c>
      <c r="G30" s="14" t="e">
        <f>#REF!</f>
        <v>#REF!</v>
      </c>
      <c r="H30" s="14" t="e">
        <f>#REF!</f>
        <v>#REF!</v>
      </c>
      <c r="I30" s="14" t="e">
        <f>#REF!</f>
        <v>#REF!</v>
      </c>
      <c r="J30" s="14" t="e">
        <f>#REF!</f>
        <v>#REF!</v>
      </c>
      <c r="K30" s="14" t="e">
        <f>#REF!</f>
        <v>#REF!</v>
      </c>
      <c r="L30" s="14" t="e">
        <f>#REF!</f>
        <v>#REF!</v>
      </c>
      <c r="M30" s="14" t="e">
        <f>#REF!</f>
        <v>#REF!</v>
      </c>
      <c r="N30" s="14" t="e">
        <f>#REF!</f>
        <v>#REF!</v>
      </c>
      <c r="O30" s="14" t="e">
        <f>#REF!</f>
        <v>#REF!</v>
      </c>
      <c r="P30" s="14" t="e">
        <f>#REF!</f>
        <v>#REF!</v>
      </c>
      <c r="Q30" s="14" t="e">
        <f>#REF!</f>
        <v>#REF!</v>
      </c>
      <c r="R30" s="14" t="e">
        <f>#REF!</f>
        <v>#REF!</v>
      </c>
      <c r="S30" s="14" t="e">
        <f>#REF!</f>
        <v>#REF!</v>
      </c>
      <c r="T30" s="14" t="e">
        <f>#REF!</f>
        <v>#REF!</v>
      </c>
      <c r="U30" s="14" t="e">
        <f>#REF!</f>
        <v>#REF!</v>
      </c>
      <c r="V30" s="14" t="e">
        <f>#REF!</f>
        <v>#REF!</v>
      </c>
      <c r="W30" s="14" t="e">
        <f>#REF!</f>
        <v>#REF!</v>
      </c>
      <c r="X30" s="14" t="e">
        <f>#REF!</f>
        <v>#REF!</v>
      </c>
      <c r="Y30" s="14" t="e">
        <f>#REF!</f>
        <v>#REF!</v>
      </c>
      <c r="Z30" s="14" t="e">
        <f>#REF!</f>
        <v>#REF!</v>
      </c>
      <c r="AA30" s="14" t="e">
        <f>#REF!</f>
        <v>#REF!</v>
      </c>
      <c r="AB30" s="14" t="e">
        <f>#REF!</f>
        <v>#REF!</v>
      </c>
      <c r="AC30" s="14" t="e">
        <f>#REF!</f>
        <v>#REF!</v>
      </c>
      <c r="AD30" s="14" t="e">
        <f>#REF!</f>
        <v>#REF!</v>
      </c>
      <c r="AE30" s="14" t="e">
        <f>#REF!</f>
        <v>#REF!</v>
      </c>
      <c r="AF30" s="14" t="e">
        <f>#REF!</f>
        <v>#REF!</v>
      </c>
      <c r="AG30" s="14" t="e">
        <f>#REF!</f>
        <v>#REF!</v>
      </c>
      <c r="AH30" s="14" t="e">
        <f>#REF!</f>
        <v>#REF!</v>
      </c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</row>
    <row r="31" spans="1:94" ht="22.5" hidden="1" customHeight="1" outlineLevel="1" thickBot="1" x14ac:dyDescent="0.4">
      <c r="A31" s="36">
        <f>FLUID!E74</f>
        <v>0</v>
      </c>
      <c r="B31" s="16" t="e">
        <f ca="1">FLUID!F74</f>
        <v>#N/A</v>
      </c>
      <c r="C31" s="16">
        <f>FLUID!G78</f>
        <v>0</v>
      </c>
      <c r="D31" s="16">
        <f>FLUID!H78</f>
        <v>0</v>
      </c>
      <c r="E31" s="16">
        <f>FLUID!I78</f>
        <v>0</v>
      </c>
      <c r="F31" s="14" t="e">
        <f>#REF!</f>
        <v>#REF!</v>
      </c>
      <c r="G31" s="14" t="e">
        <f>#REF!</f>
        <v>#REF!</v>
      </c>
      <c r="H31" s="14" t="e">
        <f>#REF!</f>
        <v>#REF!</v>
      </c>
      <c r="I31" s="14" t="e">
        <f>#REF!</f>
        <v>#REF!</v>
      </c>
      <c r="J31" s="14" t="e">
        <f>#REF!</f>
        <v>#REF!</v>
      </c>
      <c r="K31" s="14" t="e">
        <f>#REF!</f>
        <v>#REF!</v>
      </c>
      <c r="L31" s="14" t="e">
        <f>#REF!</f>
        <v>#REF!</v>
      </c>
      <c r="M31" s="14" t="e">
        <f>#REF!</f>
        <v>#REF!</v>
      </c>
      <c r="N31" s="14" t="e">
        <f>#REF!</f>
        <v>#REF!</v>
      </c>
      <c r="O31" s="14" t="e">
        <f>#REF!</f>
        <v>#REF!</v>
      </c>
      <c r="P31" s="14" t="e">
        <f>#REF!</f>
        <v>#REF!</v>
      </c>
      <c r="Q31" s="14" t="e">
        <f>#REF!</f>
        <v>#REF!</v>
      </c>
      <c r="R31" s="14" t="e">
        <f>#REF!</f>
        <v>#REF!</v>
      </c>
      <c r="S31" s="14" t="e">
        <f>#REF!</f>
        <v>#REF!</v>
      </c>
      <c r="T31" s="14" t="e">
        <f>#REF!</f>
        <v>#REF!</v>
      </c>
      <c r="U31" s="14" t="e">
        <f>#REF!</f>
        <v>#REF!</v>
      </c>
      <c r="V31" s="14" t="e">
        <f>#REF!</f>
        <v>#REF!</v>
      </c>
      <c r="W31" s="14" t="e">
        <f>#REF!</f>
        <v>#REF!</v>
      </c>
      <c r="X31" s="14" t="e">
        <f>#REF!</f>
        <v>#REF!</v>
      </c>
      <c r="Y31" s="14" t="e">
        <f>#REF!</f>
        <v>#REF!</v>
      </c>
      <c r="Z31" s="14" t="e">
        <f>#REF!</f>
        <v>#REF!</v>
      </c>
      <c r="AA31" s="14" t="e">
        <f>#REF!</f>
        <v>#REF!</v>
      </c>
      <c r="AB31" s="14" t="e">
        <f>#REF!</f>
        <v>#REF!</v>
      </c>
      <c r="AC31" s="14" t="e">
        <f>#REF!</f>
        <v>#REF!</v>
      </c>
      <c r="AD31" s="14" t="e">
        <f>#REF!</f>
        <v>#REF!</v>
      </c>
      <c r="AE31" s="14" t="e">
        <f>#REF!</f>
        <v>#REF!</v>
      </c>
      <c r="AF31" s="14" t="e">
        <f>#REF!</f>
        <v>#REF!</v>
      </c>
      <c r="AG31" s="14" t="e">
        <f>#REF!</f>
        <v>#REF!</v>
      </c>
      <c r="AH31" s="14" t="e">
        <f>#REF!</f>
        <v>#REF!</v>
      </c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</row>
    <row r="32" spans="1:94" ht="22.5" hidden="1" customHeight="1" outlineLevel="1" thickBot="1" x14ac:dyDescent="0.4">
      <c r="A32" s="36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4">
        <f>FLUID!J75</f>
        <v>0</v>
      </c>
      <c r="G32" s="14">
        <f>FLUID!K75</f>
        <v>0</v>
      </c>
      <c r="H32" s="14">
        <f>FLUID!L75</f>
        <v>0</v>
      </c>
      <c r="I32" s="14">
        <f>FLUID!M75</f>
        <v>0</v>
      </c>
      <c r="J32" s="14">
        <f>FLUID!N75</f>
        <v>0</v>
      </c>
      <c r="K32" s="14">
        <f>FLUID!O75</f>
        <v>0</v>
      </c>
      <c r="L32" s="14">
        <f>FLUID!P75</f>
        <v>0</v>
      </c>
      <c r="M32" s="14">
        <f>FLUID!Q75</f>
        <v>0</v>
      </c>
      <c r="N32" s="14">
        <f>FLUID!R75</f>
        <v>0</v>
      </c>
      <c r="O32" s="14">
        <f>FLUID!S75</f>
        <v>0</v>
      </c>
      <c r="P32" s="14">
        <f>FLUID!T75</f>
        <v>0</v>
      </c>
      <c r="Q32" s="14">
        <f>FLUID!U75</f>
        <v>0</v>
      </c>
      <c r="R32" s="14">
        <f>FLUID!V75</f>
        <v>0</v>
      </c>
      <c r="S32" s="14">
        <f>FLUID!W75</f>
        <v>0</v>
      </c>
      <c r="T32" s="14">
        <f>FLUID!X75</f>
        <v>0</v>
      </c>
      <c r="U32" s="14">
        <f>FLUID!Y75</f>
        <v>0</v>
      </c>
      <c r="V32" s="14">
        <f>FLUID!Z75</f>
        <v>0</v>
      </c>
      <c r="W32" s="14">
        <f>FLUID!AA75</f>
        <v>0</v>
      </c>
      <c r="X32" s="14">
        <f>FLUID!AB75</f>
        <v>0</v>
      </c>
      <c r="Y32" s="14">
        <f>FLUID!AC75</f>
        <v>0</v>
      </c>
      <c r="Z32" s="14">
        <f>FLUID!AD75</f>
        <v>0</v>
      </c>
      <c r="AA32" s="14">
        <f>FLUID!AE75</f>
        <v>0</v>
      </c>
      <c r="AB32" s="14">
        <f>FLUID!AF75</f>
        <v>0</v>
      </c>
      <c r="AC32" s="14">
        <f>FLUID!AG75</f>
        <v>0</v>
      </c>
      <c r="AD32" s="14">
        <f>FLUID!AH75</f>
        <v>0</v>
      </c>
      <c r="AE32" s="14">
        <f>FLUID!AI75</f>
        <v>0</v>
      </c>
      <c r="AF32" s="14">
        <f>FLUID!AJ75</f>
        <v>0</v>
      </c>
      <c r="AG32" s="14">
        <f>FLUID!AK75</f>
        <v>0</v>
      </c>
      <c r="AH32" s="14">
        <f>FLUID!AL75</f>
        <v>0</v>
      </c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</row>
    <row r="33" spans="1:94" ht="22.5" collapsed="1" thickTop="1" thickBot="1" x14ac:dyDescent="0.4">
      <c r="A33" s="38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</row>
    <row r="34" spans="1:94" ht="22.5" thickTop="1" thickBot="1" x14ac:dyDescent="0.4">
      <c r="A34" s="4" t="s">
        <v>29</v>
      </c>
      <c r="B34" s="72">
        <f>SOLID!F45</f>
        <v>0</v>
      </c>
      <c r="C34" s="72">
        <f>SOLID!G45</f>
        <v>0</v>
      </c>
      <c r="D34" s="72">
        <f>SOLID!H45</f>
        <v>0</v>
      </c>
      <c r="E34" s="72">
        <f>SOLID!I45</f>
        <v>0</v>
      </c>
      <c r="F34" s="72">
        <f>SOLID!J45</f>
        <v>0</v>
      </c>
      <c r="G34" s="72">
        <f>SOLID!K45</f>
        <v>0</v>
      </c>
      <c r="H34" s="72">
        <f>SOLID!L45</f>
        <v>0</v>
      </c>
      <c r="I34" s="72">
        <f>SOLID!M45</f>
        <v>0</v>
      </c>
      <c r="J34" s="72">
        <f>SOLID!N45</f>
        <v>0</v>
      </c>
      <c r="K34" s="72">
        <f>SOLID!O45</f>
        <v>0</v>
      </c>
      <c r="L34" s="72">
        <f>SOLID!P45</f>
        <v>0</v>
      </c>
      <c r="M34" s="72">
        <f>SOLID!Q45</f>
        <v>0</v>
      </c>
      <c r="N34" s="72">
        <f>SOLID!R45</f>
        <v>0</v>
      </c>
      <c r="O34" s="72">
        <f>SOLID!S45</f>
        <v>0</v>
      </c>
      <c r="P34" s="72">
        <f>SOLID!T45</f>
        <v>0</v>
      </c>
      <c r="Q34" s="72">
        <f>SOLID!U45</f>
        <v>0</v>
      </c>
      <c r="R34" s="72">
        <f>SOLID!V45</f>
        <v>0</v>
      </c>
      <c r="S34" s="72">
        <f>SOLID!W45</f>
        <v>0</v>
      </c>
      <c r="T34" s="72">
        <f>SOLID!X45</f>
        <v>0</v>
      </c>
      <c r="U34" s="72">
        <f>SOLID!Y45</f>
        <v>0</v>
      </c>
      <c r="V34" s="72">
        <f>SOLID!Z45</f>
        <v>0</v>
      </c>
      <c r="W34" s="72">
        <f>SOLID!AA45</f>
        <v>0</v>
      </c>
      <c r="X34" s="72">
        <f>SOLID!AB45</f>
        <v>0</v>
      </c>
      <c r="Y34" s="72">
        <f>SOLID!AC45</f>
        <v>0</v>
      </c>
      <c r="Z34" s="72">
        <f>SOLID!AD45</f>
        <v>0</v>
      </c>
      <c r="AA34" s="72">
        <f>SOLID!AE45</f>
        <v>0</v>
      </c>
      <c r="AB34" s="72">
        <f>SOLID!AF45</f>
        <v>0</v>
      </c>
      <c r="AC34" s="72">
        <f>SOLID!AG45</f>
        <v>0</v>
      </c>
      <c r="AD34" s="72">
        <f>SOLID!AH45</f>
        <v>0</v>
      </c>
      <c r="AE34" s="72">
        <f>SOLID!AI45</f>
        <v>0</v>
      </c>
      <c r="AF34" s="72">
        <f>SOLID!AJ45</f>
        <v>0</v>
      </c>
      <c r="AG34" s="72">
        <f>SOLID!AK45</f>
        <v>0</v>
      </c>
      <c r="AH34" s="72">
        <f>SOLID!AL45</f>
        <v>0</v>
      </c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</row>
    <row r="35" spans="1:94" ht="22.5" hidden="1" outlineLevel="1" thickTop="1" thickBot="1" x14ac:dyDescent="0.4">
      <c r="A35" s="35">
        <f>SOLID!E46</f>
        <v>0</v>
      </c>
      <c r="B35" s="16" t="e">
        <f ca="1">SOLID!F46</f>
        <v>#N/A</v>
      </c>
      <c r="C35" s="16" t="e">
        <f ca="1">SOLID!G46</f>
        <v>#N/A</v>
      </c>
      <c r="D35" s="16" t="e">
        <f ca="1">SOLID!H46</f>
        <v>#N/A</v>
      </c>
      <c r="E35" s="16" t="e">
        <f ca="1">SOLID!I46</f>
        <v>#N/A</v>
      </c>
      <c r="F35" s="14" t="e">
        <f ca="1">SOLID!J46</f>
        <v>#N/A</v>
      </c>
      <c r="G35" s="14" t="e">
        <f ca="1">SOLID!K46</f>
        <v>#N/A</v>
      </c>
      <c r="H35" s="14" t="e">
        <f ca="1">SOLID!L46</f>
        <v>#N/A</v>
      </c>
      <c r="I35" s="14" t="e">
        <f ca="1">SOLID!M46</f>
        <v>#N/A</v>
      </c>
      <c r="J35" s="14" t="e">
        <f ca="1">SOLID!N46</f>
        <v>#N/A</v>
      </c>
      <c r="K35" s="14" t="e">
        <f ca="1">SOLID!O46</f>
        <v>#N/A</v>
      </c>
      <c r="L35" s="14" t="e">
        <f ca="1">SOLID!P46</f>
        <v>#N/A</v>
      </c>
      <c r="M35" s="14" t="e">
        <f ca="1">SOLID!Q46</f>
        <v>#N/A</v>
      </c>
      <c r="N35" s="14" t="e">
        <f ca="1">SOLID!R46</f>
        <v>#N/A</v>
      </c>
      <c r="O35" s="14" t="e">
        <f ca="1">SOLID!S46</f>
        <v>#N/A</v>
      </c>
      <c r="P35" s="14" t="e">
        <f ca="1">SOLID!T46</f>
        <v>#N/A</v>
      </c>
      <c r="Q35" s="14" t="e">
        <f ca="1">SOLID!U46</f>
        <v>#N/A</v>
      </c>
      <c r="R35" s="14" t="e">
        <f ca="1">SOLID!V46</f>
        <v>#N/A</v>
      </c>
      <c r="S35" s="14" t="e">
        <f ca="1">SOLID!W46</f>
        <v>#N/A</v>
      </c>
      <c r="T35" s="14" t="e">
        <f ca="1">SOLID!X46</f>
        <v>#N/A</v>
      </c>
      <c r="U35" s="14" t="e">
        <f ca="1">SOLID!Y46</f>
        <v>#N/A</v>
      </c>
      <c r="V35" s="14" t="e">
        <f ca="1">SOLID!Z46</f>
        <v>#N/A</v>
      </c>
      <c r="W35" s="14" t="e">
        <f ca="1">SOLID!AA46</f>
        <v>#N/A</v>
      </c>
      <c r="X35" s="14" t="e">
        <f ca="1">SOLID!AB46</f>
        <v>#N/A</v>
      </c>
      <c r="Y35" s="14" t="e">
        <f ca="1">SOLID!AC46</f>
        <v>#N/A</v>
      </c>
      <c r="Z35" s="14" t="e">
        <f ca="1">SOLID!AD46</f>
        <v>#N/A</v>
      </c>
      <c r="AA35" s="14" t="e">
        <f ca="1">SOLID!AE46</f>
        <v>#N/A</v>
      </c>
      <c r="AB35" s="14" t="e">
        <f ca="1">SOLID!AF46</f>
        <v>#N/A</v>
      </c>
      <c r="AC35" s="14" t="e">
        <f ca="1">SOLID!AG46</f>
        <v>#N/A</v>
      </c>
      <c r="AD35" s="14" t="e">
        <f ca="1">SOLID!AH46</f>
        <v>#N/A</v>
      </c>
      <c r="AE35" s="14" t="e">
        <f ca="1">SOLID!AI46</f>
        <v>#N/A</v>
      </c>
      <c r="AF35" s="14" t="e">
        <f ca="1">SOLID!AJ46</f>
        <v>#N/A</v>
      </c>
      <c r="AG35" s="14" t="e">
        <f ca="1">SOLID!AK46</f>
        <v>#N/A</v>
      </c>
      <c r="AH35" s="14" t="e">
        <f ca="1">SOLID!AL46</f>
        <v>#N/A</v>
      </c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</row>
    <row r="36" spans="1:94" ht="21.75" hidden="1" outlineLevel="1" thickBot="1" x14ac:dyDescent="0.4">
      <c r="A36" s="35">
        <f>SOLID!E47</f>
        <v>0</v>
      </c>
      <c r="B36" s="16" t="e">
        <f ca="1">SOLID!F47</f>
        <v>#N/A</v>
      </c>
      <c r="C36" s="16" t="e">
        <f ca="1">SOLID!G47</f>
        <v>#N/A</v>
      </c>
      <c r="D36" s="16" t="e">
        <f ca="1">SOLID!H47</f>
        <v>#N/A</v>
      </c>
      <c r="E36" s="16" t="e">
        <f ca="1">SOLID!I47</f>
        <v>#N/A</v>
      </c>
      <c r="F36" s="14" t="e">
        <f ca="1">SOLID!J47</f>
        <v>#N/A</v>
      </c>
      <c r="G36" s="14" t="e">
        <f ca="1">SOLID!K47</f>
        <v>#N/A</v>
      </c>
      <c r="H36" s="14" t="e">
        <f ca="1">SOLID!L47</f>
        <v>#N/A</v>
      </c>
      <c r="I36" s="14" t="e">
        <f ca="1">SOLID!M47</f>
        <v>#N/A</v>
      </c>
      <c r="J36" s="14" t="e">
        <f ca="1">SOLID!N47</f>
        <v>#N/A</v>
      </c>
      <c r="K36" s="14" t="e">
        <f ca="1">SOLID!O47</f>
        <v>#N/A</v>
      </c>
      <c r="L36" s="14" t="e">
        <f ca="1">SOLID!P47</f>
        <v>#N/A</v>
      </c>
      <c r="M36" s="14" t="e">
        <f ca="1">SOLID!Q47</f>
        <v>#N/A</v>
      </c>
      <c r="N36" s="14" t="e">
        <f ca="1">SOLID!R47</f>
        <v>#N/A</v>
      </c>
      <c r="O36" s="14" t="e">
        <f ca="1">SOLID!S47</f>
        <v>#N/A</v>
      </c>
      <c r="P36" s="14" t="e">
        <f ca="1">SOLID!T47</f>
        <v>#N/A</v>
      </c>
      <c r="Q36" s="14" t="e">
        <f ca="1">SOLID!U47</f>
        <v>#N/A</v>
      </c>
      <c r="R36" s="14" t="e">
        <f ca="1">SOLID!V47</f>
        <v>#N/A</v>
      </c>
      <c r="S36" s="14" t="e">
        <f ca="1">SOLID!W47</f>
        <v>#N/A</v>
      </c>
      <c r="T36" s="14" t="e">
        <f ca="1">SOLID!X47</f>
        <v>#N/A</v>
      </c>
      <c r="U36" s="14" t="e">
        <f ca="1">SOLID!Y47</f>
        <v>#N/A</v>
      </c>
      <c r="V36" s="14" t="e">
        <f ca="1">SOLID!Z47</f>
        <v>#N/A</v>
      </c>
      <c r="W36" s="14" t="e">
        <f ca="1">SOLID!AA47</f>
        <v>#N/A</v>
      </c>
      <c r="X36" s="14" t="e">
        <f ca="1">SOLID!AB47</f>
        <v>#N/A</v>
      </c>
      <c r="Y36" s="14" t="e">
        <f ca="1">SOLID!AC47</f>
        <v>#N/A</v>
      </c>
      <c r="Z36" s="14" t="e">
        <f ca="1">SOLID!AD47</f>
        <v>#N/A</v>
      </c>
      <c r="AA36" s="14" t="e">
        <f ca="1">SOLID!AE47</f>
        <v>#N/A</v>
      </c>
      <c r="AB36" s="14" t="e">
        <f ca="1">SOLID!AF47</f>
        <v>#N/A</v>
      </c>
      <c r="AC36" s="14" t="e">
        <f ca="1">SOLID!AG47</f>
        <v>#N/A</v>
      </c>
      <c r="AD36" s="14" t="e">
        <f ca="1">SOLID!AH47</f>
        <v>#N/A</v>
      </c>
      <c r="AE36" s="14" t="e">
        <f ca="1">SOLID!AI47</f>
        <v>#N/A</v>
      </c>
      <c r="AF36" s="14" t="e">
        <f ca="1">SOLID!AJ47</f>
        <v>#N/A</v>
      </c>
      <c r="AG36" s="14" t="e">
        <f ca="1">SOLID!AK47</f>
        <v>#N/A</v>
      </c>
      <c r="AH36" s="14" t="e">
        <f ca="1">SOLID!AL47</f>
        <v>#N/A</v>
      </c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</row>
    <row r="37" spans="1:94" ht="21.75" hidden="1" outlineLevel="1" thickBot="1" x14ac:dyDescent="0.4">
      <c r="A37" s="35">
        <f>SOLID!E48</f>
        <v>0</v>
      </c>
      <c r="B37" s="16" t="e">
        <f ca="1">SOLID!F48</f>
        <v>#N/A</v>
      </c>
      <c r="C37" s="16" t="e">
        <f ca="1">SOLID!G48</f>
        <v>#N/A</v>
      </c>
      <c r="D37" s="16" t="e">
        <f ca="1">SOLID!H48</f>
        <v>#N/A</v>
      </c>
      <c r="E37" s="16" t="e">
        <f ca="1">SOLID!I48</f>
        <v>#N/A</v>
      </c>
      <c r="F37" s="14" t="e">
        <f ca="1">SOLID!J48</f>
        <v>#N/A</v>
      </c>
      <c r="G37" s="14" t="e">
        <f ca="1">SOLID!K48</f>
        <v>#N/A</v>
      </c>
      <c r="H37" s="14" t="e">
        <f ca="1">SOLID!L48</f>
        <v>#N/A</v>
      </c>
      <c r="I37" s="14" t="e">
        <f ca="1">SOLID!M48</f>
        <v>#N/A</v>
      </c>
      <c r="J37" s="14" t="e">
        <f ca="1">SOLID!N48</f>
        <v>#N/A</v>
      </c>
      <c r="K37" s="14" t="e">
        <f ca="1">SOLID!O48</f>
        <v>#N/A</v>
      </c>
      <c r="L37" s="14" t="e">
        <f ca="1">SOLID!P48</f>
        <v>#N/A</v>
      </c>
      <c r="M37" s="14" t="e">
        <f ca="1">SOLID!Q48</f>
        <v>#N/A</v>
      </c>
      <c r="N37" s="14" t="e">
        <f ca="1">SOLID!R48</f>
        <v>#N/A</v>
      </c>
      <c r="O37" s="14" t="e">
        <f ca="1">SOLID!S48</f>
        <v>#N/A</v>
      </c>
      <c r="P37" s="14" t="e">
        <f ca="1">SOLID!T48</f>
        <v>#N/A</v>
      </c>
      <c r="Q37" s="14" t="e">
        <f ca="1">SOLID!U48</f>
        <v>#N/A</v>
      </c>
      <c r="R37" s="14" t="e">
        <f ca="1">SOLID!V48</f>
        <v>#N/A</v>
      </c>
      <c r="S37" s="14" t="e">
        <f ca="1">SOLID!W48</f>
        <v>#N/A</v>
      </c>
      <c r="T37" s="14" t="e">
        <f ca="1">SOLID!X48</f>
        <v>#N/A</v>
      </c>
      <c r="U37" s="14" t="e">
        <f ca="1">SOLID!Y48</f>
        <v>#N/A</v>
      </c>
      <c r="V37" s="14" t="e">
        <f ca="1">SOLID!Z48</f>
        <v>#N/A</v>
      </c>
      <c r="W37" s="14" t="e">
        <f ca="1">SOLID!AA48</f>
        <v>#N/A</v>
      </c>
      <c r="X37" s="14" t="e">
        <f ca="1">SOLID!AB48</f>
        <v>#N/A</v>
      </c>
      <c r="Y37" s="14" t="e">
        <f ca="1">SOLID!AC48</f>
        <v>#N/A</v>
      </c>
      <c r="Z37" s="14" t="e">
        <f ca="1">SOLID!AD48</f>
        <v>#N/A</v>
      </c>
      <c r="AA37" s="14" t="e">
        <f ca="1">SOLID!AE48</f>
        <v>#N/A</v>
      </c>
      <c r="AB37" s="14" t="e">
        <f ca="1">SOLID!AF48</f>
        <v>#N/A</v>
      </c>
      <c r="AC37" s="14" t="e">
        <f ca="1">SOLID!AG48</f>
        <v>#N/A</v>
      </c>
      <c r="AD37" s="14" t="e">
        <f ca="1">SOLID!AH48</f>
        <v>#N/A</v>
      </c>
      <c r="AE37" s="14" t="e">
        <f ca="1">SOLID!AI48</f>
        <v>#N/A</v>
      </c>
      <c r="AF37" s="14" t="e">
        <f ca="1">SOLID!AJ48</f>
        <v>#N/A</v>
      </c>
      <c r="AG37" s="14" t="e">
        <f ca="1">SOLID!AK48</f>
        <v>#N/A</v>
      </c>
      <c r="AH37" s="14" t="e">
        <f ca="1">SOLID!AL48</f>
        <v>#N/A</v>
      </c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</row>
    <row r="38" spans="1:94" ht="21.75" hidden="1" outlineLevel="1" thickBot="1" x14ac:dyDescent="0.4">
      <c r="A38" s="35">
        <f>SOLID!E49</f>
        <v>0</v>
      </c>
      <c r="B38" s="16" t="e">
        <f ca="1">SOLID!F49</f>
        <v>#N/A</v>
      </c>
      <c r="C38" s="16" t="e">
        <f ca="1">SOLID!G49</f>
        <v>#N/A</v>
      </c>
      <c r="D38" s="16" t="e">
        <f ca="1">SOLID!H49</f>
        <v>#N/A</v>
      </c>
      <c r="E38" s="16" t="e">
        <f ca="1">SOLID!I49</f>
        <v>#N/A</v>
      </c>
      <c r="F38" s="14" t="e">
        <f ca="1">SOLID!J49</f>
        <v>#N/A</v>
      </c>
      <c r="G38" s="14" t="e">
        <f ca="1">SOLID!K49</f>
        <v>#N/A</v>
      </c>
      <c r="H38" s="14" t="e">
        <f ca="1">SOLID!L49</f>
        <v>#N/A</v>
      </c>
      <c r="I38" s="14" t="e">
        <f ca="1">SOLID!M49</f>
        <v>#N/A</v>
      </c>
      <c r="J38" s="14" t="e">
        <f ca="1">SOLID!N49</f>
        <v>#N/A</v>
      </c>
      <c r="K38" s="14" t="e">
        <f ca="1">SOLID!O49</f>
        <v>#N/A</v>
      </c>
      <c r="L38" s="14" t="e">
        <f ca="1">SOLID!P49</f>
        <v>#N/A</v>
      </c>
      <c r="M38" s="14" t="e">
        <f ca="1">SOLID!Q49</f>
        <v>#N/A</v>
      </c>
      <c r="N38" s="14" t="e">
        <f ca="1">SOLID!R49</f>
        <v>#N/A</v>
      </c>
      <c r="O38" s="14" t="e">
        <f ca="1">SOLID!S49</f>
        <v>#N/A</v>
      </c>
      <c r="P38" s="14" t="e">
        <f ca="1">SOLID!T49</f>
        <v>#N/A</v>
      </c>
      <c r="Q38" s="14" t="e">
        <f ca="1">SOLID!U49</f>
        <v>#N/A</v>
      </c>
      <c r="R38" s="14" t="e">
        <f ca="1">SOLID!V49</f>
        <v>#N/A</v>
      </c>
      <c r="S38" s="14" t="e">
        <f ca="1">SOLID!W49</f>
        <v>#N/A</v>
      </c>
      <c r="T38" s="14" t="e">
        <f ca="1">SOLID!X49</f>
        <v>#N/A</v>
      </c>
      <c r="U38" s="14" t="e">
        <f ca="1">SOLID!Y49</f>
        <v>#N/A</v>
      </c>
      <c r="V38" s="14" t="e">
        <f ca="1">SOLID!Z49</f>
        <v>#N/A</v>
      </c>
      <c r="W38" s="14" t="e">
        <f ca="1">SOLID!AA49</f>
        <v>#N/A</v>
      </c>
      <c r="X38" s="14" t="e">
        <f ca="1">SOLID!AB49</f>
        <v>#N/A</v>
      </c>
      <c r="Y38" s="14" t="e">
        <f ca="1">SOLID!AC49</f>
        <v>#N/A</v>
      </c>
      <c r="Z38" s="14" t="e">
        <f ca="1">SOLID!AD49</f>
        <v>#N/A</v>
      </c>
      <c r="AA38" s="14" t="e">
        <f ca="1">SOLID!AE49</f>
        <v>#N/A</v>
      </c>
      <c r="AB38" s="14" t="e">
        <f ca="1">SOLID!AF49</f>
        <v>#N/A</v>
      </c>
      <c r="AC38" s="14" t="e">
        <f ca="1">SOLID!AG49</f>
        <v>#N/A</v>
      </c>
      <c r="AD38" s="14" t="e">
        <f ca="1">SOLID!AH49</f>
        <v>#N/A</v>
      </c>
      <c r="AE38" s="14" t="e">
        <f ca="1">SOLID!AI49</f>
        <v>#N/A</v>
      </c>
      <c r="AF38" s="14" t="e">
        <f ca="1">SOLID!AJ49</f>
        <v>#N/A</v>
      </c>
      <c r="AG38" s="14" t="e">
        <f ca="1">SOLID!AK49</f>
        <v>#N/A</v>
      </c>
      <c r="AH38" s="14" t="e">
        <f ca="1">SOLID!AL49</f>
        <v>#N/A</v>
      </c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</row>
    <row r="39" spans="1:94" ht="21.75" hidden="1" outlineLevel="1" thickBot="1" x14ac:dyDescent="0.4">
      <c r="A39" s="35">
        <f>SOLID!E50</f>
        <v>0</v>
      </c>
      <c r="B39" s="16" t="e">
        <f ca="1">SOLID!F50</f>
        <v>#N/A</v>
      </c>
      <c r="C39" s="16" t="e">
        <f ca="1">SOLID!G50</f>
        <v>#N/A</v>
      </c>
      <c r="D39" s="16" t="e">
        <f ca="1">SOLID!H50</f>
        <v>#N/A</v>
      </c>
      <c r="E39" s="16" t="e">
        <f ca="1">SOLID!I50</f>
        <v>#N/A</v>
      </c>
      <c r="F39" s="14" t="e">
        <f ca="1">SOLID!J50</f>
        <v>#N/A</v>
      </c>
      <c r="G39" s="14" t="e">
        <f ca="1">SOLID!K50</f>
        <v>#N/A</v>
      </c>
      <c r="H39" s="14" t="e">
        <f ca="1">SOLID!L50</f>
        <v>#N/A</v>
      </c>
      <c r="I39" s="14" t="e">
        <f ca="1">SOLID!M50</f>
        <v>#N/A</v>
      </c>
      <c r="J39" s="14" t="e">
        <f ca="1">SOLID!N50</f>
        <v>#N/A</v>
      </c>
      <c r="K39" s="14" t="e">
        <f ca="1">SOLID!O50</f>
        <v>#N/A</v>
      </c>
      <c r="L39" s="14" t="e">
        <f ca="1">SOLID!P50</f>
        <v>#N/A</v>
      </c>
      <c r="M39" s="14" t="e">
        <f ca="1">SOLID!Q50</f>
        <v>#N/A</v>
      </c>
      <c r="N39" s="14" t="e">
        <f ca="1">SOLID!R50</f>
        <v>#N/A</v>
      </c>
      <c r="O39" s="14" t="e">
        <f ca="1">SOLID!S50</f>
        <v>#N/A</v>
      </c>
      <c r="P39" s="14" t="e">
        <f ca="1">SOLID!T50</f>
        <v>#N/A</v>
      </c>
      <c r="Q39" s="14" t="e">
        <f ca="1">SOLID!U50</f>
        <v>#N/A</v>
      </c>
      <c r="R39" s="14" t="e">
        <f ca="1">SOLID!V50</f>
        <v>#N/A</v>
      </c>
      <c r="S39" s="14" t="e">
        <f ca="1">SOLID!W50</f>
        <v>#N/A</v>
      </c>
      <c r="T39" s="14" t="e">
        <f ca="1">SOLID!X50</f>
        <v>#N/A</v>
      </c>
      <c r="U39" s="14" t="e">
        <f ca="1">SOLID!Y50</f>
        <v>#N/A</v>
      </c>
      <c r="V39" s="14" t="e">
        <f ca="1">SOLID!Z50</f>
        <v>#N/A</v>
      </c>
      <c r="W39" s="14" t="e">
        <f ca="1">SOLID!AA50</f>
        <v>#N/A</v>
      </c>
      <c r="X39" s="14" t="e">
        <f ca="1">SOLID!AB50</f>
        <v>#N/A</v>
      </c>
      <c r="Y39" s="14" t="e">
        <f ca="1">SOLID!AC50</f>
        <v>#N/A</v>
      </c>
      <c r="Z39" s="14" t="e">
        <f ca="1">SOLID!AD50</f>
        <v>#N/A</v>
      </c>
      <c r="AA39" s="14" t="e">
        <f ca="1">SOLID!AE50</f>
        <v>#N/A</v>
      </c>
      <c r="AB39" s="14" t="e">
        <f ca="1">SOLID!AF50</f>
        <v>#N/A</v>
      </c>
      <c r="AC39" s="14" t="e">
        <f ca="1">SOLID!AG50</f>
        <v>#N/A</v>
      </c>
      <c r="AD39" s="14" t="e">
        <f ca="1">SOLID!AH50</f>
        <v>#N/A</v>
      </c>
      <c r="AE39" s="14" t="e">
        <f ca="1">SOLID!AI50</f>
        <v>#N/A</v>
      </c>
      <c r="AF39" s="14" t="e">
        <f ca="1">SOLID!AJ50</f>
        <v>#N/A</v>
      </c>
      <c r="AG39" s="14" t="e">
        <f ca="1">SOLID!AK50</f>
        <v>#N/A</v>
      </c>
      <c r="AH39" s="14" t="e">
        <f ca="1">SOLID!AL50</f>
        <v>#N/A</v>
      </c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</row>
    <row r="40" spans="1:94" ht="21.75" hidden="1" outlineLevel="1" thickBot="1" x14ac:dyDescent="0.4">
      <c r="A40" s="35">
        <f>SOLID!E51</f>
        <v>0</v>
      </c>
      <c r="B40" s="16" t="e">
        <f ca="1">SOLID!F51</f>
        <v>#N/A</v>
      </c>
      <c r="C40" s="16" t="e">
        <f ca="1">SOLID!G51</f>
        <v>#N/A</v>
      </c>
      <c r="D40" s="16" t="e">
        <f ca="1">SOLID!H51</f>
        <v>#N/A</v>
      </c>
      <c r="E40" s="16" t="e">
        <f ca="1">SOLID!I51</f>
        <v>#N/A</v>
      </c>
      <c r="F40" s="14" t="e">
        <f ca="1">SOLID!J51</f>
        <v>#N/A</v>
      </c>
      <c r="G40" s="14" t="e">
        <f ca="1">SOLID!K51</f>
        <v>#N/A</v>
      </c>
      <c r="H40" s="14" t="e">
        <f ca="1">SOLID!L51</f>
        <v>#N/A</v>
      </c>
      <c r="I40" s="14" t="e">
        <f ca="1">SOLID!M51</f>
        <v>#N/A</v>
      </c>
      <c r="J40" s="14" t="e">
        <f ca="1">SOLID!N51</f>
        <v>#N/A</v>
      </c>
      <c r="K40" s="14" t="e">
        <f ca="1">SOLID!O51</f>
        <v>#N/A</v>
      </c>
      <c r="L40" s="14" t="e">
        <f ca="1">SOLID!P51</f>
        <v>#N/A</v>
      </c>
      <c r="M40" s="14" t="e">
        <f ca="1">SOLID!Q51</f>
        <v>#N/A</v>
      </c>
      <c r="N40" s="14" t="e">
        <f ca="1">SOLID!R51</f>
        <v>#N/A</v>
      </c>
      <c r="O40" s="14" t="e">
        <f ca="1">SOLID!S51</f>
        <v>#N/A</v>
      </c>
      <c r="P40" s="14" t="e">
        <f ca="1">SOLID!T51</f>
        <v>#N/A</v>
      </c>
      <c r="Q40" s="14" t="e">
        <f ca="1">SOLID!U51</f>
        <v>#N/A</v>
      </c>
      <c r="R40" s="14" t="e">
        <f ca="1">SOLID!V51</f>
        <v>#N/A</v>
      </c>
      <c r="S40" s="14" t="e">
        <f ca="1">SOLID!W51</f>
        <v>#N/A</v>
      </c>
      <c r="T40" s="14" t="e">
        <f ca="1">SOLID!X51</f>
        <v>#N/A</v>
      </c>
      <c r="U40" s="14" t="e">
        <f ca="1">SOLID!Y51</f>
        <v>#N/A</v>
      </c>
      <c r="V40" s="14" t="e">
        <f ca="1">SOLID!Z51</f>
        <v>#N/A</v>
      </c>
      <c r="W40" s="14" t="e">
        <f ca="1">SOLID!AA51</f>
        <v>#N/A</v>
      </c>
      <c r="X40" s="14" t="e">
        <f ca="1">SOLID!AB51</f>
        <v>#N/A</v>
      </c>
      <c r="Y40" s="14" t="e">
        <f ca="1">SOLID!AC51</f>
        <v>#N/A</v>
      </c>
      <c r="Z40" s="14" t="e">
        <f ca="1">SOLID!AD51</f>
        <v>#N/A</v>
      </c>
      <c r="AA40" s="14" t="e">
        <f ca="1">SOLID!AE51</f>
        <v>#N/A</v>
      </c>
      <c r="AB40" s="14" t="e">
        <f ca="1">SOLID!AF51</f>
        <v>#N/A</v>
      </c>
      <c r="AC40" s="14" t="e">
        <f ca="1">SOLID!AG51</f>
        <v>#N/A</v>
      </c>
      <c r="AD40" s="14" t="e">
        <f ca="1">SOLID!AH51</f>
        <v>#N/A</v>
      </c>
      <c r="AE40" s="14" t="e">
        <f ca="1">SOLID!AI51</f>
        <v>#N/A</v>
      </c>
      <c r="AF40" s="14" t="e">
        <f ca="1">SOLID!AJ51</f>
        <v>#N/A</v>
      </c>
      <c r="AG40" s="14" t="e">
        <f ca="1">SOLID!AK51</f>
        <v>#N/A</v>
      </c>
      <c r="AH40" s="14" t="e">
        <f ca="1">SOLID!AL51</f>
        <v>#N/A</v>
      </c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</row>
    <row r="41" spans="1:94" ht="21.75" hidden="1" outlineLevel="1" thickBot="1" x14ac:dyDescent="0.4">
      <c r="A41" s="35">
        <f>SOLID!E52</f>
        <v>0</v>
      </c>
      <c r="B41" s="16" t="e">
        <f ca="1">SOLID!F52</f>
        <v>#N/A</v>
      </c>
      <c r="C41" s="16" t="e">
        <f ca="1">SOLID!G52</f>
        <v>#N/A</v>
      </c>
      <c r="D41" s="16" t="e">
        <f ca="1">SOLID!H52</f>
        <v>#N/A</v>
      </c>
      <c r="E41" s="16" t="e">
        <f ca="1">SOLID!I52</f>
        <v>#N/A</v>
      </c>
      <c r="F41" s="14" t="e">
        <f ca="1">SOLID!J52</f>
        <v>#N/A</v>
      </c>
      <c r="G41" s="14" t="e">
        <f ca="1">SOLID!K52</f>
        <v>#N/A</v>
      </c>
      <c r="H41" s="14" t="e">
        <f ca="1">SOLID!L52</f>
        <v>#N/A</v>
      </c>
      <c r="I41" s="14" t="e">
        <f ca="1">SOLID!M52</f>
        <v>#N/A</v>
      </c>
      <c r="J41" s="14" t="e">
        <f ca="1">SOLID!N52</f>
        <v>#N/A</v>
      </c>
      <c r="K41" s="14" t="e">
        <f ca="1">SOLID!O52</f>
        <v>#N/A</v>
      </c>
      <c r="L41" s="14" t="e">
        <f ca="1">SOLID!P52</f>
        <v>#N/A</v>
      </c>
      <c r="M41" s="14" t="e">
        <f ca="1">SOLID!Q52</f>
        <v>#N/A</v>
      </c>
      <c r="N41" s="14" t="e">
        <f ca="1">SOLID!R52</f>
        <v>#N/A</v>
      </c>
      <c r="O41" s="14" t="e">
        <f ca="1">SOLID!S52</f>
        <v>#N/A</v>
      </c>
      <c r="P41" s="14" t="e">
        <f ca="1">SOLID!T52</f>
        <v>#N/A</v>
      </c>
      <c r="Q41" s="14" t="e">
        <f ca="1">SOLID!U52</f>
        <v>#N/A</v>
      </c>
      <c r="R41" s="14" t="e">
        <f ca="1">SOLID!V52</f>
        <v>#N/A</v>
      </c>
      <c r="S41" s="14" t="e">
        <f ca="1">SOLID!W52</f>
        <v>#N/A</v>
      </c>
      <c r="T41" s="14" t="e">
        <f ca="1">SOLID!X52</f>
        <v>#N/A</v>
      </c>
      <c r="U41" s="14" t="e">
        <f ca="1">SOLID!Y52</f>
        <v>#N/A</v>
      </c>
      <c r="V41" s="14" t="e">
        <f ca="1">SOLID!Z52</f>
        <v>#N/A</v>
      </c>
      <c r="W41" s="14" t="e">
        <f ca="1">SOLID!AA52</f>
        <v>#N/A</v>
      </c>
      <c r="X41" s="14" t="e">
        <f ca="1">SOLID!AB52</f>
        <v>#N/A</v>
      </c>
      <c r="Y41" s="14" t="e">
        <f ca="1">SOLID!AC52</f>
        <v>#N/A</v>
      </c>
      <c r="Z41" s="14" t="e">
        <f ca="1">SOLID!AD52</f>
        <v>#N/A</v>
      </c>
      <c r="AA41" s="14" t="e">
        <f ca="1">SOLID!AE52</f>
        <v>#N/A</v>
      </c>
      <c r="AB41" s="14" t="e">
        <f ca="1">SOLID!AF52</f>
        <v>#N/A</v>
      </c>
      <c r="AC41" s="14" t="e">
        <f ca="1">SOLID!AG52</f>
        <v>#N/A</v>
      </c>
      <c r="AD41" s="14" t="e">
        <f ca="1">SOLID!AH52</f>
        <v>#N/A</v>
      </c>
      <c r="AE41" s="14" t="e">
        <f ca="1">SOLID!AI52</f>
        <v>#N/A</v>
      </c>
      <c r="AF41" s="14" t="e">
        <f ca="1">SOLID!AJ52</f>
        <v>#N/A</v>
      </c>
      <c r="AG41" s="14" t="e">
        <f ca="1">SOLID!AK52</f>
        <v>#N/A</v>
      </c>
      <c r="AH41" s="14" t="e">
        <f ca="1">SOLID!AL52</f>
        <v>#N/A</v>
      </c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</row>
    <row r="42" spans="1:94" ht="21.75" hidden="1" outlineLevel="1" thickBot="1" x14ac:dyDescent="0.4">
      <c r="A42" s="35">
        <f>SOLID!E53</f>
        <v>0</v>
      </c>
      <c r="B42" s="16" t="e">
        <f ca="1">SOLID!F53</f>
        <v>#N/A</v>
      </c>
      <c r="C42" s="16" t="e">
        <f ca="1">SOLID!G53</f>
        <v>#N/A</v>
      </c>
      <c r="D42" s="16" t="e">
        <f ca="1">SOLID!H53</f>
        <v>#N/A</v>
      </c>
      <c r="E42" s="16" t="e">
        <f ca="1">SOLID!I53</f>
        <v>#N/A</v>
      </c>
      <c r="F42" s="14" t="e">
        <f ca="1">SOLID!J53</f>
        <v>#N/A</v>
      </c>
      <c r="G42" s="14" t="e">
        <f ca="1">SOLID!K53</f>
        <v>#N/A</v>
      </c>
      <c r="H42" s="14" t="e">
        <f ca="1">SOLID!L53</f>
        <v>#N/A</v>
      </c>
      <c r="I42" s="14" t="e">
        <f ca="1">SOLID!M53</f>
        <v>#N/A</v>
      </c>
      <c r="J42" s="14" t="e">
        <f ca="1">SOLID!N53</f>
        <v>#N/A</v>
      </c>
      <c r="K42" s="14" t="e">
        <f ca="1">SOLID!O53</f>
        <v>#N/A</v>
      </c>
      <c r="L42" s="14" t="e">
        <f ca="1">SOLID!P53</f>
        <v>#N/A</v>
      </c>
      <c r="M42" s="14" t="e">
        <f ca="1">SOLID!Q53</f>
        <v>#N/A</v>
      </c>
      <c r="N42" s="14" t="e">
        <f ca="1">SOLID!R53</f>
        <v>#N/A</v>
      </c>
      <c r="O42" s="14" t="e">
        <f ca="1">SOLID!S53</f>
        <v>#N/A</v>
      </c>
      <c r="P42" s="14" t="e">
        <f ca="1">SOLID!T53</f>
        <v>#N/A</v>
      </c>
      <c r="Q42" s="14" t="e">
        <f ca="1">SOLID!U53</f>
        <v>#N/A</v>
      </c>
      <c r="R42" s="14" t="e">
        <f ca="1">SOLID!V53</f>
        <v>#N/A</v>
      </c>
      <c r="S42" s="14" t="e">
        <f ca="1">SOLID!W53</f>
        <v>#N/A</v>
      </c>
      <c r="T42" s="14" t="e">
        <f ca="1">SOLID!X53</f>
        <v>#N/A</v>
      </c>
      <c r="U42" s="14" t="e">
        <f ca="1">SOLID!Y53</f>
        <v>#N/A</v>
      </c>
      <c r="V42" s="14" t="e">
        <f ca="1">SOLID!Z53</f>
        <v>#N/A</v>
      </c>
      <c r="W42" s="14" t="e">
        <f ca="1">SOLID!AA53</f>
        <v>#N/A</v>
      </c>
      <c r="X42" s="14" t="e">
        <f ca="1">SOLID!AB53</f>
        <v>#N/A</v>
      </c>
      <c r="Y42" s="14" t="e">
        <f ca="1">SOLID!AC53</f>
        <v>#N/A</v>
      </c>
      <c r="Z42" s="14" t="e">
        <f ca="1">SOLID!AD53</f>
        <v>#N/A</v>
      </c>
      <c r="AA42" s="14" t="e">
        <f ca="1">SOLID!AE53</f>
        <v>#N/A</v>
      </c>
      <c r="AB42" s="14" t="e">
        <f ca="1">SOLID!AF53</f>
        <v>#N/A</v>
      </c>
      <c r="AC42" s="14" t="e">
        <f ca="1">SOLID!AG53</f>
        <v>#N/A</v>
      </c>
      <c r="AD42" s="14" t="e">
        <f ca="1">SOLID!AH53</f>
        <v>#N/A</v>
      </c>
      <c r="AE42" s="14" t="e">
        <f ca="1">SOLID!AI53</f>
        <v>#N/A</v>
      </c>
      <c r="AF42" s="14" t="e">
        <f ca="1">SOLID!AJ53</f>
        <v>#N/A</v>
      </c>
      <c r="AG42" s="14" t="e">
        <f ca="1">SOLID!AK53</f>
        <v>#N/A</v>
      </c>
      <c r="AH42" s="14" t="e">
        <f ca="1">SOLID!AL53</f>
        <v>#N/A</v>
      </c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</row>
    <row r="43" spans="1:94" ht="21.75" hidden="1" outlineLevel="1" thickBot="1" x14ac:dyDescent="0.4">
      <c r="A43" s="35">
        <f>SOLID!E54</f>
        <v>0</v>
      </c>
      <c r="B43" s="16" t="e">
        <f ca="1">SOLID!F54</f>
        <v>#N/A</v>
      </c>
      <c r="C43" s="16" t="e">
        <f ca="1">SOLID!G54</f>
        <v>#N/A</v>
      </c>
      <c r="D43" s="16" t="e">
        <f ca="1">SOLID!H54</f>
        <v>#N/A</v>
      </c>
      <c r="E43" s="16" t="e">
        <f ca="1">SOLID!I54</f>
        <v>#N/A</v>
      </c>
      <c r="F43" s="14" t="e">
        <f ca="1">SOLID!J54</f>
        <v>#N/A</v>
      </c>
      <c r="G43" s="14" t="e">
        <f ca="1">SOLID!K54</f>
        <v>#N/A</v>
      </c>
      <c r="H43" s="14" t="e">
        <f ca="1">SOLID!L54</f>
        <v>#N/A</v>
      </c>
      <c r="I43" s="14" t="e">
        <f ca="1">SOLID!M54</f>
        <v>#N/A</v>
      </c>
      <c r="J43" s="14" t="e">
        <f ca="1">SOLID!N54</f>
        <v>#N/A</v>
      </c>
      <c r="K43" s="14" t="e">
        <f ca="1">SOLID!O54</f>
        <v>#N/A</v>
      </c>
      <c r="L43" s="14" t="e">
        <f ca="1">SOLID!P54</f>
        <v>#N/A</v>
      </c>
      <c r="M43" s="14" t="e">
        <f ca="1">SOLID!Q54</f>
        <v>#N/A</v>
      </c>
      <c r="N43" s="14" t="e">
        <f ca="1">SOLID!R54</f>
        <v>#N/A</v>
      </c>
      <c r="O43" s="14" t="e">
        <f ca="1">SOLID!S54</f>
        <v>#N/A</v>
      </c>
      <c r="P43" s="14" t="e">
        <f ca="1">SOLID!T54</f>
        <v>#N/A</v>
      </c>
      <c r="Q43" s="14" t="e">
        <f ca="1">SOLID!U54</f>
        <v>#N/A</v>
      </c>
      <c r="R43" s="14" t="e">
        <f ca="1">SOLID!V54</f>
        <v>#N/A</v>
      </c>
      <c r="S43" s="14" t="e">
        <f ca="1">SOLID!W54</f>
        <v>#N/A</v>
      </c>
      <c r="T43" s="14" t="e">
        <f ca="1">SOLID!X54</f>
        <v>#N/A</v>
      </c>
      <c r="U43" s="14" t="e">
        <f ca="1">SOLID!Y54</f>
        <v>#N/A</v>
      </c>
      <c r="V43" s="14" t="e">
        <f ca="1">SOLID!Z54</f>
        <v>#N/A</v>
      </c>
      <c r="W43" s="14" t="e">
        <f ca="1">SOLID!AA54</f>
        <v>#N/A</v>
      </c>
      <c r="X43" s="14" t="e">
        <f ca="1">SOLID!AB54</f>
        <v>#N/A</v>
      </c>
      <c r="Y43" s="14" t="e">
        <f ca="1">SOLID!AC54</f>
        <v>#N/A</v>
      </c>
      <c r="Z43" s="14" t="e">
        <f ca="1">SOLID!AD54</f>
        <v>#N/A</v>
      </c>
      <c r="AA43" s="14" t="e">
        <f ca="1">SOLID!AE54</f>
        <v>#N/A</v>
      </c>
      <c r="AB43" s="14" t="e">
        <f ca="1">SOLID!AF54</f>
        <v>#N/A</v>
      </c>
      <c r="AC43" s="14" t="e">
        <f ca="1">SOLID!AG54</f>
        <v>#N/A</v>
      </c>
      <c r="AD43" s="14" t="e">
        <f ca="1">SOLID!AH54</f>
        <v>#N/A</v>
      </c>
      <c r="AE43" s="14" t="e">
        <f ca="1">SOLID!AI54</f>
        <v>#N/A</v>
      </c>
      <c r="AF43" s="14" t="e">
        <f ca="1">SOLID!AJ54</f>
        <v>#N/A</v>
      </c>
      <c r="AG43" s="14" t="e">
        <f ca="1">SOLID!AK54</f>
        <v>#N/A</v>
      </c>
      <c r="AH43" s="14" t="e">
        <f ca="1">SOLID!AL54</f>
        <v>#N/A</v>
      </c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</row>
    <row r="44" spans="1:94" ht="21.75" hidden="1" outlineLevel="1" thickBot="1" x14ac:dyDescent="0.4">
      <c r="A44" s="35">
        <f>SOLID!E55</f>
        <v>0</v>
      </c>
      <c r="B44" s="16" t="e">
        <f ca="1">SOLID!F55</f>
        <v>#N/A</v>
      </c>
      <c r="C44" s="16" t="e">
        <f ca="1">SOLID!G55</f>
        <v>#N/A</v>
      </c>
      <c r="D44" s="16" t="e">
        <f ca="1">SOLID!H55</f>
        <v>#N/A</v>
      </c>
      <c r="E44" s="16" t="e">
        <f ca="1">SOLID!I55</f>
        <v>#N/A</v>
      </c>
      <c r="F44" s="14" t="e">
        <f ca="1">SOLID!J55</f>
        <v>#N/A</v>
      </c>
      <c r="G44" s="14" t="e">
        <f ca="1">SOLID!K55</f>
        <v>#N/A</v>
      </c>
      <c r="H44" s="14" t="e">
        <f ca="1">SOLID!L55</f>
        <v>#N/A</v>
      </c>
      <c r="I44" s="14" t="e">
        <f ca="1">SOLID!M55</f>
        <v>#N/A</v>
      </c>
      <c r="J44" s="14" t="e">
        <f ca="1">SOLID!N55</f>
        <v>#N/A</v>
      </c>
      <c r="K44" s="14" t="e">
        <f ca="1">SOLID!O55</f>
        <v>#N/A</v>
      </c>
      <c r="L44" s="14" t="e">
        <f ca="1">SOLID!P55</f>
        <v>#N/A</v>
      </c>
      <c r="M44" s="14" t="e">
        <f ca="1">SOLID!Q55</f>
        <v>#N/A</v>
      </c>
      <c r="N44" s="14" t="e">
        <f ca="1">SOLID!R55</f>
        <v>#N/A</v>
      </c>
      <c r="O44" s="14" t="e">
        <f ca="1">SOLID!S55</f>
        <v>#N/A</v>
      </c>
      <c r="P44" s="14" t="e">
        <f ca="1">SOLID!T55</f>
        <v>#N/A</v>
      </c>
      <c r="Q44" s="14" t="e">
        <f ca="1">SOLID!U55</f>
        <v>#N/A</v>
      </c>
      <c r="R44" s="14" t="e">
        <f ca="1">SOLID!V55</f>
        <v>#N/A</v>
      </c>
      <c r="S44" s="14" t="e">
        <f ca="1">SOLID!W55</f>
        <v>#N/A</v>
      </c>
      <c r="T44" s="14" t="e">
        <f ca="1">SOLID!X55</f>
        <v>#N/A</v>
      </c>
      <c r="U44" s="14" t="e">
        <f ca="1">SOLID!Y55</f>
        <v>#N/A</v>
      </c>
      <c r="V44" s="14" t="e">
        <f ca="1">SOLID!Z55</f>
        <v>#N/A</v>
      </c>
      <c r="W44" s="14" t="e">
        <f ca="1">SOLID!AA55</f>
        <v>#N/A</v>
      </c>
      <c r="X44" s="14" t="e">
        <f ca="1">SOLID!AB55</f>
        <v>#N/A</v>
      </c>
      <c r="Y44" s="14" t="e">
        <f ca="1">SOLID!AC55</f>
        <v>#N/A</v>
      </c>
      <c r="Z44" s="14" t="e">
        <f ca="1">SOLID!AD55</f>
        <v>#N/A</v>
      </c>
      <c r="AA44" s="14" t="e">
        <f ca="1">SOLID!AE55</f>
        <v>#N/A</v>
      </c>
      <c r="AB44" s="14" t="e">
        <f ca="1">SOLID!AF55</f>
        <v>#N/A</v>
      </c>
      <c r="AC44" s="14" t="e">
        <f ca="1">SOLID!AG55</f>
        <v>#N/A</v>
      </c>
      <c r="AD44" s="14" t="e">
        <f ca="1">SOLID!AH55</f>
        <v>#N/A</v>
      </c>
      <c r="AE44" s="14" t="e">
        <f ca="1">SOLID!AI55</f>
        <v>#N/A</v>
      </c>
      <c r="AF44" s="14" t="e">
        <f ca="1">SOLID!AJ55</f>
        <v>#N/A</v>
      </c>
      <c r="AG44" s="14" t="e">
        <f ca="1">SOLID!AK55</f>
        <v>#N/A</v>
      </c>
      <c r="AH44" s="14" t="e">
        <f ca="1">SOLID!AL55</f>
        <v>#N/A</v>
      </c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</row>
    <row r="45" spans="1:94" ht="21.75" hidden="1" outlineLevel="1" thickBot="1" x14ac:dyDescent="0.4">
      <c r="A45" s="35">
        <f>SOLID!E56</f>
        <v>0</v>
      </c>
      <c r="B45" s="16" t="e">
        <f ca="1">SOLID!F56</f>
        <v>#N/A</v>
      </c>
      <c r="C45" s="16" t="e">
        <f ca="1">SOLID!G56</f>
        <v>#N/A</v>
      </c>
      <c r="D45" s="16" t="e">
        <f ca="1">SOLID!H56</f>
        <v>#N/A</v>
      </c>
      <c r="E45" s="16" t="e">
        <f ca="1">SOLID!I56</f>
        <v>#N/A</v>
      </c>
      <c r="F45" s="14" t="e">
        <f ca="1">SOLID!J56</f>
        <v>#N/A</v>
      </c>
      <c r="G45" s="14" t="e">
        <f ca="1">SOLID!K56</f>
        <v>#N/A</v>
      </c>
      <c r="H45" s="14" t="e">
        <f ca="1">SOLID!L56</f>
        <v>#N/A</v>
      </c>
      <c r="I45" s="14" t="e">
        <f ca="1">SOLID!M56</f>
        <v>#N/A</v>
      </c>
      <c r="J45" s="14" t="e">
        <f ca="1">SOLID!N56</f>
        <v>#N/A</v>
      </c>
      <c r="K45" s="14" t="e">
        <f ca="1">SOLID!O56</f>
        <v>#N/A</v>
      </c>
      <c r="L45" s="14" t="e">
        <f ca="1">SOLID!P56</f>
        <v>#N/A</v>
      </c>
      <c r="M45" s="14" t="e">
        <f ca="1">SOLID!Q56</f>
        <v>#N/A</v>
      </c>
      <c r="N45" s="14" t="e">
        <f ca="1">SOLID!R56</f>
        <v>#N/A</v>
      </c>
      <c r="O45" s="14" t="e">
        <f ca="1">SOLID!S56</f>
        <v>#N/A</v>
      </c>
      <c r="P45" s="14" t="e">
        <f ca="1">SOLID!T56</f>
        <v>#N/A</v>
      </c>
      <c r="Q45" s="14" t="e">
        <f ca="1">SOLID!U56</f>
        <v>#N/A</v>
      </c>
      <c r="R45" s="14" t="e">
        <f ca="1">SOLID!V56</f>
        <v>#N/A</v>
      </c>
      <c r="S45" s="14" t="e">
        <f ca="1">SOLID!W56</f>
        <v>#N/A</v>
      </c>
      <c r="T45" s="14" t="e">
        <f ca="1">SOLID!X56</f>
        <v>#N/A</v>
      </c>
      <c r="U45" s="14" t="e">
        <f ca="1">SOLID!Y56</f>
        <v>#N/A</v>
      </c>
      <c r="V45" s="14" t="e">
        <f ca="1">SOLID!Z56</f>
        <v>#N/A</v>
      </c>
      <c r="W45" s="14" t="e">
        <f ca="1">SOLID!AA56</f>
        <v>#N/A</v>
      </c>
      <c r="X45" s="14" t="e">
        <f ca="1">SOLID!AB56</f>
        <v>#N/A</v>
      </c>
      <c r="Y45" s="14" t="e">
        <f ca="1">SOLID!AC56</f>
        <v>#N/A</v>
      </c>
      <c r="Z45" s="14" t="e">
        <f ca="1">SOLID!AD56</f>
        <v>#N/A</v>
      </c>
      <c r="AA45" s="14" t="e">
        <f ca="1">SOLID!AE56</f>
        <v>#N/A</v>
      </c>
      <c r="AB45" s="14" t="e">
        <f ca="1">SOLID!AF56</f>
        <v>#N/A</v>
      </c>
      <c r="AC45" s="14" t="e">
        <f ca="1">SOLID!AG56</f>
        <v>#N/A</v>
      </c>
      <c r="AD45" s="14" t="e">
        <f ca="1">SOLID!AH56</f>
        <v>#N/A</v>
      </c>
      <c r="AE45" s="14" t="e">
        <f ca="1">SOLID!AI56</f>
        <v>#N/A</v>
      </c>
      <c r="AF45" s="14" t="e">
        <f ca="1">SOLID!AJ56</f>
        <v>#N/A</v>
      </c>
      <c r="AG45" s="14" t="e">
        <f ca="1">SOLID!AK56</f>
        <v>#N/A</v>
      </c>
      <c r="AH45" s="14" t="e">
        <f ca="1">SOLID!AL56</f>
        <v>#N/A</v>
      </c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</row>
    <row r="46" spans="1:94" ht="21.75" hidden="1" outlineLevel="1" thickBot="1" x14ac:dyDescent="0.4">
      <c r="A46" s="35">
        <f>SOLID!E57</f>
        <v>0</v>
      </c>
      <c r="B46" s="16" t="e">
        <f ca="1">SOLID!F57</f>
        <v>#N/A</v>
      </c>
      <c r="C46" s="16" t="e">
        <f ca="1">SOLID!G57</f>
        <v>#N/A</v>
      </c>
      <c r="D46" s="16" t="e">
        <f ca="1">SOLID!H57</f>
        <v>#N/A</v>
      </c>
      <c r="E46" s="16" t="e">
        <f ca="1">SOLID!I57</f>
        <v>#N/A</v>
      </c>
      <c r="F46" s="14" t="e">
        <f ca="1">SOLID!J57</f>
        <v>#N/A</v>
      </c>
      <c r="G46" s="14" t="e">
        <f ca="1">SOLID!K57</f>
        <v>#N/A</v>
      </c>
      <c r="H46" s="14" t="e">
        <f ca="1">SOLID!L57</f>
        <v>#N/A</v>
      </c>
      <c r="I46" s="14" t="e">
        <f ca="1">SOLID!M57</f>
        <v>#N/A</v>
      </c>
      <c r="J46" s="14" t="e">
        <f ca="1">SOLID!N57</f>
        <v>#N/A</v>
      </c>
      <c r="K46" s="14" t="e">
        <f ca="1">SOLID!O57</f>
        <v>#N/A</v>
      </c>
      <c r="L46" s="14" t="e">
        <f ca="1">SOLID!P57</f>
        <v>#N/A</v>
      </c>
      <c r="M46" s="14" t="e">
        <f ca="1">SOLID!Q57</f>
        <v>#N/A</v>
      </c>
      <c r="N46" s="14" t="e">
        <f ca="1">SOLID!R57</f>
        <v>#N/A</v>
      </c>
      <c r="O46" s="14" t="e">
        <f ca="1">SOLID!S57</f>
        <v>#N/A</v>
      </c>
      <c r="P46" s="14" t="e">
        <f ca="1">SOLID!T57</f>
        <v>#N/A</v>
      </c>
      <c r="Q46" s="14" t="e">
        <f ca="1">SOLID!U57</f>
        <v>#N/A</v>
      </c>
      <c r="R46" s="14" t="e">
        <f ca="1">SOLID!V57</f>
        <v>#N/A</v>
      </c>
      <c r="S46" s="14" t="e">
        <f ca="1">SOLID!W57</f>
        <v>#N/A</v>
      </c>
      <c r="T46" s="14" t="e">
        <f ca="1">SOLID!X57</f>
        <v>#N/A</v>
      </c>
      <c r="U46" s="14" t="e">
        <f ca="1">SOLID!Y57</f>
        <v>#N/A</v>
      </c>
      <c r="V46" s="14" t="e">
        <f ca="1">SOLID!Z57</f>
        <v>#N/A</v>
      </c>
      <c r="W46" s="14" t="e">
        <f ca="1">SOLID!AA57</f>
        <v>#N/A</v>
      </c>
      <c r="X46" s="14" t="e">
        <f ca="1">SOLID!AB57</f>
        <v>#N/A</v>
      </c>
      <c r="Y46" s="14" t="e">
        <f ca="1">SOLID!AC57</f>
        <v>#N/A</v>
      </c>
      <c r="Z46" s="14" t="e">
        <f ca="1">SOLID!AD57</f>
        <v>#N/A</v>
      </c>
      <c r="AA46" s="14" t="e">
        <f ca="1">SOLID!AE57</f>
        <v>#N/A</v>
      </c>
      <c r="AB46" s="14" t="e">
        <f ca="1">SOLID!AF57</f>
        <v>#N/A</v>
      </c>
      <c r="AC46" s="14" t="e">
        <f ca="1">SOLID!AG57</f>
        <v>#N/A</v>
      </c>
      <c r="AD46" s="14" t="e">
        <f ca="1">SOLID!AH57</f>
        <v>#N/A</v>
      </c>
      <c r="AE46" s="14" t="e">
        <f ca="1">SOLID!AI57</f>
        <v>#N/A</v>
      </c>
      <c r="AF46" s="14" t="e">
        <f ca="1">SOLID!AJ57</f>
        <v>#N/A</v>
      </c>
      <c r="AG46" s="14" t="e">
        <f ca="1">SOLID!AK57</f>
        <v>#N/A</v>
      </c>
      <c r="AH46" s="14" t="e">
        <f ca="1">SOLID!AL57</f>
        <v>#N/A</v>
      </c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</row>
    <row r="47" spans="1:94" ht="21.75" hidden="1" outlineLevel="1" thickBot="1" x14ac:dyDescent="0.4">
      <c r="A47" s="35">
        <f>SOLID!E58</f>
        <v>0</v>
      </c>
      <c r="B47" s="16" t="e">
        <f ca="1">SOLID!F58</f>
        <v>#N/A</v>
      </c>
      <c r="C47" s="16" t="e">
        <f ca="1">SOLID!G58</f>
        <v>#N/A</v>
      </c>
      <c r="D47" s="16" t="e">
        <f ca="1">SOLID!H58</f>
        <v>#N/A</v>
      </c>
      <c r="E47" s="16" t="e">
        <f ca="1">SOLID!I58</f>
        <v>#N/A</v>
      </c>
      <c r="F47" s="14" t="e">
        <f ca="1">SOLID!J58</f>
        <v>#N/A</v>
      </c>
      <c r="G47" s="14" t="e">
        <f ca="1">SOLID!K58</f>
        <v>#N/A</v>
      </c>
      <c r="H47" s="14" t="e">
        <f ca="1">SOLID!L58</f>
        <v>#N/A</v>
      </c>
      <c r="I47" s="14" t="e">
        <f ca="1">SOLID!M58</f>
        <v>#N/A</v>
      </c>
      <c r="J47" s="14" t="e">
        <f ca="1">SOLID!N58</f>
        <v>#N/A</v>
      </c>
      <c r="K47" s="14" t="e">
        <f ca="1">SOLID!O58</f>
        <v>#N/A</v>
      </c>
      <c r="L47" s="14" t="e">
        <f ca="1">SOLID!P58</f>
        <v>#N/A</v>
      </c>
      <c r="M47" s="14" t="e">
        <f ca="1">SOLID!Q58</f>
        <v>#N/A</v>
      </c>
      <c r="N47" s="14" t="e">
        <f ca="1">SOLID!R58</f>
        <v>#N/A</v>
      </c>
      <c r="O47" s="14" t="e">
        <f ca="1">SOLID!S58</f>
        <v>#N/A</v>
      </c>
      <c r="P47" s="14" t="e">
        <f ca="1">SOLID!T58</f>
        <v>#N/A</v>
      </c>
      <c r="Q47" s="14" t="e">
        <f ca="1">SOLID!U58</f>
        <v>#N/A</v>
      </c>
      <c r="R47" s="14" t="e">
        <f ca="1">SOLID!V58</f>
        <v>#N/A</v>
      </c>
      <c r="S47" s="14" t="e">
        <f ca="1">SOLID!W58</f>
        <v>#N/A</v>
      </c>
      <c r="T47" s="14" t="e">
        <f ca="1">SOLID!X58</f>
        <v>#N/A</v>
      </c>
      <c r="U47" s="14" t="e">
        <f ca="1">SOLID!Y58</f>
        <v>#N/A</v>
      </c>
      <c r="V47" s="14" t="e">
        <f ca="1">SOLID!Z58</f>
        <v>#N/A</v>
      </c>
      <c r="W47" s="14" t="e">
        <f ca="1">SOLID!AA58</f>
        <v>#N/A</v>
      </c>
      <c r="X47" s="14" t="e">
        <f ca="1">SOLID!AB58</f>
        <v>#N/A</v>
      </c>
      <c r="Y47" s="14" t="e">
        <f ca="1">SOLID!AC58</f>
        <v>#N/A</v>
      </c>
      <c r="Z47" s="14" t="e">
        <f ca="1">SOLID!AD58</f>
        <v>#N/A</v>
      </c>
      <c r="AA47" s="14" t="e">
        <f ca="1">SOLID!AE58</f>
        <v>#N/A</v>
      </c>
      <c r="AB47" s="14" t="e">
        <f ca="1">SOLID!AF58</f>
        <v>#N/A</v>
      </c>
      <c r="AC47" s="14" t="e">
        <f ca="1">SOLID!AG58</f>
        <v>#N/A</v>
      </c>
      <c r="AD47" s="14" t="e">
        <f ca="1">SOLID!AH58</f>
        <v>#N/A</v>
      </c>
      <c r="AE47" s="14" t="e">
        <f ca="1">SOLID!AI58</f>
        <v>#N/A</v>
      </c>
      <c r="AF47" s="14" t="e">
        <f ca="1">SOLID!AJ58</f>
        <v>#N/A</v>
      </c>
      <c r="AG47" s="14" t="e">
        <f ca="1">SOLID!AK58</f>
        <v>#N/A</v>
      </c>
      <c r="AH47" s="14" t="e">
        <f ca="1">SOLID!AL58</f>
        <v>#N/A</v>
      </c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</row>
    <row r="48" spans="1:94" ht="21.75" hidden="1" outlineLevel="1" thickBot="1" x14ac:dyDescent="0.4">
      <c r="A48" s="35">
        <f>SOLID!E59</f>
        <v>0</v>
      </c>
      <c r="B48" s="16" t="e">
        <f ca="1">SOLID!F59</f>
        <v>#N/A</v>
      </c>
      <c r="C48" s="16" t="e">
        <f ca="1">SOLID!G59</f>
        <v>#N/A</v>
      </c>
      <c r="D48" s="16" t="e">
        <f ca="1">SOLID!H59</f>
        <v>#N/A</v>
      </c>
      <c r="E48" s="16" t="e">
        <f ca="1">SOLID!I59</f>
        <v>#N/A</v>
      </c>
      <c r="F48" s="14" t="e">
        <f ca="1">SOLID!J59</f>
        <v>#N/A</v>
      </c>
      <c r="G48" s="14" t="e">
        <f ca="1">SOLID!K59</f>
        <v>#N/A</v>
      </c>
      <c r="H48" s="14" t="e">
        <f ca="1">SOLID!L59</f>
        <v>#N/A</v>
      </c>
      <c r="I48" s="14" t="e">
        <f ca="1">SOLID!M59</f>
        <v>#N/A</v>
      </c>
      <c r="J48" s="14" t="e">
        <f ca="1">SOLID!N59</f>
        <v>#N/A</v>
      </c>
      <c r="K48" s="14" t="e">
        <f ca="1">SOLID!O59</f>
        <v>#N/A</v>
      </c>
      <c r="L48" s="14" t="e">
        <f ca="1">SOLID!P59</f>
        <v>#N/A</v>
      </c>
      <c r="M48" s="14" t="e">
        <f ca="1">SOLID!Q59</f>
        <v>#N/A</v>
      </c>
      <c r="N48" s="14" t="e">
        <f ca="1">SOLID!R59</f>
        <v>#N/A</v>
      </c>
      <c r="O48" s="14" t="e">
        <f ca="1">SOLID!S59</f>
        <v>#N/A</v>
      </c>
      <c r="P48" s="14" t="e">
        <f ca="1">SOLID!T59</f>
        <v>#N/A</v>
      </c>
      <c r="Q48" s="14" t="e">
        <f ca="1">SOLID!U59</f>
        <v>#N/A</v>
      </c>
      <c r="R48" s="14" t="e">
        <f ca="1">SOLID!V59</f>
        <v>#N/A</v>
      </c>
      <c r="S48" s="14" t="e">
        <f ca="1">SOLID!W59</f>
        <v>#N/A</v>
      </c>
      <c r="T48" s="14" t="e">
        <f ca="1">SOLID!X59</f>
        <v>#N/A</v>
      </c>
      <c r="U48" s="14" t="e">
        <f ca="1">SOLID!Y59</f>
        <v>#N/A</v>
      </c>
      <c r="V48" s="14" t="e">
        <f ca="1">SOLID!Z59</f>
        <v>#N/A</v>
      </c>
      <c r="W48" s="14" t="e">
        <f ca="1">SOLID!AA59</f>
        <v>#N/A</v>
      </c>
      <c r="X48" s="14" t="e">
        <f ca="1">SOLID!AB59</f>
        <v>#N/A</v>
      </c>
      <c r="Y48" s="14" t="e">
        <f ca="1">SOLID!AC59</f>
        <v>#N/A</v>
      </c>
      <c r="Z48" s="14" t="e">
        <f ca="1">SOLID!AD59</f>
        <v>#N/A</v>
      </c>
      <c r="AA48" s="14" t="e">
        <f ca="1">SOLID!AE59</f>
        <v>#N/A</v>
      </c>
      <c r="AB48" s="14" t="e">
        <f ca="1">SOLID!AF59</f>
        <v>#N/A</v>
      </c>
      <c r="AC48" s="14" t="e">
        <f ca="1">SOLID!AG59</f>
        <v>#N/A</v>
      </c>
      <c r="AD48" s="14" t="e">
        <f ca="1">SOLID!AH59</f>
        <v>#N/A</v>
      </c>
      <c r="AE48" s="14" t="e">
        <f ca="1">SOLID!AI59</f>
        <v>#N/A</v>
      </c>
      <c r="AF48" s="14" t="e">
        <f ca="1">SOLID!AJ59</f>
        <v>#N/A</v>
      </c>
      <c r="AG48" s="14" t="e">
        <f ca="1">SOLID!AK59</f>
        <v>#N/A</v>
      </c>
      <c r="AH48" s="14" t="e">
        <f ca="1">SOLID!AL59</f>
        <v>#N/A</v>
      </c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</row>
    <row r="49" spans="1:94" ht="21.75" hidden="1" outlineLevel="1" thickBot="1" x14ac:dyDescent="0.4">
      <c r="A49" s="35">
        <f>SOLID!E60</f>
        <v>0</v>
      </c>
      <c r="B49" s="16" t="e">
        <f ca="1">SOLID!F60</f>
        <v>#N/A</v>
      </c>
      <c r="C49" s="16" t="e">
        <f ca="1">SOLID!G60</f>
        <v>#N/A</v>
      </c>
      <c r="D49" s="16" t="e">
        <f ca="1">SOLID!H60</f>
        <v>#N/A</v>
      </c>
      <c r="E49" s="16" t="e">
        <f ca="1">SOLID!I60</f>
        <v>#N/A</v>
      </c>
      <c r="F49" s="14" t="e">
        <f ca="1">SOLID!J60</f>
        <v>#N/A</v>
      </c>
      <c r="G49" s="14" t="e">
        <f ca="1">SOLID!K60</f>
        <v>#N/A</v>
      </c>
      <c r="H49" s="14" t="e">
        <f ca="1">SOLID!L60</f>
        <v>#N/A</v>
      </c>
      <c r="I49" s="14" t="e">
        <f ca="1">SOLID!M60</f>
        <v>#N/A</v>
      </c>
      <c r="J49" s="14" t="e">
        <f ca="1">SOLID!N60</f>
        <v>#N/A</v>
      </c>
      <c r="K49" s="14" t="e">
        <f ca="1">SOLID!O60</f>
        <v>#N/A</v>
      </c>
      <c r="L49" s="14" t="e">
        <f ca="1">SOLID!P60</f>
        <v>#N/A</v>
      </c>
      <c r="M49" s="14" t="e">
        <f ca="1">SOLID!Q60</f>
        <v>#N/A</v>
      </c>
      <c r="N49" s="14" t="e">
        <f ca="1">SOLID!R60</f>
        <v>#N/A</v>
      </c>
      <c r="O49" s="14" t="e">
        <f ca="1">SOLID!S60</f>
        <v>#N/A</v>
      </c>
      <c r="P49" s="14" t="e">
        <f ca="1">SOLID!T60</f>
        <v>#N/A</v>
      </c>
      <c r="Q49" s="14" t="e">
        <f ca="1">SOLID!U60</f>
        <v>#N/A</v>
      </c>
      <c r="R49" s="14" t="e">
        <f ca="1">SOLID!V60</f>
        <v>#N/A</v>
      </c>
      <c r="S49" s="14" t="e">
        <f ca="1">SOLID!W60</f>
        <v>#N/A</v>
      </c>
      <c r="T49" s="14" t="e">
        <f ca="1">SOLID!X60</f>
        <v>#N/A</v>
      </c>
      <c r="U49" s="14" t="e">
        <f ca="1">SOLID!Y60</f>
        <v>#N/A</v>
      </c>
      <c r="V49" s="14" t="e">
        <f ca="1">SOLID!Z60</f>
        <v>#N/A</v>
      </c>
      <c r="W49" s="14" t="e">
        <f ca="1">SOLID!AA60</f>
        <v>#N/A</v>
      </c>
      <c r="X49" s="14" t="e">
        <f ca="1">SOLID!AB60</f>
        <v>#N/A</v>
      </c>
      <c r="Y49" s="14" t="e">
        <f ca="1">SOLID!AC60</f>
        <v>#N/A</v>
      </c>
      <c r="Z49" s="14" t="e">
        <f ca="1">SOLID!AD60</f>
        <v>#N/A</v>
      </c>
      <c r="AA49" s="14" t="e">
        <f ca="1">SOLID!AE60</f>
        <v>#N/A</v>
      </c>
      <c r="AB49" s="14" t="e">
        <f ca="1">SOLID!AF60</f>
        <v>#N/A</v>
      </c>
      <c r="AC49" s="14" t="e">
        <f ca="1">SOLID!AG60</f>
        <v>#N/A</v>
      </c>
      <c r="AD49" s="14" t="e">
        <f ca="1">SOLID!AH60</f>
        <v>#N/A</v>
      </c>
      <c r="AE49" s="14" t="e">
        <f ca="1">SOLID!AI60</f>
        <v>#N/A</v>
      </c>
      <c r="AF49" s="14" t="e">
        <f ca="1">SOLID!AJ60</f>
        <v>#N/A</v>
      </c>
      <c r="AG49" s="14" t="e">
        <f ca="1">SOLID!AK60</f>
        <v>#N/A</v>
      </c>
      <c r="AH49" s="14" t="e">
        <f ca="1">SOLID!AL60</f>
        <v>#N/A</v>
      </c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</row>
    <row r="50" spans="1:94" ht="21.75" hidden="1" outlineLevel="1" thickBot="1" x14ac:dyDescent="0.4">
      <c r="A50" s="35">
        <f>SOLID!E61</f>
        <v>0</v>
      </c>
      <c r="B50" s="16" t="e">
        <f ca="1">SOLID!F61</f>
        <v>#N/A</v>
      </c>
      <c r="C50" s="16" t="e">
        <f ca="1">SOLID!G61</f>
        <v>#N/A</v>
      </c>
      <c r="D50" s="16" t="e">
        <f ca="1">SOLID!H61</f>
        <v>#N/A</v>
      </c>
      <c r="E50" s="16" t="e">
        <f ca="1">SOLID!I61</f>
        <v>#N/A</v>
      </c>
      <c r="F50" s="14" t="e">
        <f ca="1">SOLID!J61</f>
        <v>#N/A</v>
      </c>
      <c r="G50" s="14" t="e">
        <f ca="1">SOLID!K61</f>
        <v>#N/A</v>
      </c>
      <c r="H50" s="14" t="e">
        <f ca="1">SOLID!L61</f>
        <v>#N/A</v>
      </c>
      <c r="I50" s="14" t="e">
        <f ca="1">SOLID!M61</f>
        <v>#N/A</v>
      </c>
      <c r="J50" s="14" t="e">
        <f ca="1">SOLID!N61</f>
        <v>#N/A</v>
      </c>
      <c r="K50" s="14" t="e">
        <f ca="1">SOLID!O61</f>
        <v>#N/A</v>
      </c>
      <c r="L50" s="14" t="e">
        <f ca="1">SOLID!P61</f>
        <v>#N/A</v>
      </c>
      <c r="M50" s="14" t="e">
        <f ca="1">SOLID!Q61</f>
        <v>#N/A</v>
      </c>
      <c r="N50" s="14" t="e">
        <f ca="1">SOLID!R61</f>
        <v>#N/A</v>
      </c>
      <c r="O50" s="14" t="e">
        <f ca="1">SOLID!S61</f>
        <v>#N/A</v>
      </c>
      <c r="P50" s="14" t="e">
        <f ca="1">SOLID!T61</f>
        <v>#N/A</v>
      </c>
      <c r="Q50" s="14" t="e">
        <f ca="1">SOLID!U61</f>
        <v>#N/A</v>
      </c>
      <c r="R50" s="14" t="e">
        <f ca="1">SOLID!V61</f>
        <v>#N/A</v>
      </c>
      <c r="S50" s="14" t="e">
        <f ca="1">SOLID!W61</f>
        <v>#N/A</v>
      </c>
      <c r="T50" s="14" t="e">
        <f ca="1">SOLID!X61</f>
        <v>#N/A</v>
      </c>
      <c r="U50" s="14" t="e">
        <f ca="1">SOLID!Y61</f>
        <v>#N/A</v>
      </c>
      <c r="V50" s="14" t="e">
        <f ca="1">SOLID!Z61</f>
        <v>#N/A</v>
      </c>
      <c r="W50" s="14" t="e">
        <f ca="1">SOLID!AA61</f>
        <v>#N/A</v>
      </c>
      <c r="X50" s="14" t="e">
        <f ca="1">SOLID!AB61</f>
        <v>#N/A</v>
      </c>
      <c r="Y50" s="14" t="e">
        <f ca="1">SOLID!AC61</f>
        <v>#N/A</v>
      </c>
      <c r="Z50" s="14" t="e">
        <f ca="1">SOLID!AD61</f>
        <v>#N/A</v>
      </c>
      <c r="AA50" s="14" t="e">
        <f ca="1">SOLID!AE61</f>
        <v>#N/A</v>
      </c>
      <c r="AB50" s="14" t="e">
        <f ca="1">SOLID!AF61</f>
        <v>#N/A</v>
      </c>
      <c r="AC50" s="14" t="e">
        <f ca="1">SOLID!AG61</f>
        <v>#N/A</v>
      </c>
      <c r="AD50" s="14" t="e">
        <f ca="1">SOLID!AH61</f>
        <v>#N/A</v>
      </c>
      <c r="AE50" s="14" t="e">
        <f ca="1">SOLID!AI61</f>
        <v>#N/A</v>
      </c>
      <c r="AF50" s="14" t="e">
        <f ca="1">SOLID!AJ61</f>
        <v>#N/A</v>
      </c>
      <c r="AG50" s="14" t="e">
        <f ca="1">SOLID!AK61</f>
        <v>#N/A</v>
      </c>
      <c r="AH50" s="14" t="e">
        <f ca="1">SOLID!AL61</f>
        <v>#N/A</v>
      </c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55"/>
      <c r="CO50" s="55"/>
      <c r="CP50" s="55"/>
    </row>
    <row r="51" spans="1:94" ht="21.75" hidden="1" outlineLevel="1" thickBot="1" x14ac:dyDescent="0.4">
      <c r="A51" s="35">
        <f>SOLID!E62</f>
        <v>0</v>
      </c>
      <c r="B51" s="16" t="e">
        <f ca="1">SOLID!F62</f>
        <v>#N/A</v>
      </c>
      <c r="C51" s="16" t="e">
        <f ca="1">SOLID!G62</f>
        <v>#N/A</v>
      </c>
      <c r="D51" s="16" t="e">
        <f ca="1">SOLID!H62</f>
        <v>#N/A</v>
      </c>
      <c r="E51" s="16" t="e">
        <f ca="1">SOLID!I62</f>
        <v>#N/A</v>
      </c>
      <c r="F51" s="14" t="e">
        <f ca="1">SOLID!J62</f>
        <v>#N/A</v>
      </c>
      <c r="G51" s="14" t="e">
        <f ca="1">SOLID!K62</f>
        <v>#N/A</v>
      </c>
      <c r="H51" s="14" t="e">
        <f ca="1">SOLID!L62</f>
        <v>#N/A</v>
      </c>
      <c r="I51" s="14" t="e">
        <f ca="1">SOLID!M62</f>
        <v>#N/A</v>
      </c>
      <c r="J51" s="14" t="e">
        <f ca="1">SOLID!N62</f>
        <v>#N/A</v>
      </c>
      <c r="K51" s="14" t="e">
        <f ca="1">SOLID!O62</f>
        <v>#N/A</v>
      </c>
      <c r="L51" s="14" t="e">
        <f ca="1">SOLID!P62</f>
        <v>#N/A</v>
      </c>
      <c r="M51" s="14" t="e">
        <f ca="1">SOLID!Q62</f>
        <v>#N/A</v>
      </c>
      <c r="N51" s="14" t="e">
        <f ca="1">SOLID!R62</f>
        <v>#N/A</v>
      </c>
      <c r="O51" s="14" t="e">
        <f ca="1">SOLID!S62</f>
        <v>#N/A</v>
      </c>
      <c r="P51" s="14" t="e">
        <f ca="1">SOLID!T62</f>
        <v>#N/A</v>
      </c>
      <c r="Q51" s="14" t="e">
        <f ca="1">SOLID!U62</f>
        <v>#N/A</v>
      </c>
      <c r="R51" s="14" t="e">
        <f ca="1">SOLID!V62</f>
        <v>#N/A</v>
      </c>
      <c r="S51" s="14" t="e">
        <f ca="1">SOLID!W62</f>
        <v>#N/A</v>
      </c>
      <c r="T51" s="14" t="e">
        <f ca="1">SOLID!X62</f>
        <v>#N/A</v>
      </c>
      <c r="U51" s="14" t="e">
        <f ca="1">SOLID!Y62</f>
        <v>#N/A</v>
      </c>
      <c r="V51" s="14" t="e">
        <f ca="1">SOLID!Z62</f>
        <v>#N/A</v>
      </c>
      <c r="W51" s="14" t="e">
        <f ca="1">SOLID!AA62</f>
        <v>#N/A</v>
      </c>
      <c r="X51" s="14" t="e">
        <f ca="1">SOLID!AB62</f>
        <v>#N/A</v>
      </c>
      <c r="Y51" s="14" t="e">
        <f ca="1">SOLID!AC62</f>
        <v>#N/A</v>
      </c>
      <c r="Z51" s="14" t="e">
        <f ca="1">SOLID!AD62</f>
        <v>#N/A</v>
      </c>
      <c r="AA51" s="14" t="e">
        <f ca="1">SOLID!AE62</f>
        <v>#N/A</v>
      </c>
      <c r="AB51" s="14" t="e">
        <f ca="1">SOLID!AF62</f>
        <v>#N/A</v>
      </c>
      <c r="AC51" s="14" t="e">
        <f ca="1">SOLID!AG62</f>
        <v>#N/A</v>
      </c>
      <c r="AD51" s="14" t="e">
        <f ca="1">SOLID!AH62</f>
        <v>#N/A</v>
      </c>
      <c r="AE51" s="14" t="e">
        <f ca="1">SOLID!AI62</f>
        <v>#N/A</v>
      </c>
      <c r="AF51" s="14" t="e">
        <f ca="1">SOLID!AJ62</f>
        <v>#N/A</v>
      </c>
      <c r="AG51" s="14" t="e">
        <f ca="1">SOLID!AK62</f>
        <v>#N/A</v>
      </c>
      <c r="AH51" s="14" t="e">
        <f ca="1">SOLID!AL62</f>
        <v>#N/A</v>
      </c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55"/>
      <c r="BK51" s="55"/>
      <c r="BL51" s="55"/>
      <c r="BM51" s="55"/>
      <c r="BN51" s="55"/>
      <c r="BO51" s="55"/>
      <c r="BP51" s="55"/>
      <c r="BQ51" s="55"/>
      <c r="BR51" s="55"/>
      <c r="BS51" s="55"/>
      <c r="BT51" s="55"/>
      <c r="BU51" s="55"/>
      <c r="BV51" s="55"/>
      <c r="BW51" s="55"/>
      <c r="BX51" s="5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55"/>
      <c r="CO51" s="55"/>
      <c r="CP51" s="55"/>
    </row>
    <row r="52" spans="1:94" ht="21.75" hidden="1" outlineLevel="1" thickBot="1" x14ac:dyDescent="0.4">
      <c r="A52" s="35">
        <f>SOLID!E63</f>
        <v>0</v>
      </c>
      <c r="B52" s="16" t="e">
        <f ca="1">SOLID!F63</f>
        <v>#N/A</v>
      </c>
      <c r="C52" s="16" t="e">
        <f ca="1">SOLID!G63</f>
        <v>#N/A</v>
      </c>
      <c r="D52" s="16" t="e">
        <f ca="1">SOLID!H63</f>
        <v>#N/A</v>
      </c>
      <c r="E52" s="16" t="e">
        <f ca="1">SOLID!I63</f>
        <v>#N/A</v>
      </c>
      <c r="F52" s="14" t="e">
        <f ca="1">SOLID!J63</f>
        <v>#N/A</v>
      </c>
      <c r="G52" s="14" t="e">
        <f ca="1">SOLID!K63</f>
        <v>#N/A</v>
      </c>
      <c r="H52" s="14" t="e">
        <f ca="1">SOLID!L63</f>
        <v>#N/A</v>
      </c>
      <c r="I52" s="14" t="e">
        <f ca="1">SOLID!M63</f>
        <v>#N/A</v>
      </c>
      <c r="J52" s="14" t="e">
        <f ca="1">SOLID!N63</f>
        <v>#N/A</v>
      </c>
      <c r="K52" s="14" t="e">
        <f ca="1">SOLID!O63</f>
        <v>#N/A</v>
      </c>
      <c r="L52" s="14" t="e">
        <f ca="1">SOLID!P63</f>
        <v>#N/A</v>
      </c>
      <c r="M52" s="14" t="e">
        <f ca="1">SOLID!Q63</f>
        <v>#N/A</v>
      </c>
      <c r="N52" s="14" t="e">
        <f ca="1">SOLID!R63</f>
        <v>#N/A</v>
      </c>
      <c r="O52" s="14" t="e">
        <f ca="1">SOLID!S63</f>
        <v>#N/A</v>
      </c>
      <c r="P52" s="14" t="e">
        <f ca="1">SOLID!T63</f>
        <v>#N/A</v>
      </c>
      <c r="Q52" s="14" t="e">
        <f ca="1">SOLID!U63</f>
        <v>#N/A</v>
      </c>
      <c r="R52" s="14" t="e">
        <f ca="1">SOLID!V63</f>
        <v>#N/A</v>
      </c>
      <c r="S52" s="14" t="e">
        <f ca="1">SOLID!W63</f>
        <v>#N/A</v>
      </c>
      <c r="T52" s="14" t="e">
        <f ca="1">SOLID!X63</f>
        <v>#N/A</v>
      </c>
      <c r="U52" s="14" t="e">
        <f ca="1">SOLID!Y63</f>
        <v>#N/A</v>
      </c>
      <c r="V52" s="14" t="e">
        <f ca="1">SOLID!Z63</f>
        <v>#N/A</v>
      </c>
      <c r="W52" s="14" t="e">
        <f ca="1">SOLID!AA63</f>
        <v>#N/A</v>
      </c>
      <c r="X52" s="14" t="e">
        <f ca="1">SOLID!AB63</f>
        <v>#N/A</v>
      </c>
      <c r="Y52" s="14" t="e">
        <f ca="1">SOLID!AC63</f>
        <v>#N/A</v>
      </c>
      <c r="Z52" s="14" t="e">
        <f ca="1">SOLID!AD63</f>
        <v>#N/A</v>
      </c>
      <c r="AA52" s="14" t="e">
        <f ca="1">SOLID!AE63</f>
        <v>#N/A</v>
      </c>
      <c r="AB52" s="14" t="e">
        <f ca="1">SOLID!AF63</f>
        <v>#N/A</v>
      </c>
      <c r="AC52" s="14" t="e">
        <f ca="1">SOLID!AG63</f>
        <v>#N/A</v>
      </c>
      <c r="AD52" s="14" t="e">
        <f ca="1">SOLID!AH63</f>
        <v>#N/A</v>
      </c>
      <c r="AE52" s="14" t="e">
        <f ca="1">SOLID!AI63</f>
        <v>#N/A</v>
      </c>
      <c r="AF52" s="14" t="e">
        <f ca="1">SOLID!AJ63</f>
        <v>#N/A</v>
      </c>
      <c r="AG52" s="14" t="e">
        <f ca="1">SOLID!AK63</f>
        <v>#N/A</v>
      </c>
      <c r="AH52" s="14" t="e">
        <f ca="1">SOLID!AL63</f>
        <v>#N/A</v>
      </c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55"/>
      <c r="BK52" s="55"/>
      <c r="BL52" s="55"/>
      <c r="BM52" s="55"/>
      <c r="BN52" s="55"/>
      <c r="BO52" s="55"/>
      <c r="BP52" s="55"/>
      <c r="BQ52" s="55"/>
      <c r="BR52" s="55"/>
      <c r="BS52" s="55"/>
      <c r="BT52" s="55"/>
      <c r="BU52" s="55"/>
      <c r="BV52" s="55"/>
      <c r="BW52" s="55"/>
      <c r="BX52" s="5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55"/>
      <c r="CO52" s="55"/>
      <c r="CP52" s="55"/>
    </row>
    <row r="53" spans="1:94" ht="21.75" hidden="1" outlineLevel="1" thickBot="1" x14ac:dyDescent="0.4">
      <c r="A53" s="35">
        <f>SOLID!E64</f>
        <v>0</v>
      </c>
      <c r="B53" s="16" t="e">
        <f ca="1">SOLID!F64</f>
        <v>#N/A</v>
      </c>
      <c r="C53" s="16" t="e">
        <f ca="1">SOLID!G64</f>
        <v>#N/A</v>
      </c>
      <c r="D53" s="16" t="e">
        <f ca="1">SOLID!H64</f>
        <v>#N/A</v>
      </c>
      <c r="E53" s="16" t="e">
        <f ca="1">SOLID!I64</f>
        <v>#N/A</v>
      </c>
      <c r="F53" s="14" t="e">
        <f ca="1">SOLID!J64</f>
        <v>#N/A</v>
      </c>
      <c r="G53" s="14" t="e">
        <f ca="1">SOLID!K64</f>
        <v>#N/A</v>
      </c>
      <c r="H53" s="14" t="e">
        <f ca="1">SOLID!L64</f>
        <v>#N/A</v>
      </c>
      <c r="I53" s="14" t="e">
        <f ca="1">SOLID!M64</f>
        <v>#N/A</v>
      </c>
      <c r="J53" s="14" t="e">
        <f ca="1">SOLID!N64</f>
        <v>#N/A</v>
      </c>
      <c r="K53" s="14" t="e">
        <f ca="1">SOLID!O64</f>
        <v>#N/A</v>
      </c>
      <c r="L53" s="14" t="e">
        <f ca="1">SOLID!P64</f>
        <v>#N/A</v>
      </c>
      <c r="M53" s="14" t="e">
        <f ca="1">SOLID!Q64</f>
        <v>#N/A</v>
      </c>
      <c r="N53" s="14" t="e">
        <f ca="1">SOLID!R64</f>
        <v>#N/A</v>
      </c>
      <c r="O53" s="14" t="e">
        <f ca="1">SOLID!S64</f>
        <v>#N/A</v>
      </c>
      <c r="P53" s="14" t="e">
        <f ca="1">SOLID!T64</f>
        <v>#N/A</v>
      </c>
      <c r="Q53" s="14" t="e">
        <f ca="1">SOLID!U64</f>
        <v>#N/A</v>
      </c>
      <c r="R53" s="14" t="e">
        <f ca="1">SOLID!V64</f>
        <v>#N/A</v>
      </c>
      <c r="S53" s="14" t="e">
        <f ca="1">SOLID!W64</f>
        <v>#N/A</v>
      </c>
      <c r="T53" s="14" t="e">
        <f ca="1">SOLID!X64</f>
        <v>#N/A</v>
      </c>
      <c r="U53" s="14" t="e">
        <f ca="1">SOLID!Y64</f>
        <v>#N/A</v>
      </c>
      <c r="V53" s="14" t="e">
        <f ca="1">SOLID!Z64</f>
        <v>#N/A</v>
      </c>
      <c r="W53" s="14" t="e">
        <f ca="1">SOLID!AA64</f>
        <v>#N/A</v>
      </c>
      <c r="X53" s="14" t="e">
        <f ca="1">SOLID!AB64</f>
        <v>#N/A</v>
      </c>
      <c r="Y53" s="14" t="e">
        <f ca="1">SOLID!AC64</f>
        <v>#N/A</v>
      </c>
      <c r="Z53" s="14" t="e">
        <f ca="1">SOLID!AD64</f>
        <v>#N/A</v>
      </c>
      <c r="AA53" s="14" t="e">
        <f ca="1">SOLID!AE64</f>
        <v>#N/A</v>
      </c>
      <c r="AB53" s="14" t="e">
        <f ca="1">SOLID!AF64</f>
        <v>#N/A</v>
      </c>
      <c r="AC53" s="14" t="e">
        <f ca="1">SOLID!AG64</f>
        <v>#N/A</v>
      </c>
      <c r="AD53" s="14" t="e">
        <f ca="1">SOLID!AH64</f>
        <v>#N/A</v>
      </c>
      <c r="AE53" s="14" t="e">
        <f ca="1">SOLID!AI64</f>
        <v>#N/A</v>
      </c>
      <c r="AF53" s="14" t="e">
        <f ca="1">SOLID!AJ64</f>
        <v>#N/A</v>
      </c>
      <c r="AG53" s="14" t="e">
        <f ca="1">SOLID!AK64</f>
        <v>#N/A</v>
      </c>
      <c r="AH53" s="14" t="e">
        <f ca="1">SOLID!AL64</f>
        <v>#N/A</v>
      </c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55"/>
      <c r="CO53" s="55"/>
      <c r="CP53" s="55"/>
    </row>
    <row r="54" spans="1:94" ht="21.75" hidden="1" outlineLevel="1" thickBot="1" x14ac:dyDescent="0.4">
      <c r="A54" s="35">
        <f>SOLID!E65</f>
        <v>0</v>
      </c>
      <c r="B54" s="16" t="e">
        <f ca="1">SOLID!F65</f>
        <v>#N/A</v>
      </c>
      <c r="C54" s="16" t="e">
        <f ca="1">SOLID!G65</f>
        <v>#N/A</v>
      </c>
      <c r="D54" s="16" t="e">
        <f ca="1">SOLID!H65</f>
        <v>#N/A</v>
      </c>
      <c r="E54" s="16" t="e">
        <f ca="1">SOLID!I65</f>
        <v>#N/A</v>
      </c>
      <c r="F54" s="14" t="e">
        <f ca="1">SOLID!J65</f>
        <v>#N/A</v>
      </c>
      <c r="G54" s="14" t="e">
        <f ca="1">SOLID!K65</f>
        <v>#N/A</v>
      </c>
      <c r="H54" s="14" t="e">
        <f ca="1">SOLID!L65</f>
        <v>#N/A</v>
      </c>
      <c r="I54" s="14" t="e">
        <f ca="1">SOLID!M65</f>
        <v>#N/A</v>
      </c>
      <c r="J54" s="14" t="e">
        <f ca="1">SOLID!N65</f>
        <v>#N/A</v>
      </c>
      <c r="K54" s="14" t="e">
        <f ca="1">SOLID!O65</f>
        <v>#N/A</v>
      </c>
      <c r="L54" s="14" t="e">
        <f ca="1">SOLID!P65</f>
        <v>#N/A</v>
      </c>
      <c r="M54" s="14" t="e">
        <f ca="1">SOLID!Q65</f>
        <v>#N/A</v>
      </c>
      <c r="N54" s="14" t="e">
        <f ca="1">SOLID!R65</f>
        <v>#N/A</v>
      </c>
      <c r="O54" s="14" t="e">
        <f ca="1">SOLID!S65</f>
        <v>#N/A</v>
      </c>
      <c r="P54" s="14" t="e">
        <f ca="1">SOLID!T65</f>
        <v>#N/A</v>
      </c>
      <c r="Q54" s="14" t="e">
        <f ca="1">SOLID!U65</f>
        <v>#N/A</v>
      </c>
      <c r="R54" s="14" t="e">
        <f ca="1">SOLID!V65</f>
        <v>#N/A</v>
      </c>
      <c r="S54" s="14" t="e">
        <f ca="1">SOLID!W65</f>
        <v>#N/A</v>
      </c>
      <c r="T54" s="14" t="e">
        <f ca="1">SOLID!X65</f>
        <v>#N/A</v>
      </c>
      <c r="U54" s="14" t="e">
        <f ca="1">SOLID!Y65</f>
        <v>#N/A</v>
      </c>
      <c r="V54" s="14" t="e">
        <f ca="1">SOLID!Z65</f>
        <v>#N/A</v>
      </c>
      <c r="W54" s="14" t="e">
        <f ca="1">SOLID!AA65</f>
        <v>#N/A</v>
      </c>
      <c r="X54" s="14" t="e">
        <f ca="1">SOLID!AB65</f>
        <v>#N/A</v>
      </c>
      <c r="Y54" s="14" t="e">
        <f ca="1">SOLID!AC65</f>
        <v>#N/A</v>
      </c>
      <c r="Z54" s="14" t="e">
        <f ca="1">SOLID!AD65</f>
        <v>#N/A</v>
      </c>
      <c r="AA54" s="14" t="e">
        <f ca="1">SOLID!AE65</f>
        <v>#N/A</v>
      </c>
      <c r="AB54" s="14" t="e">
        <f ca="1">SOLID!AF65</f>
        <v>#N/A</v>
      </c>
      <c r="AC54" s="14" t="e">
        <f ca="1">SOLID!AG65</f>
        <v>#N/A</v>
      </c>
      <c r="AD54" s="14" t="e">
        <f ca="1">SOLID!AH65</f>
        <v>#N/A</v>
      </c>
      <c r="AE54" s="14" t="e">
        <f ca="1">SOLID!AI65</f>
        <v>#N/A</v>
      </c>
      <c r="AF54" s="14" t="e">
        <f ca="1">SOLID!AJ65</f>
        <v>#N/A</v>
      </c>
      <c r="AG54" s="14" t="e">
        <f ca="1">SOLID!AK65</f>
        <v>#N/A</v>
      </c>
      <c r="AH54" s="14" t="e">
        <f ca="1">SOLID!AL65</f>
        <v>#N/A</v>
      </c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  <c r="BN54" s="55"/>
      <c r="BO54" s="55"/>
      <c r="BP54" s="55"/>
      <c r="BQ54" s="55"/>
      <c r="BR54" s="55"/>
      <c r="BS54" s="55"/>
      <c r="BT54" s="55"/>
      <c r="BU54" s="55"/>
      <c r="BV54" s="55"/>
      <c r="BW54" s="55"/>
      <c r="BX54" s="5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55"/>
      <c r="CO54" s="55"/>
      <c r="CP54" s="55"/>
    </row>
    <row r="55" spans="1:94" ht="21.75" hidden="1" outlineLevel="1" thickBot="1" x14ac:dyDescent="0.4">
      <c r="A55" s="35">
        <f>SOLID!E66</f>
        <v>0</v>
      </c>
      <c r="B55" s="16" t="e">
        <f ca="1">SOLID!F66</f>
        <v>#N/A</v>
      </c>
      <c r="C55" s="16" t="e">
        <f ca="1">SOLID!G66</f>
        <v>#N/A</v>
      </c>
      <c r="D55" s="16" t="e">
        <f ca="1">SOLID!H66</f>
        <v>#N/A</v>
      </c>
      <c r="E55" s="16" t="e">
        <f ca="1">SOLID!I66</f>
        <v>#N/A</v>
      </c>
      <c r="F55" s="14" t="e">
        <f ca="1">SOLID!J66</f>
        <v>#N/A</v>
      </c>
      <c r="G55" s="14" t="e">
        <f ca="1">SOLID!K66</f>
        <v>#N/A</v>
      </c>
      <c r="H55" s="14" t="e">
        <f ca="1">SOLID!L66</f>
        <v>#N/A</v>
      </c>
      <c r="I55" s="14" t="e">
        <f ca="1">SOLID!M66</f>
        <v>#N/A</v>
      </c>
      <c r="J55" s="14" t="e">
        <f ca="1">SOLID!N66</f>
        <v>#N/A</v>
      </c>
      <c r="K55" s="14" t="e">
        <f ca="1">SOLID!O66</f>
        <v>#N/A</v>
      </c>
      <c r="L55" s="14" t="e">
        <f ca="1">SOLID!P66</f>
        <v>#N/A</v>
      </c>
      <c r="M55" s="14" t="e">
        <f ca="1">SOLID!Q66</f>
        <v>#N/A</v>
      </c>
      <c r="N55" s="14" t="e">
        <f ca="1">SOLID!R66</f>
        <v>#N/A</v>
      </c>
      <c r="O55" s="14" t="e">
        <f ca="1">SOLID!S66</f>
        <v>#N/A</v>
      </c>
      <c r="P55" s="14" t="e">
        <f ca="1">SOLID!T66</f>
        <v>#N/A</v>
      </c>
      <c r="Q55" s="14" t="e">
        <f ca="1">SOLID!U66</f>
        <v>#N/A</v>
      </c>
      <c r="R55" s="14" t="e">
        <f ca="1">SOLID!V66</f>
        <v>#N/A</v>
      </c>
      <c r="S55" s="14" t="e">
        <f ca="1">SOLID!W66</f>
        <v>#N/A</v>
      </c>
      <c r="T55" s="14" t="e">
        <f ca="1">SOLID!X66</f>
        <v>#N/A</v>
      </c>
      <c r="U55" s="14" t="e">
        <f ca="1">SOLID!Y66</f>
        <v>#N/A</v>
      </c>
      <c r="V55" s="14" t="e">
        <f ca="1">SOLID!Z66</f>
        <v>#N/A</v>
      </c>
      <c r="W55" s="14" t="e">
        <f ca="1">SOLID!AA66</f>
        <v>#N/A</v>
      </c>
      <c r="X55" s="14" t="e">
        <f ca="1">SOLID!AB66</f>
        <v>#N/A</v>
      </c>
      <c r="Y55" s="14" t="e">
        <f ca="1">SOLID!AC66</f>
        <v>#N/A</v>
      </c>
      <c r="Z55" s="14" t="e">
        <f ca="1">SOLID!AD66</f>
        <v>#N/A</v>
      </c>
      <c r="AA55" s="14" t="e">
        <f ca="1">SOLID!AE66</f>
        <v>#N/A</v>
      </c>
      <c r="AB55" s="14" t="e">
        <f ca="1">SOLID!AF66</f>
        <v>#N/A</v>
      </c>
      <c r="AC55" s="14" t="e">
        <f ca="1">SOLID!AG66</f>
        <v>#N/A</v>
      </c>
      <c r="AD55" s="14" t="e">
        <f ca="1">SOLID!AH66</f>
        <v>#N/A</v>
      </c>
      <c r="AE55" s="14" t="e">
        <f ca="1">SOLID!AI66</f>
        <v>#N/A</v>
      </c>
      <c r="AF55" s="14" t="e">
        <f ca="1">SOLID!AJ66</f>
        <v>#N/A</v>
      </c>
      <c r="AG55" s="14" t="e">
        <f ca="1">SOLID!AK66</f>
        <v>#N/A</v>
      </c>
      <c r="AH55" s="14" t="e">
        <f ca="1">SOLID!AL66</f>
        <v>#N/A</v>
      </c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55"/>
      <c r="BK55" s="55"/>
      <c r="BL55" s="55"/>
      <c r="BM55" s="55"/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55"/>
      <c r="CO55" s="55"/>
      <c r="CP55" s="55"/>
    </row>
    <row r="56" spans="1:94" ht="21.75" hidden="1" outlineLevel="1" thickBot="1" x14ac:dyDescent="0.4">
      <c r="A56" s="35">
        <f>SOLID!E67</f>
        <v>0</v>
      </c>
      <c r="B56" s="16" t="e">
        <f ca="1">SOLID!F67</f>
        <v>#N/A</v>
      </c>
      <c r="C56" s="16" t="e">
        <f ca="1">SOLID!G67</f>
        <v>#N/A</v>
      </c>
      <c r="D56" s="16" t="e">
        <f ca="1">SOLID!H67</f>
        <v>#N/A</v>
      </c>
      <c r="E56" s="16" t="e">
        <f ca="1">SOLID!I67</f>
        <v>#N/A</v>
      </c>
      <c r="F56" s="14" t="e">
        <f ca="1">SOLID!J67</f>
        <v>#N/A</v>
      </c>
      <c r="G56" s="14" t="e">
        <f ca="1">SOLID!K67</f>
        <v>#N/A</v>
      </c>
      <c r="H56" s="14" t="e">
        <f ca="1">SOLID!L67</f>
        <v>#N/A</v>
      </c>
      <c r="I56" s="14" t="e">
        <f ca="1">SOLID!M67</f>
        <v>#N/A</v>
      </c>
      <c r="J56" s="14" t="e">
        <f ca="1">SOLID!N67</f>
        <v>#N/A</v>
      </c>
      <c r="K56" s="14" t="e">
        <f ca="1">SOLID!O67</f>
        <v>#N/A</v>
      </c>
      <c r="L56" s="14" t="e">
        <f ca="1">SOLID!P67</f>
        <v>#N/A</v>
      </c>
      <c r="M56" s="14" t="e">
        <f ca="1">SOLID!Q67</f>
        <v>#N/A</v>
      </c>
      <c r="N56" s="14" t="e">
        <f ca="1">SOLID!R67</f>
        <v>#N/A</v>
      </c>
      <c r="O56" s="14" t="e">
        <f ca="1">SOLID!S67</f>
        <v>#N/A</v>
      </c>
      <c r="P56" s="14" t="e">
        <f ca="1">SOLID!T67</f>
        <v>#N/A</v>
      </c>
      <c r="Q56" s="14" t="e">
        <f ca="1">SOLID!U67</f>
        <v>#N/A</v>
      </c>
      <c r="R56" s="14" t="e">
        <f ca="1">SOLID!V67</f>
        <v>#N/A</v>
      </c>
      <c r="S56" s="14" t="e">
        <f ca="1">SOLID!W67</f>
        <v>#N/A</v>
      </c>
      <c r="T56" s="14" t="e">
        <f ca="1">SOLID!X67</f>
        <v>#N/A</v>
      </c>
      <c r="U56" s="14" t="e">
        <f ca="1">SOLID!Y67</f>
        <v>#N/A</v>
      </c>
      <c r="V56" s="14" t="e">
        <f ca="1">SOLID!Z67</f>
        <v>#N/A</v>
      </c>
      <c r="W56" s="14" t="e">
        <f ca="1">SOLID!AA67</f>
        <v>#N/A</v>
      </c>
      <c r="X56" s="14" t="e">
        <f ca="1">SOLID!AB67</f>
        <v>#N/A</v>
      </c>
      <c r="Y56" s="14" t="e">
        <f ca="1">SOLID!AC67</f>
        <v>#N/A</v>
      </c>
      <c r="Z56" s="14" t="e">
        <f ca="1">SOLID!AD67</f>
        <v>#N/A</v>
      </c>
      <c r="AA56" s="14" t="e">
        <f ca="1">SOLID!AE67</f>
        <v>#N/A</v>
      </c>
      <c r="AB56" s="14" t="e">
        <f ca="1">SOLID!AF67</f>
        <v>#N/A</v>
      </c>
      <c r="AC56" s="14" t="e">
        <f ca="1">SOLID!AG67</f>
        <v>#N/A</v>
      </c>
      <c r="AD56" s="14" t="e">
        <f ca="1">SOLID!AH67</f>
        <v>#N/A</v>
      </c>
      <c r="AE56" s="14" t="e">
        <f ca="1">SOLID!AI67</f>
        <v>#N/A</v>
      </c>
      <c r="AF56" s="14" t="e">
        <f ca="1">SOLID!AJ67</f>
        <v>#N/A</v>
      </c>
      <c r="AG56" s="14" t="e">
        <f ca="1">SOLID!AK67</f>
        <v>#N/A</v>
      </c>
      <c r="AH56" s="14" t="e">
        <f ca="1">SOLID!AL67</f>
        <v>#N/A</v>
      </c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55"/>
      <c r="BK56" s="55"/>
      <c r="BL56" s="55"/>
      <c r="BM56" s="55"/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55"/>
      <c r="CO56" s="55"/>
      <c r="CP56" s="55"/>
    </row>
    <row r="57" spans="1:94" ht="21.75" hidden="1" outlineLevel="1" thickBot="1" x14ac:dyDescent="0.4">
      <c r="A57" s="35">
        <f>SOLID!E68</f>
        <v>0</v>
      </c>
      <c r="B57" s="16" t="e">
        <f ca="1">SOLID!F68</f>
        <v>#N/A</v>
      </c>
      <c r="C57" s="16" t="e">
        <f ca="1">SOLID!G68</f>
        <v>#N/A</v>
      </c>
      <c r="D57" s="16" t="e">
        <f ca="1">SOLID!H68</f>
        <v>#N/A</v>
      </c>
      <c r="E57" s="16" t="e">
        <f ca="1">SOLID!I68</f>
        <v>#N/A</v>
      </c>
      <c r="F57" s="14" t="e">
        <f ca="1">SOLID!J68</f>
        <v>#N/A</v>
      </c>
      <c r="G57" s="14" t="e">
        <f ca="1">SOLID!K68</f>
        <v>#N/A</v>
      </c>
      <c r="H57" s="14" t="e">
        <f ca="1">SOLID!L68</f>
        <v>#N/A</v>
      </c>
      <c r="I57" s="14" t="e">
        <f ca="1">SOLID!M68</f>
        <v>#N/A</v>
      </c>
      <c r="J57" s="14" t="e">
        <f ca="1">SOLID!N68</f>
        <v>#N/A</v>
      </c>
      <c r="K57" s="14" t="e">
        <f ca="1">SOLID!O68</f>
        <v>#N/A</v>
      </c>
      <c r="L57" s="14" t="e">
        <f ca="1">SOLID!P68</f>
        <v>#N/A</v>
      </c>
      <c r="M57" s="14" t="e">
        <f ca="1">SOLID!Q68</f>
        <v>#N/A</v>
      </c>
      <c r="N57" s="14" t="e">
        <f ca="1">SOLID!R68</f>
        <v>#N/A</v>
      </c>
      <c r="O57" s="14" t="e">
        <f ca="1">SOLID!S68</f>
        <v>#N/A</v>
      </c>
      <c r="P57" s="14" t="e">
        <f ca="1">SOLID!T68</f>
        <v>#N/A</v>
      </c>
      <c r="Q57" s="14" t="e">
        <f ca="1">SOLID!U68</f>
        <v>#N/A</v>
      </c>
      <c r="R57" s="14" t="e">
        <f ca="1">SOLID!V68</f>
        <v>#N/A</v>
      </c>
      <c r="S57" s="14" t="e">
        <f ca="1">SOLID!W68</f>
        <v>#N/A</v>
      </c>
      <c r="T57" s="14" t="e">
        <f ca="1">SOLID!X68</f>
        <v>#N/A</v>
      </c>
      <c r="U57" s="14" t="e">
        <f ca="1">SOLID!Y68</f>
        <v>#N/A</v>
      </c>
      <c r="V57" s="14" t="e">
        <f ca="1">SOLID!Z68</f>
        <v>#N/A</v>
      </c>
      <c r="W57" s="14" t="e">
        <f ca="1">SOLID!AA68</f>
        <v>#N/A</v>
      </c>
      <c r="X57" s="14" t="e">
        <f ca="1">SOLID!AB68</f>
        <v>#N/A</v>
      </c>
      <c r="Y57" s="14" t="e">
        <f ca="1">SOLID!AC68</f>
        <v>#N/A</v>
      </c>
      <c r="Z57" s="14" t="e">
        <f ca="1">SOLID!AD68</f>
        <v>#N/A</v>
      </c>
      <c r="AA57" s="14" t="e">
        <f ca="1">SOLID!AE68</f>
        <v>#N/A</v>
      </c>
      <c r="AB57" s="14" t="e">
        <f ca="1">SOLID!AF68</f>
        <v>#N/A</v>
      </c>
      <c r="AC57" s="14" t="e">
        <f ca="1">SOLID!AG68</f>
        <v>#N/A</v>
      </c>
      <c r="AD57" s="14" t="e">
        <f ca="1">SOLID!AH68</f>
        <v>#N/A</v>
      </c>
      <c r="AE57" s="14" t="e">
        <f ca="1">SOLID!AI68</f>
        <v>#N/A</v>
      </c>
      <c r="AF57" s="14" t="e">
        <f ca="1">SOLID!AJ68</f>
        <v>#N/A</v>
      </c>
      <c r="AG57" s="14" t="e">
        <f ca="1">SOLID!AK68</f>
        <v>#N/A</v>
      </c>
      <c r="AH57" s="14" t="e">
        <f ca="1">SOLID!AL68</f>
        <v>#N/A</v>
      </c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55"/>
      <c r="BK57" s="55"/>
      <c r="BL57" s="55"/>
      <c r="BM57" s="55"/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55"/>
      <c r="CO57" s="55"/>
      <c r="CP57" s="55"/>
    </row>
    <row r="58" spans="1:94" ht="21.75" hidden="1" outlineLevel="1" thickBot="1" x14ac:dyDescent="0.4">
      <c r="A58" s="35">
        <f>SOLID!E69</f>
        <v>0</v>
      </c>
      <c r="B58" s="16" t="e">
        <f ca="1">SOLID!F69</f>
        <v>#N/A</v>
      </c>
      <c r="C58" s="16" t="e">
        <f ca="1">SOLID!G69</f>
        <v>#N/A</v>
      </c>
      <c r="D58" s="16" t="e">
        <f ca="1">SOLID!H69</f>
        <v>#N/A</v>
      </c>
      <c r="E58" s="16" t="e">
        <f ca="1">SOLID!I69</f>
        <v>#N/A</v>
      </c>
      <c r="F58" s="14" t="e">
        <f ca="1">SOLID!J69</f>
        <v>#N/A</v>
      </c>
      <c r="G58" s="14" t="e">
        <f ca="1">SOLID!K69</f>
        <v>#N/A</v>
      </c>
      <c r="H58" s="14" t="e">
        <f ca="1">SOLID!L69</f>
        <v>#N/A</v>
      </c>
      <c r="I58" s="14" t="e">
        <f ca="1">SOLID!M69</f>
        <v>#N/A</v>
      </c>
      <c r="J58" s="14" t="e">
        <f ca="1">SOLID!N69</f>
        <v>#N/A</v>
      </c>
      <c r="K58" s="14" t="e">
        <f ca="1">SOLID!O69</f>
        <v>#N/A</v>
      </c>
      <c r="L58" s="14" t="e">
        <f ca="1">SOLID!P69</f>
        <v>#N/A</v>
      </c>
      <c r="M58" s="14" t="e">
        <f ca="1">SOLID!Q69</f>
        <v>#N/A</v>
      </c>
      <c r="N58" s="14" t="e">
        <f ca="1">SOLID!R69</f>
        <v>#N/A</v>
      </c>
      <c r="O58" s="14" t="e">
        <f ca="1">SOLID!S69</f>
        <v>#N/A</v>
      </c>
      <c r="P58" s="14" t="e">
        <f ca="1">SOLID!T69</f>
        <v>#N/A</v>
      </c>
      <c r="Q58" s="14" t="e">
        <f ca="1">SOLID!U69</f>
        <v>#N/A</v>
      </c>
      <c r="R58" s="14" t="e">
        <f ca="1">SOLID!V69</f>
        <v>#N/A</v>
      </c>
      <c r="S58" s="14" t="e">
        <f ca="1">SOLID!W69</f>
        <v>#N/A</v>
      </c>
      <c r="T58" s="14" t="e">
        <f ca="1">SOLID!X69</f>
        <v>#N/A</v>
      </c>
      <c r="U58" s="14" t="e">
        <f ca="1">SOLID!Y69</f>
        <v>#N/A</v>
      </c>
      <c r="V58" s="14" t="e">
        <f ca="1">SOLID!Z69</f>
        <v>#N/A</v>
      </c>
      <c r="W58" s="14" t="e">
        <f ca="1">SOLID!AA69</f>
        <v>#N/A</v>
      </c>
      <c r="X58" s="14" t="e">
        <f ca="1">SOLID!AB69</f>
        <v>#N/A</v>
      </c>
      <c r="Y58" s="14" t="e">
        <f ca="1">SOLID!AC69</f>
        <v>#N/A</v>
      </c>
      <c r="Z58" s="14" t="e">
        <f ca="1">SOLID!AD69</f>
        <v>#N/A</v>
      </c>
      <c r="AA58" s="14" t="e">
        <f ca="1">SOLID!AE69</f>
        <v>#N/A</v>
      </c>
      <c r="AB58" s="14" t="e">
        <f ca="1">SOLID!AF69</f>
        <v>#N/A</v>
      </c>
      <c r="AC58" s="14" t="e">
        <f ca="1">SOLID!AG69</f>
        <v>#N/A</v>
      </c>
      <c r="AD58" s="14" t="e">
        <f ca="1">SOLID!AH69</f>
        <v>#N/A</v>
      </c>
      <c r="AE58" s="14" t="e">
        <f ca="1">SOLID!AI69</f>
        <v>#N/A</v>
      </c>
      <c r="AF58" s="14" t="e">
        <f ca="1">SOLID!AJ69</f>
        <v>#N/A</v>
      </c>
      <c r="AG58" s="14" t="e">
        <f ca="1">SOLID!AK69</f>
        <v>#N/A</v>
      </c>
      <c r="AH58" s="14" t="e">
        <f ca="1">SOLID!AL69</f>
        <v>#N/A</v>
      </c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55"/>
      <c r="BK58" s="55"/>
      <c r="BL58" s="55"/>
      <c r="BM58" s="55"/>
      <c r="BN58" s="55"/>
      <c r="BO58" s="55"/>
      <c r="BP58" s="55"/>
      <c r="BQ58" s="55"/>
      <c r="BR58" s="55"/>
      <c r="BS58" s="55"/>
      <c r="BT58" s="55"/>
      <c r="BU58" s="55"/>
      <c r="BV58" s="55"/>
      <c r="BW58" s="55"/>
      <c r="BX58" s="5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55"/>
      <c r="CO58" s="55"/>
      <c r="CP58" s="55"/>
    </row>
    <row r="59" spans="1:94" ht="21.75" hidden="1" outlineLevel="1" thickBot="1" x14ac:dyDescent="0.4">
      <c r="A59" s="35">
        <f>SOLID!E70</f>
        <v>0</v>
      </c>
      <c r="B59" s="16" t="e">
        <f ca="1">SOLID!F70</f>
        <v>#N/A</v>
      </c>
      <c r="C59" s="16" t="e">
        <f ca="1">SOLID!G70</f>
        <v>#N/A</v>
      </c>
      <c r="D59" s="16" t="e">
        <f ca="1">SOLID!H70</f>
        <v>#N/A</v>
      </c>
      <c r="E59" s="16" t="e">
        <f ca="1">SOLID!I70</f>
        <v>#N/A</v>
      </c>
      <c r="F59" s="14" t="e">
        <f ca="1">SOLID!J70</f>
        <v>#N/A</v>
      </c>
      <c r="G59" s="14" t="e">
        <f ca="1">SOLID!K70</f>
        <v>#N/A</v>
      </c>
      <c r="H59" s="14" t="e">
        <f ca="1">SOLID!L70</f>
        <v>#N/A</v>
      </c>
      <c r="I59" s="14" t="e">
        <f ca="1">SOLID!M70</f>
        <v>#N/A</v>
      </c>
      <c r="J59" s="14" t="e">
        <f ca="1">SOLID!N70</f>
        <v>#N/A</v>
      </c>
      <c r="K59" s="14" t="e">
        <f ca="1">SOLID!O70</f>
        <v>#N/A</v>
      </c>
      <c r="L59" s="14" t="e">
        <f ca="1">SOLID!P70</f>
        <v>#N/A</v>
      </c>
      <c r="M59" s="14" t="e">
        <f ca="1">SOLID!Q70</f>
        <v>#N/A</v>
      </c>
      <c r="N59" s="14" t="e">
        <f ca="1">SOLID!R70</f>
        <v>#N/A</v>
      </c>
      <c r="O59" s="14" t="e">
        <f ca="1">SOLID!S70</f>
        <v>#N/A</v>
      </c>
      <c r="P59" s="14" t="e">
        <f ca="1">SOLID!T70</f>
        <v>#N/A</v>
      </c>
      <c r="Q59" s="14" t="e">
        <f ca="1">SOLID!U70</f>
        <v>#N/A</v>
      </c>
      <c r="R59" s="14" t="e">
        <f ca="1">SOLID!V70</f>
        <v>#N/A</v>
      </c>
      <c r="S59" s="14" t="e">
        <f ca="1">SOLID!W70</f>
        <v>#N/A</v>
      </c>
      <c r="T59" s="14" t="e">
        <f ca="1">SOLID!X70</f>
        <v>#N/A</v>
      </c>
      <c r="U59" s="14" t="e">
        <f ca="1">SOLID!Y70</f>
        <v>#N/A</v>
      </c>
      <c r="V59" s="14" t="e">
        <f ca="1">SOLID!Z70</f>
        <v>#N/A</v>
      </c>
      <c r="W59" s="14" t="e">
        <f ca="1">SOLID!AA70</f>
        <v>#N/A</v>
      </c>
      <c r="X59" s="14" t="e">
        <f ca="1">SOLID!AB70</f>
        <v>#N/A</v>
      </c>
      <c r="Y59" s="14" t="e">
        <f ca="1">SOLID!AC70</f>
        <v>#N/A</v>
      </c>
      <c r="Z59" s="14" t="e">
        <f ca="1">SOLID!AD70</f>
        <v>#N/A</v>
      </c>
      <c r="AA59" s="14" t="e">
        <f ca="1">SOLID!AE70</f>
        <v>#N/A</v>
      </c>
      <c r="AB59" s="14" t="e">
        <f ca="1">SOLID!AF70</f>
        <v>#N/A</v>
      </c>
      <c r="AC59" s="14" t="e">
        <f ca="1">SOLID!AG70</f>
        <v>#N/A</v>
      </c>
      <c r="AD59" s="14" t="e">
        <f ca="1">SOLID!AH70</f>
        <v>#N/A</v>
      </c>
      <c r="AE59" s="14" t="e">
        <f ca="1">SOLID!AI70</f>
        <v>#N/A</v>
      </c>
      <c r="AF59" s="14" t="e">
        <f ca="1">SOLID!AJ70</f>
        <v>#N/A</v>
      </c>
      <c r="AG59" s="14" t="e">
        <f ca="1">SOLID!AK70</f>
        <v>#N/A</v>
      </c>
      <c r="AH59" s="14" t="e">
        <f ca="1">SOLID!AL70</f>
        <v>#N/A</v>
      </c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55"/>
      <c r="BK59" s="55"/>
      <c r="BL59" s="55"/>
      <c r="BM59" s="55"/>
      <c r="BN59" s="55"/>
      <c r="BO59" s="55"/>
      <c r="BP59" s="55"/>
      <c r="BQ59" s="55"/>
      <c r="BR59" s="55"/>
      <c r="BS59" s="55"/>
      <c r="BT59" s="55"/>
      <c r="BU59" s="55"/>
      <c r="BV59" s="55"/>
      <c r="BW59" s="55"/>
      <c r="BX59" s="5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55"/>
      <c r="CO59" s="55"/>
      <c r="CP59" s="55"/>
    </row>
    <row r="60" spans="1:94" ht="21.75" hidden="1" outlineLevel="1" thickBot="1" x14ac:dyDescent="0.4">
      <c r="A60" s="35">
        <f>SOLID!E71</f>
        <v>0</v>
      </c>
      <c r="B60" s="16" t="e">
        <f ca="1">SOLID!F71</f>
        <v>#N/A</v>
      </c>
      <c r="C60" s="16" t="e">
        <f ca="1">SOLID!G71</f>
        <v>#N/A</v>
      </c>
      <c r="D60" s="16" t="e">
        <f ca="1">SOLID!H71</f>
        <v>#N/A</v>
      </c>
      <c r="E60" s="16" t="e">
        <f ca="1">SOLID!I71</f>
        <v>#N/A</v>
      </c>
      <c r="F60" s="14" t="e">
        <f ca="1">SOLID!J71</f>
        <v>#N/A</v>
      </c>
      <c r="G60" s="14" t="e">
        <f ca="1">SOLID!K71</f>
        <v>#N/A</v>
      </c>
      <c r="H60" s="14" t="e">
        <f ca="1">SOLID!L71</f>
        <v>#N/A</v>
      </c>
      <c r="I60" s="14" t="e">
        <f ca="1">SOLID!M71</f>
        <v>#N/A</v>
      </c>
      <c r="J60" s="14" t="e">
        <f ca="1">SOLID!N71</f>
        <v>#N/A</v>
      </c>
      <c r="K60" s="14" t="e">
        <f ca="1">SOLID!O71</f>
        <v>#N/A</v>
      </c>
      <c r="L60" s="14" t="e">
        <f ca="1">SOLID!P71</f>
        <v>#N/A</v>
      </c>
      <c r="M60" s="14" t="e">
        <f ca="1">SOLID!Q71</f>
        <v>#N/A</v>
      </c>
      <c r="N60" s="14" t="e">
        <f ca="1">SOLID!R71</f>
        <v>#N/A</v>
      </c>
      <c r="O60" s="14" t="e">
        <f ca="1">SOLID!S71</f>
        <v>#N/A</v>
      </c>
      <c r="P60" s="14" t="e">
        <f ca="1">SOLID!T71</f>
        <v>#N/A</v>
      </c>
      <c r="Q60" s="14" t="e">
        <f ca="1">SOLID!U71</f>
        <v>#N/A</v>
      </c>
      <c r="R60" s="14" t="e">
        <f ca="1">SOLID!V71</f>
        <v>#N/A</v>
      </c>
      <c r="S60" s="14" t="e">
        <f ca="1">SOLID!W71</f>
        <v>#N/A</v>
      </c>
      <c r="T60" s="14" t="e">
        <f ca="1">SOLID!X71</f>
        <v>#N/A</v>
      </c>
      <c r="U60" s="14" t="e">
        <f ca="1">SOLID!Y71</f>
        <v>#N/A</v>
      </c>
      <c r="V60" s="14" t="e">
        <f ca="1">SOLID!Z71</f>
        <v>#N/A</v>
      </c>
      <c r="W60" s="14" t="e">
        <f ca="1">SOLID!AA71</f>
        <v>#N/A</v>
      </c>
      <c r="X60" s="14" t="e">
        <f ca="1">SOLID!AB71</f>
        <v>#N/A</v>
      </c>
      <c r="Y60" s="14" t="e">
        <f ca="1">SOLID!AC71</f>
        <v>#N/A</v>
      </c>
      <c r="Z60" s="14" t="e">
        <f ca="1">SOLID!AD71</f>
        <v>#N/A</v>
      </c>
      <c r="AA60" s="14" t="e">
        <f ca="1">SOLID!AE71</f>
        <v>#N/A</v>
      </c>
      <c r="AB60" s="14" t="e">
        <f ca="1">SOLID!AF71</f>
        <v>#N/A</v>
      </c>
      <c r="AC60" s="14" t="e">
        <f ca="1">SOLID!AG71</f>
        <v>#N/A</v>
      </c>
      <c r="AD60" s="14" t="e">
        <f ca="1">SOLID!AH71</f>
        <v>#N/A</v>
      </c>
      <c r="AE60" s="14" t="e">
        <f ca="1">SOLID!AI71</f>
        <v>#N/A</v>
      </c>
      <c r="AF60" s="14" t="e">
        <f ca="1">SOLID!AJ71</f>
        <v>#N/A</v>
      </c>
      <c r="AG60" s="14" t="e">
        <f ca="1">SOLID!AK71</f>
        <v>#N/A</v>
      </c>
      <c r="AH60" s="14" t="e">
        <f ca="1">SOLID!AL71</f>
        <v>#N/A</v>
      </c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55"/>
      <c r="BK60" s="55"/>
      <c r="BL60" s="55"/>
      <c r="BM60" s="55"/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5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55"/>
      <c r="CO60" s="55"/>
      <c r="CP60" s="55"/>
    </row>
    <row r="61" spans="1:94" ht="21.75" hidden="1" outlineLevel="1" thickBot="1" x14ac:dyDescent="0.4">
      <c r="A61" s="35">
        <f>SOLID!E72</f>
        <v>0</v>
      </c>
      <c r="B61" s="16" t="e">
        <f ca="1">SOLID!F72</f>
        <v>#N/A</v>
      </c>
      <c r="C61" s="16" t="e">
        <f ca="1">SOLID!G72</f>
        <v>#N/A</v>
      </c>
      <c r="D61" s="16" t="e">
        <f ca="1">SOLID!H72</f>
        <v>#N/A</v>
      </c>
      <c r="E61" s="16" t="e">
        <f ca="1">SOLID!I72</f>
        <v>#N/A</v>
      </c>
      <c r="F61" s="14" t="e">
        <f ca="1">SOLID!J72</f>
        <v>#N/A</v>
      </c>
      <c r="G61" s="14" t="e">
        <f ca="1">SOLID!K72</f>
        <v>#N/A</v>
      </c>
      <c r="H61" s="14" t="e">
        <f ca="1">SOLID!L72</f>
        <v>#N/A</v>
      </c>
      <c r="I61" s="14" t="e">
        <f ca="1">SOLID!M72</f>
        <v>#N/A</v>
      </c>
      <c r="J61" s="14" t="e">
        <f ca="1">SOLID!N72</f>
        <v>#N/A</v>
      </c>
      <c r="K61" s="14" t="e">
        <f ca="1">SOLID!O72</f>
        <v>#N/A</v>
      </c>
      <c r="L61" s="14" t="e">
        <f ca="1">SOLID!P72</f>
        <v>#N/A</v>
      </c>
      <c r="M61" s="14" t="e">
        <f ca="1">SOLID!Q72</f>
        <v>#N/A</v>
      </c>
      <c r="N61" s="14" t="e">
        <f ca="1">SOLID!R72</f>
        <v>#N/A</v>
      </c>
      <c r="O61" s="14" t="e">
        <f ca="1">SOLID!S72</f>
        <v>#N/A</v>
      </c>
      <c r="P61" s="14" t="e">
        <f ca="1">SOLID!T72</f>
        <v>#N/A</v>
      </c>
      <c r="Q61" s="14" t="e">
        <f ca="1">SOLID!U72</f>
        <v>#N/A</v>
      </c>
      <c r="R61" s="14" t="e">
        <f ca="1">SOLID!V72</f>
        <v>#N/A</v>
      </c>
      <c r="S61" s="14" t="e">
        <f ca="1">SOLID!W72</f>
        <v>#N/A</v>
      </c>
      <c r="T61" s="14" t="e">
        <f ca="1">SOLID!X72</f>
        <v>#N/A</v>
      </c>
      <c r="U61" s="14" t="e">
        <f ca="1">SOLID!Y72</f>
        <v>#N/A</v>
      </c>
      <c r="V61" s="14" t="e">
        <f ca="1">SOLID!Z72</f>
        <v>#N/A</v>
      </c>
      <c r="W61" s="14" t="e">
        <f ca="1">SOLID!AA72</f>
        <v>#N/A</v>
      </c>
      <c r="X61" s="14" t="e">
        <f ca="1">SOLID!AB72</f>
        <v>#N/A</v>
      </c>
      <c r="Y61" s="14" t="e">
        <f ca="1">SOLID!AC72</f>
        <v>#N/A</v>
      </c>
      <c r="Z61" s="14" t="e">
        <f ca="1">SOLID!AD72</f>
        <v>#N/A</v>
      </c>
      <c r="AA61" s="14" t="e">
        <f ca="1">SOLID!AE72</f>
        <v>#N/A</v>
      </c>
      <c r="AB61" s="14" t="e">
        <f ca="1">SOLID!AF72</f>
        <v>#N/A</v>
      </c>
      <c r="AC61" s="14" t="e">
        <f ca="1">SOLID!AG72</f>
        <v>#N/A</v>
      </c>
      <c r="AD61" s="14" t="e">
        <f ca="1">SOLID!AH72</f>
        <v>#N/A</v>
      </c>
      <c r="AE61" s="14" t="e">
        <f ca="1">SOLID!AI72</f>
        <v>#N/A</v>
      </c>
      <c r="AF61" s="14" t="e">
        <f ca="1">SOLID!AJ72</f>
        <v>#N/A</v>
      </c>
      <c r="AG61" s="14" t="e">
        <f ca="1">SOLID!AK72</f>
        <v>#N/A</v>
      </c>
      <c r="AH61" s="14" t="e">
        <f ca="1">SOLID!AL72</f>
        <v>#N/A</v>
      </c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55"/>
      <c r="BK61" s="55"/>
      <c r="BL61" s="55"/>
      <c r="BM61" s="55"/>
      <c r="BN61" s="55"/>
      <c r="BO61" s="55"/>
      <c r="BP61" s="55"/>
      <c r="BQ61" s="55"/>
      <c r="BR61" s="55"/>
      <c r="BS61" s="55"/>
      <c r="BT61" s="55"/>
      <c r="BU61" s="55"/>
      <c r="BV61" s="55"/>
      <c r="BW61" s="55"/>
      <c r="BX61" s="5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55"/>
      <c r="CO61" s="55"/>
      <c r="CP61" s="55"/>
    </row>
    <row r="62" spans="1:94" ht="21.75" hidden="1" outlineLevel="1" thickBot="1" x14ac:dyDescent="0.4">
      <c r="A62" s="35">
        <f>SOLID!E73</f>
        <v>0</v>
      </c>
      <c r="B62" s="16" t="e">
        <f ca="1">SOLID!F73</f>
        <v>#N/A</v>
      </c>
      <c r="C62" s="16" t="e">
        <f ca="1">SOLID!G73</f>
        <v>#N/A</v>
      </c>
      <c r="D62" s="16" t="e">
        <f ca="1">SOLID!H73</f>
        <v>#N/A</v>
      </c>
      <c r="E62" s="16" t="e">
        <f ca="1">SOLID!I73</f>
        <v>#N/A</v>
      </c>
      <c r="F62" s="14" t="e">
        <f ca="1">SOLID!J73</f>
        <v>#N/A</v>
      </c>
      <c r="G62" s="14" t="e">
        <f ca="1">SOLID!K73</f>
        <v>#N/A</v>
      </c>
      <c r="H62" s="14" t="e">
        <f ca="1">SOLID!L73</f>
        <v>#N/A</v>
      </c>
      <c r="I62" s="14" t="e">
        <f ca="1">SOLID!M73</f>
        <v>#N/A</v>
      </c>
      <c r="J62" s="14" t="e">
        <f ca="1">SOLID!N73</f>
        <v>#N/A</v>
      </c>
      <c r="K62" s="14" t="e">
        <f ca="1">SOLID!O73</f>
        <v>#N/A</v>
      </c>
      <c r="L62" s="14" t="e">
        <f ca="1">SOLID!P73</f>
        <v>#N/A</v>
      </c>
      <c r="M62" s="14" t="e">
        <f ca="1">SOLID!Q73</f>
        <v>#N/A</v>
      </c>
      <c r="N62" s="14" t="e">
        <f ca="1">SOLID!R73</f>
        <v>#N/A</v>
      </c>
      <c r="O62" s="14" t="e">
        <f ca="1">SOLID!S73</f>
        <v>#N/A</v>
      </c>
      <c r="P62" s="14" t="e">
        <f ca="1">SOLID!T73</f>
        <v>#N/A</v>
      </c>
      <c r="Q62" s="14" t="e">
        <f ca="1">SOLID!U73</f>
        <v>#N/A</v>
      </c>
      <c r="R62" s="14" t="e">
        <f ca="1">SOLID!V73</f>
        <v>#N/A</v>
      </c>
      <c r="S62" s="14" t="e">
        <f ca="1">SOLID!W73</f>
        <v>#N/A</v>
      </c>
      <c r="T62" s="14" t="e">
        <f ca="1">SOLID!X73</f>
        <v>#N/A</v>
      </c>
      <c r="U62" s="14" t="e">
        <f ca="1">SOLID!Y73</f>
        <v>#N/A</v>
      </c>
      <c r="V62" s="14" t="e">
        <f ca="1">SOLID!Z73</f>
        <v>#N/A</v>
      </c>
      <c r="W62" s="14" t="e">
        <f ca="1">SOLID!AA73</f>
        <v>#N/A</v>
      </c>
      <c r="X62" s="14" t="e">
        <f ca="1">SOLID!AB73</f>
        <v>#N/A</v>
      </c>
      <c r="Y62" s="14" t="e">
        <f ca="1">SOLID!AC73</f>
        <v>#N/A</v>
      </c>
      <c r="Z62" s="14" t="e">
        <f ca="1">SOLID!AD73</f>
        <v>#N/A</v>
      </c>
      <c r="AA62" s="14" t="e">
        <f ca="1">SOLID!AE73</f>
        <v>#N/A</v>
      </c>
      <c r="AB62" s="14" t="e">
        <f ca="1">SOLID!AF73</f>
        <v>#N/A</v>
      </c>
      <c r="AC62" s="14" t="e">
        <f ca="1">SOLID!AG73</f>
        <v>#N/A</v>
      </c>
      <c r="AD62" s="14" t="e">
        <f ca="1">SOLID!AH73</f>
        <v>#N/A</v>
      </c>
      <c r="AE62" s="14" t="e">
        <f ca="1">SOLID!AI73</f>
        <v>#N/A</v>
      </c>
      <c r="AF62" s="14" t="e">
        <f ca="1">SOLID!AJ73</f>
        <v>#N/A</v>
      </c>
      <c r="AG62" s="14" t="e">
        <f ca="1">SOLID!AK73</f>
        <v>#N/A</v>
      </c>
      <c r="AH62" s="14" t="e">
        <f ca="1">SOLID!AL73</f>
        <v>#N/A</v>
      </c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  <c r="BT62" s="55"/>
      <c r="BU62" s="55"/>
      <c r="BV62" s="55"/>
      <c r="BW62" s="55"/>
      <c r="BX62" s="5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55"/>
      <c r="CO62" s="55"/>
      <c r="CP62" s="55"/>
    </row>
    <row r="63" spans="1:94" ht="21.75" hidden="1" outlineLevel="1" thickBot="1" x14ac:dyDescent="0.4">
      <c r="A63" s="35">
        <f>SOLID!E74</f>
        <v>0</v>
      </c>
      <c r="B63" s="16" t="e">
        <f ca="1">SOLID!F74</f>
        <v>#N/A</v>
      </c>
      <c r="C63" s="16" t="e">
        <f ca="1">SOLID!G74</f>
        <v>#N/A</v>
      </c>
      <c r="D63" s="16" t="e">
        <f ca="1">SOLID!H74</f>
        <v>#N/A</v>
      </c>
      <c r="E63" s="16" t="e">
        <f ca="1">SOLID!I74</f>
        <v>#N/A</v>
      </c>
      <c r="F63" s="14" t="e">
        <f ca="1">SOLID!J74</f>
        <v>#N/A</v>
      </c>
      <c r="G63" s="14" t="e">
        <f ca="1">SOLID!K74</f>
        <v>#N/A</v>
      </c>
      <c r="H63" s="14" t="e">
        <f ca="1">SOLID!L74</f>
        <v>#N/A</v>
      </c>
      <c r="I63" s="14" t="e">
        <f ca="1">SOLID!M74</f>
        <v>#N/A</v>
      </c>
      <c r="J63" s="14" t="e">
        <f ca="1">SOLID!N74</f>
        <v>#N/A</v>
      </c>
      <c r="K63" s="14" t="e">
        <f ca="1">SOLID!O74</f>
        <v>#N/A</v>
      </c>
      <c r="L63" s="14" t="e">
        <f ca="1">SOLID!P74</f>
        <v>#N/A</v>
      </c>
      <c r="M63" s="14" t="e">
        <f ca="1">SOLID!Q74</f>
        <v>#N/A</v>
      </c>
      <c r="N63" s="14" t="e">
        <f ca="1">SOLID!R74</f>
        <v>#N/A</v>
      </c>
      <c r="O63" s="14" t="e">
        <f ca="1">SOLID!S74</f>
        <v>#N/A</v>
      </c>
      <c r="P63" s="14" t="e">
        <f ca="1">SOLID!T74</f>
        <v>#N/A</v>
      </c>
      <c r="Q63" s="14" t="e">
        <f ca="1">SOLID!U74</f>
        <v>#N/A</v>
      </c>
      <c r="R63" s="14" t="e">
        <f ca="1">SOLID!V74</f>
        <v>#N/A</v>
      </c>
      <c r="S63" s="14" t="e">
        <f ca="1">SOLID!W74</f>
        <v>#N/A</v>
      </c>
      <c r="T63" s="14" t="e">
        <f ca="1">SOLID!X74</f>
        <v>#N/A</v>
      </c>
      <c r="U63" s="14" t="e">
        <f ca="1">SOLID!Y74</f>
        <v>#N/A</v>
      </c>
      <c r="V63" s="14" t="e">
        <f ca="1">SOLID!Z74</f>
        <v>#N/A</v>
      </c>
      <c r="W63" s="14" t="e">
        <f ca="1">SOLID!AA74</f>
        <v>#N/A</v>
      </c>
      <c r="X63" s="14" t="e">
        <f ca="1">SOLID!AB74</f>
        <v>#N/A</v>
      </c>
      <c r="Y63" s="14" t="e">
        <f ca="1">SOLID!AC74</f>
        <v>#N/A</v>
      </c>
      <c r="Z63" s="14" t="e">
        <f ca="1">SOLID!AD74</f>
        <v>#N/A</v>
      </c>
      <c r="AA63" s="14" t="e">
        <f ca="1">SOLID!AE74</f>
        <v>#N/A</v>
      </c>
      <c r="AB63" s="14" t="e">
        <f ca="1">SOLID!AF74</f>
        <v>#N/A</v>
      </c>
      <c r="AC63" s="14" t="e">
        <f ca="1">SOLID!AG74</f>
        <v>#N/A</v>
      </c>
      <c r="AD63" s="14" t="e">
        <f ca="1">SOLID!AH74</f>
        <v>#N/A</v>
      </c>
      <c r="AE63" s="14" t="e">
        <f ca="1">SOLID!AI74</f>
        <v>#N/A</v>
      </c>
      <c r="AF63" s="14" t="e">
        <f ca="1">SOLID!AJ74</f>
        <v>#N/A</v>
      </c>
      <c r="AG63" s="14" t="e">
        <f ca="1">SOLID!AK74</f>
        <v>#N/A</v>
      </c>
      <c r="AH63" s="14" t="e">
        <f ca="1">SOLID!AL74</f>
        <v>#N/A</v>
      </c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</row>
    <row r="64" spans="1:94" ht="21.75" hidden="1" outlineLevel="1" thickBot="1" x14ac:dyDescent="0.4">
      <c r="A64" s="35">
        <f>SOLID!E75</f>
        <v>1</v>
      </c>
      <c r="B64" s="16">
        <f>SOLID!F75</f>
        <v>0</v>
      </c>
      <c r="C64" s="16">
        <f>SOLID!G75</f>
        <v>0</v>
      </c>
      <c r="D64" s="16">
        <f>SOLID!H75</f>
        <v>0</v>
      </c>
      <c r="E64" s="16">
        <f>SOLID!I75</f>
        <v>0</v>
      </c>
      <c r="F64" s="14">
        <f>SOLID!J75</f>
        <v>0</v>
      </c>
      <c r="G64" s="14">
        <f>SOLID!K75</f>
        <v>0</v>
      </c>
      <c r="H64" s="14">
        <f>SOLID!L75</f>
        <v>0</v>
      </c>
      <c r="I64" s="14">
        <f>SOLID!M75</f>
        <v>0</v>
      </c>
      <c r="J64" s="14">
        <f>SOLID!N75</f>
        <v>0</v>
      </c>
      <c r="K64" s="14">
        <f>SOLID!O75</f>
        <v>0</v>
      </c>
      <c r="L64" s="14">
        <f>SOLID!P75</f>
        <v>0</v>
      </c>
      <c r="M64" s="14">
        <f>SOLID!Q75</f>
        <v>0</v>
      </c>
      <c r="N64" s="14">
        <f>SOLID!R75</f>
        <v>0</v>
      </c>
      <c r="O64" s="14">
        <f>SOLID!S75</f>
        <v>0</v>
      </c>
      <c r="P64" s="14">
        <f>SOLID!T75</f>
        <v>0</v>
      </c>
      <c r="Q64" s="14">
        <f>SOLID!U75</f>
        <v>0</v>
      </c>
      <c r="R64" s="14">
        <f>SOLID!V75</f>
        <v>0</v>
      </c>
      <c r="S64" s="14">
        <f>SOLID!W75</f>
        <v>0</v>
      </c>
      <c r="T64" s="14">
        <f>SOLID!X75</f>
        <v>0</v>
      </c>
      <c r="U64" s="14">
        <f>SOLID!Y75</f>
        <v>0</v>
      </c>
      <c r="V64" s="14">
        <f>SOLID!Z75</f>
        <v>0</v>
      </c>
      <c r="W64" s="14">
        <f>SOLID!AA75</f>
        <v>0</v>
      </c>
      <c r="X64" s="14">
        <f>SOLID!AB75</f>
        <v>0</v>
      </c>
      <c r="Y64" s="14">
        <f>SOLID!AC75</f>
        <v>0</v>
      </c>
      <c r="Z64" s="14">
        <f>SOLID!AD75</f>
        <v>0</v>
      </c>
      <c r="AA64" s="14">
        <f>SOLID!AE75</f>
        <v>0</v>
      </c>
      <c r="AB64" s="14">
        <f>SOLID!AF75</f>
        <v>0</v>
      </c>
      <c r="AC64" s="14">
        <f>SOLID!AG75</f>
        <v>0</v>
      </c>
      <c r="AD64" s="14">
        <f>SOLID!AH75</f>
        <v>0</v>
      </c>
      <c r="AE64" s="14">
        <f>SOLID!AI75</f>
        <v>0</v>
      </c>
      <c r="AF64" s="14">
        <f>SOLID!AJ75</f>
        <v>0</v>
      </c>
      <c r="AG64" s="14">
        <f>SOLID!AK75</f>
        <v>0</v>
      </c>
      <c r="AH64" s="14">
        <f>SOLID!AL75</f>
        <v>0</v>
      </c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</row>
    <row r="65" spans="1:94" ht="22.5" collapsed="1" thickTop="1" thickBot="1" x14ac:dyDescent="0.4">
      <c r="A65" s="38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55"/>
      <c r="BK65" s="55"/>
      <c r="BL65" s="55"/>
      <c r="BM65" s="55"/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5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55"/>
      <c r="CO65" s="55"/>
      <c r="CP65" s="55"/>
    </row>
    <row r="66" spans="1:94" ht="22.5" thickTop="1" thickBot="1" x14ac:dyDescent="0.4">
      <c r="A66" s="4" t="s">
        <v>30</v>
      </c>
      <c r="B66" s="72">
        <f>ALL!F45</f>
        <v>0</v>
      </c>
      <c r="C66" s="72">
        <f>ALL!G45</f>
        <v>0</v>
      </c>
      <c r="D66" s="72">
        <f>ALL!H45</f>
        <v>0</v>
      </c>
      <c r="E66" s="72">
        <f>ALL!I45</f>
        <v>0</v>
      </c>
      <c r="F66" s="4">
        <f>ALL!J45</f>
        <v>0</v>
      </c>
      <c r="G66" s="4">
        <f>ALL!K45</f>
        <v>0</v>
      </c>
      <c r="H66" s="4">
        <f>ALL!L45</f>
        <v>0</v>
      </c>
      <c r="I66" s="4">
        <f>ALL!M45</f>
        <v>0</v>
      </c>
      <c r="J66" s="4">
        <f>ALL!N45</f>
        <v>0</v>
      </c>
      <c r="K66" s="4">
        <f>ALL!O45</f>
        <v>0</v>
      </c>
      <c r="L66" s="4">
        <f>ALL!P45</f>
        <v>0</v>
      </c>
      <c r="M66" s="4">
        <f>ALL!Q45</f>
        <v>0</v>
      </c>
      <c r="N66" s="4">
        <f>ALL!R45</f>
        <v>0</v>
      </c>
      <c r="O66" s="4">
        <f>ALL!S45</f>
        <v>0</v>
      </c>
      <c r="P66" s="4">
        <f>ALL!T45</f>
        <v>0</v>
      </c>
      <c r="Q66" s="4">
        <f>ALL!U45</f>
        <v>0</v>
      </c>
      <c r="R66" s="4">
        <f>ALL!V45</f>
        <v>0</v>
      </c>
      <c r="S66" s="4">
        <f>ALL!W45</f>
        <v>0</v>
      </c>
      <c r="T66" s="4">
        <f>ALL!X45</f>
        <v>0</v>
      </c>
      <c r="U66" s="4">
        <f>ALL!Y45</f>
        <v>0</v>
      </c>
      <c r="V66" s="4">
        <f>ALL!Z45</f>
        <v>0</v>
      </c>
      <c r="W66" s="4">
        <f>ALL!AA45</f>
        <v>0</v>
      </c>
      <c r="X66" s="4">
        <f>ALL!AB45</f>
        <v>0</v>
      </c>
      <c r="Y66" s="4">
        <f>ALL!AC45</f>
        <v>0</v>
      </c>
      <c r="Z66" s="4">
        <f>ALL!AD45</f>
        <v>0</v>
      </c>
      <c r="AA66" s="4">
        <f>ALL!AE45</f>
        <v>0</v>
      </c>
      <c r="AB66" s="4">
        <f>ALL!AF45</f>
        <v>0</v>
      </c>
      <c r="AC66" s="4">
        <f>ALL!AG45</f>
        <v>0</v>
      </c>
      <c r="AD66" s="4">
        <f>ALL!AH45</f>
        <v>0</v>
      </c>
      <c r="AE66" s="4">
        <f>ALL!AI45</f>
        <v>0</v>
      </c>
      <c r="AF66" s="4">
        <f>ALL!AJ45</f>
        <v>0</v>
      </c>
      <c r="AG66" s="4">
        <f>ALL!AK45</f>
        <v>0</v>
      </c>
      <c r="AH66" s="4">
        <f>ALL!AL45</f>
        <v>0</v>
      </c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55"/>
      <c r="BK66" s="55"/>
      <c r="BL66" s="55"/>
      <c r="BM66" s="55"/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5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55"/>
      <c r="CO66" s="55"/>
      <c r="CP66" s="55"/>
    </row>
    <row r="67" spans="1:94" ht="22.5" hidden="1" outlineLevel="1" thickTop="1" thickBot="1" x14ac:dyDescent="0.4">
      <c r="A67" s="36">
        <f>ALL!E46</f>
        <v>0</v>
      </c>
      <c r="B67" s="16" t="e">
        <f ca="1">ALL!F46</f>
        <v>#N/A</v>
      </c>
      <c r="C67" s="16" t="e">
        <f ca="1">ALL!G46</f>
        <v>#N/A</v>
      </c>
      <c r="D67" s="16" t="e">
        <f ca="1">ALL!H46</f>
        <v>#N/A</v>
      </c>
      <c r="E67" s="16" t="e">
        <f ca="1">ALL!I46</f>
        <v>#N/A</v>
      </c>
      <c r="F67" s="14" t="e">
        <f ca="1">ALL!J46</f>
        <v>#N/A</v>
      </c>
      <c r="G67" s="14" t="e">
        <f ca="1">ALL!K46</f>
        <v>#N/A</v>
      </c>
      <c r="H67" s="14" t="e">
        <f ca="1">ALL!L46</f>
        <v>#N/A</v>
      </c>
      <c r="I67" s="14" t="e">
        <f ca="1">ALL!M46</f>
        <v>#N/A</v>
      </c>
      <c r="J67" s="14" t="e">
        <f ca="1">ALL!N46</f>
        <v>#N/A</v>
      </c>
      <c r="K67" s="14" t="e">
        <f ca="1">ALL!O46</f>
        <v>#N/A</v>
      </c>
      <c r="L67" s="14" t="e">
        <f ca="1">ALL!P46</f>
        <v>#N/A</v>
      </c>
      <c r="M67" s="14" t="e">
        <f ca="1">ALL!Q46</f>
        <v>#N/A</v>
      </c>
      <c r="N67" s="14" t="e">
        <f ca="1">ALL!R46</f>
        <v>#N/A</v>
      </c>
      <c r="O67" s="14" t="e">
        <f ca="1">ALL!S46</f>
        <v>#N/A</v>
      </c>
      <c r="P67" s="14" t="e">
        <f ca="1">ALL!T46</f>
        <v>#N/A</v>
      </c>
      <c r="Q67" s="14" t="e">
        <f ca="1">ALL!U46</f>
        <v>#N/A</v>
      </c>
      <c r="R67" s="14" t="e">
        <f ca="1">ALL!V46</f>
        <v>#N/A</v>
      </c>
      <c r="S67" s="14" t="e">
        <f ca="1">ALL!W46</f>
        <v>#N/A</v>
      </c>
      <c r="T67" s="14" t="e">
        <f ca="1">ALL!X46</f>
        <v>#N/A</v>
      </c>
      <c r="U67" s="14" t="e">
        <f ca="1">ALL!Y46</f>
        <v>#N/A</v>
      </c>
      <c r="V67" s="14" t="e">
        <f ca="1">ALL!Z46</f>
        <v>#N/A</v>
      </c>
      <c r="W67" s="14" t="e">
        <f ca="1">ALL!AA46</f>
        <v>#N/A</v>
      </c>
      <c r="X67" s="14" t="e">
        <f ca="1">ALL!AB46</f>
        <v>#N/A</v>
      </c>
      <c r="Y67" s="14" t="e">
        <f ca="1">ALL!AC46</f>
        <v>#N/A</v>
      </c>
      <c r="Z67" s="14" t="e">
        <f ca="1">ALL!AD46</f>
        <v>#N/A</v>
      </c>
      <c r="AA67" s="14" t="e">
        <f ca="1">ALL!AE46</f>
        <v>#N/A</v>
      </c>
      <c r="AB67" s="14" t="e">
        <f ca="1">ALL!AF46</f>
        <v>#N/A</v>
      </c>
      <c r="AC67" s="14" t="e">
        <f ca="1">ALL!AG46</f>
        <v>#N/A</v>
      </c>
      <c r="AD67" s="14" t="e">
        <f ca="1">ALL!AH46</f>
        <v>#N/A</v>
      </c>
      <c r="AE67" s="14" t="e">
        <f ca="1">ALL!AI46</f>
        <v>#N/A</v>
      </c>
      <c r="AF67" s="14" t="e">
        <f ca="1">ALL!AJ46</f>
        <v>#N/A</v>
      </c>
      <c r="AG67" s="14" t="e">
        <f ca="1">ALL!AK46</f>
        <v>#N/A</v>
      </c>
      <c r="AH67" s="14" t="e">
        <f ca="1">ALL!AL46</f>
        <v>#N/A</v>
      </c>
      <c r="AI67" s="14">
        <f>ALL!AM46</f>
        <v>0</v>
      </c>
    </row>
    <row r="68" spans="1:94" ht="21.75" hidden="1" outlineLevel="1" thickBot="1" x14ac:dyDescent="0.4">
      <c r="A68" s="36">
        <f>ALL!E47</f>
        <v>0</v>
      </c>
      <c r="B68" s="16" t="e">
        <f ca="1">ALL!F47</f>
        <v>#N/A</v>
      </c>
      <c r="C68" s="16" t="e">
        <f ca="1">ALL!G47</f>
        <v>#N/A</v>
      </c>
      <c r="D68" s="16" t="e">
        <f ca="1">ALL!H47</f>
        <v>#N/A</v>
      </c>
      <c r="E68" s="16" t="e">
        <f ca="1">ALL!I47</f>
        <v>#N/A</v>
      </c>
      <c r="F68" s="14" t="e">
        <f ca="1">ALL!J47</f>
        <v>#N/A</v>
      </c>
      <c r="G68" s="14" t="e">
        <f ca="1">ALL!K47</f>
        <v>#N/A</v>
      </c>
      <c r="H68" s="14" t="e">
        <f ca="1">ALL!L47</f>
        <v>#N/A</v>
      </c>
      <c r="I68" s="14" t="e">
        <f ca="1">ALL!M47</f>
        <v>#N/A</v>
      </c>
      <c r="J68" s="14" t="e">
        <f ca="1">ALL!N47</f>
        <v>#N/A</v>
      </c>
      <c r="K68" s="14" t="e">
        <f ca="1">ALL!O47</f>
        <v>#N/A</v>
      </c>
      <c r="L68" s="14" t="e">
        <f ca="1">ALL!P47</f>
        <v>#N/A</v>
      </c>
      <c r="M68" s="14" t="e">
        <f ca="1">ALL!Q47</f>
        <v>#N/A</v>
      </c>
      <c r="N68" s="14" t="e">
        <f ca="1">ALL!R47</f>
        <v>#N/A</v>
      </c>
      <c r="O68" s="14" t="e">
        <f ca="1">ALL!S47</f>
        <v>#N/A</v>
      </c>
      <c r="P68" s="14" t="e">
        <f ca="1">ALL!T47</f>
        <v>#N/A</v>
      </c>
      <c r="Q68" s="14" t="e">
        <f ca="1">ALL!U47</f>
        <v>#N/A</v>
      </c>
      <c r="R68" s="14" t="e">
        <f ca="1">ALL!V47</f>
        <v>#N/A</v>
      </c>
      <c r="S68" s="14" t="e">
        <f ca="1">ALL!W47</f>
        <v>#N/A</v>
      </c>
      <c r="T68" s="14" t="e">
        <f ca="1">ALL!X47</f>
        <v>#N/A</v>
      </c>
      <c r="U68" s="14" t="e">
        <f ca="1">ALL!Y47</f>
        <v>#N/A</v>
      </c>
      <c r="V68" s="14" t="e">
        <f ca="1">ALL!Z47</f>
        <v>#N/A</v>
      </c>
      <c r="W68" s="14" t="e">
        <f ca="1">ALL!AA47</f>
        <v>#N/A</v>
      </c>
      <c r="X68" s="14" t="e">
        <f ca="1">ALL!AB47</f>
        <v>#N/A</v>
      </c>
      <c r="Y68" s="14" t="e">
        <f ca="1">ALL!AC47</f>
        <v>#N/A</v>
      </c>
      <c r="Z68" s="14" t="e">
        <f ca="1">ALL!AD47</f>
        <v>#N/A</v>
      </c>
      <c r="AA68" s="14" t="e">
        <f ca="1">ALL!AE47</f>
        <v>#N/A</v>
      </c>
      <c r="AB68" s="14" t="e">
        <f ca="1">ALL!AF47</f>
        <v>#N/A</v>
      </c>
      <c r="AC68" s="14" t="e">
        <f ca="1">ALL!AG47</f>
        <v>#N/A</v>
      </c>
      <c r="AD68" s="14" t="e">
        <f ca="1">ALL!AH47</f>
        <v>#N/A</v>
      </c>
      <c r="AE68" s="14" t="e">
        <f ca="1">ALL!AI47</f>
        <v>#N/A</v>
      </c>
      <c r="AF68" s="14" t="e">
        <f ca="1">ALL!AJ47</f>
        <v>#N/A</v>
      </c>
      <c r="AG68" s="14" t="e">
        <f ca="1">ALL!AK47</f>
        <v>#N/A</v>
      </c>
      <c r="AH68" s="14" t="e">
        <f ca="1">ALL!AL47</f>
        <v>#N/A</v>
      </c>
      <c r="AI68" s="14">
        <f>ALL!AM47</f>
        <v>0</v>
      </c>
    </row>
    <row r="69" spans="1:94" ht="21.75" hidden="1" outlineLevel="1" thickBot="1" x14ac:dyDescent="0.4">
      <c r="A69" s="36">
        <f>ALL!E48</f>
        <v>0</v>
      </c>
      <c r="B69" s="16" t="e">
        <f ca="1">ALL!F48</f>
        <v>#N/A</v>
      </c>
      <c r="C69" s="16" t="e">
        <f ca="1">ALL!G48</f>
        <v>#N/A</v>
      </c>
      <c r="D69" s="16" t="e">
        <f ca="1">ALL!H48</f>
        <v>#N/A</v>
      </c>
      <c r="E69" s="16" t="e">
        <f ca="1">ALL!I48</f>
        <v>#N/A</v>
      </c>
      <c r="F69" s="14" t="e">
        <f ca="1">ALL!J48</f>
        <v>#N/A</v>
      </c>
      <c r="G69" s="14" t="e">
        <f ca="1">ALL!K48</f>
        <v>#N/A</v>
      </c>
      <c r="H69" s="14" t="e">
        <f ca="1">ALL!L48</f>
        <v>#N/A</v>
      </c>
      <c r="I69" s="14" t="e">
        <f ca="1">ALL!M48</f>
        <v>#N/A</v>
      </c>
      <c r="J69" s="14" t="e">
        <f ca="1">ALL!N48</f>
        <v>#N/A</v>
      </c>
      <c r="K69" s="14" t="e">
        <f ca="1">ALL!O48</f>
        <v>#N/A</v>
      </c>
      <c r="L69" s="14" t="e">
        <f ca="1">ALL!P48</f>
        <v>#N/A</v>
      </c>
      <c r="M69" s="14" t="e">
        <f ca="1">ALL!Q48</f>
        <v>#N/A</v>
      </c>
      <c r="N69" s="14" t="e">
        <f ca="1">ALL!R48</f>
        <v>#N/A</v>
      </c>
      <c r="O69" s="14" t="e">
        <f ca="1">ALL!S48</f>
        <v>#N/A</v>
      </c>
      <c r="P69" s="14" t="e">
        <f ca="1">ALL!T48</f>
        <v>#N/A</v>
      </c>
      <c r="Q69" s="14" t="e">
        <f ca="1">ALL!U48</f>
        <v>#N/A</v>
      </c>
      <c r="R69" s="14" t="e">
        <f ca="1">ALL!V48</f>
        <v>#N/A</v>
      </c>
      <c r="S69" s="14" t="e">
        <f ca="1">ALL!W48</f>
        <v>#N/A</v>
      </c>
      <c r="T69" s="14" t="e">
        <f ca="1">ALL!X48</f>
        <v>#N/A</v>
      </c>
      <c r="U69" s="14" t="e">
        <f ca="1">ALL!Y48</f>
        <v>#N/A</v>
      </c>
      <c r="V69" s="14" t="e">
        <f ca="1">ALL!Z48</f>
        <v>#N/A</v>
      </c>
      <c r="W69" s="14" t="e">
        <f ca="1">ALL!AA48</f>
        <v>#N/A</v>
      </c>
      <c r="X69" s="14" t="e">
        <f ca="1">ALL!AB48</f>
        <v>#N/A</v>
      </c>
      <c r="Y69" s="14" t="e">
        <f ca="1">ALL!AC48</f>
        <v>#N/A</v>
      </c>
      <c r="Z69" s="14" t="e">
        <f ca="1">ALL!AD48</f>
        <v>#N/A</v>
      </c>
      <c r="AA69" s="14" t="e">
        <f ca="1">ALL!AE48</f>
        <v>#N/A</v>
      </c>
      <c r="AB69" s="14" t="e">
        <f ca="1">ALL!AF48</f>
        <v>#N/A</v>
      </c>
      <c r="AC69" s="14" t="e">
        <f ca="1">ALL!AG48</f>
        <v>#N/A</v>
      </c>
      <c r="AD69" s="14" t="e">
        <f ca="1">ALL!AH48</f>
        <v>#N/A</v>
      </c>
      <c r="AE69" s="14" t="e">
        <f ca="1">ALL!AI48</f>
        <v>#N/A</v>
      </c>
      <c r="AF69" s="14" t="e">
        <f ca="1">ALL!AJ48</f>
        <v>#N/A</v>
      </c>
      <c r="AG69" s="14" t="e">
        <f ca="1">ALL!AK48</f>
        <v>#N/A</v>
      </c>
      <c r="AH69" s="14" t="e">
        <f ca="1">ALL!AL48</f>
        <v>#N/A</v>
      </c>
      <c r="AI69" s="14">
        <f>ALL!AM48</f>
        <v>0</v>
      </c>
    </row>
    <row r="70" spans="1:94" ht="21.75" hidden="1" outlineLevel="1" thickBot="1" x14ac:dyDescent="0.4">
      <c r="A70" s="36">
        <f>ALL!E49</f>
        <v>0</v>
      </c>
      <c r="B70" s="16" t="e">
        <f ca="1">ALL!F49</f>
        <v>#N/A</v>
      </c>
      <c r="C70" s="16" t="e">
        <f ca="1">ALL!G49</f>
        <v>#N/A</v>
      </c>
      <c r="D70" s="16" t="e">
        <f ca="1">ALL!H49</f>
        <v>#N/A</v>
      </c>
      <c r="E70" s="16" t="e">
        <f ca="1">ALL!I49</f>
        <v>#N/A</v>
      </c>
      <c r="F70" s="14" t="e">
        <f ca="1">ALL!J49</f>
        <v>#N/A</v>
      </c>
      <c r="G70" s="14" t="e">
        <f ca="1">ALL!K49</f>
        <v>#N/A</v>
      </c>
      <c r="H70" s="14" t="e">
        <f ca="1">ALL!L49</f>
        <v>#N/A</v>
      </c>
      <c r="I70" s="14" t="e">
        <f ca="1">ALL!M49</f>
        <v>#N/A</v>
      </c>
      <c r="J70" s="14" t="e">
        <f ca="1">ALL!N49</f>
        <v>#N/A</v>
      </c>
      <c r="K70" s="14" t="e">
        <f ca="1">ALL!O49</f>
        <v>#N/A</v>
      </c>
      <c r="L70" s="14" t="e">
        <f ca="1">ALL!P49</f>
        <v>#N/A</v>
      </c>
      <c r="M70" s="14" t="e">
        <f ca="1">ALL!Q49</f>
        <v>#N/A</v>
      </c>
      <c r="N70" s="14" t="e">
        <f ca="1">ALL!R49</f>
        <v>#N/A</v>
      </c>
      <c r="O70" s="14" t="e">
        <f ca="1">ALL!S49</f>
        <v>#N/A</v>
      </c>
      <c r="P70" s="14" t="e">
        <f ca="1">ALL!T49</f>
        <v>#N/A</v>
      </c>
      <c r="Q70" s="14" t="e">
        <f ca="1">ALL!U49</f>
        <v>#N/A</v>
      </c>
      <c r="R70" s="14" t="e">
        <f ca="1">ALL!V49</f>
        <v>#N/A</v>
      </c>
      <c r="S70" s="14" t="e">
        <f ca="1">ALL!W49</f>
        <v>#N/A</v>
      </c>
      <c r="T70" s="14" t="e">
        <f ca="1">ALL!X49</f>
        <v>#N/A</v>
      </c>
      <c r="U70" s="14" t="e">
        <f ca="1">ALL!Y49</f>
        <v>#N/A</v>
      </c>
      <c r="V70" s="14" t="e">
        <f ca="1">ALL!Z49</f>
        <v>#N/A</v>
      </c>
      <c r="W70" s="14" t="e">
        <f ca="1">ALL!AA49</f>
        <v>#N/A</v>
      </c>
      <c r="X70" s="14" t="e">
        <f ca="1">ALL!AB49</f>
        <v>#N/A</v>
      </c>
      <c r="Y70" s="14" t="e">
        <f ca="1">ALL!AC49</f>
        <v>#N/A</v>
      </c>
      <c r="Z70" s="14" t="e">
        <f ca="1">ALL!AD49</f>
        <v>#N/A</v>
      </c>
      <c r="AA70" s="14" t="e">
        <f ca="1">ALL!AE49</f>
        <v>#N/A</v>
      </c>
      <c r="AB70" s="14" t="e">
        <f ca="1">ALL!AF49</f>
        <v>#N/A</v>
      </c>
      <c r="AC70" s="14" t="e">
        <f ca="1">ALL!AG49</f>
        <v>#N/A</v>
      </c>
      <c r="AD70" s="14" t="e">
        <f ca="1">ALL!AH49</f>
        <v>#N/A</v>
      </c>
      <c r="AE70" s="14" t="e">
        <f ca="1">ALL!AI49</f>
        <v>#N/A</v>
      </c>
      <c r="AF70" s="14" t="e">
        <f ca="1">ALL!AJ49</f>
        <v>#N/A</v>
      </c>
      <c r="AG70" s="14" t="e">
        <f ca="1">ALL!AK49</f>
        <v>#N/A</v>
      </c>
      <c r="AH70" s="14" t="e">
        <f ca="1">ALL!AL49</f>
        <v>#N/A</v>
      </c>
      <c r="AI70" s="14">
        <f>ALL!AM49</f>
        <v>0</v>
      </c>
    </row>
    <row r="71" spans="1:94" ht="21.75" hidden="1" outlineLevel="1" thickBot="1" x14ac:dyDescent="0.4">
      <c r="A71" s="36">
        <f>ALL!E50</f>
        <v>0</v>
      </c>
      <c r="B71" s="16" t="e">
        <f ca="1">ALL!F50</f>
        <v>#N/A</v>
      </c>
      <c r="C71" s="16" t="e">
        <f ca="1">ALL!G50</f>
        <v>#N/A</v>
      </c>
      <c r="D71" s="16" t="e">
        <f ca="1">ALL!H50</f>
        <v>#N/A</v>
      </c>
      <c r="E71" s="16" t="e">
        <f ca="1">ALL!I50</f>
        <v>#N/A</v>
      </c>
      <c r="F71" s="14" t="e">
        <f ca="1">ALL!J50</f>
        <v>#N/A</v>
      </c>
      <c r="G71" s="14" t="e">
        <f ca="1">ALL!K50</f>
        <v>#N/A</v>
      </c>
      <c r="H71" s="14" t="e">
        <f ca="1">ALL!L50</f>
        <v>#N/A</v>
      </c>
      <c r="I71" s="14" t="e">
        <f ca="1">ALL!M50</f>
        <v>#N/A</v>
      </c>
      <c r="J71" s="14" t="e">
        <f ca="1">ALL!N50</f>
        <v>#N/A</v>
      </c>
      <c r="K71" s="14" t="e">
        <f ca="1">ALL!O50</f>
        <v>#N/A</v>
      </c>
      <c r="L71" s="14" t="e">
        <f ca="1">ALL!P50</f>
        <v>#N/A</v>
      </c>
      <c r="M71" s="14" t="e">
        <f ca="1">ALL!Q50</f>
        <v>#N/A</v>
      </c>
      <c r="N71" s="14" t="e">
        <f ca="1">ALL!R50</f>
        <v>#N/A</v>
      </c>
      <c r="O71" s="14" t="e">
        <f ca="1">ALL!S50</f>
        <v>#N/A</v>
      </c>
      <c r="P71" s="14" t="e">
        <f ca="1">ALL!T50</f>
        <v>#N/A</v>
      </c>
      <c r="Q71" s="14" t="e">
        <f ca="1">ALL!U50</f>
        <v>#N/A</v>
      </c>
      <c r="R71" s="14" t="e">
        <f ca="1">ALL!V50</f>
        <v>#N/A</v>
      </c>
      <c r="S71" s="14" t="e">
        <f ca="1">ALL!W50</f>
        <v>#N/A</v>
      </c>
      <c r="T71" s="14" t="e">
        <f ca="1">ALL!X50</f>
        <v>#N/A</v>
      </c>
      <c r="U71" s="14" t="e">
        <f ca="1">ALL!Y50</f>
        <v>#N/A</v>
      </c>
      <c r="V71" s="14" t="e">
        <f ca="1">ALL!Z50</f>
        <v>#N/A</v>
      </c>
      <c r="W71" s="14" t="e">
        <f ca="1">ALL!AA50</f>
        <v>#N/A</v>
      </c>
      <c r="X71" s="14" t="e">
        <f ca="1">ALL!AB50</f>
        <v>#N/A</v>
      </c>
      <c r="Y71" s="14" t="e">
        <f ca="1">ALL!AC50</f>
        <v>#N/A</v>
      </c>
      <c r="Z71" s="14" t="e">
        <f ca="1">ALL!AD50</f>
        <v>#N/A</v>
      </c>
      <c r="AA71" s="14" t="e">
        <f ca="1">ALL!AE50</f>
        <v>#N/A</v>
      </c>
      <c r="AB71" s="14" t="e">
        <f ca="1">ALL!AF50</f>
        <v>#N/A</v>
      </c>
      <c r="AC71" s="14" t="e">
        <f ca="1">ALL!AG50</f>
        <v>#N/A</v>
      </c>
      <c r="AD71" s="14" t="e">
        <f ca="1">ALL!AH50</f>
        <v>#N/A</v>
      </c>
      <c r="AE71" s="14" t="e">
        <f ca="1">ALL!AI50</f>
        <v>#N/A</v>
      </c>
      <c r="AF71" s="14" t="e">
        <f ca="1">ALL!AJ50</f>
        <v>#N/A</v>
      </c>
      <c r="AG71" s="14" t="e">
        <f ca="1">ALL!AK50</f>
        <v>#N/A</v>
      </c>
      <c r="AH71" s="14" t="e">
        <f ca="1">ALL!AL50</f>
        <v>#N/A</v>
      </c>
      <c r="AI71" s="14">
        <f>ALL!AM50</f>
        <v>0</v>
      </c>
    </row>
    <row r="72" spans="1:94" ht="21.75" hidden="1" outlineLevel="1" thickBot="1" x14ac:dyDescent="0.4">
      <c r="A72" s="36">
        <f>ALL!E51</f>
        <v>0</v>
      </c>
      <c r="B72" s="16" t="e">
        <f ca="1">ALL!F51</f>
        <v>#N/A</v>
      </c>
      <c r="C72" s="16" t="e">
        <f ca="1">ALL!G51</f>
        <v>#N/A</v>
      </c>
      <c r="D72" s="16" t="e">
        <f ca="1">ALL!H51</f>
        <v>#N/A</v>
      </c>
      <c r="E72" s="16" t="e">
        <f ca="1">ALL!I51</f>
        <v>#N/A</v>
      </c>
      <c r="F72" s="14" t="e">
        <f ca="1">ALL!J51</f>
        <v>#N/A</v>
      </c>
      <c r="G72" s="14" t="e">
        <f ca="1">ALL!K51</f>
        <v>#N/A</v>
      </c>
      <c r="H72" s="14" t="e">
        <f ca="1">ALL!L51</f>
        <v>#N/A</v>
      </c>
      <c r="I72" s="14" t="e">
        <f ca="1">ALL!M51</f>
        <v>#N/A</v>
      </c>
      <c r="J72" s="14" t="e">
        <f ca="1">ALL!N51</f>
        <v>#N/A</v>
      </c>
      <c r="K72" s="14" t="e">
        <f ca="1">ALL!O51</f>
        <v>#N/A</v>
      </c>
      <c r="L72" s="14" t="e">
        <f ca="1">ALL!P51</f>
        <v>#N/A</v>
      </c>
      <c r="M72" s="14" t="e">
        <f ca="1">ALL!Q51</f>
        <v>#N/A</v>
      </c>
      <c r="N72" s="14" t="e">
        <f ca="1">ALL!R51</f>
        <v>#N/A</v>
      </c>
      <c r="O72" s="14" t="e">
        <f ca="1">ALL!S51</f>
        <v>#N/A</v>
      </c>
      <c r="P72" s="14" t="e">
        <f ca="1">ALL!T51</f>
        <v>#N/A</v>
      </c>
      <c r="Q72" s="14" t="e">
        <f ca="1">ALL!U51</f>
        <v>#N/A</v>
      </c>
      <c r="R72" s="14" t="e">
        <f ca="1">ALL!V51</f>
        <v>#N/A</v>
      </c>
      <c r="S72" s="14" t="e">
        <f ca="1">ALL!W51</f>
        <v>#N/A</v>
      </c>
      <c r="T72" s="14" t="e">
        <f ca="1">ALL!X51</f>
        <v>#N/A</v>
      </c>
      <c r="U72" s="14" t="e">
        <f ca="1">ALL!Y51</f>
        <v>#N/A</v>
      </c>
      <c r="V72" s="14" t="e">
        <f ca="1">ALL!Z51</f>
        <v>#N/A</v>
      </c>
      <c r="W72" s="14" t="e">
        <f ca="1">ALL!AA51</f>
        <v>#N/A</v>
      </c>
      <c r="X72" s="14" t="e">
        <f ca="1">ALL!AB51</f>
        <v>#N/A</v>
      </c>
      <c r="Y72" s="14" t="e">
        <f ca="1">ALL!AC51</f>
        <v>#N/A</v>
      </c>
      <c r="Z72" s="14" t="e">
        <f ca="1">ALL!AD51</f>
        <v>#N/A</v>
      </c>
      <c r="AA72" s="14" t="e">
        <f ca="1">ALL!AE51</f>
        <v>#N/A</v>
      </c>
      <c r="AB72" s="14" t="e">
        <f ca="1">ALL!AF51</f>
        <v>#N/A</v>
      </c>
      <c r="AC72" s="14" t="e">
        <f ca="1">ALL!AG51</f>
        <v>#N/A</v>
      </c>
      <c r="AD72" s="14" t="e">
        <f ca="1">ALL!AH51</f>
        <v>#N/A</v>
      </c>
      <c r="AE72" s="14" t="e">
        <f ca="1">ALL!AI51</f>
        <v>#N/A</v>
      </c>
      <c r="AF72" s="14" t="e">
        <f ca="1">ALL!AJ51</f>
        <v>#N/A</v>
      </c>
      <c r="AG72" s="14" t="e">
        <f ca="1">ALL!AK51</f>
        <v>#N/A</v>
      </c>
      <c r="AH72" s="14" t="e">
        <f ca="1">ALL!AL51</f>
        <v>#N/A</v>
      </c>
      <c r="AI72" s="14">
        <f>ALL!AM51</f>
        <v>0</v>
      </c>
    </row>
    <row r="73" spans="1:94" ht="21.75" hidden="1" outlineLevel="1" thickBot="1" x14ac:dyDescent="0.4">
      <c r="A73" s="36">
        <f>ALL!E52</f>
        <v>0</v>
      </c>
      <c r="B73" s="16" t="e">
        <f ca="1">ALL!F52</f>
        <v>#N/A</v>
      </c>
      <c r="C73" s="16" t="e">
        <f ca="1">ALL!G52</f>
        <v>#N/A</v>
      </c>
      <c r="D73" s="16" t="e">
        <f ca="1">ALL!H52</f>
        <v>#N/A</v>
      </c>
      <c r="E73" s="16" t="e">
        <f ca="1">ALL!I52</f>
        <v>#N/A</v>
      </c>
      <c r="F73" s="14" t="e">
        <f ca="1">ALL!J52</f>
        <v>#N/A</v>
      </c>
      <c r="G73" s="14" t="e">
        <f ca="1">ALL!K52</f>
        <v>#N/A</v>
      </c>
      <c r="H73" s="14" t="e">
        <f ca="1">ALL!L52</f>
        <v>#N/A</v>
      </c>
      <c r="I73" s="14" t="e">
        <f ca="1">ALL!M52</f>
        <v>#N/A</v>
      </c>
      <c r="J73" s="14" t="e">
        <f ca="1">ALL!N52</f>
        <v>#N/A</v>
      </c>
      <c r="K73" s="14" t="e">
        <f ca="1">ALL!O52</f>
        <v>#N/A</v>
      </c>
      <c r="L73" s="14" t="e">
        <f ca="1">ALL!P52</f>
        <v>#N/A</v>
      </c>
      <c r="M73" s="14" t="e">
        <f ca="1">ALL!Q52</f>
        <v>#N/A</v>
      </c>
      <c r="N73" s="14" t="e">
        <f ca="1">ALL!R52</f>
        <v>#N/A</v>
      </c>
      <c r="O73" s="14" t="e">
        <f ca="1">ALL!S52</f>
        <v>#N/A</v>
      </c>
      <c r="P73" s="14" t="e">
        <f ca="1">ALL!T52</f>
        <v>#N/A</v>
      </c>
      <c r="Q73" s="14" t="e">
        <f ca="1">ALL!U52</f>
        <v>#N/A</v>
      </c>
      <c r="R73" s="14" t="e">
        <f ca="1">ALL!V52</f>
        <v>#N/A</v>
      </c>
      <c r="S73" s="14" t="e">
        <f ca="1">ALL!W52</f>
        <v>#N/A</v>
      </c>
      <c r="T73" s="14" t="e">
        <f ca="1">ALL!X52</f>
        <v>#N/A</v>
      </c>
      <c r="U73" s="14" t="e">
        <f ca="1">ALL!Y52</f>
        <v>#N/A</v>
      </c>
      <c r="V73" s="14" t="e">
        <f ca="1">ALL!Z52</f>
        <v>#N/A</v>
      </c>
      <c r="W73" s="14" t="e">
        <f ca="1">ALL!AA52</f>
        <v>#N/A</v>
      </c>
      <c r="X73" s="14" t="e">
        <f ca="1">ALL!AB52</f>
        <v>#N/A</v>
      </c>
      <c r="Y73" s="14" t="e">
        <f ca="1">ALL!AC52</f>
        <v>#N/A</v>
      </c>
      <c r="Z73" s="14" t="e">
        <f ca="1">ALL!AD52</f>
        <v>#N/A</v>
      </c>
      <c r="AA73" s="14" t="e">
        <f ca="1">ALL!AE52</f>
        <v>#N/A</v>
      </c>
      <c r="AB73" s="14" t="e">
        <f ca="1">ALL!AF52</f>
        <v>#N/A</v>
      </c>
      <c r="AC73" s="14" t="e">
        <f ca="1">ALL!AG52</f>
        <v>#N/A</v>
      </c>
      <c r="AD73" s="14" t="e">
        <f ca="1">ALL!AH52</f>
        <v>#N/A</v>
      </c>
      <c r="AE73" s="14" t="e">
        <f ca="1">ALL!AI52</f>
        <v>#N/A</v>
      </c>
      <c r="AF73" s="14" t="e">
        <f ca="1">ALL!AJ52</f>
        <v>#N/A</v>
      </c>
      <c r="AG73" s="14" t="e">
        <f ca="1">ALL!AK52</f>
        <v>#N/A</v>
      </c>
      <c r="AH73" s="14" t="e">
        <f ca="1">ALL!AL52</f>
        <v>#N/A</v>
      </c>
      <c r="AI73" s="14">
        <f>ALL!AM52</f>
        <v>0</v>
      </c>
    </row>
    <row r="74" spans="1:94" ht="21.75" hidden="1" outlineLevel="1" thickBot="1" x14ac:dyDescent="0.4">
      <c r="A74" s="36">
        <f>ALL!E53</f>
        <v>0</v>
      </c>
      <c r="B74" s="16" t="e">
        <f ca="1">ALL!F53</f>
        <v>#N/A</v>
      </c>
      <c r="C74" s="16" t="e">
        <f ca="1">ALL!G53</f>
        <v>#N/A</v>
      </c>
      <c r="D74" s="16" t="e">
        <f ca="1">ALL!H53</f>
        <v>#N/A</v>
      </c>
      <c r="E74" s="16" t="e">
        <f ca="1">ALL!I53</f>
        <v>#N/A</v>
      </c>
      <c r="F74" s="14" t="e">
        <f ca="1">ALL!J53</f>
        <v>#N/A</v>
      </c>
      <c r="G74" s="14" t="e">
        <f ca="1">ALL!K53</f>
        <v>#N/A</v>
      </c>
      <c r="H74" s="14" t="e">
        <f ca="1">ALL!L53</f>
        <v>#N/A</v>
      </c>
      <c r="I74" s="14" t="e">
        <f ca="1">ALL!M53</f>
        <v>#N/A</v>
      </c>
      <c r="J74" s="14" t="e">
        <f ca="1">ALL!N53</f>
        <v>#N/A</v>
      </c>
      <c r="K74" s="14" t="e">
        <f ca="1">ALL!O53</f>
        <v>#N/A</v>
      </c>
      <c r="L74" s="14" t="e">
        <f ca="1">ALL!P53</f>
        <v>#N/A</v>
      </c>
      <c r="M74" s="14" t="e">
        <f ca="1">ALL!Q53</f>
        <v>#N/A</v>
      </c>
      <c r="N74" s="14" t="e">
        <f ca="1">ALL!R53</f>
        <v>#N/A</v>
      </c>
      <c r="O74" s="14" t="e">
        <f ca="1">ALL!S53</f>
        <v>#N/A</v>
      </c>
      <c r="P74" s="14" t="e">
        <f ca="1">ALL!T53</f>
        <v>#N/A</v>
      </c>
      <c r="Q74" s="14" t="e">
        <f ca="1">ALL!U53</f>
        <v>#N/A</v>
      </c>
      <c r="R74" s="14" t="e">
        <f ca="1">ALL!V53</f>
        <v>#N/A</v>
      </c>
      <c r="S74" s="14" t="e">
        <f ca="1">ALL!W53</f>
        <v>#N/A</v>
      </c>
      <c r="T74" s="14" t="e">
        <f ca="1">ALL!X53</f>
        <v>#N/A</v>
      </c>
      <c r="U74" s="14" t="e">
        <f ca="1">ALL!Y53</f>
        <v>#N/A</v>
      </c>
      <c r="V74" s="14" t="e">
        <f ca="1">ALL!Z53</f>
        <v>#N/A</v>
      </c>
      <c r="W74" s="14" t="e">
        <f ca="1">ALL!AA53</f>
        <v>#N/A</v>
      </c>
      <c r="X74" s="14" t="e">
        <f ca="1">ALL!AB53</f>
        <v>#N/A</v>
      </c>
      <c r="Y74" s="14" t="e">
        <f ca="1">ALL!AC53</f>
        <v>#N/A</v>
      </c>
      <c r="Z74" s="14" t="e">
        <f ca="1">ALL!AD53</f>
        <v>#N/A</v>
      </c>
      <c r="AA74" s="14" t="e">
        <f ca="1">ALL!AE53</f>
        <v>#N/A</v>
      </c>
      <c r="AB74" s="14" t="e">
        <f ca="1">ALL!AF53</f>
        <v>#N/A</v>
      </c>
      <c r="AC74" s="14" t="e">
        <f ca="1">ALL!AG53</f>
        <v>#N/A</v>
      </c>
      <c r="AD74" s="14" t="e">
        <f ca="1">ALL!AH53</f>
        <v>#N/A</v>
      </c>
      <c r="AE74" s="14" t="e">
        <f ca="1">ALL!AI53</f>
        <v>#N/A</v>
      </c>
      <c r="AF74" s="14" t="e">
        <f ca="1">ALL!AJ53</f>
        <v>#N/A</v>
      </c>
      <c r="AG74" s="14" t="e">
        <f ca="1">ALL!AK53</f>
        <v>#N/A</v>
      </c>
      <c r="AH74" s="14" t="e">
        <f ca="1">ALL!AL53</f>
        <v>#N/A</v>
      </c>
      <c r="AI74" s="14">
        <f>ALL!AM53</f>
        <v>0</v>
      </c>
    </row>
    <row r="75" spans="1:94" ht="21.75" hidden="1" outlineLevel="1" thickBot="1" x14ac:dyDescent="0.4">
      <c r="A75" s="36">
        <f>ALL!E54</f>
        <v>0</v>
      </c>
      <c r="B75" s="16" t="e">
        <f ca="1">ALL!F54</f>
        <v>#N/A</v>
      </c>
      <c r="C75" s="16" t="e">
        <f ca="1">ALL!G54</f>
        <v>#N/A</v>
      </c>
      <c r="D75" s="16" t="e">
        <f ca="1">ALL!H54</f>
        <v>#N/A</v>
      </c>
      <c r="E75" s="16" t="e">
        <f ca="1">ALL!I54</f>
        <v>#N/A</v>
      </c>
      <c r="F75" s="14" t="e">
        <f ca="1">ALL!J54</f>
        <v>#N/A</v>
      </c>
      <c r="G75" s="14" t="e">
        <f ca="1">ALL!K54</f>
        <v>#N/A</v>
      </c>
      <c r="H75" s="14" t="e">
        <f ca="1">ALL!L54</f>
        <v>#N/A</v>
      </c>
      <c r="I75" s="14" t="e">
        <f ca="1">ALL!M54</f>
        <v>#N/A</v>
      </c>
      <c r="J75" s="14" t="e">
        <f ca="1">ALL!N54</f>
        <v>#N/A</v>
      </c>
      <c r="K75" s="14" t="e">
        <f ca="1">ALL!O54</f>
        <v>#N/A</v>
      </c>
      <c r="L75" s="14" t="e">
        <f ca="1">ALL!P54</f>
        <v>#N/A</v>
      </c>
      <c r="M75" s="14" t="e">
        <f ca="1">ALL!Q54</f>
        <v>#N/A</v>
      </c>
      <c r="N75" s="14" t="e">
        <f ca="1">ALL!R54</f>
        <v>#N/A</v>
      </c>
      <c r="O75" s="14" t="e">
        <f ca="1">ALL!S54</f>
        <v>#N/A</v>
      </c>
      <c r="P75" s="14" t="e">
        <f ca="1">ALL!T54</f>
        <v>#N/A</v>
      </c>
      <c r="Q75" s="14" t="e">
        <f ca="1">ALL!U54</f>
        <v>#N/A</v>
      </c>
      <c r="R75" s="14" t="e">
        <f ca="1">ALL!V54</f>
        <v>#N/A</v>
      </c>
      <c r="S75" s="14" t="e">
        <f ca="1">ALL!W54</f>
        <v>#N/A</v>
      </c>
      <c r="T75" s="14" t="e">
        <f ca="1">ALL!X54</f>
        <v>#N/A</v>
      </c>
      <c r="U75" s="14" t="e">
        <f ca="1">ALL!Y54</f>
        <v>#N/A</v>
      </c>
      <c r="V75" s="14" t="e">
        <f ca="1">ALL!Z54</f>
        <v>#N/A</v>
      </c>
      <c r="W75" s="14" t="e">
        <f ca="1">ALL!AA54</f>
        <v>#N/A</v>
      </c>
      <c r="X75" s="14" t="e">
        <f ca="1">ALL!AB54</f>
        <v>#N/A</v>
      </c>
      <c r="Y75" s="14" t="e">
        <f ca="1">ALL!AC54</f>
        <v>#N/A</v>
      </c>
      <c r="Z75" s="14" t="e">
        <f ca="1">ALL!AD54</f>
        <v>#N/A</v>
      </c>
      <c r="AA75" s="14" t="e">
        <f ca="1">ALL!AE54</f>
        <v>#N/A</v>
      </c>
      <c r="AB75" s="14" t="e">
        <f ca="1">ALL!AF54</f>
        <v>#N/A</v>
      </c>
      <c r="AC75" s="14" t="e">
        <f ca="1">ALL!AG54</f>
        <v>#N/A</v>
      </c>
      <c r="AD75" s="14" t="e">
        <f ca="1">ALL!AH54</f>
        <v>#N/A</v>
      </c>
      <c r="AE75" s="14" t="e">
        <f ca="1">ALL!AI54</f>
        <v>#N/A</v>
      </c>
      <c r="AF75" s="14" t="e">
        <f ca="1">ALL!AJ54</f>
        <v>#N/A</v>
      </c>
      <c r="AG75" s="14" t="e">
        <f ca="1">ALL!AK54</f>
        <v>#N/A</v>
      </c>
      <c r="AH75" s="14" t="e">
        <f ca="1">ALL!AL54</f>
        <v>#N/A</v>
      </c>
      <c r="AI75" s="14">
        <f>ALL!AM54</f>
        <v>0</v>
      </c>
    </row>
    <row r="76" spans="1:94" ht="21.75" hidden="1" outlineLevel="1" thickBot="1" x14ac:dyDescent="0.4">
      <c r="A76" s="36">
        <f>ALL!E55</f>
        <v>0</v>
      </c>
      <c r="B76" s="16" t="e">
        <f ca="1">ALL!F55</f>
        <v>#N/A</v>
      </c>
      <c r="C76" s="16" t="e">
        <f ca="1">ALL!G55</f>
        <v>#N/A</v>
      </c>
      <c r="D76" s="16" t="e">
        <f ca="1">ALL!H55</f>
        <v>#N/A</v>
      </c>
      <c r="E76" s="16" t="e">
        <f ca="1">ALL!I55</f>
        <v>#N/A</v>
      </c>
      <c r="F76" s="14" t="e">
        <f ca="1">ALL!J55</f>
        <v>#N/A</v>
      </c>
      <c r="G76" s="14" t="e">
        <f ca="1">ALL!K55</f>
        <v>#N/A</v>
      </c>
      <c r="H76" s="14" t="e">
        <f ca="1">ALL!L55</f>
        <v>#N/A</v>
      </c>
      <c r="I76" s="14" t="e">
        <f ca="1">ALL!M55</f>
        <v>#N/A</v>
      </c>
      <c r="J76" s="14" t="e">
        <f ca="1">ALL!N55</f>
        <v>#N/A</v>
      </c>
      <c r="K76" s="14" t="e">
        <f ca="1">ALL!O55</f>
        <v>#N/A</v>
      </c>
      <c r="L76" s="14" t="e">
        <f ca="1">ALL!P55</f>
        <v>#N/A</v>
      </c>
      <c r="M76" s="14" t="e">
        <f ca="1">ALL!Q55</f>
        <v>#N/A</v>
      </c>
      <c r="N76" s="14" t="e">
        <f ca="1">ALL!R55</f>
        <v>#N/A</v>
      </c>
      <c r="O76" s="14" t="e">
        <f ca="1">ALL!S55</f>
        <v>#N/A</v>
      </c>
      <c r="P76" s="14" t="e">
        <f ca="1">ALL!T55</f>
        <v>#N/A</v>
      </c>
      <c r="Q76" s="14" t="e">
        <f ca="1">ALL!U55</f>
        <v>#N/A</v>
      </c>
      <c r="R76" s="14" t="e">
        <f ca="1">ALL!V55</f>
        <v>#N/A</v>
      </c>
      <c r="S76" s="14" t="e">
        <f ca="1">ALL!W55</f>
        <v>#N/A</v>
      </c>
      <c r="T76" s="14" t="e">
        <f ca="1">ALL!X55</f>
        <v>#N/A</v>
      </c>
      <c r="U76" s="14" t="e">
        <f ca="1">ALL!Y55</f>
        <v>#N/A</v>
      </c>
      <c r="V76" s="14" t="e">
        <f ca="1">ALL!Z55</f>
        <v>#N/A</v>
      </c>
      <c r="W76" s="14" t="e">
        <f ca="1">ALL!AA55</f>
        <v>#N/A</v>
      </c>
      <c r="X76" s="14" t="e">
        <f ca="1">ALL!AB55</f>
        <v>#N/A</v>
      </c>
      <c r="Y76" s="14" t="e">
        <f ca="1">ALL!AC55</f>
        <v>#N/A</v>
      </c>
      <c r="Z76" s="14" t="e">
        <f ca="1">ALL!AD55</f>
        <v>#N/A</v>
      </c>
      <c r="AA76" s="14" t="e">
        <f ca="1">ALL!AE55</f>
        <v>#N/A</v>
      </c>
      <c r="AB76" s="14" t="e">
        <f ca="1">ALL!AF55</f>
        <v>#N/A</v>
      </c>
      <c r="AC76" s="14" t="e">
        <f ca="1">ALL!AG55</f>
        <v>#N/A</v>
      </c>
      <c r="AD76" s="14" t="e">
        <f ca="1">ALL!AH55</f>
        <v>#N/A</v>
      </c>
      <c r="AE76" s="14" t="e">
        <f ca="1">ALL!AI55</f>
        <v>#N/A</v>
      </c>
      <c r="AF76" s="14" t="e">
        <f ca="1">ALL!AJ55</f>
        <v>#N/A</v>
      </c>
      <c r="AG76" s="14" t="e">
        <f ca="1">ALL!AK55</f>
        <v>#N/A</v>
      </c>
      <c r="AH76" s="14" t="e">
        <f ca="1">ALL!AL55</f>
        <v>#N/A</v>
      </c>
      <c r="AI76" s="14">
        <f>ALL!AM55</f>
        <v>0</v>
      </c>
    </row>
    <row r="77" spans="1:94" ht="21.75" hidden="1" outlineLevel="1" thickBot="1" x14ac:dyDescent="0.4">
      <c r="A77" s="36">
        <f>ALL!E56</f>
        <v>0</v>
      </c>
      <c r="B77" s="16" t="e">
        <f ca="1">ALL!F56</f>
        <v>#N/A</v>
      </c>
      <c r="C77" s="16" t="e">
        <f ca="1">ALL!G56</f>
        <v>#N/A</v>
      </c>
      <c r="D77" s="16" t="e">
        <f ca="1">ALL!H56</f>
        <v>#N/A</v>
      </c>
      <c r="E77" s="16" t="e">
        <f ca="1">ALL!I56</f>
        <v>#N/A</v>
      </c>
      <c r="F77" s="14" t="e">
        <f ca="1">ALL!J56</f>
        <v>#N/A</v>
      </c>
      <c r="G77" s="14" t="e">
        <f ca="1">ALL!K56</f>
        <v>#N/A</v>
      </c>
      <c r="H77" s="14" t="e">
        <f ca="1">ALL!L56</f>
        <v>#N/A</v>
      </c>
      <c r="I77" s="14" t="e">
        <f ca="1">ALL!M56</f>
        <v>#N/A</v>
      </c>
      <c r="J77" s="14" t="e">
        <f ca="1">ALL!N56</f>
        <v>#N/A</v>
      </c>
      <c r="K77" s="14" t="e">
        <f ca="1">ALL!O56</f>
        <v>#N/A</v>
      </c>
      <c r="L77" s="14" t="e">
        <f ca="1">ALL!P56</f>
        <v>#N/A</v>
      </c>
      <c r="M77" s="14" t="e">
        <f ca="1">ALL!Q56</f>
        <v>#N/A</v>
      </c>
      <c r="N77" s="14" t="e">
        <f ca="1">ALL!R56</f>
        <v>#N/A</v>
      </c>
      <c r="O77" s="14" t="e">
        <f ca="1">ALL!S56</f>
        <v>#N/A</v>
      </c>
      <c r="P77" s="14" t="e">
        <f ca="1">ALL!T56</f>
        <v>#N/A</v>
      </c>
      <c r="Q77" s="14" t="e">
        <f ca="1">ALL!U56</f>
        <v>#N/A</v>
      </c>
      <c r="R77" s="14" t="e">
        <f ca="1">ALL!V56</f>
        <v>#N/A</v>
      </c>
      <c r="S77" s="14" t="e">
        <f ca="1">ALL!W56</f>
        <v>#N/A</v>
      </c>
      <c r="T77" s="14" t="e">
        <f ca="1">ALL!X56</f>
        <v>#N/A</v>
      </c>
      <c r="U77" s="14" t="e">
        <f ca="1">ALL!Y56</f>
        <v>#N/A</v>
      </c>
      <c r="V77" s="14" t="e">
        <f ca="1">ALL!Z56</f>
        <v>#N/A</v>
      </c>
      <c r="W77" s="14" t="e">
        <f ca="1">ALL!AA56</f>
        <v>#N/A</v>
      </c>
      <c r="X77" s="14" t="e">
        <f ca="1">ALL!AB56</f>
        <v>#N/A</v>
      </c>
      <c r="Y77" s="14" t="e">
        <f ca="1">ALL!AC56</f>
        <v>#N/A</v>
      </c>
      <c r="Z77" s="14" t="e">
        <f ca="1">ALL!AD56</f>
        <v>#N/A</v>
      </c>
      <c r="AA77" s="14" t="e">
        <f ca="1">ALL!AE56</f>
        <v>#N/A</v>
      </c>
      <c r="AB77" s="14" t="e">
        <f ca="1">ALL!AF56</f>
        <v>#N/A</v>
      </c>
      <c r="AC77" s="14" t="e">
        <f ca="1">ALL!AG56</f>
        <v>#N/A</v>
      </c>
      <c r="AD77" s="14" t="e">
        <f ca="1">ALL!AH56</f>
        <v>#N/A</v>
      </c>
      <c r="AE77" s="14" t="e">
        <f ca="1">ALL!AI56</f>
        <v>#N/A</v>
      </c>
      <c r="AF77" s="14" t="e">
        <f ca="1">ALL!AJ56</f>
        <v>#N/A</v>
      </c>
      <c r="AG77" s="14" t="e">
        <f ca="1">ALL!AK56</f>
        <v>#N/A</v>
      </c>
      <c r="AH77" s="14" t="e">
        <f ca="1">ALL!AL56</f>
        <v>#N/A</v>
      </c>
      <c r="AI77" s="14">
        <f>ALL!AM56</f>
        <v>0</v>
      </c>
    </row>
    <row r="78" spans="1:94" ht="21.75" hidden="1" outlineLevel="1" thickBot="1" x14ac:dyDescent="0.4">
      <c r="A78" s="36">
        <f>ALL!E57</f>
        <v>0</v>
      </c>
      <c r="B78" s="16" t="e">
        <f ca="1">ALL!F57</f>
        <v>#N/A</v>
      </c>
      <c r="C78" s="16" t="e">
        <f ca="1">ALL!G57</f>
        <v>#N/A</v>
      </c>
      <c r="D78" s="16" t="e">
        <f ca="1">ALL!H57</f>
        <v>#N/A</v>
      </c>
      <c r="E78" s="16" t="e">
        <f ca="1">ALL!I57</f>
        <v>#N/A</v>
      </c>
      <c r="F78" s="14" t="e">
        <f ca="1">ALL!J57</f>
        <v>#N/A</v>
      </c>
      <c r="G78" s="14" t="e">
        <f ca="1">ALL!K57</f>
        <v>#N/A</v>
      </c>
      <c r="H78" s="14" t="e">
        <f ca="1">ALL!L57</f>
        <v>#N/A</v>
      </c>
      <c r="I78" s="14" t="e">
        <f ca="1">ALL!M57</f>
        <v>#N/A</v>
      </c>
      <c r="J78" s="14" t="e">
        <f ca="1">ALL!N57</f>
        <v>#N/A</v>
      </c>
      <c r="K78" s="14" t="e">
        <f ca="1">ALL!O57</f>
        <v>#N/A</v>
      </c>
      <c r="L78" s="14" t="e">
        <f ca="1">ALL!P57</f>
        <v>#N/A</v>
      </c>
      <c r="M78" s="14" t="e">
        <f ca="1">ALL!Q57</f>
        <v>#N/A</v>
      </c>
      <c r="N78" s="14" t="e">
        <f ca="1">ALL!R57</f>
        <v>#N/A</v>
      </c>
      <c r="O78" s="14" t="e">
        <f ca="1">ALL!S57</f>
        <v>#N/A</v>
      </c>
      <c r="P78" s="14" t="e">
        <f ca="1">ALL!T57</f>
        <v>#N/A</v>
      </c>
      <c r="Q78" s="14" t="e">
        <f ca="1">ALL!U57</f>
        <v>#N/A</v>
      </c>
      <c r="R78" s="14" t="e">
        <f ca="1">ALL!V57</f>
        <v>#N/A</v>
      </c>
      <c r="S78" s="14" t="e">
        <f ca="1">ALL!W57</f>
        <v>#N/A</v>
      </c>
      <c r="T78" s="14" t="e">
        <f ca="1">ALL!X57</f>
        <v>#N/A</v>
      </c>
      <c r="U78" s="14" t="e">
        <f ca="1">ALL!Y57</f>
        <v>#N/A</v>
      </c>
      <c r="V78" s="14" t="e">
        <f ca="1">ALL!Z57</f>
        <v>#N/A</v>
      </c>
      <c r="W78" s="14" t="e">
        <f ca="1">ALL!AA57</f>
        <v>#N/A</v>
      </c>
      <c r="X78" s="14" t="e">
        <f ca="1">ALL!AB57</f>
        <v>#N/A</v>
      </c>
      <c r="Y78" s="14" t="e">
        <f ca="1">ALL!AC57</f>
        <v>#N/A</v>
      </c>
      <c r="Z78" s="14" t="e">
        <f ca="1">ALL!AD57</f>
        <v>#N/A</v>
      </c>
      <c r="AA78" s="14" t="e">
        <f ca="1">ALL!AE57</f>
        <v>#N/A</v>
      </c>
      <c r="AB78" s="14" t="e">
        <f ca="1">ALL!AF57</f>
        <v>#N/A</v>
      </c>
      <c r="AC78" s="14" t="e">
        <f ca="1">ALL!AG57</f>
        <v>#N/A</v>
      </c>
      <c r="AD78" s="14" t="e">
        <f ca="1">ALL!AH57</f>
        <v>#N/A</v>
      </c>
      <c r="AE78" s="14" t="e">
        <f ca="1">ALL!AI57</f>
        <v>#N/A</v>
      </c>
      <c r="AF78" s="14" t="e">
        <f ca="1">ALL!AJ57</f>
        <v>#N/A</v>
      </c>
      <c r="AG78" s="14" t="e">
        <f ca="1">ALL!AK57</f>
        <v>#N/A</v>
      </c>
      <c r="AH78" s="14" t="e">
        <f ca="1">ALL!AL57</f>
        <v>#N/A</v>
      </c>
      <c r="AI78" s="14">
        <f>ALL!AM57</f>
        <v>0</v>
      </c>
    </row>
    <row r="79" spans="1:94" ht="21.75" hidden="1" outlineLevel="1" thickBot="1" x14ac:dyDescent="0.4">
      <c r="A79" s="36">
        <f>ALL!E58</f>
        <v>0</v>
      </c>
      <c r="B79" s="16" t="e">
        <f ca="1">ALL!F58</f>
        <v>#N/A</v>
      </c>
      <c r="C79" s="16" t="e">
        <f ca="1">ALL!G58</f>
        <v>#N/A</v>
      </c>
      <c r="D79" s="16" t="e">
        <f ca="1">ALL!H58</f>
        <v>#N/A</v>
      </c>
      <c r="E79" s="16" t="e">
        <f ca="1">ALL!I58</f>
        <v>#N/A</v>
      </c>
      <c r="F79" s="14" t="e">
        <f ca="1">ALL!J58</f>
        <v>#N/A</v>
      </c>
      <c r="G79" s="14" t="e">
        <f ca="1">ALL!K58</f>
        <v>#N/A</v>
      </c>
      <c r="H79" s="14" t="e">
        <f ca="1">ALL!L58</f>
        <v>#N/A</v>
      </c>
      <c r="I79" s="14" t="e">
        <f ca="1">ALL!M58</f>
        <v>#N/A</v>
      </c>
      <c r="J79" s="14" t="e">
        <f ca="1">ALL!N58</f>
        <v>#N/A</v>
      </c>
      <c r="K79" s="14" t="e">
        <f ca="1">ALL!O58</f>
        <v>#N/A</v>
      </c>
      <c r="L79" s="14" t="e">
        <f ca="1">ALL!P58</f>
        <v>#N/A</v>
      </c>
      <c r="M79" s="14" t="e">
        <f ca="1">ALL!Q58</f>
        <v>#N/A</v>
      </c>
      <c r="N79" s="14" t="e">
        <f ca="1">ALL!R58</f>
        <v>#N/A</v>
      </c>
      <c r="O79" s="14" t="e">
        <f ca="1">ALL!S58</f>
        <v>#N/A</v>
      </c>
      <c r="P79" s="14" t="e">
        <f ca="1">ALL!T58</f>
        <v>#N/A</v>
      </c>
      <c r="Q79" s="14" t="e">
        <f ca="1">ALL!U58</f>
        <v>#N/A</v>
      </c>
      <c r="R79" s="14" t="e">
        <f ca="1">ALL!V58</f>
        <v>#N/A</v>
      </c>
      <c r="S79" s="14" t="e">
        <f ca="1">ALL!W58</f>
        <v>#N/A</v>
      </c>
      <c r="T79" s="14" t="e">
        <f ca="1">ALL!X58</f>
        <v>#N/A</v>
      </c>
      <c r="U79" s="14" t="e">
        <f ca="1">ALL!Y58</f>
        <v>#N/A</v>
      </c>
      <c r="V79" s="14" t="e">
        <f ca="1">ALL!Z58</f>
        <v>#N/A</v>
      </c>
      <c r="W79" s="14" t="e">
        <f ca="1">ALL!AA58</f>
        <v>#N/A</v>
      </c>
      <c r="X79" s="14" t="e">
        <f ca="1">ALL!AB58</f>
        <v>#N/A</v>
      </c>
      <c r="Y79" s="14" t="e">
        <f ca="1">ALL!AC58</f>
        <v>#N/A</v>
      </c>
      <c r="Z79" s="14" t="e">
        <f ca="1">ALL!AD58</f>
        <v>#N/A</v>
      </c>
      <c r="AA79" s="14" t="e">
        <f ca="1">ALL!AE58</f>
        <v>#N/A</v>
      </c>
      <c r="AB79" s="14" t="e">
        <f ca="1">ALL!AF58</f>
        <v>#N/A</v>
      </c>
      <c r="AC79" s="14" t="e">
        <f ca="1">ALL!AG58</f>
        <v>#N/A</v>
      </c>
      <c r="AD79" s="14" t="e">
        <f ca="1">ALL!AH58</f>
        <v>#N/A</v>
      </c>
      <c r="AE79" s="14" t="e">
        <f ca="1">ALL!AI58</f>
        <v>#N/A</v>
      </c>
      <c r="AF79" s="14" t="e">
        <f ca="1">ALL!AJ58</f>
        <v>#N/A</v>
      </c>
      <c r="AG79" s="14" t="e">
        <f ca="1">ALL!AK58</f>
        <v>#N/A</v>
      </c>
      <c r="AH79" s="14" t="e">
        <f ca="1">ALL!AL58</f>
        <v>#N/A</v>
      </c>
      <c r="AI79" s="14">
        <f>ALL!AM58</f>
        <v>0</v>
      </c>
    </row>
    <row r="80" spans="1:94" ht="21.75" hidden="1" outlineLevel="1" thickBot="1" x14ac:dyDescent="0.4">
      <c r="A80" s="36">
        <f>ALL!E59</f>
        <v>0</v>
      </c>
      <c r="B80" s="16" t="e">
        <f ca="1">ALL!F59</f>
        <v>#N/A</v>
      </c>
      <c r="C80" s="16" t="e">
        <f ca="1">ALL!G59</f>
        <v>#N/A</v>
      </c>
      <c r="D80" s="16" t="e">
        <f ca="1">ALL!H59</f>
        <v>#N/A</v>
      </c>
      <c r="E80" s="16" t="e">
        <f ca="1">ALL!I59</f>
        <v>#N/A</v>
      </c>
      <c r="F80" s="14" t="e">
        <f ca="1">ALL!J59</f>
        <v>#N/A</v>
      </c>
      <c r="G80" s="14" t="e">
        <f ca="1">ALL!K59</f>
        <v>#N/A</v>
      </c>
      <c r="H80" s="14" t="e">
        <f ca="1">ALL!L59</f>
        <v>#N/A</v>
      </c>
      <c r="I80" s="14" t="e">
        <f ca="1">ALL!M59</f>
        <v>#N/A</v>
      </c>
      <c r="J80" s="14" t="e">
        <f ca="1">ALL!N59</f>
        <v>#N/A</v>
      </c>
      <c r="K80" s="14" t="e">
        <f ca="1">ALL!O59</f>
        <v>#N/A</v>
      </c>
      <c r="L80" s="14" t="e">
        <f ca="1">ALL!P59</f>
        <v>#N/A</v>
      </c>
      <c r="M80" s="14" t="e">
        <f ca="1">ALL!Q59</f>
        <v>#N/A</v>
      </c>
      <c r="N80" s="14" t="e">
        <f ca="1">ALL!R59</f>
        <v>#N/A</v>
      </c>
      <c r="O80" s="14" t="e">
        <f ca="1">ALL!S59</f>
        <v>#N/A</v>
      </c>
      <c r="P80" s="14" t="e">
        <f ca="1">ALL!T59</f>
        <v>#N/A</v>
      </c>
      <c r="Q80" s="14" t="e">
        <f ca="1">ALL!U59</f>
        <v>#N/A</v>
      </c>
      <c r="R80" s="14" t="e">
        <f ca="1">ALL!V59</f>
        <v>#N/A</v>
      </c>
      <c r="S80" s="14" t="e">
        <f ca="1">ALL!W59</f>
        <v>#N/A</v>
      </c>
      <c r="T80" s="14" t="e">
        <f ca="1">ALL!X59</f>
        <v>#N/A</v>
      </c>
      <c r="U80" s="14" t="e">
        <f ca="1">ALL!Y59</f>
        <v>#N/A</v>
      </c>
      <c r="V80" s="14" t="e">
        <f ca="1">ALL!Z59</f>
        <v>#N/A</v>
      </c>
      <c r="W80" s="14" t="e">
        <f ca="1">ALL!AA59</f>
        <v>#N/A</v>
      </c>
      <c r="X80" s="14" t="e">
        <f ca="1">ALL!AB59</f>
        <v>#N/A</v>
      </c>
      <c r="Y80" s="14" t="e">
        <f ca="1">ALL!AC59</f>
        <v>#N/A</v>
      </c>
      <c r="Z80" s="14" t="e">
        <f ca="1">ALL!AD59</f>
        <v>#N/A</v>
      </c>
      <c r="AA80" s="14" t="e">
        <f ca="1">ALL!AE59</f>
        <v>#N/A</v>
      </c>
      <c r="AB80" s="14" t="e">
        <f ca="1">ALL!AF59</f>
        <v>#N/A</v>
      </c>
      <c r="AC80" s="14" t="e">
        <f ca="1">ALL!AG59</f>
        <v>#N/A</v>
      </c>
      <c r="AD80" s="14" t="e">
        <f ca="1">ALL!AH59</f>
        <v>#N/A</v>
      </c>
      <c r="AE80" s="14" t="e">
        <f ca="1">ALL!AI59</f>
        <v>#N/A</v>
      </c>
      <c r="AF80" s="14" t="e">
        <f ca="1">ALL!AJ59</f>
        <v>#N/A</v>
      </c>
      <c r="AG80" s="14" t="e">
        <f ca="1">ALL!AK59</f>
        <v>#N/A</v>
      </c>
      <c r="AH80" s="14" t="e">
        <f ca="1">ALL!AL59</f>
        <v>#N/A</v>
      </c>
      <c r="AI80" s="14">
        <f>ALL!AM59</f>
        <v>0</v>
      </c>
    </row>
    <row r="81" spans="1:35" ht="21.75" hidden="1" outlineLevel="1" thickBot="1" x14ac:dyDescent="0.4">
      <c r="A81" s="36">
        <f>ALL!E60</f>
        <v>0</v>
      </c>
      <c r="B81" s="16" t="e">
        <f ca="1">ALL!F60</f>
        <v>#N/A</v>
      </c>
      <c r="C81" s="16" t="e">
        <f ca="1">ALL!G60</f>
        <v>#N/A</v>
      </c>
      <c r="D81" s="16" t="e">
        <f ca="1">ALL!H60</f>
        <v>#N/A</v>
      </c>
      <c r="E81" s="16" t="e">
        <f ca="1">ALL!I60</f>
        <v>#N/A</v>
      </c>
      <c r="F81" s="14" t="e">
        <f ca="1">ALL!J60</f>
        <v>#N/A</v>
      </c>
      <c r="G81" s="14" t="e">
        <f ca="1">ALL!K60</f>
        <v>#N/A</v>
      </c>
      <c r="H81" s="14" t="e">
        <f ca="1">ALL!L60</f>
        <v>#N/A</v>
      </c>
      <c r="I81" s="14" t="e">
        <f ca="1">ALL!M60</f>
        <v>#N/A</v>
      </c>
      <c r="J81" s="14" t="e">
        <f ca="1">ALL!N60</f>
        <v>#N/A</v>
      </c>
      <c r="K81" s="14" t="e">
        <f ca="1">ALL!O60</f>
        <v>#N/A</v>
      </c>
      <c r="L81" s="14" t="e">
        <f ca="1">ALL!P60</f>
        <v>#N/A</v>
      </c>
      <c r="M81" s="14" t="e">
        <f ca="1">ALL!Q60</f>
        <v>#N/A</v>
      </c>
      <c r="N81" s="14" t="e">
        <f ca="1">ALL!R60</f>
        <v>#N/A</v>
      </c>
      <c r="O81" s="14" t="e">
        <f ca="1">ALL!S60</f>
        <v>#N/A</v>
      </c>
      <c r="P81" s="14" t="e">
        <f ca="1">ALL!T60</f>
        <v>#N/A</v>
      </c>
      <c r="Q81" s="14" t="e">
        <f ca="1">ALL!U60</f>
        <v>#N/A</v>
      </c>
      <c r="R81" s="14" t="e">
        <f ca="1">ALL!V60</f>
        <v>#N/A</v>
      </c>
      <c r="S81" s="14" t="e">
        <f ca="1">ALL!W60</f>
        <v>#N/A</v>
      </c>
      <c r="T81" s="14" t="e">
        <f ca="1">ALL!X60</f>
        <v>#N/A</v>
      </c>
      <c r="U81" s="14" t="e">
        <f ca="1">ALL!Y60</f>
        <v>#N/A</v>
      </c>
      <c r="V81" s="14" t="e">
        <f ca="1">ALL!Z60</f>
        <v>#N/A</v>
      </c>
      <c r="W81" s="14" t="e">
        <f ca="1">ALL!AA60</f>
        <v>#N/A</v>
      </c>
      <c r="X81" s="14" t="e">
        <f ca="1">ALL!AB60</f>
        <v>#N/A</v>
      </c>
      <c r="Y81" s="14" t="e">
        <f ca="1">ALL!AC60</f>
        <v>#N/A</v>
      </c>
      <c r="Z81" s="14" t="e">
        <f ca="1">ALL!AD60</f>
        <v>#N/A</v>
      </c>
      <c r="AA81" s="14" t="e">
        <f ca="1">ALL!AE60</f>
        <v>#N/A</v>
      </c>
      <c r="AB81" s="14" t="e">
        <f ca="1">ALL!AF60</f>
        <v>#N/A</v>
      </c>
      <c r="AC81" s="14" t="e">
        <f ca="1">ALL!AG60</f>
        <v>#N/A</v>
      </c>
      <c r="AD81" s="14" t="e">
        <f ca="1">ALL!AH60</f>
        <v>#N/A</v>
      </c>
      <c r="AE81" s="14" t="e">
        <f ca="1">ALL!AI60</f>
        <v>#N/A</v>
      </c>
      <c r="AF81" s="14" t="e">
        <f ca="1">ALL!AJ60</f>
        <v>#N/A</v>
      </c>
      <c r="AG81" s="14" t="e">
        <f ca="1">ALL!AK60</f>
        <v>#N/A</v>
      </c>
      <c r="AH81" s="14" t="e">
        <f ca="1">ALL!AL60</f>
        <v>#N/A</v>
      </c>
      <c r="AI81" s="14">
        <f>ALL!AM60</f>
        <v>0</v>
      </c>
    </row>
    <row r="82" spans="1:35" ht="21.75" hidden="1" outlineLevel="1" thickBot="1" x14ac:dyDescent="0.4">
      <c r="A82" s="36">
        <f>ALL!E61</f>
        <v>0</v>
      </c>
      <c r="B82" s="16" t="e">
        <f ca="1">ALL!F61</f>
        <v>#N/A</v>
      </c>
      <c r="C82" s="16" t="e">
        <f ca="1">ALL!G61</f>
        <v>#N/A</v>
      </c>
      <c r="D82" s="16" t="e">
        <f ca="1">ALL!H61</f>
        <v>#N/A</v>
      </c>
      <c r="E82" s="16" t="e">
        <f ca="1">ALL!I61</f>
        <v>#N/A</v>
      </c>
      <c r="F82" s="14" t="e">
        <f ca="1">ALL!J61</f>
        <v>#N/A</v>
      </c>
      <c r="G82" s="14" t="e">
        <f ca="1">ALL!K61</f>
        <v>#N/A</v>
      </c>
      <c r="H82" s="14" t="e">
        <f ca="1">ALL!L61</f>
        <v>#N/A</v>
      </c>
      <c r="I82" s="14" t="e">
        <f ca="1">ALL!M61</f>
        <v>#N/A</v>
      </c>
      <c r="J82" s="14" t="e">
        <f ca="1">ALL!N61</f>
        <v>#N/A</v>
      </c>
      <c r="K82" s="14" t="e">
        <f ca="1">ALL!O61</f>
        <v>#N/A</v>
      </c>
      <c r="L82" s="14" t="e">
        <f ca="1">ALL!P61</f>
        <v>#N/A</v>
      </c>
      <c r="M82" s="14" t="e">
        <f ca="1">ALL!Q61</f>
        <v>#N/A</v>
      </c>
      <c r="N82" s="14" t="e">
        <f ca="1">ALL!R61</f>
        <v>#N/A</v>
      </c>
      <c r="O82" s="14" t="e">
        <f ca="1">ALL!S61</f>
        <v>#N/A</v>
      </c>
      <c r="P82" s="14" t="e">
        <f ca="1">ALL!T61</f>
        <v>#N/A</v>
      </c>
      <c r="Q82" s="14" t="e">
        <f ca="1">ALL!U61</f>
        <v>#N/A</v>
      </c>
      <c r="R82" s="14" t="e">
        <f ca="1">ALL!V61</f>
        <v>#N/A</v>
      </c>
      <c r="S82" s="14" t="e">
        <f ca="1">ALL!W61</f>
        <v>#N/A</v>
      </c>
      <c r="T82" s="14" t="e">
        <f ca="1">ALL!X61</f>
        <v>#N/A</v>
      </c>
      <c r="U82" s="14" t="e">
        <f ca="1">ALL!Y61</f>
        <v>#N/A</v>
      </c>
      <c r="V82" s="14" t="e">
        <f ca="1">ALL!Z61</f>
        <v>#N/A</v>
      </c>
      <c r="W82" s="14" t="e">
        <f ca="1">ALL!AA61</f>
        <v>#N/A</v>
      </c>
      <c r="X82" s="14" t="e">
        <f ca="1">ALL!AB61</f>
        <v>#N/A</v>
      </c>
      <c r="Y82" s="14" t="e">
        <f ca="1">ALL!AC61</f>
        <v>#N/A</v>
      </c>
      <c r="Z82" s="14" t="e">
        <f ca="1">ALL!AD61</f>
        <v>#N/A</v>
      </c>
      <c r="AA82" s="14" t="e">
        <f ca="1">ALL!AE61</f>
        <v>#N/A</v>
      </c>
      <c r="AB82" s="14" t="e">
        <f ca="1">ALL!AF61</f>
        <v>#N/A</v>
      </c>
      <c r="AC82" s="14" t="e">
        <f ca="1">ALL!AG61</f>
        <v>#N/A</v>
      </c>
      <c r="AD82" s="14" t="e">
        <f ca="1">ALL!AH61</f>
        <v>#N/A</v>
      </c>
      <c r="AE82" s="14" t="e">
        <f ca="1">ALL!AI61</f>
        <v>#N/A</v>
      </c>
      <c r="AF82" s="14" t="e">
        <f ca="1">ALL!AJ61</f>
        <v>#N/A</v>
      </c>
      <c r="AG82" s="14" t="e">
        <f ca="1">ALL!AK61</f>
        <v>#N/A</v>
      </c>
      <c r="AH82" s="14" t="e">
        <f ca="1">ALL!AL61</f>
        <v>#N/A</v>
      </c>
      <c r="AI82" s="14">
        <f>ALL!AM61</f>
        <v>0</v>
      </c>
    </row>
    <row r="83" spans="1:35" ht="21.75" hidden="1" outlineLevel="1" thickBot="1" x14ac:dyDescent="0.4">
      <c r="A83" s="36">
        <f>ALL!E62</f>
        <v>0</v>
      </c>
      <c r="B83" s="16" t="e">
        <f ca="1">ALL!F62</f>
        <v>#N/A</v>
      </c>
      <c r="C83" s="16" t="e">
        <f ca="1">ALL!G62</f>
        <v>#N/A</v>
      </c>
      <c r="D83" s="16" t="e">
        <f ca="1">ALL!H62</f>
        <v>#N/A</v>
      </c>
      <c r="E83" s="16" t="e">
        <f ca="1">ALL!I62</f>
        <v>#N/A</v>
      </c>
      <c r="F83" s="14" t="e">
        <f ca="1">ALL!J62</f>
        <v>#N/A</v>
      </c>
      <c r="G83" s="14" t="e">
        <f ca="1">ALL!K62</f>
        <v>#N/A</v>
      </c>
      <c r="H83" s="14" t="e">
        <f ca="1">ALL!L62</f>
        <v>#N/A</v>
      </c>
      <c r="I83" s="14" t="e">
        <f ca="1">ALL!M62</f>
        <v>#N/A</v>
      </c>
      <c r="J83" s="14" t="e">
        <f ca="1">ALL!N62</f>
        <v>#N/A</v>
      </c>
      <c r="K83" s="14" t="e">
        <f ca="1">ALL!O62</f>
        <v>#N/A</v>
      </c>
      <c r="L83" s="14" t="e">
        <f ca="1">ALL!P62</f>
        <v>#N/A</v>
      </c>
      <c r="M83" s="14" t="e">
        <f ca="1">ALL!Q62</f>
        <v>#N/A</v>
      </c>
      <c r="N83" s="14" t="e">
        <f ca="1">ALL!R62</f>
        <v>#N/A</v>
      </c>
      <c r="O83" s="14" t="e">
        <f ca="1">ALL!S62</f>
        <v>#N/A</v>
      </c>
      <c r="P83" s="14" t="e">
        <f ca="1">ALL!T62</f>
        <v>#N/A</v>
      </c>
      <c r="Q83" s="14" t="e">
        <f ca="1">ALL!U62</f>
        <v>#N/A</v>
      </c>
      <c r="R83" s="14" t="e">
        <f ca="1">ALL!V62</f>
        <v>#N/A</v>
      </c>
      <c r="S83" s="14" t="e">
        <f ca="1">ALL!W62</f>
        <v>#N/A</v>
      </c>
      <c r="T83" s="14" t="e">
        <f ca="1">ALL!X62</f>
        <v>#N/A</v>
      </c>
      <c r="U83" s="14" t="e">
        <f ca="1">ALL!Y62</f>
        <v>#N/A</v>
      </c>
      <c r="V83" s="14" t="e">
        <f ca="1">ALL!Z62</f>
        <v>#N/A</v>
      </c>
      <c r="W83" s="14" t="e">
        <f ca="1">ALL!AA62</f>
        <v>#N/A</v>
      </c>
      <c r="X83" s="14" t="e">
        <f ca="1">ALL!AB62</f>
        <v>#N/A</v>
      </c>
      <c r="Y83" s="14" t="e">
        <f ca="1">ALL!AC62</f>
        <v>#N/A</v>
      </c>
      <c r="Z83" s="14" t="e">
        <f ca="1">ALL!AD62</f>
        <v>#N/A</v>
      </c>
      <c r="AA83" s="14" t="e">
        <f ca="1">ALL!AE62</f>
        <v>#N/A</v>
      </c>
      <c r="AB83" s="14" t="e">
        <f ca="1">ALL!AF62</f>
        <v>#N/A</v>
      </c>
      <c r="AC83" s="14" t="e">
        <f ca="1">ALL!AG62</f>
        <v>#N/A</v>
      </c>
      <c r="AD83" s="14" t="e">
        <f ca="1">ALL!AH62</f>
        <v>#N/A</v>
      </c>
      <c r="AE83" s="14" t="e">
        <f ca="1">ALL!AI62</f>
        <v>#N/A</v>
      </c>
      <c r="AF83" s="14" t="e">
        <f ca="1">ALL!AJ62</f>
        <v>#N/A</v>
      </c>
      <c r="AG83" s="14" t="e">
        <f ca="1">ALL!AK62</f>
        <v>#N/A</v>
      </c>
      <c r="AH83" s="14" t="e">
        <f ca="1">ALL!AL62</f>
        <v>#N/A</v>
      </c>
      <c r="AI83" s="14">
        <f>ALL!AM62</f>
        <v>0</v>
      </c>
    </row>
    <row r="84" spans="1:35" ht="21.75" hidden="1" outlineLevel="1" thickBot="1" x14ac:dyDescent="0.4">
      <c r="A84" s="36">
        <f>ALL!E63</f>
        <v>0</v>
      </c>
      <c r="B84" s="16" t="e">
        <f ca="1">ALL!F63</f>
        <v>#N/A</v>
      </c>
      <c r="C84" s="16" t="e">
        <f ca="1">ALL!G63</f>
        <v>#N/A</v>
      </c>
      <c r="D84" s="16" t="e">
        <f ca="1">ALL!H63</f>
        <v>#N/A</v>
      </c>
      <c r="E84" s="16" t="e">
        <f ca="1">ALL!I63</f>
        <v>#N/A</v>
      </c>
      <c r="F84" s="14" t="e">
        <f ca="1">ALL!J63</f>
        <v>#N/A</v>
      </c>
      <c r="G84" s="14" t="e">
        <f ca="1">ALL!K63</f>
        <v>#N/A</v>
      </c>
      <c r="H84" s="14" t="e">
        <f ca="1">ALL!L63</f>
        <v>#N/A</v>
      </c>
      <c r="I84" s="14" t="e">
        <f ca="1">ALL!M63</f>
        <v>#N/A</v>
      </c>
      <c r="J84" s="14" t="e">
        <f ca="1">ALL!N63</f>
        <v>#N/A</v>
      </c>
      <c r="K84" s="14" t="e">
        <f ca="1">ALL!O63</f>
        <v>#N/A</v>
      </c>
      <c r="L84" s="14" t="e">
        <f ca="1">ALL!P63</f>
        <v>#N/A</v>
      </c>
      <c r="M84" s="14" t="e">
        <f ca="1">ALL!Q63</f>
        <v>#N/A</v>
      </c>
      <c r="N84" s="14" t="e">
        <f ca="1">ALL!R63</f>
        <v>#N/A</v>
      </c>
      <c r="O84" s="14" t="e">
        <f ca="1">ALL!S63</f>
        <v>#N/A</v>
      </c>
      <c r="P84" s="14" t="e">
        <f ca="1">ALL!T63</f>
        <v>#N/A</v>
      </c>
      <c r="Q84" s="14" t="e">
        <f ca="1">ALL!U63</f>
        <v>#N/A</v>
      </c>
      <c r="R84" s="14" t="e">
        <f ca="1">ALL!V63</f>
        <v>#N/A</v>
      </c>
      <c r="S84" s="14" t="e">
        <f ca="1">ALL!W63</f>
        <v>#N/A</v>
      </c>
      <c r="T84" s="14" t="e">
        <f ca="1">ALL!X63</f>
        <v>#N/A</v>
      </c>
      <c r="U84" s="14" t="e">
        <f ca="1">ALL!Y63</f>
        <v>#N/A</v>
      </c>
      <c r="V84" s="14" t="e">
        <f ca="1">ALL!Z63</f>
        <v>#N/A</v>
      </c>
      <c r="W84" s="14" t="e">
        <f ca="1">ALL!AA63</f>
        <v>#N/A</v>
      </c>
      <c r="X84" s="14" t="e">
        <f ca="1">ALL!AB63</f>
        <v>#N/A</v>
      </c>
      <c r="Y84" s="14" t="e">
        <f ca="1">ALL!AC63</f>
        <v>#N/A</v>
      </c>
      <c r="Z84" s="14" t="e">
        <f ca="1">ALL!AD63</f>
        <v>#N/A</v>
      </c>
      <c r="AA84" s="14" t="e">
        <f ca="1">ALL!AE63</f>
        <v>#N/A</v>
      </c>
      <c r="AB84" s="14" t="e">
        <f ca="1">ALL!AF63</f>
        <v>#N/A</v>
      </c>
      <c r="AC84" s="14" t="e">
        <f ca="1">ALL!AG63</f>
        <v>#N/A</v>
      </c>
      <c r="AD84" s="14" t="e">
        <f ca="1">ALL!AH63</f>
        <v>#N/A</v>
      </c>
      <c r="AE84" s="14" t="e">
        <f ca="1">ALL!AI63</f>
        <v>#N/A</v>
      </c>
      <c r="AF84" s="14" t="e">
        <f ca="1">ALL!AJ63</f>
        <v>#N/A</v>
      </c>
      <c r="AG84" s="14" t="e">
        <f ca="1">ALL!AK63</f>
        <v>#N/A</v>
      </c>
      <c r="AH84" s="14" t="e">
        <f ca="1">ALL!AL63</f>
        <v>#N/A</v>
      </c>
      <c r="AI84" s="14">
        <f>ALL!AM63</f>
        <v>0</v>
      </c>
    </row>
    <row r="85" spans="1:35" ht="21.75" hidden="1" outlineLevel="1" thickBot="1" x14ac:dyDescent="0.4">
      <c r="A85" s="36">
        <f>ALL!E64</f>
        <v>0</v>
      </c>
      <c r="B85" s="16" t="e">
        <f ca="1">ALL!F64</f>
        <v>#N/A</v>
      </c>
      <c r="C85" s="16" t="e">
        <f ca="1">ALL!G64</f>
        <v>#N/A</v>
      </c>
      <c r="D85" s="16" t="e">
        <f ca="1">ALL!H64</f>
        <v>#N/A</v>
      </c>
      <c r="E85" s="16" t="e">
        <f ca="1">ALL!I64</f>
        <v>#N/A</v>
      </c>
      <c r="F85" s="14" t="e">
        <f ca="1">ALL!J64</f>
        <v>#N/A</v>
      </c>
      <c r="G85" s="14" t="e">
        <f ca="1">ALL!K64</f>
        <v>#N/A</v>
      </c>
      <c r="H85" s="14" t="e">
        <f ca="1">ALL!L64</f>
        <v>#N/A</v>
      </c>
      <c r="I85" s="14" t="e">
        <f ca="1">ALL!M64</f>
        <v>#N/A</v>
      </c>
      <c r="J85" s="14" t="e">
        <f ca="1">ALL!N64</f>
        <v>#N/A</v>
      </c>
      <c r="K85" s="14" t="e">
        <f ca="1">ALL!O64</f>
        <v>#N/A</v>
      </c>
      <c r="L85" s="14" t="e">
        <f ca="1">ALL!P64</f>
        <v>#N/A</v>
      </c>
      <c r="M85" s="14" t="e">
        <f ca="1">ALL!Q64</f>
        <v>#N/A</v>
      </c>
      <c r="N85" s="14" t="e">
        <f ca="1">ALL!R64</f>
        <v>#N/A</v>
      </c>
      <c r="O85" s="14" t="e">
        <f ca="1">ALL!S64</f>
        <v>#N/A</v>
      </c>
      <c r="P85" s="14" t="e">
        <f ca="1">ALL!T64</f>
        <v>#N/A</v>
      </c>
      <c r="Q85" s="14" t="e">
        <f ca="1">ALL!U64</f>
        <v>#N/A</v>
      </c>
      <c r="R85" s="14" t="e">
        <f ca="1">ALL!V64</f>
        <v>#N/A</v>
      </c>
      <c r="S85" s="14" t="e">
        <f ca="1">ALL!W64</f>
        <v>#N/A</v>
      </c>
      <c r="T85" s="14" t="e">
        <f ca="1">ALL!X64</f>
        <v>#N/A</v>
      </c>
      <c r="U85" s="14" t="e">
        <f ca="1">ALL!Y64</f>
        <v>#N/A</v>
      </c>
      <c r="V85" s="14" t="e">
        <f ca="1">ALL!Z64</f>
        <v>#N/A</v>
      </c>
      <c r="W85" s="14" t="e">
        <f ca="1">ALL!AA64</f>
        <v>#N/A</v>
      </c>
      <c r="X85" s="14" t="e">
        <f ca="1">ALL!AB64</f>
        <v>#N/A</v>
      </c>
      <c r="Y85" s="14" t="e">
        <f ca="1">ALL!AC64</f>
        <v>#N/A</v>
      </c>
      <c r="Z85" s="14" t="e">
        <f ca="1">ALL!AD64</f>
        <v>#N/A</v>
      </c>
      <c r="AA85" s="14" t="e">
        <f ca="1">ALL!AE64</f>
        <v>#N/A</v>
      </c>
      <c r="AB85" s="14" t="e">
        <f ca="1">ALL!AF64</f>
        <v>#N/A</v>
      </c>
      <c r="AC85" s="14" t="e">
        <f ca="1">ALL!AG64</f>
        <v>#N/A</v>
      </c>
      <c r="AD85" s="14" t="e">
        <f ca="1">ALL!AH64</f>
        <v>#N/A</v>
      </c>
      <c r="AE85" s="14" t="e">
        <f ca="1">ALL!AI64</f>
        <v>#N/A</v>
      </c>
      <c r="AF85" s="14" t="e">
        <f ca="1">ALL!AJ64</f>
        <v>#N/A</v>
      </c>
      <c r="AG85" s="14" t="e">
        <f ca="1">ALL!AK64</f>
        <v>#N/A</v>
      </c>
      <c r="AH85" s="14" t="e">
        <f ca="1">ALL!AL64</f>
        <v>#N/A</v>
      </c>
      <c r="AI85" s="14">
        <f>ALL!AM64</f>
        <v>0</v>
      </c>
    </row>
    <row r="86" spans="1:35" ht="21.75" hidden="1" outlineLevel="1" thickBot="1" x14ac:dyDescent="0.4">
      <c r="A86" s="36">
        <f>ALL!E65</f>
        <v>0</v>
      </c>
      <c r="B86" s="16" t="e">
        <f ca="1">ALL!F65</f>
        <v>#N/A</v>
      </c>
      <c r="C86" s="16" t="e">
        <f ca="1">ALL!G65</f>
        <v>#N/A</v>
      </c>
      <c r="D86" s="16" t="e">
        <f ca="1">ALL!H65</f>
        <v>#N/A</v>
      </c>
      <c r="E86" s="16" t="e">
        <f ca="1">ALL!I65</f>
        <v>#N/A</v>
      </c>
      <c r="F86" s="14" t="e">
        <f ca="1">ALL!J65</f>
        <v>#N/A</v>
      </c>
      <c r="G86" s="14" t="e">
        <f ca="1">ALL!K65</f>
        <v>#N/A</v>
      </c>
      <c r="H86" s="14" t="e">
        <f ca="1">ALL!L65</f>
        <v>#N/A</v>
      </c>
      <c r="I86" s="14" t="e">
        <f ca="1">ALL!M65</f>
        <v>#N/A</v>
      </c>
      <c r="J86" s="14" t="e">
        <f ca="1">ALL!N65</f>
        <v>#N/A</v>
      </c>
      <c r="K86" s="14" t="e">
        <f ca="1">ALL!O65</f>
        <v>#N/A</v>
      </c>
      <c r="L86" s="14" t="e">
        <f ca="1">ALL!P65</f>
        <v>#N/A</v>
      </c>
      <c r="M86" s="14" t="e">
        <f ca="1">ALL!Q65</f>
        <v>#N/A</v>
      </c>
      <c r="N86" s="14" t="e">
        <f ca="1">ALL!R65</f>
        <v>#N/A</v>
      </c>
      <c r="O86" s="14" t="e">
        <f ca="1">ALL!S65</f>
        <v>#N/A</v>
      </c>
      <c r="P86" s="14" t="e">
        <f ca="1">ALL!T65</f>
        <v>#N/A</v>
      </c>
      <c r="Q86" s="14" t="e">
        <f ca="1">ALL!U65</f>
        <v>#N/A</v>
      </c>
      <c r="R86" s="14" t="e">
        <f ca="1">ALL!V65</f>
        <v>#N/A</v>
      </c>
      <c r="S86" s="14" t="e">
        <f ca="1">ALL!W65</f>
        <v>#N/A</v>
      </c>
      <c r="T86" s="14" t="e">
        <f ca="1">ALL!X65</f>
        <v>#N/A</v>
      </c>
      <c r="U86" s="14" t="e">
        <f ca="1">ALL!Y65</f>
        <v>#N/A</v>
      </c>
      <c r="V86" s="14" t="e">
        <f ca="1">ALL!Z65</f>
        <v>#N/A</v>
      </c>
      <c r="W86" s="14" t="e">
        <f ca="1">ALL!AA65</f>
        <v>#N/A</v>
      </c>
      <c r="X86" s="14" t="e">
        <f ca="1">ALL!AB65</f>
        <v>#N/A</v>
      </c>
      <c r="Y86" s="14" t="e">
        <f ca="1">ALL!AC65</f>
        <v>#N/A</v>
      </c>
      <c r="Z86" s="14" t="e">
        <f ca="1">ALL!AD65</f>
        <v>#N/A</v>
      </c>
      <c r="AA86" s="14" t="e">
        <f ca="1">ALL!AE65</f>
        <v>#N/A</v>
      </c>
      <c r="AB86" s="14" t="e">
        <f ca="1">ALL!AF65</f>
        <v>#N/A</v>
      </c>
      <c r="AC86" s="14" t="e">
        <f ca="1">ALL!AG65</f>
        <v>#N/A</v>
      </c>
      <c r="AD86" s="14" t="e">
        <f ca="1">ALL!AH65</f>
        <v>#N/A</v>
      </c>
      <c r="AE86" s="14" t="e">
        <f ca="1">ALL!AI65</f>
        <v>#N/A</v>
      </c>
      <c r="AF86" s="14" t="e">
        <f ca="1">ALL!AJ65</f>
        <v>#N/A</v>
      </c>
      <c r="AG86" s="14" t="e">
        <f ca="1">ALL!AK65</f>
        <v>#N/A</v>
      </c>
      <c r="AH86" s="14" t="e">
        <f ca="1">ALL!AL65</f>
        <v>#N/A</v>
      </c>
      <c r="AI86" s="14">
        <f>ALL!AM65</f>
        <v>0</v>
      </c>
    </row>
    <row r="87" spans="1:35" ht="21.75" hidden="1" outlineLevel="1" thickBot="1" x14ac:dyDescent="0.4">
      <c r="A87" s="36">
        <f>ALL!E66</f>
        <v>0</v>
      </c>
      <c r="B87" s="16" t="e">
        <f ca="1">ALL!F66</f>
        <v>#N/A</v>
      </c>
      <c r="C87" s="16" t="e">
        <f ca="1">ALL!G66</f>
        <v>#N/A</v>
      </c>
      <c r="D87" s="16" t="e">
        <f ca="1">ALL!H66</f>
        <v>#N/A</v>
      </c>
      <c r="E87" s="16" t="e">
        <f ca="1">ALL!I66</f>
        <v>#N/A</v>
      </c>
      <c r="F87" s="14" t="e">
        <f ca="1">ALL!J66</f>
        <v>#N/A</v>
      </c>
      <c r="G87" s="14" t="e">
        <f ca="1">ALL!K66</f>
        <v>#N/A</v>
      </c>
      <c r="H87" s="14" t="e">
        <f ca="1">ALL!L66</f>
        <v>#N/A</v>
      </c>
      <c r="I87" s="14" t="e">
        <f ca="1">ALL!M66</f>
        <v>#N/A</v>
      </c>
      <c r="J87" s="14" t="e">
        <f ca="1">ALL!N66</f>
        <v>#N/A</v>
      </c>
      <c r="K87" s="14" t="e">
        <f ca="1">ALL!O66</f>
        <v>#N/A</v>
      </c>
      <c r="L87" s="14" t="e">
        <f ca="1">ALL!P66</f>
        <v>#N/A</v>
      </c>
      <c r="M87" s="14" t="e">
        <f ca="1">ALL!Q66</f>
        <v>#N/A</v>
      </c>
      <c r="N87" s="14" t="e">
        <f ca="1">ALL!R66</f>
        <v>#N/A</v>
      </c>
      <c r="O87" s="14" t="e">
        <f ca="1">ALL!S66</f>
        <v>#N/A</v>
      </c>
      <c r="P87" s="14" t="e">
        <f ca="1">ALL!T66</f>
        <v>#N/A</v>
      </c>
      <c r="Q87" s="14" t="e">
        <f ca="1">ALL!U66</f>
        <v>#N/A</v>
      </c>
      <c r="R87" s="14" t="e">
        <f ca="1">ALL!V66</f>
        <v>#N/A</v>
      </c>
      <c r="S87" s="14" t="e">
        <f ca="1">ALL!W66</f>
        <v>#N/A</v>
      </c>
      <c r="T87" s="14" t="e">
        <f ca="1">ALL!X66</f>
        <v>#N/A</v>
      </c>
      <c r="U87" s="14" t="e">
        <f ca="1">ALL!Y66</f>
        <v>#N/A</v>
      </c>
      <c r="V87" s="14" t="e">
        <f ca="1">ALL!Z66</f>
        <v>#N/A</v>
      </c>
      <c r="W87" s="14" t="e">
        <f ca="1">ALL!AA66</f>
        <v>#N/A</v>
      </c>
      <c r="X87" s="14" t="e">
        <f ca="1">ALL!AB66</f>
        <v>#N/A</v>
      </c>
      <c r="Y87" s="14" t="e">
        <f ca="1">ALL!AC66</f>
        <v>#N/A</v>
      </c>
      <c r="Z87" s="14" t="e">
        <f ca="1">ALL!AD66</f>
        <v>#N/A</v>
      </c>
      <c r="AA87" s="14" t="e">
        <f ca="1">ALL!AE66</f>
        <v>#N/A</v>
      </c>
      <c r="AB87" s="14" t="e">
        <f ca="1">ALL!AF66</f>
        <v>#N/A</v>
      </c>
      <c r="AC87" s="14" t="e">
        <f ca="1">ALL!AG66</f>
        <v>#N/A</v>
      </c>
      <c r="AD87" s="14" t="e">
        <f ca="1">ALL!AH66</f>
        <v>#N/A</v>
      </c>
      <c r="AE87" s="14" t="e">
        <f ca="1">ALL!AI66</f>
        <v>#N/A</v>
      </c>
      <c r="AF87" s="14" t="e">
        <f ca="1">ALL!AJ66</f>
        <v>#N/A</v>
      </c>
      <c r="AG87" s="14" t="e">
        <f ca="1">ALL!AK66</f>
        <v>#N/A</v>
      </c>
      <c r="AH87" s="14" t="e">
        <f ca="1">ALL!AL66</f>
        <v>#N/A</v>
      </c>
      <c r="AI87" s="14">
        <f>ALL!AM66</f>
        <v>0</v>
      </c>
    </row>
    <row r="88" spans="1:35" ht="21.75" hidden="1" outlineLevel="1" thickBot="1" x14ac:dyDescent="0.4">
      <c r="A88" s="36">
        <f>ALL!E67</f>
        <v>0</v>
      </c>
      <c r="B88" s="16" t="e">
        <f ca="1">ALL!F67</f>
        <v>#N/A</v>
      </c>
      <c r="C88" s="16" t="e">
        <f ca="1">ALL!G67</f>
        <v>#N/A</v>
      </c>
      <c r="D88" s="16" t="e">
        <f ca="1">ALL!H67</f>
        <v>#N/A</v>
      </c>
      <c r="E88" s="16" t="e">
        <f ca="1">ALL!I67</f>
        <v>#N/A</v>
      </c>
      <c r="F88" s="14" t="e">
        <f ca="1">ALL!J67</f>
        <v>#N/A</v>
      </c>
      <c r="G88" s="14" t="e">
        <f ca="1">ALL!K67</f>
        <v>#N/A</v>
      </c>
      <c r="H88" s="14" t="e">
        <f ca="1">ALL!L67</f>
        <v>#N/A</v>
      </c>
      <c r="I88" s="14" t="e">
        <f ca="1">ALL!M67</f>
        <v>#N/A</v>
      </c>
      <c r="J88" s="14" t="e">
        <f ca="1">ALL!N67</f>
        <v>#N/A</v>
      </c>
      <c r="K88" s="14" t="e">
        <f ca="1">ALL!O67</f>
        <v>#N/A</v>
      </c>
      <c r="L88" s="14" t="e">
        <f ca="1">ALL!P67</f>
        <v>#N/A</v>
      </c>
      <c r="M88" s="14" t="e">
        <f ca="1">ALL!Q67</f>
        <v>#N/A</v>
      </c>
      <c r="N88" s="14" t="e">
        <f ca="1">ALL!R67</f>
        <v>#N/A</v>
      </c>
      <c r="O88" s="14" t="e">
        <f ca="1">ALL!S67</f>
        <v>#N/A</v>
      </c>
      <c r="P88" s="14" t="e">
        <f ca="1">ALL!T67</f>
        <v>#N/A</v>
      </c>
      <c r="Q88" s="14" t="e">
        <f ca="1">ALL!U67</f>
        <v>#N/A</v>
      </c>
      <c r="R88" s="14" t="e">
        <f ca="1">ALL!V67</f>
        <v>#N/A</v>
      </c>
      <c r="S88" s="14" t="e">
        <f ca="1">ALL!W67</f>
        <v>#N/A</v>
      </c>
      <c r="T88" s="14" t="e">
        <f ca="1">ALL!X67</f>
        <v>#N/A</v>
      </c>
      <c r="U88" s="14" t="e">
        <f ca="1">ALL!Y67</f>
        <v>#N/A</v>
      </c>
      <c r="V88" s="14" t="e">
        <f ca="1">ALL!Z67</f>
        <v>#N/A</v>
      </c>
      <c r="W88" s="14" t="e">
        <f ca="1">ALL!AA67</f>
        <v>#N/A</v>
      </c>
      <c r="X88" s="14" t="e">
        <f ca="1">ALL!AB67</f>
        <v>#N/A</v>
      </c>
      <c r="Y88" s="14" t="e">
        <f ca="1">ALL!AC67</f>
        <v>#N/A</v>
      </c>
      <c r="Z88" s="14" t="e">
        <f ca="1">ALL!AD67</f>
        <v>#N/A</v>
      </c>
      <c r="AA88" s="14" t="e">
        <f ca="1">ALL!AE67</f>
        <v>#N/A</v>
      </c>
      <c r="AB88" s="14" t="e">
        <f ca="1">ALL!AF67</f>
        <v>#N/A</v>
      </c>
      <c r="AC88" s="14" t="e">
        <f ca="1">ALL!AG67</f>
        <v>#N/A</v>
      </c>
      <c r="AD88" s="14" t="e">
        <f ca="1">ALL!AH67</f>
        <v>#N/A</v>
      </c>
      <c r="AE88" s="14" t="e">
        <f ca="1">ALL!AI67</f>
        <v>#N/A</v>
      </c>
      <c r="AF88" s="14" t="e">
        <f ca="1">ALL!AJ67</f>
        <v>#N/A</v>
      </c>
      <c r="AG88" s="14" t="e">
        <f ca="1">ALL!AK67</f>
        <v>#N/A</v>
      </c>
      <c r="AH88" s="14" t="e">
        <f ca="1">ALL!AL67</f>
        <v>#N/A</v>
      </c>
      <c r="AI88" s="14">
        <f>ALL!AM67</f>
        <v>0</v>
      </c>
    </row>
    <row r="89" spans="1:35" ht="21.75" hidden="1" outlineLevel="1" thickBot="1" x14ac:dyDescent="0.4">
      <c r="A89" s="36">
        <f>ALL!E68</f>
        <v>0</v>
      </c>
      <c r="B89" s="16" t="e">
        <f ca="1">ALL!F68</f>
        <v>#N/A</v>
      </c>
      <c r="C89" s="16" t="e">
        <f ca="1">ALL!G68</f>
        <v>#N/A</v>
      </c>
      <c r="D89" s="16" t="e">
        <f ca="1">ALL!H68</f>
        <v>#N/A</v>
      </c>
      <c r="E89" s="16" t="e">
        <f ca="1">ALL!I68</f>
        <v>#N/A</v>
      </c>
      <c r="F89" s="14" t="e">
        <f ca="1">ALL!J68</f>
        <v>#N/A</v>
      </c>
      <c r="G89" s="14" t="e">
        <f ca="1">ALL!K68</f>
        <v>#N/A</v>
      </c>
      <c r="H89" s="14" t="e">
        <f ca="1">ALL!L68</f>
        <v>#N/A</v>
      </c>
      <c r="I89" s="14" t="e">
        <f ca="1">ALL!M68</f>
        <v>#N/A</v>
      </c>
      <c r="J89" s="14" t="e">
        <f ca="1">ALL!N68</f>
        <v>#N/A</v>
      </c>
      <c r="K89" s="14" t="e">
        <f ca="1">ALL!O68</f>
        <v>#N/A</v>
      </c>
      <c r="L89" s="14" t="e">
        <f ca="1">ALL!P68</f>
        <v>#N/A</v>
      </c>
      <c r="M89" s="14" t="e">
        <f ca="1">ALL!Q68</f>
        <v>#N/A</v>
      </c>
      <c r="N89" s="14" t="e">
        <f ca="1">ALL!R68</f>
        <v>#N/A</v>
      </c>
      <c r="O89" s="14" t="e">
        <f ca="1">ALL!S68</f>
        <v>#N/A</v>
      </c>
      <c r="P89" s="14" t="e">
        <f ca="1">ALL!T68</f>
        <v>#N/A</v>
      </c>
      <c r="Q89" s="14" t="e">
        <f ca="1">ALL!U68</f>
        <v>#N/A</v>
      </c>
      <c r="R89" s="14" t="e">
        <f ca="1">ALL!V68</f>
        <v>#N/A</v>
      </c>
      <c r="S89" s="14" t="e">
        <f ca="1">ALL!W68</f>
        <v>#N/A</v>
      </c>
      <c r="T89" s="14" t="e">
        <f ca="1">ALL!X68</f>
        <v>#N/A</v>
      </c>
      <c r="U89" s="14" t="e">
        <f ca="1">ALL!Y68</f>
        <v>#N/A</v>
      </c>
      <c r="V89" s="14" t="e">
        <f ca="1">ALL!Z68</f>
        <v>#N/A</v>
      </c>
      <c r="W89" s="14" t="e">
        <f ca="1">ALL!AA68</f>
        <v>#N/A</v>
      </c>
      <c r="X89" s="14" t="e">
        <f ca="1">ALL!AB68</f>
        <v>#N/A</v>
      </c>
      <c r="Y89" s="14" t="e">
        <f ca="1">ALL!AC68</f>
        <v>#N/A</v>
      </c>
      <c r="Z89" s="14" t="e">
        <f ca="1">ALL!AD68</f>
        <v>#N/A</v>
      </c>
      <c r="AA89" s="14" t="e">
        <f ca="1">ALL!AE68</f>
        <v>#N/A</v>
      </c>
      <c r="AB89" s="14" t="e">
        <f ca="1">ALL!AF68</f>
        <v>#N/A</v>
      </c>
      <c r="AC89" s="14" t="e">
        <f ca="1">ALL!AG68</f>
        <v>#N/A</v>
      </c>
      <c r="AD89" s="14" t="e">
        <f ca="1">ALL!AH68</f>
        <v>#N/A</v>
      </c>
      <c r="AE89" s="14" t="e">
        <f ca="1">ALL!AI68</f>
        <v>#N/A</v>
      </c>
      <c r="AF89" s="14" t="e">
        <f ca="1">ALL!AJ68</f>
        <v>#N/A</v>
      </c>
      <c r="AG89" s="14" t="e">
        <f ca="1">ALL!AK68</f>
        <v>#N/A</v>
      </c>
      <c r="AH89" s="14" t="e">
        <f ca="1">ALL!AL68</f>
        <v>#N/A</v>
      </c>
      <c r="AI89" s="14">
        <f>ALL!AM68</f>
        <v>0</v>
      </c>
    </row>
    <row r="90" spans="1:35" ht="21.75" hidden="1" outlineLevel="1" thickBot="1" x14ac:dyDescent="0.4">
      <c r="A90" s="36">
        <f>ALL!E69</f>
        <v>0</v>
      </c>
      <c r="B90" s="16" t="e">
        <f ca="1">ALL!F69</f>
        <v>#N/A</v>
      </c>
      <c r="C90" s="16" t="e">
        <f ca="1">ALL!G69</f>
        <v>#N/A</v>
      </c>
      <c r="D90" s="16" t="e">
        <f ca="1">ALL!H69</f>
        <v>#N/A</v>
      </c>
      <c r="E90" s="16" t="e">
        <f ca="1">ALL!I69</f>
        <v>#N/A</v>
      </c>
      <c r="F90" s="14" t="e">
        <f ca="1">ALL!J69</f>
        <v>#N/A</v>
      </c>
      <c r="G90" s="14" t="e">
        <f ca="1">ALL!K69</f>
        <v>#N/A</v>
      </c>
      <c r="H90" s="14" t="e">
        <f ca="1">ALL!L69</f>
        <v>#N/A</v>
      </c>
      <c r="I90" s="14" t="e">
        <f ca="1">ALL!M69</f>
        <v>#N/A</v>
      </c>
      <c r="J90" s="14" t="e">
        <f ca="1">ALL!N69</f>
        <v>#N/A</v>
      </c>
      <c r="K90" s="14" t="e">
        <f ca="1">ALL!O69</f>
        <v>#N/A</v>
      </c>
      <c r="L90" s="14" t="e">
        <f ca="1">ALL!P69</f>
        <v>#N/A</v>
      </c>
      <c r="M90" s="14" t="e">
        <f ca="1">ALL!Q69</f>
        <v>#N/A</v>
      </c>
      <c r="N90" s="14" t="e">
        <f ca="1">ALL!R69</f>
        <v>#N/A</v>
      </c>
      <c r="O90" s="14" t="e">
        <f ca="1">ALL!S69</f>
        <v>#N/A</v>
      </c>
      <c r="P90" s="14" t="e">
        <f ca="1">ALL!T69</f>
        <v>#N/A</v>
      </c>
      <c r="Q90" s="14" t="e">
        <f ca="1">ALL!U69</f>
        <v>#N/A</v>
      </c>
      <c r="R90" s="14" t="e">
        <f ca="1">ALL!V69</f>
        <v>#N/A</v>
      </c>
      <c r="S90" s="14" t="e">
        <f ca="1">ALL!W69</f>
        <v>#N/A</v>
      </c>
      <c r="T90" s="14" t="e">
        <f ca="1">ALL!X69</f>
        <v>#N/A</v>
      </c>
      <c r="U90" s="14" t="e">
        <f ca="1">ALL!Y69</f>
        <v>#N/A</v>
      </c>
      <c r="V90" s="14" t="e">
        <f ca="1">ALL!Z69</f>
        <v>#N/A</v>
      </c>
      <c r="W90" s="14" t="e">
        <f ca="1">ALL!AA69</f>
        <v>#N/A</v>
      </c>
      <c r="X90" s="14" t="e">
        <f ca="1">ALL!AB69</f>
        <v>#N/A</v>
      </c>
      <c r="Y90" s="14" t="e">
        <f ca="1">ALL!AC69</f>
        <v>#N/A</v>
      </c>
      <c r="Z90" s="14" t="e">
        <f ca="1">ALL!AD69</f>
        <v>#N/A</v>
      </c>
      <c r="AA90" s="14" t="e">
        <f ca="1">ALL!AE69</f>
        <v>#N/A</v>
      </c>
      <c r="AB90" s="14" t="e">
        <f ca="1">ALL!AF69</f>
        <v>#N/A</v>
      </c>
      <c r="AC90" s="14" t="e">
        <f ca="1">ALL!AG69</f>
        <v>#N/A</v>
      </c>
      <c r="AD90" s="14" t="e">
        <f ca="1">ALL!AH69</f>
        <v>#N/A</v>
      </c>
      <c r="AE90" s="14" t="e">
        <f ca="1">ALL!AI69</f>
        <v>#N/A</v>
      </c>
      <c r="AF90" s="14" t="e">
        <f ca="1">ALL!AJ69</f>
        <v>#N/A</v>
      </c>
      <c r="AG90" s="14" t="e">
        <f ca="1">ALL!AK69</f>
        <v>#N/A</v>
      </c>
      <c r="AH90" s="14" t="e">
        <f ca="1">ALL!AL69</f>
        <v>#N/A</v>
      </c>
      <c r="AI90" s="14">
        <f>ALL!AM69</f>
        <v>0</v>
      </c>
    </row>
    <row r="91" spans="1:35" ht="21.75" hidden="1" outlineLevel="1" thickBot="1" x14ac:dyDescent="0.4">
      <c r="A91" s="36">
        <f>ALL!E70</f>
        <v>0</v>
      </c>
      <c r="B91" s="16" t="e">
        <f ca="1">ALL!F70</f>
        <v>#N/A</v>
      </c>
      <c r="C91" s="16" t="e">
        <f ca="1">ALL!G70</f>
        <v>#N/A</v>
      </c>
      <c r="D91" s="16" t="e">
        <f ca="1">ALL!H70</f>
        <v>#N/A</v>
      </c>
      <c r="E91" s="16" t="e">
        <f ca="1">ALL!I70</f>
        <v>#N/A</v>
      </c>
      <c r="F91" s="14" t="e">
        <f ca="1">ALL!J70</f>
        <v>#N/A</v>
      </c>
      <c r="G91" s="14" t="e">
        <f ca="1">ALL!K70</f>
        <v>#N/A</v>
      </c>
      <c r="H91" s="14" t="e">
        <f ca="1">ALL!L70</f>
        <v>#N/A</v>
      </c>
      <c r="I91" s="14" t="e">
        <f ca="1">ALL!M70</f>
        <v>#N/A</v>
      </c>
      <c r="J91" s="14" t="e">
        <f ca="1">ALL!N70</f>
        <v>#N/A</v>
      </c>
      <c r="K91" s="14" t="e">
        <f ca="1">ALL!O70</f>
        <v>#N/A</v>
      </c>
      <c r="L91" s="14" t="e">
        <f ca="1">ALL!P70</f>
        <v>#N/A</v>
      </c>
      <c r="M91" s="14" t="e">
        <f ca="1">ALL!Q70</f>
        <v>#N/A</v>
      </c>
      <c r="N91" s="14" t="e">
        <f ca="1">ALL!R70</f>
        <v>#N/A</v>
      </c>
      <c r="O91" s="14" t="e">
        <f ca="1">ALL!S70</f>
        <v>#N/A</v>
      </c>
      <c r="P91" s="14" t="e">
        <f ca="1">ALL!T70</f>
        <v>#N/A</v>
      </c>
      <c r="Q91" s="14" t="e">
        <f ca="1">ALL!U70</f>
        <v>#N/A</v>
      </c>
      <c r="R91" s="14" t="e">
        <f ca="1">ALL!V70</f>
        <v>#N/A</v>
      </c>
      <c r="S91" s="14" t="e">
        <f ca="1">ALL!W70</f>
        <v>#N/A</v>
      </c>
      <c r="T91" s="14" t="e">
        <f ca="1">ALL!X70</f>
        <v>#N/A</v>
      </c>
      <c r="U91" s="14" t="e">
        <f ca="1">ALL!Y70</f>
        <v>#N/A</v>
      </c>
      <c r="V91" s="14" t="e">
        <f ca="1">ALL!Z70</f>
        <v>#N/A</v>
      </c>
      <c r="W91" s="14" t="e">
        <f ca="1">ALL!AA70</f>
        <v>#N/A</v>
      </c>
      <c r="X91" s="14" t="e">
        <f ca="1">ALL!AB70</f>
        <v>#N/A</v>
      </c>
      <c r="Y91" s="14" t="e">
        <f ca="1">ALL!AC70</f>
        <v>#N/A</v>
      </c>
      <c r="Z91" s="14" t="e">
        <f ca="1">ALL!AD70</f>
        <v>#N/A</v>
      </c>
      <c r="AA91" s="14" t="e">
        <f ca="1">ALL!AE70</f>
        <v>#N/A</v>
      </c>
      <c r="AB91" s="14" t="e">
        <f ca="1">ALL!AF70</f>
        <v>#N/A</v>
      </c>
      <c r="AC91" s="14" t="e">
        <f ca="1">ALL!AG70</f>
        <v>#N/A</v>
      </c>
      <c r="AD91" s="14" t="e">
        <f ca="1">ALL!AH70</f>
        <v>#N/A</v>
      </c>
      <c r="AE91" s="14" t="e">
        <f ca="1">ALL!AI70</f>
        <v>#N/A</v>
      </c>
      <c r="AF91" s="14" t="e">
        <f ca="1">ALL!AJ70</f>
        <v>#N/A</v>
      </c>
      <c r="AG91" s="14" t="e">
        <f ca="1">ALL!AK70</f>
        <v>#N/A</v>
      </c>
      <c r="AH91" s="14" t="e">
        <f ca="1">ALL!AL70</f>
        <v>#N/A</v>
      </c>
      <c r="AI91" s="14">
        <f>ALL!AM70</f>
        <v>0</v>
      </c>
    </row>
    <row r="92" spans="1:35" ht="21.75" hidden="1" outlineLevel="1" thickBot="1" x14ac:dyDescent="0.4">
      <c r="A92" s="36">
        <f>ALL!E71</f>
        <v>0</v>
      </c>
      <c r="B92" s="16" t="e">
        <f ca="1">ALL!F71</f>
        <v>#N/A</v>
      </c>
      <c r="C92" s="16" t="e">
        <f ca="1">ALL!G71</f>
        <v>#N/A</v>
      </c>
      <c r="D92" s="16" t="e">
        <f ca="1">ALL!H71</f>
        <v>#N/A</v>
      </c>
      <c r="E92" s="16" t="e">
        <f ca="1">ALL!I71</f>
        <v>#N/A</v>
      </c>
      <c r="F92" s="14" t="e">
        <f ca="1">ALL!J71</f>
        <v>#N/A</v>
      </c>
      <c r="G92" s="14" t="e">
        <f ca="1">ALL!K71</f>
        <v>#N/A</v>
      </c>
      <c r="H92" s="14" t="e">
        <f ca="1">ALL!L71</f>
        <v>#N/A</v>
      </c>
      <c r="I92" s="14" t="e">
        <f ca="1">ALL!M71</f>
        <v>#N/A</v>
      </c>
      <c r="J92" s="14" t="e">
        <f ca="1">ALL!N71</f>
        <v>#N/A</v>
      </c>
      <c r="K92" s="14" t="e">
        <f ca="1">ALL!O71</f>
        <v>#N/A</v>
      </c>
      <c r="L92" s="14" t="e">
        <f ca="1">ALL!P71</f>
        <v>#N/A</v>
      </c>
      <c r="M92" s="14" t="e">
        <f ca="1">ALL!Q71</f>
        <v>#N/A</v>
      </c>
      <c r="N92" s="14" t="e">
        <f ca="1">ALL!R71</f>
        <v>#N/A</v>
      </c>
      <c r="O92" s="14" t="e">
        <f ca="1">ALL!S71</f>
        <v>#N/A</v>
      </c>
      <c r="P92" s="14" t="e">
        <f ca="1">ALL!T71</f>
        <v>#N/A</v>
      </c>
      <c r="Q92" s="14" t="e">
        <f ca="1">ALL!U71</f>
        <v>#N/A</v>
      </c>
      <c r="R92" s="14" t="e">
        <f ca="1">ALL!V71</f>
        <v>#N/A</v>
      </c>
      <c r="S92" s="14" t="e">
        <f ca="1">ALL!W71</f>
        <v>#N/A</v>
      </c>
      <c r="T92" s="14" t="e">
        <f ca="1">ALL!X71</f>
        <v>#N/A</v>
      </c>
      <c r="U92" s="14" t="e">
        <f ca="1">ALL!Y71</f>
        <v>#N/A</v>
      </c>
      <c r="V92" s="14" t="e">
        <f ca="1">ALL!Z71</f>
        <v>#N/A</v>
      </c>
      <c r="W92" s="14" t="e">
        <f ca="1">ALL!AA71</f>
        <v>#N/A</v>
      </c>
      <c r="X92" s="14" t="e">
        <f ca="1">ALL!AB71</f>
        <v>#N/A</v>
      </c>
      <c r="Y92" s="14" t="e">
        <f ca="1">ALL!AC71</f>
        <v>#N/A</v>
      </c>
      <c r="Z92" s="14" t="e">
        <f ca="1">ALL!AD71</f>
        <v>#N/A</v>
      </c>
      <c r="AA92" s="14" t="e">
        <f ca="1">ALL!AE71</f>
        <v>#N/A</v>
      </c>
      <c r="AB92" s="14" t="e">
        <f ca="1">ALL!AF71</f>
        <v>#N/A</v>
      </c>
      <c r="AC92" s="14" t="e">
        <f ca="1">ALL!AG71</f>
        <v>#N/A</v>
      </c>
      <c r="AD92" s="14" t="e">
        <f ca="1">ALL!AH71</f>
        <v>#N/A</v>
      </c>
      <c r="AE92" s="14" t="e">
        <f ca="1">ALL!AI71</f>
        <v>#N/A</v>
      </c>
      <c r="AF92" s="14" t="e">
        <f ca="1">ALL!AJ71</f>
        <v>#N/A</v>
      </c>
      <c r="AG92" s="14" t="e">
        <f ca="1">ALL!AK71</f>
        <v>#N/A</v>
      </c>
      <c r="AH92" s="14" t="e">
        <f ca="1">ALL!AL71</f>
        <v>#N/A</v>
      </c>
      <c r="AI92" s="14">
        <f>ALL!AM71</f>
        <v>0</v>
      </c>
    </row>
    <row r="93" spans="1:35" ht="21.75" hidden="1" outlineLevel="1" thickBot="1" x14ac:dyDescent="0.4">
      <c r="A93" s="36">
        <f>ALL!E72</f>
        <v>0</v>
      </c>
      <c r="B93" s="16" t="e">
        <f ca="1">ALL!F72</f>
        <v>#N/A</v>
      </c>
      <c r="C93" s="16" t="e">
        <f ca="1">ALL!G72</f>
        <v>#N/A</v>
      </c>
      <c r="D93" s="16" t="e">
        <f ca="1">ALL!H72</f>
        <v>#N/A</v>
      </c>
      <c r="E93" s="16" t="e">
        <f ca="1">ALL!I72</f>
        <v>#N/A</v>
      </c>
      <c r="F93" s="14" t="e">
        <f ca="1">ALL!J72</f>
        <v>#N/A</v>
      </c>
      <c r="G93" s="14" t="e">
        <f ca="1">ALL!K72</f>
        <v>#N/A</v>
      </c>
      <c r="H93" s="14" t="e">
        <f ca="1">ALL!L72</f>
        <v>#N/A</v>
      </c>
      <c r="I93" s="14" t="e">
        <f ca="1">ALL!M72</f>
        <v>#N/A</v>
      </c>
      <c r="J93" s="14" t="e">
        <f ca="1">ALL!N72</f>
        <v>#N/A</v>
      </c>
      <c r="K93" s="14" t="e">
        <f ca="1">ALL!O72</f>
        <v>#N/A</v>
      </c>
      <c r="L93" s="14" t="e">
        <f ca="1">ALL!P72</f>
        <v>#N/A</v>
      </c>
      <c r="M93" s="14" t="e">
        <f ca="1">ALL!Q72</f>
        <v>#N/A</v>
      </c>
      <c r="N93" s="14" t="e">
        <f ca="1">ALL!R72</f>
        <v>#N/A</v>
      </c>
      <c r="O93" s="14" t="e">
        <f ca="1">ALL!S72</f>
        <v>#N/A</v>
      </c>
      <c r="P93" s="14" t="e">
        <f ca="1">ALL!T72</f>
        <v>#N/A</v>
      </c>
      <c r="Q93" s="14" t="e">
        <f ca="1">ALL!U72</f>
        <v>#N/A</v>
      </c>
      <c r="R93" s="14" t="e">
        <f ca="1">ALL!V72</f>
        <v>#N/A</v>
      </c>
      <c r="S93" s="14" t="e">
        <f ca="1">ALL!W72</f>
        <v>#N/A</v>
      </c>
      <c r="T93" s="14" t="e">
        <f ca="1">ALL!X72</f>
        <v>#N/A</v>
      </c>
      <c r="U93" s="14" t="e">
        <f ca="1">ALL!Y72</f>
        <v>#N/A</v>
      </c>
      <c r="V93" s="14" t="e">
        <f ca="1">ALL!Z72</f>
        <v>#N/A</v>
      </c>
      <c r="W93" s="14" t="e">
        <f ca="1">ALL!AA72</f>
        <v>#N/A</v>
      </c>
      <c r="X93" s="14" t="e">
        <f ca="1">ALL!AB72</f>
        <v>#N/A</v>
      </c>
      <c r="Y93" s="14" t="e">
        <f ca="1">ALL!AC72</f>
        <v>#N/A</v>
      </c>
      <c r="Z93" s="14" t="e">
        <f ca="1">ALL!AD72</f>
        <v>#N/A</v>
      </c>
      <c r="AA93" s="14" t="e">
        <f ca="1">ALL!AE72</f>
        <v>#N/A</v>
      </c>
      <c r="AB93" s="14" t="e">
        <f ca="1">ALL!AF72</f>
        <v>#N/A</v>
      </c>
      <c r="AC93" s="14" t="e">
        <f ca="1">ALL!AG72</f>
        <v>#N/A</v>
      </c>
      <c r="AD93" s="14" t="e">
        <f ca="1">ALL!AH72</f>
        <v>#N/A</v>
      </c>
      <c r="AE93" s="14" t="e">
        <f ca="1">ALL!AI72</f>
        <v>#N/A</v>
      </c>
      <c r="AF93" s="14" t="e">
        <f ca="1">ALL!AJ72</f>
        <v>#N/A</v>
      </c>
      <c r="AG93" s="14" t="e">
        <f ca="1">ALL!AK72</f>
        <v>#N/A</v>
      </c>
      <c r="AH93" s="14" t="e">
        <f ca="1">ALL!AL72</f>
        <v>#N/A</v>
      </c>
      <c r="AI93" s="14">
        <f>ALL!AM72</f>
        <v>0</v>
      </c>
    </row>
    <row r="94" spans="1:35" ht="21.75" hidden="1" outlineLevel="1" thickBot="1" x14ac:dyDescent="0.4">
      <c r="A94" s="36">
        <f>ALL!E73</f>
        <v>0</v>
      </c>
      <c r="B94" s="16" t="e">
        <f ca="1">ALL!F73</f>
        <v>#N/A</v>
      </c>
      <c r="C94" s="16" t="e">
        <f ca="1">ALL!G73</f>
        <v>#N/A</v>
      </c>
      <c r="D94" s="16" t="e">
        <f ca="1">ALL!H73</f>
        <v>#N/A</v>
      </c>
      <c r="E94" s="16" t="e">
        <f ca="1">ALL!I73</f>
        <v>#N/A</v>
      </c>
      <c r="F94" s="14" t="e">
        <f ca="1">ALL!J73</f>
        <v>#N/A</v>
      </c>
      <c r="G94" s="14" t="e">
        <f ca="1">ALL!K73</f>
        <v>#N/A</v>
      </c>
      <c r="H94" s="14" t="e">
        <f ca="1">ALL!L73</f>
        <v>#N/A</v>
      </c>
      <c r="I94" s="14" t="e">
        <f ca="1">ALL!M73</f>
        <v>#N/A</v>
      </c>
      <c r="J94" s="14" t="e">
        <f ca="1">ALL!N73</f>
        <v>#N/A</v>
      </c>
      <c r="K94" s="14" t="e">
        <f ca="1">ALL!O73</f>
        <v>#N/A</v>
      </c>
      <c r="L94" s="14" t="e">
        <f ca="1">ALL!P73</f>
        <v>#N/A</v>
      </c>
      <c r="M94" s="14" t="e">
        <f ca="1">ALL!Q73</f>
        <v>#N/A</v>
      </c>
      <c r="N94" s="14" t="e">
        <f ca="1">ALL!R73</f>
        <v>#N/A</v>
      </c>
      <c r="O94" s="14" t="e">
        <f ca="1">ALL!S73</f>
        <v>#N/A</v>
      </c>
      <c r="P94" s="14" t="e">
        <f ca="1">ALL!T73</f>
        <v>#N/A</v>
      </c>
      <c r="Q94" s="14" t="e">
        <f ca="1">ALL!U73</f>
        <v>#N/A</v>
      </c>
      <c r="R94" s="14" t="e">
        <f ca="1">ALL!V73</f>
        <v>#N/A</v>
      </c>
      <c r="S94" s="14" t="e">
        <f ca="1">ALL!W73</f>
        <v>#N/A</v>
      </c>
      <c r="T94" s="14" t="e">
        <f ca="1">ALL!X73</f>
        <v>#N/A</v>
      </c>
      <c r="U94" s="14" t="e">
        <f ca="1">ALL!Y73</f>
        <v>#N/A</v>
      </c>
      <c r="V94" s="14" t="e">
        <f ca="1">ALL!Z73</f>
        <v>#N/A</v>
      </c>
      <c r="W94" s="14" t="e">
        <f ca="1">ALL!AA73</f>
        <v>#N/A</v>
      </c>
      <c r="X94" s="14" t="e">
        <f ca="1">ALL!AB73</f>
        <v>#N/A</v>
      </c>
      <c r="Y94" s="14" t="e">
        <f ca="1">ALL!AC73</f>
        <v>#N/A</v>
      </c>
      <c r="Z94" s="14" t="e">
        <f ca="1">ALL!AD73</f>
        <v>#N/A</v>
      </c>
      <c r="AA94" s="14" t="e">
        <f ca="1">ALL!AE73</f>
        <v>#N/A</v>
      </c>
      <c r="AB94" s="14" t="e">
        <f ca="1">ALL!AF73</f>
        <v>#N/A</v>
      </c>
      <c r="AC94" s="14" t="e">
        <f ca="1">ALL!AG73</f>
        <v>#N/A</v>
      </c>
      <c r="AD94" s="14" t="e">
        <f ca="1">ALL!AH73</f>
        <v>#N/A</v>
      </c>
      <c r="AE94" s="14" t="e">
        <f ca="1">ALL!AI73</f>
        <v>#N/A</v>
      </c>
      <c r="AF94" s="14" t="e">
        <f ca="1">ALL!AJ73</f>
        <v>#N/A</v>
      </c>
      <c r="AG94" s="14" t="e">
        <f ca="1">ALL!AK73</f>
        <v>#N/A</v>
      </c>
      <c r="AH94" s="14" t="e">
        <f ca="1">ALL!AL73</f>
        <v>#N/A</v>
      </c>
      <c r="AI94" s="14">
        <f>ALL!AM73</f>
        <v>0</v>
      </c>
    </row>
    <row r="95" spans="1:35" ht="21.75" hidden="1" outlineLevel="1" thickBot="1" x14ac:dyDescent="0.4">
      <c r="A95" s="36">
        <f>ALL!E74</f>
        <v>0</v>
      </c>
      <c r="B95" s="16" t="e">
        <f ca="1">ALL!F74</f>
        <v>#N/A</v>
      </c>
      <c r="C95" s="16" t="e">
        <f ca="1">ALL!G74</f>
        <v>#N/A</v>
      </c>
      <c r="D95" s="16" t="e">
        <f ca="1">ALL!H74</f>
        <v>#N/A</v>
      </c>
      <c r="E95" s="16" t="e">
        <f ca="1">ALL!I74</f>
        <v>#N/A</v>
      </c>
      <c r="F95" s="14" t="e">
        <f ca="1">ALL!J74</f>
        <v>#N/A</v>
      </c>
      <c r="G95" s="14" t="e">
        <f ca="1">ALL!K74</f>
        <v>#N/A</v>
      </c>
      <c r="H95" s="14" t="e">
        <f ca="1">ALL!L74</f>
        <v>#N/A</v>
      </c>
      <c r="I95" s="14" t="e">
        <f ca="1">ALL!M74</f>
        <v>#N/A</v>
      </c>
      <c r="J95" s="14" t="e">
        <f ca="1">ALL!N74</f>
        <v>#N/A</v>
      </c>
      <c r="K95" s="14" t="e">
        <f ca="1">ALL!O74</f>
        <v>#N/A</v>
      </c>
      <c r="L95" s="14" t="e">
        <f ca="1">ALL!P74</f>
        <v>#N/A</v>
      </c>
      <c r="M95" s="14" t="e">
        <f ca="1">ALL!Q74</f>
        <v>#N/A</v>
      </c>
      <c r="N95" s="14" t="e">
        <f ca="1">ALL!R74</f>
        <v>#N/A</v>
      </c>
      <c r="O95" s="14" t="e">
        <f ca="1">ALL!S74</f>
        <v>#N/A</v>
      </c>
      <c r="P95" s="14" t="e">
        <f ca="1">ALL!T74</f>
        <v>#N/A</v>
      </c>
      <c r="Q95" s="14" t="e">
        <f ca="1">ALL!U74</f>
        <v>#N/A</v>
      </c>
      <c r="R95" s="14" t="e">
        <f ca="1">ALL!V74</f>
        <v>#N/A</v>
      </c>
      <c r="S95" s="14" t="e">
        <f ca="1">ALL!W74</f>
        <v>#N/A</v>
      </c>
      <c r="T95" s="14" t="e">
        <f ca="1">ALL!X74</f>
        <v>#N/A</v>
      </c>
      <c r="U95" s="14" t="e">
        <f ca="1">ALL!Y74</f>
        <v>#N/A</v>
      </c>
      <c r="V95" s="14" t="e">
        <f ca="1">ALL!Z74</f>
        <v>#N/A</v>
      </c>
      <c r="W95" s="14" t="e">
        <f ca="1">ALL!AA74</f>
        <v>#N/A</v>
      </c>
      <c r="X95" s="14" t="e">
        <f ca="1">ALL!AB74</f>
        <v>#N/A</v>
      </c>
      <c r="Y95" s="14" t="e">
        <f ca="1">ALL!AC74</f>
        <v>#N/A</v>
      </c>
      <c r="Z95" s="14" t="e">
        <f ca="1">ALL!AD74</f>
        <v>#N/A</v>
      </c>
      <c r="AA95" s="14" t="e">
        <f ca="1">ALL!AE74</f>
        <v>#N/A</v>
      </c>
      <c r="AB95" s="14" t="e">
        <f ca="1">ALL!AF74</f>
        <v>#N/A</v>
      </c>
      <c r="AC95" s="14" t="e">
        <f ca="1">ALL!AG74</f>
        <v>#N/A</v>
      </c>
      <c r="AD95" s="14" t="e">
        <f ca="1">ALL!AH74</f>
        <v>#N/A</v>
      </c>
      <c r="AE95" s="14" t="e">
        <f ca="1">ALL!AI74</f>
        <v>#N/A</v>
      </c>
      <c r="AF95" s="14" t="e">
        <f ca="1">ALL!AJ74</f>
        <v>#N/A</v>
      </c>
      <c r="AG95" s="14" t="e">
        <f ca="1">ALL!AK74</f>
        <v>#N/A</v>
      </c>
      <c r="AH95" s="14" t="e">
        <f ca="1">ALL!AL74</f>
        <v>#N/A</v>
      </c>
      <c r="AI95" s="14">
        <f>ALL!AM74</f>
        <v>0</v>
      </c>
    </row>
    <row r="96" spans="1:35" ht="21.75" hidden="1" outlineLevel="1" thickBot="1" x14ac:dyDescent="0.4">
      <c r="A96" s="36">
        <f>ALL!E75</f>
        <v>1</v>
      </c>
      <c r="B96" s="16">
        <f>ALL!F75</f>
        <v>0</v>
      </c>
      <c r="C96" s="16">
        <f>ALL!G75</f>
        <v>0</v>
      </c>
      <c r="D96" s="16">
        <f>ALL!H75</f>
        <v>0</v>
      </c>
      <c r="E96" s="16">
        <f>ALL!I75</f>
        <v>0</v>
      </c>
      <c r="F96" s="14">
        <f>ALL!J75</f>
        <v>0</v>
      </c>
      <c r="G96" s="14">
        <f>ALL!K75</f>
        <v>0</v>
      </c>
      <c r="H96" s="14">
        <f>ALL!L75</f>
        <v>0</v>
      </c>
      <c r="I96" s="14">
        <f>ALL!M75</f>
        <v>0</v>
      </c>
      <c r="J96" s="14">
        <f>ALL!N75</f>
        <v>0</v>
      </c>
      <c r="K96" s="14">
        <f>ALL!O75</f>
        <v>0</v>
      </c>
      <c r="L96" s="14">
        <f>ALL!P75</f>
        <v>0</v>
      </c>
      <c r="M96" s="14">
        <f>ALL!Q75</f>
        <v>0</v>
      </c>
      <c r="N96" s="14">
        <f>ALL!R75</f>
        <v>0</v>
      </c>
      <c r="O96" s="14">
        <f>ALL!S75</f>
        <v>0</v>
      </c>
      <c r="P96" s="14">
        <f>ALL!T75</f>
        <v>0</v>
      </c>
      <c r="Q96" s="14">
        <f>ALL!U75</f>
        <v>0</v>
      </c>
      <c r="R96" s="14">
        <f>ALL!V75</f>
        <v>0</v>
      </c>
      <c r="S96" s="14">
        <f>ALL!W75</f>
        <v>0</v>
      </c>
      <c r="T96" s="14">
        <f>ALL!X75</f>
        <v>0</v>
      </c>
      <c r="U96" s="14">
        <f>ALL!Y75</f>
        <v>0</v>
      </c>
      <c r="V96" s="14">
        <f>ALL!Z75</f>
        <v>0</v>
      </c>
      <c r="W96" s="14">
        <f>ALL!AA75</f>
        <v>0</v>
      </c>
      <c r="X96" s="14">
        <f>ALL!AB75</f>
        <v>0</v>
      </c>
      <c r="Y96" s="14">
        <f>ALL!AC75</f>
        <v>0</v>
      </c>
      <c r="Z96" s="14">
        <f>ALL!AD75</f>
        <v>0</v>
      </c>
      <c r="AA96" s="14">
        <f>ALL!AE75</f>
        <v>0</v>
      </c>
      <c r="AB96" s="14">
        <f>ALL!AF75</f>
        <v>0</v>
      </c>
      <c r="AC96" s="14">
        <f>ALL!AG75</f>
        <v>0</v>
      </c>
      <c r="AD96" s="14">
        <f>ALL!AH75</f>
        <v>0</v>
      </c>
      <c r="AE96" s="14">
        <f>ALL!AI75</f>
        <v>0</v>
      </c>
      <c r="AF96" s="14">
        <f>ALL!AJ75</f>
        <v>0</v>
      </c>
      <c r="AG96" s="14">
        <f>ALL!AK75</f>
        <v>0</v>
      </c>
      <c r="AH96" s="14">
        <f>ALL!AL75</f>
        <v>0</v>
      </c>
      <c r="AI96" s="14">
        <f>ALL!AM75</f>
        <v>0</v>
      </c>
    </row>
    <row r="97" spans="1:94" ht="21.75" collapsed="1" thickTop="1" x14ac:dyDescent="0.35">
      <c r="A97" s="94" t="s">
        <v>10</v>
      </c>
      <c r="B97" s="95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</row>
    <row r="98" spans="1:94" x14ac:dyDescent="0.35">
      <c r="A98" s="21">
        <f>Values!B1</f>
        <v>700</v>
      </c>
      <c r="B98" s="53">
        <f>MIN(B100:CP154)</f>
        <v>-115.67445544554455</v>
      </c>
    </row>
    <row r="99" spans="1:94" ht="21.75" thickBot="1" x14ac:dyDescent="0.4">
      <c r="A99" s="22">
        <f>A98</f>
        <v>700</v>
      </c>
      <c r="B99" s="54">
        <v>0</v>
      </c>
    </row>
    <row r="100" spans="1:94" ht="22.5" thickTop="1" thickBot="1" x14ac:dyDescent="0.4">
      <c r="A100" s="4" t="s">
        <v>42</v>
      </c>
      <c r="B100" s="4">
        <v>0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  <c r="Z100" s="4">
        <v>0</v>
      </c>
      <c r="AA100" s="4">
        <v>0</v>
      </c>
      <c r="AB100" s="4">
        <v>0</v>
      </c>
      <c r="AC100" s="4">
        <v>0</v>
      </c>
      <c r="AD100" s="4">
        <v>0</v>
      </c>
      <c r="AE100" s="4">
        <v>0</v>
      </c>
      <c r="AF100" s="4">
        <v>0</v>
      </c>
      <c r="AG100" s="4">
        <v>0</v>
      </c>
      <c r="AH100" s="4">
        <v>0</v>
      </c>
      <c r="AI100" s="4">
        <v>554</v>
      </c>
      <c r="AJ100" s="4">
        <v>562</v>
      </c>
      <c r="AK100" s="4">
        <v>570</v>
      </c>
      <c r="AL100" s="4">
        <v>578</v>
      </c>
      <c r="AM100" s="4">
        <v>586</v>
      </c>
      <c r="AN100" s="4">
        <v>594</v>
      </c>
      <c r="AO100" s="4">
        <v>602</v>
      </c>
      <c r="AP100" s="4">
        <v>610</v>
      </c>
      <c r="AQ100" s="4">
        <v>618</v>
      </c>
      <c r="AR100" s="4">
        <v>626</v>
      </c>
      <c r="AS100" s="4">
        <v>634</v>
      </c>
      <c r="AT100" s="4">
        <v>642</v>
      </c>
      <c r="AU100" s="4">
        <v>650</v>
      </c>
      <c r="AV100" s="4">
        <v>658</v>
      </c>
      <c r="AW100" s="4">
        <v>666</v>
      </c>
      <c r="AX100" s="4">
        <v>674</v>
      </c>
      <c r="AY100" s="4">
        <v>682</v>
      </c>
      <c r="AZ100" s="4">
        <v>690</v>
      </c>
      <c r="BA100" s="4">
        <v>698</v>
      </c>
      <c r="BB100" s="4">
        <v>706</v>
      </c>
      <c r="BC100" s="4">
        <v>714</v>
      </c>
      <c r="BD100" s="4">
        <v>722</v>
      </c>
      <c r="BE100" s="4">
        <v>730</v>
      </c>
      <c r="BF100" s="4">
        <v>738</v>
      </c>
      <c r="BG100" s="4">
        <v>746</v>
      </c>
      <c r="BH100" s="4">
        <v>754</v>
      </c>
      <c r="BI100" s="4">
        <v>762</v>
      </c>
      <c r="BJ100" s="4">
        <v>770</v>
      </c>
      <c r="BK100" s="4">
        <v>778</v>
      </c>
      <c r="BL100" s="4">
        <v>786</v>
      </c>
      <c r="BM100" s="4">
        <v>794</v>
      </c>
      <c r="BN100" s="4">
        <v>802</v>
      </c>
      <c r="BO100" s="4">
        <v>810</v>
      </c>
      <c r="BP100" s="4">
        <v>818</v>
      </c>
      <c r="BQ100" s="4">
        <v>826</v>
      </c>
      <c r="BR100" s="4">
        <v>834</v>
      </c>
      <c r="BS100" s="4">
        <v>842</v>
      </c>
      <c r="BT100" s="4">
        <v>850</v>
      </c>
      <c r="BU100" s="4">
        <v>858</v>
      </c>
      <c r="BV100" s="4">
        <v>866</v>
      </c>
      <c r="BW100" s="4">
        <v>874</v>
      </c>
      <c r="BX100" s="4">
        <v>882</v>
      </c>
      <c r="BY100" s="4">
        <v>890</v>
      </c>
      <c r="BZ100" s="4">
        <v>898</v>
      </c>
      <c r="CA100" s="4">
        <v>906</v>
      </c>
      <c r="CB100" s="4">
        <v>914</v>
      </c>
      <c r="CC100" s="4">
        <v>938</v>
      </c>
      <c r="CD100" s="4">
        <v>946</v>
      </c>
      <c r="CE100" s="4">
        <v>954</v>
      </c>
      <c r="CF100" s="4">
        <v>962</v>
      </c>
      <c r="CG100" s="4">
        <v>970</v>
      </c>
      <c r="CH100" s="4">
        <v>978</v>
      </c>
      <c r="CI100" s="4">
        <v>986</v>
      </c>
      <c r="CJ100" s="4">
        <v>994</v>
      </c>
      <c r="CK100" s="4"/>
      <c r="CL100" s="4"/>
      <c r="CM100" s="4"/>
      <c r="CN100" s="4"/>
      <c r="CO100" s="4"/>
      <c r="CP100" s="4"/>
    </row>
    <row r="101" spans="1:94" ht="22.5" thickTop="1" thickBot="1" x14ac:dyDescent="0.4">
      <c r="A101" s="48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>
        <v>-4.1955445544554459</v>
      </c>
      <c r="AJ101" s="55">
        <v>-4.2150396039603963</v>
      </c>
      <c r="AK101" s="55">
        <v>-4.2344455445544549</v>
      </c>
      <c r="AL101" s="55">
        <v>-4.2539504950495051</v>
      </c>
      <c r="AM101" s="55">
        <v>-4.2737524752475249</v>
      </c>
      <c r="AN101" s="55">
        <v>-4.2935544554455447</v>
      </c>
      <c r="AO101" s="55">
        <v>-4.3133564356435645</v>
      </c>
      <c r="AP101" s="55">
        <v>-4.3331584158415843</v>
      </c>
      <c r="AQ101" s="55">
        <v>-4.3529603960396042</v>
      </c>
      <c r="AR101" s="55">
        <v>-4.372762376237624</v>
      </c>
      <c r="AS101" s="55">
        <v>-4.3925643564356438</v>
      </c>
      <c r="AT101" s="55">
        <v>-4.4123663366336636</v>
      </c>
      <c r="AU101" s="55">
        <v>-4.4321683168316834</v>
      </c>
      <c r="AV101" s="55">
        <v>-4.4519702970297024</v>
      </c>
      <c r="AW101" s="55">
        <v>-4.4717722772277222</v>
      </c>
      <c r="AX101" s="55">
        <v>-4.491574257425742</v>
      </c>
      <c r="AY101" s="55">
        <v>-4.5114378109452735</v>
      </c>
      <c r="AZ101" s="55">
        <v>-4.5313383084577117</v>
      </c>
      <c r="BA101" s="55">
        <v>-4.5511831683168316</v>
      </c>
      <c r="BB101" s="55">
        <v>-4.570589108910891</v>
      </c>
      <c r="BC101" s="55">
        <v>-4.5899950495049504</v>
      </c>
      <c r="BD101" s="55">
        <v>-4.6094009900990098</v>
      </c>
      <c r="BE101" s="55">
        <v>-4.6288069306930693</v>
      </c>
      <c r="BF101" s="55">
        <v>-4.6482128712871287</v>
      </c>
      <c r="BG101" s="55">
        <v>-4.6676188118811881</v>
      </c>
      <c r="BH101" s="55">
        <v>-4.6870247524752475</v>
      </c>
      <c r="BI101" s="55">
        <v>-4.706217821782178</v>
      </c>
      <c r="BJ101" s="55">
        <v>-4.725227722772277</v>
      </c>
      <c r="BK101" s="55">
        <v>-4.744237623762376</v>
      </c>
      <c r="BL101" s="55">
        <v>-4.763247524752475</v>
      </c>
      <c r="BM101" s="55">
        <v>-4.7822574257425741</v>
      </c>
      <c r="BN101" s="55">
        <v>-4.8012673267326731</v>
      </c>
      <c r="BO101" s="55">
        <v>-4.8202772277227721</v>
      </c>
      <c r="BP101" s="55">
        <v>-4.8392871287128711</v>
      </c>
      <c r="BQ101" s="55">
        <v>-4.8579158415841581</v>
      </c>
      <c r="BR101" s="55">
        <v>-4.8765297029702968</v>
      </c>
      <c r="BS101" s="55">
        <v>-4.8949801734820317</v>
      </c>
      <c r="BT101" s="55">
        <v>-4.913220570012391</v>
      </c>
      <c r="BU101" s="55">
        <v>-4.9314609665427502</v>
      </c>
      <c r="BV101" s="55">
        <v>-4.9497013630731095</v>
      </c>
      <c r="BW101" s="55">
        <v>-4.9679417596034696</v>
      </c>
      <c r="BX101" s="55">
        <v>-4.9861821561338289</v>
      </c>
      <c r="BY101" s="55">
        <v>-5.0044225526641881</v>
      </c>
      <c r="BZ101" s="55">
        <v>-5.0226629491945474</v>
      </c>
      <c r="CA101" s="55">
        <v>-5.0409033457249066</v>
      </c>
      <c r="CB101" s="55">
        <v>-5.0591437422552659</v>
      </c>
      <c r="CC101" s="55">
        <v>-5.1124158415841583</v>
      </c>
      <c r="CD101" s="55">
        <v>-5.1300396039603955</v>
      </c>
      <c r="CE101" s="55">
        <v>-5.1476633663366336</v>
      </c>
      <c r="CF101" s="55">
        <v>-5.1652871287128708</v>
      </c>
      <c r="CG101" s="55">
        <v>-5.1829108910891089</v>
      </c>
      <c r="CH101" s="55">
        <v>-5.200534653465346</v>
      </c>
      <c r="CI101" s="55">
        <v>-5.2181584158415841</v>
      </c>
      <c r="CJ101" s="55">
        <v>-5.2357821782178213</v>
      </c>
      <c r="CK101" s="55"/>
      <c r="CL101" s="55"/>
      <c r="CM101" s="55"/>
      <c r="CN101" s="55"/>
      <c r="CO101" s="55"/>
      <c r="CP101" s="55"/>
    </row>
    <row r="102" spans="1:94" ht="21.75" thickBot="1" x14ac:dyDescent="0.4">
      <c r="A102" s="48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>
        <v>-26.958811881188119</v>
      </c>
      <c r="AJ102" s="55">
        <v>-27.094049504950494</v>
      </c>
      <c r="AK102" s="55">
        <v>-27.228306930693066</v>
      </c>
      <c r="AL102" s="55">
        <v>-27.36266336633663</v>
      </c>
      <c r="AM102" s="55">
        <v>-27.497316831683168</v>
      </c>
      <c r="AN102" s="55">
        <v>-27.631970297029703</v>
      </c>
      <c r="AO102" s="55">
        <v>-27.765188118811881</v>
      </c>
      <c r="AP102" s="55">
        <v>-27.897861386138615</v>
      </c>
      <c r="AQ102" s="55">
        <v>-28.030534653465345</v>
      </c>
      <c r="AR102" s="55">
        <v>-28.163207920792079</v>
      </c>
      <c r="AS102" s="55">
        <v>-28.295881188118813</v>
      </c>
      <c r="AT102" s="55">
        <v>-28.428554455445546</v>
      </c>
      <c r="AU102" s="55">
        <v>-28.561227722772276</v>
      </c>
      <c r="AV102" s="55">
        <v>-28.69390099009901</v>
      </c>
      <c r="AW102" s="55">
        <v>-28.826574257425744</v>
      </c>
      <c r="AX102" s="55">
        <v>-28.959247524752477</v>
      </c>
      <c r="AY102" s="55">
        <v>-29.091089552238806</v>
      </c>
      <c r="AZ102" s="55">
        <v>-29.222432835820893</v>
      </c>
      <c r="BA102" s="55">
        <v>-29.353212871287127</v>
      </c>
      <c r="BB102" s="55">
        <v>-29.479549504950494</v>
      </c>
      <c r="BC102" s="55">
        <v>-29.605886138613858</v>
      </c>
      <c r="BD102" s="55">
        <v>-29.732222772277225</v>
      </c>
      <c r="BE102" s="55">
        <v>-29.858559405940593</v>
      </c>
      <c r="BF102" s="55">
        <v>-29.984896039603957</v>
      </c>
      <c r="BG102" s="55">
        <v>-30.111232673267324</v>
      </c>
      <c r="BH102" s="55">
        <v>-30.237569306930691</v>
      </c>
      <c r="BI102" s="55">
        <v>-30.36369306930693</v>
      </c>
      <c r="BJ102" s="55">
        <v>-30.489633663366337</v>
      </c>
      <c r="BK102" s="55">
        <v>-30.615524752475249</v>
      </c>
      <c r="BL102" s="55">
        <v>-30.737504950495047</v>
      </c>
      <c r="BM102" s="55">
        <v>-30.85948514851485</v>
      </c>
      <c r="BN102" s="55">
        <v>-30.981465346534652</v>
      </c>
      <c r="BO102" s="55">
        <v>-31.103445544554454</v>
      </c>
      <c r="BP102" s="55">
        <v>-31.225425742574259</v>
      </c>
      <c r="BQ102" s="55">
        <v>-31.347024752475249</v>
      </c>
      <c r="BR102" s="55">
        <v>-31.468608910891088</v>
      </c>
      <c r="BS102" s="55">
        <v>-31.588350681536554</v>
      </c>
      <c r="BT102" s="55">
        <v>-31.705723667905822</v>
      </c>
      <c r="BU102" s="55">
        <v>-31.823096654275091</v>
      </c>
      <c r="BV102" s="55">
        <v>-31.940469640644359</v>
      </c>
      <c r="BW102" s="55">
        <v>-32.057842627013628</v>
      </c>
      <c r="BX102" s="55">
        <v>-32.175215613382896</v>
      </c>
      <c r="BY102" s="55">
        <v>-32.292588599752165</v>
      </c>
      <c r="BZ102" s="55">
        <v>-32.409961586121433</v>
      </c>
      <c r="CA102" s="55">
        <v>-32.527334572490702</v>
      </c>
      <c r="CB102" s="55">
        <v>-32.64470755885997</v>
      </c>
      <c r="CC102" s="55">
        <v>-32.988108910891086</v>
      </c>
      <c r="CD102" s="55">
        <v>-33.101772277227717</v>
      </c>
      <c r="CE102" s="55">
        <v>-33.215435643564355</v>
      </c>
      <c r="CF102" s="55">
        <v>-33.329099009900986</v>
      </c>
      <c r="CG102" s="55">
        <v>-33.442762376237624</v>
      </c>
      <c r="CH102" s="55">
        <v>-33.556425742574255</v>
      </c>
      <c r="CI102" s="55">
        <v>-33.670089108910894</v>
      </c>
      <c r="CJ102" s="55">
        <v>-33.783752475247525</v>
      </c>
      <c r="CK102" s="55"/>
      <c r="CL102" s="55"/>
      <c r="CM102" s="55"/>
      <c r="CN102" s="55"/>
      <c r="CO102" s="55"/>
      <c r="CP102" s="55"/>
    </row>
    <row r="103" spans="1:94" ht="21.75" thickBot="1" x14ac:dyDescent="0.4">
      <c r="A103" s="48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>
        <v>-23.087326732673262</v>
      </c>
      <c r="AJ103" s="55">
        <v>-22.336039603960394</v>
      </c>
      <c r="AK103" s="55">
        <v>-21.595445544554455</v>
      </c>
      <c r="AL103" s="55">
        <v>-20.865742574257425</v>
      </c>
      <c r="AM103" s="55">
        <v>-20.168712871287131</v>
      </c>
      <c r="AN103" s="55">
        <v>-19.471683168316837</v>
      </c>
      <c r="AO103" s="55">
        <v>-18.839257425742577</v>
      </c>
      <c r="AP103" s="55">
        <v>-18.231336633663371</v>
      </c>
      <c r="AQ103" s="55">
        <v>-17.623415841584162</v>
      </c>
      <c r="AR103" s="55">
        <v>-17.015495049504953</v>
      </c>
      <c r="AS103" s="55">
        <v>-16.407574257425743</v>
      </c>
      <c r="AT103" s="55">
        <v>-15.799653465346537</v>
      </c>
      <c r="AU103" s="55">
        <v>-15.191732673267328</v>
      </c>
      <c r="AV103" s="55">
        <v>-14.583811881188119</v>
      </c>
      <c r="AW103" s="55">
        <v>-13.975891089108913</v>
      </c>
      <c r="AX103" s="55">
        <v>-13.367970297029704</v>
      </c>
      <c r="AY103" s="55">
        <v>-12.806666666666668</v>
      </c>
      <c r="AZ103" s="55">
        <v>-12.273333333333335</v>
      </c>
      <c r="BA103" s="55">
        <v>-11.742970297029705</v>
      </c>
      <c r="BB103" s="55">
        <v>-11.236039603960396</v>
      </c>
      <c r="BC103" s="55">
        <v>-10.729108910891087</v>
      </c>
      <c r="BD103" s="55">
        <v>-10.234742574257423</v>
      </c>
      <c r="BE103" s="55">
        <v>-9.7491980198019785</v>
      </c>
      <c r="BF103" s="55">
        <v>-9.2752623762376238</v>
      </c>
      <c r="BG103" s="55">
        <v>-8.9754603960396047</v>
      </c>
      <c r="BH103" s="55">
        <v>-8.6756584158415855</v>
      </c>
      <c r="BI103" s="55">
        <v>-8.4284356435643577</v>
      </c>
      <c r="BJ103" s="55">
        <v>-8.2264554455445538</v>
      </c>
      <c r="BK103" s="55">
        <v>-8.0249702970297019</v>
      </c>
      <c r="BL103" s="55">
        <v>-7.8625940594059402</v>
      </c>
      <c r="BM103" s="55">
        <v>-7.7002178217821786</v>
      </c>
      <c r="BN103" s="55">
        <v>-7.635920792079208</v>
      </c>
      <c r="BO103" s="55">
        <v>-7.6747326732673269</v>
      </c>
      <c r="BP103" s="55">
        <v>-7.7135445544554457</v>
      </c>
      <c r="BQ103" s="55">
        <v>-7.7531188118811887</v>
      </c>
      <c r="BR103" s="55">
        <v>-7.7927227722772283</v>
      </c>
      <c r="BS103" s="55">
        <v>-7.8332589838909543</v>
      </c>
      <c r="BT103" s="55">
        <v>-7.8749938042131351</v>
      </c>
      <c r="BU103" s="55">
        <v>-7.9167286245353168</v>
      </c>
      <c r="BV103" s="55">
        <v>-7.9584634448574976</v>
      </c>
      <c r="BW103" s="55">
        <v>-8.0001982651796784</v>
      </c>
      <c r="BX103" s="55">
        <v>-8.04193308550186</v>
      </c>
      <c r="BY103" s="55">
        <v>-8.0836679058240399</v>
      </c>
      <c r="BZ103" s="55">
        <v>-8.1254027261462216</v>
      </c>
      <c r="CA103" s="55">
        <v>-8.1671375464684015</v>
      </c>
      <c r="CB103" s="55">
        <v>-8.2088723667905832</v>
      </c>
      <c r="CC103" s="55">
        <v>-8.3497772277227718</v>
      </c>
      <c r="CD103" s="55">
        <v>-8.3981930693069309</v>
      </c>
      <c r="CE103" s="55">
        <v>-8.44660891089109</v>
      </c>
      <c r="CF103" s="55">
        <v>-8.4950247524752474</v>
      </c>
      <c r="CG103" s="55">
        <v>-8.5434405940594065</v>
      </c>
      <c r="CH103" s="55">
        <v>-8.5918564356435638</v>
      </c>
      <c r="CI103" s="55">
        <v>-8.640272277227723</v>
      </c>
      <c r="CJ103" s="55">
        <v>-8.6886881188118803</v>
      </c>
      <c r="CK103" s="55"/>
      <c r="CL103" s="55"/>
      <c r="CM103" s="55"/>
      <c r="CN103" s="55"/>
      <c r="CO103" s="55"/>
      <c r="CP103" s="55"/>
    </row>
    <row r="104" spans="1:94" ht="21.75" thickBot="1" x14ac:dyDescent="0.4">
      <c r="A104" s="48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>
        <v>-68.937920792079197</v>
      </c>
      <c r="AJ104" s="55">
        <v>-67.551089108910887</v>
      </c>
      <c r="AK104" s="55">
        <v>-66.184752475247521</v>
      </c>
      <c r="AL104" s="55">
        <v>-64.840198019801974</v>
      </c>
      <c r="AM104" s="55">
        <v>-63.560990099009906</v>
      </c>
      <c r="AN104" s="55">
        <v>-62.281782178217831</v>
      </c>
      <c r="AO104" s="55">
        <v>-61.130346534653476</v>
      </c>
      <c r="AP104" s="55">
        <v>-60.027376237623777</v>
      </c>
      <c r="AQ104" s="55">
        <v>-58.92440594059407</v>
      </c>
      <c r="AR104" s="55">
        <v>-57.821435643564364</v>
      </c>
      <c r="AS104" s="55">
        <v>-56.718465346534664</v>
      </c>
      <c r="AT104" s="55">
        <v>-55.615495049504958</v>
      </c>
      <c r="AU104" s="55">
        <v>-54.512524752475258</v>
      </c>
      <c r="AV104" s="55">
        <v>-53.409554455445551</v>
      </c>
      <c r="AW104" s="55">
        <v>-52.306584158415845</v>
      </c>
      <c r="AX104" s="55">
        <v>-51.203613861386145</v>
      </c>
      <c r="AY104" s="55">
        <v>-50.192985074626868</v>
      </c>
      <c r="AZ104" s="55">
        <v>-49.237761194029858</v>
      </c>
      <c r="BA104" s="55">
        <v>-48.287970297029709</v>
      </c>
      <c r="BB104" s="55">
        <v>-47.381039603960396</v>
      </c>
      <c r="BC104" s="55">
        <v>-46.474108910891083</v>
      </c>
      <c r="BD104" s="55">
        <v>-45.592306930693063</v>
      </c>
      <c r="BE104" s="55">
        <v>-44.728148514851483</v>
      </c>
      <c r="BF104" s="55">
        <v>-43.887207920792079</v>
      </c>
      <c r="BG104" s="55">
        <v>-43.39453465346535</v>
      </c>
      <c r="BH104" s="55">
        <v>-42.90186138613862</v>
      </c>
      <c r="BI104" s="55">
        <v>-42.51434653465347</v>
      </c>
      <c r="BJ104" s="55">
        <v>-42.217316831683171</v>
      </c>
      <c r="BK104" s="55">
        <v>-41.921227722772279</v>
      </c>
      <c r="BL104" s="55">
        <v>-41.699445544554457</v>
      </c>
      <c r="BM104" s="55">
        <v>-41.477663366336628</v>
      </c>
      <c r="BN104" s="55">
        <v>-41.452039603960394</v>
      </c>
      <c r="BO104" s="55">
        <v>-41.632633663366335</v>
      </c>
      <c r="BP104" s="55">
        <v>-41.813227722772275</v>
      </c>
      <c r="BQ104" s="55">
        <v>-41.995346534653464</v>
      </c>
      <c r="BR104" s="55">
        <v>-42.17752475247525</v>
      </c>
      <c r="BS104" s="55">
        <v>-42.359888475836435</v>
      </c>
      <c r="BT104" s="55">
        <v>-42.542490706319704</v>
      </c>
      <c r="BU104" s="55">
        <v>-42.725092936802973</v>
      </c>
      <c r="BV104" s="55">
        <v>-42.907695167286249</v>
      </c>
      <c r="BW104" s="55">
        <v>-43.090297397769518</v>
      </c>
      <c r="BX104" s="55">
        <v>-43.272899628252787</v>
      </c>
      <c r="BY104" s="55">
        <v>-43.455501858736056</v>
      </c>
      <c r="BZ104" s="55">
        <v>-43.638104089219333</v>
      </c>
      <c r="CA104" s="55">
        <v>-43.820706319702602</v>
      </c>
      <c r="CB104" s="55">
        <v>-44.003308550185871</v>
      </c>
      <c r="CC104" s="55">
        <v>-44.575247524752477</v>
      </c>
      <c r="CD104" s="55">
        <v>-44.768118811881187</v>
      </c>
      <c r="CE104" s="55">
        <v>-44.960990099009898</v>
      </c>
      <c r="CF104" s="55">
        <v>-45.153861386138615</v>
      </c>
      <c r="CG104" s="55">
        <v>-45.346732673267326</v>
      </c>
      <c r="CH104" s="55">
        <v>-45.539603960396036</v>
      </c>
      <c r="CI104" s="55">
        <v>-45.732475247524754</v>
      </c>
      <c r="CJ104" s="55">
        <v>-45.925346534653464</v>
      </c>
      <c r="CK104" s="55"/>
      <c r="CL104" s="55"/>
      <c r="CM104" s="55"/>
      <c r="CN104" s="55"/>
      <c r="CO104" s="55"/>
      <c r="CP104" s="55"/>
    </row>
    <row r="105" spans="1:94" ht="21.75" thickBot="1" x14ac:dyDescent="0.4">
      <c r="A105" s="48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>
        <v>-4.1955445544554459</v>
      </c>
      <c r="AJ105" s="55">
        <v>-4.2150396039603963</v>
      </c>
      <c r="AK105" s="55">
        <v>-4.2344455445544549</v>
      </c>
      <c r="AL105" s="55">
        <v>-4.2539504950495051</v>
      </c>
      <c r="AM105" s="55">
        <v>-4.2737524752475249</v>
      </c>
      <c r="AN105" s="55">
        <v>-4.2935544554455447</v>
      </c>
      <c r="AO105" s="55">
        <v>-4.3133564356435645</v>
      </c>
      <c r="AP105" s="55">
        <v>-4.3331584158415843</v>
      </c>
      <c r="AQ105" s="55">
        <v>-4.3529603960396042</v>
      </c>
      <c r="AR105" s="55">
        <v>-4.372762376237624</v>
      </c>
      <c r="AS105" s="55">
        <v>-4.3925643564356438</v>
      </c>
      <c r="AT105" s="55">
        <v>-4.4123663366336636</v>
      </c>
      <c r="AU105" s="55">
        <v>-4.4321683168316834</v>
      </c>
      <c r="AV105" s="55">
        <v>-4.4519702970297024</v>
      </c>
      <c r="AW105" s="55">
        <v>-4.4717722772277222</v>
      </c>
      <c r="AX105" s="55">
        <v>-4.491574257425742</v>
      </c>
      <c r="AY105" s="55">
        <v>-4.5114378109452735</v>
      </c>
      <c r="AZ105" s="55">
        <v>-4.5313383084577117</v>
      </c>
      <c r="BA105" s="55">
        <v>-4.5511831683168316</v>
      </c>
      <c r="BB105" s="55">
        <v>-4.570589108910891</v>
      </c>
      <c r="BC105" s="55">
        <v>-4.5899950495049504</v>
      </c>
      <c r="BD105" s="55">
        <v>-4.6094009900990098</v>
      </c>
      <c r="BE105" s="55">
        <v>-4.6288069306930693</v>
      </c>
      <c r="BF105" s="55">
        <v>-4.6482128712871287</v>
      </c>
      <c r="BG105" s="55">
        <v>-4.6676188118811881</v>
      </c>
      <c r="BH105" s="55">
        <v>-4.6870247524752475</v>
      </c>
      <c r="BI105" s="55">
        <v>-4.706217821782178</v>
      </c>
      <c r="BJ105" s="55">
        <v>-4.725227722772277</v>
      </c>
      <c r="BK105" s="55">
        <v>-4.744237623762376</v>
      </c>
      <c r="BL105" s="55">
        <v>-4.763247524752475</v>
      </c>
      <c r="BM105" s="55">
        <v>-4.7822574257425741</v>
      </c>
      <c r="BN105" s="55">
        <v>-4.8012673267326731</v>
      </c>
      <c r="BO105" s="55">
        <v>-4.8202772277227721</v>
      </c>
      <c r="BP105" s="55">
        <v>-4.8392871287128711</v>
      </c>
      <c r="BQ105" s="55">
        <v>-4.8579158415841581</v>
      </c>
      <c r="BR105" s="55">
        <v>-4.8765297029702968</v>
      </c>
      <c r="BS105" s="55">
        <v>-4.8949801734820317</v>
      </c>
      <c r="BT105" s="55">
        <v>-4.913220570012391</v>
      </c>
      <c r="BU105" s="55">
        <v>-4.9314609665427502</v>
      </c>
      <c r="BV105" s="55">
        <v>-4.9497013630731095</v>
      </c>
      <c r="BW105" s="55">
        <v>-4.9679417596034696</v>
      </c>
      <c r="BX105" s="55">
        <v>-4.9861821561338289</v>
      </c>
      <c r="BY105" s="55">
        <v>-5.0044225526641881</v>
      </c>
      <c r="BZ105" s="55">
        <v>-5.0226629491945474</v>
      </c>
      <c r="CA105" s="55">
        <v>-5.0409033457249066</v>
      </c>
      <c r="CB105" s="55">
        <v>-5.0591437422552659</v>
      </c>
      <c r="CC105" s="55">
        <v>-5.1124158415841583</v>
      </c>
      <c r="CD105" s="55">
        <v>-5.1300396039603955</v>
      </c>
      <c r="CE105" s="55">
        <v>-5.1476633663366336</v>
      </c>
      <c r="CF105" s="55">
        <v>-5.1652871287128708</v>
      </c>
      <c r="CG105" s="55">
        <v>-5.1829108910891089</v>
      </c>
      <c r="CH105" s="55">
        <v>-5.200534653465346</v>
      </c>
      <c r="CI105" s="55">
        <v>-5.2181584158415841</v>
      </c>
      <c r="CJ105" s="55">
        <v>-5.2357821782178213</v>
      </c>
      <c r="CK105" s="55"/>
      <c r="CL105" s="55"/>
      <c r="CM105" s="55"/>
      <c r="CN105" s="55"/>
      <c r="CO105" s="55"/>
      <c r="CP105" s="55"/>
    </row>
    <row r="106" spans="1:94" ht="21.75" thickBot="1" x14ac:dyDescent="0.4">
      <c r="A106" s="48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>
        <v>-22.763267326732674</v>
      </c>
      <c r="AJ106" s="55">
        <v>-22.879009900990098</v>
      </c>
      <c r="AK106" s="55">
        <v>-22.993861386138612</v>
      </c>
      <c r="AL106" s="55">
        <v>-23.108712871287128</v>
      </c>
      <c r="AM106" s="55">
        <v>-23.223564356435642</v>
      </c>
      <c r="AN106" s="55">
        <v>-23.338415841584158</v>
      </c>
      <c r="AO106" s="55">
        <v>-23.451831683168319</v>
      </c>
      <c r="AP106" s="55">
        <v>-23.564702970297031</v>
      </c>
      <c r="AQ106" s="55">
        <v>-23.677574257425743</v>
      </c>
      <c r="AR106" s="55">
        <v>-23.790445544554455</v>
      </c>
      <c r="AS106" s="55">
        <v>-23.903316831683171</v>
      </c>
      <c r="AT106" s="55">
        <v>-24.016188118811883</v>
      </c>
      <c r="AU106" s="55">
        <v>-24.129059405940595</v>
      </c>
      <c r="AV106" s="55">
        <v>-24.241930693069307</v>
      </c>
      <c r="AW106" s="55">
        <v>-24.354801980198022</v>
      </c>
      <c r="AX106" s="55">
        <v>-24.467673267326735</v>
      </c>
      <c r="AY106" s="55">
        <v>-24.579651741293532</v>
      </c>
      <c r="AZ106" s="55">
        <v>-24.691094527363184</v>
      </c>
      <c r="BA106" s="55">
        <v>-24.802029702970295</v>
      </c>
      <c r="BB106" s="55">
        <v>-24.908960396039603</v>
      </c>
      <c r="BC106" s="55">
        <v>-25.015891089108909</v>
      </c>
      <c r="BD106" s="55">
        <v>-25.122821782178217</v>
      </c>
      <c r="BE106" s="55">
        <v>-25.229752475247523</v>
      </c>
      <c r="BF106" s="55">
        <v>-25.336683168316831</v>
      </c>
      <c r="BG106" s="55">
        <v>-25.443613861386137</v>
      </c>
      <c r="BH106" s="55">
        <v>-25.550544554455445</v>
      </c>
      <c r="BI106" s="55">
        <v>-25.657475247524754</v>
      </c>
      <c r="BJ106" s="55">
        <v>-25.76440594059406</v>
      </c>
      <c r="BK106" s="55">
        <v>-25.871287128712872</v>
      </c>
      <c r="BL106" s="55">
        <v>-25.974257425742575</v>
      </c>
      <c r="BM106" s="55">
        <v>-26.077227722772278</v>
      </c>
      <c r="BN106" s="55">
        <v>-26.180198019801978</v>
      </c>
      <c r="BO106" s="55">
        <v>-26.283168316831684</v>
      </c>
      <c r="BP106" s="55">
        <v>-26.386138613861387</v>
      </c>
      <c r="BQ106" s="55">
        <v>-26.48910891089109</v>
      </c>
      <c r="BR106" s="55">
        <v>-26.59207920792079</v>
      </c>
      <c r="BS106" s="55">
        <v>-26.693370508054521</v>
      </c>
      <c r="BT106" s="55">
        <v>-26.79250309789343</v>
      </c>
      <c r="BU106" s="55">
        <v>-26.891635687732339</v>
      </c>
      <c r="BV106" s="55">
        <v>-26.990768277571249</v>
      </c>
      <c r="BW106" s="55">
        <v>-27.089900867410158</v>
      </c>
      <c r="BX106" s="55">
        <v>-27.189033457249067</v>
      </c>
      <c r="BY106" s="55">
        <v>-27.28816604708798</v>
      </c>
      <c r="BZ106" s="55">
        <v>-27.387298636926889</v>
      </c>
      <c r="CA106" s="55">
        <v>-27.486431226765799</v>
      </c>
      <c r="CB106" s="55">
        <v>-27.585563816604708</v>
      </c>
      <c r="CC106" s="55">
        <v>-27.87569306930693</v>
      </c>
      <c r="CD106" s="55">
        <v>-27.971732673267326</v>
      </c>
      <c r="CE106" s="55">
        <v>-28.067772277227721</v>
      </c>
      <c r="CF106" s="55">
        <v>-28.163811881188117</v>
      </c>
      <c r="CG106" s="55">
        <v>-28.259851485148516</v>
      </c>
      <c r="CH106" s="55">
        <v>-28.355891089108912</v>
      </c>
      <c r="CI106" s="55">
        <v>-28.451930693069308</v>
      </c>
      <c r="CJ106" s="55">
        <v>-28.547970297029703</v>
      </c>
      <c r="CK106" s="55"/>
      <c r="CL106" s="55"/>
      <c r="CM106" s="55"/>
      <c r="CN106" s="55"/>
      <c r="CO106" s="55"/>
      <c r="CP106" s="55"/>
    </row>
    <row r="107" spans="1:94" ht="21.75" thickBot="1" x14ac:dyDescent="0.4">
      <c r="A107" s="48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>
        <v>-49.722079207920792</v>
      </c>
      <c r="AJ107" s="55">
        <v>-49.973059405940596</v>
      </c>
      <c r="AK107" s="55">
        <v>-50.222168316831684</v>
      </c>
      <c r="AL107" s="55">
        <v>-50.471376237623758</v>
      </c>
      <c r="AM107" s="55">
        <v>-50.72088118811881</v>
      </c>
      <c r="AN107" s="55">
        <v>-50.970386138613861</v>
      </c>
      <c r="AO107" s="55">
        <v>-51.2170198019802</v>
      </c>
      <c r="AP107" s="55">
        <v>-51.462564356435642</v>
      </c>
      <c r="AQ107" s="55">
        <v>-51.708108910891092</v>
      </c>
      <c r="AR107" s="55">
        <v>-51.953653465346534</v>
      </c>
      <c r="AS107" s="55">
        <v>-52.199198019801983</v>
      </c>
      <c r="AT107" s="55">
        <v>-52.444742574257432</v>
      </c>
      <c r="AU107" s="55">
        <v>-52.690287128712875</v>
      </c>
      <c r="AV107" s="55">
        <v>-52.935831683168324</v>
      </c>
      <c r="AW107" s="55">
        <v>-53.181376237623766</v>
      </c>
      <c r="AX107" s="55">
        <v>-53.426920792079216</v>
      </c>
      <c r="AY107" s="55">
        <v>-53.670741293532345</v>
      </c>
      <c r="AZ107" s="55">
        <v>-53.91352736318408</v>
      </c>
      <c r="BA107" s="55">
        <v>-54.155242574257421</v>
      </c>
      <c r="BB107" s="55">
        <v>-54.388509900990094</v>
      </c>
      <c r="BC107" s="55">
        <v>-54.621777227722767</v>
      </c>
      <c r="BD107" s="55">
        <v>-54.855044554455439</v>
      </c>
      <c r="BE107" s="55">
        <v>-55.088311881188112</v>
      </c>
      <c r="BF107" s="55">
        <v>-55.321579207920784</v>
      </c>
      <c r="BG107" s="55">
        <v>-55.554846534653464</v>
      </c>
      <c r="BH107" s="55">
        <v>-55.788113861386137</v>
      </c>
      <c r="BI107" s="55">
        <v>-56.021168316831684</v>
      </c>
      <c r="BJ107" s="55">
        <v>-56.2540396039604</v>
      </c>
      <c r="BK107" s="55">
        <v>-56.486811881188125</v>
      </c>
      <c r="BL107" s="55">
        <v>-56.711762376237623</v>
      </c>
      <c r="BM107" s="55">
        <v>-56.936712871287128</v>
      </c>
      <c r="BN107" s="55">
        <v>-57.161663366336633</v>
      </c>
      <c r="BO107" s="55">
        <v>-57.386613861386138</v>
      </c>
      <c r="BP107" s="55">
        <v>-57.61156435643565</v>
      </c>
      <c r="BQ107" s="55">
        <v>-57.83613366336634</v>
      </c>
      <c r="BR107" s="55">
        <v>-58.060688118811882</v>
      </c>
      <c r="BS107" s="55">
        <v>-58.281721189591075</v>
      </c>
      <c r="BT107" s="55">
        <v>-58.498226765799252</v>
      </c>
      <c r="BU107" s="55">
        <v>-58.71473234200743</v>
      </c>
      <c r="BV107" s="55">
        <v>-58.931237918215608</v>
      </c>
      <c r="BW107" s="55">
        <v>-59.147743494423786</v>
      </c>
      <c r="BX107" s="55">
        <v>-59.364249070631963</v>
      </c>
      <c r="BY107" s="55">
        <v>-59.580754646840141</v>
      </c>
      <c r="BZ107" s="55">
        <v>-59.797260223048319</v>
      </c>
      <c r="CA107" s="55">
        <v>-60.013765799256497</v>
      </c>
      <c r="CB107" s="55">
        <v>-60.230271375464682</v>
      </c>
      <c r="CC107" s="55">
        <v>-60.863801980198019</v>
      </c>
      <c r="CD107" s="55">
        <v>-61.07350495049505</v>
      </c>
      <c r="CE107" s="55">
        <v>-61.28320792079208</v>
      </c>
      <c r="CF107" s="55">
        <v>-61.49291089108911</v>
      </c>
      <c r="CG107" s="55">
        <v>-61.702613861386141</v>
      </c>
      <c r="CH107" s="55">
        <v>-61.912316831683171</v>
      </c>
      <c r="CI107" s="55">
        <v>-62.122019801980201</v>
      </c>
      <c r="CJ107" s="55">
        <v>-62.331722772277232</v>
      </c>
      <c r="CK107" s="55"/>
      <c r="CL107" s="55"/>
      <c r="CM107" s="55"/>
      <c r="CN107" s="55"/>
      <c r="CO107" s="55"/>
      <c r="CP107" s="55"/>
    </row>
    <row r="108" spans="1:94" ht="21.75" thickBot="1" x14ac:dyDescent="0.4">
      <c r="A108" s="48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>
        <v>-114.46445544554454</v>
      </c>
      <c r="AJ108" s="55">
        <v>-113.30910891089108</v>
      </c>
      <c r="AK108" s="55">
        <v>-112.17247524752474</v>
      </c>
      <c r="AL108" s="55">
        <v>-111.05762376237624</v>
      </c>
      <c r="AM108" s="55">
        <v>-110.00811881188119</v>
      </c>
      <c r="AN108" s="55">
        <v>-108.95861386138614</v>
      </c>
      <c r="AO108" s="55">
        <v>-108.0340099009901</v>
      </c>
      <c r="AP108" s="55">
        <v>-107.15678217821782</v>
      </c>
      <c r="AQ108" s="55">
        <v>-106.27955445544555</v>
      </c>
      <c r="AR108" s="55">
        <v>-105.40232673267327</v>
      </c>
      <c r="AS108" s="55">
        <v>-104.525099009901</v>
      </c>
      <c r="AT108" s="55">
        <v>-103.64787128712872</v>
      </c>
      <c r="AU108" s="55">
        <v>-102.77064356435643</v>
      </c>
      <c r="AV108" s="55">
        <v>-101.89341584158416</v>
      </c>
      <c r="AW108" s="55">
        <v>-101.01618811881188</v>
      </c>
      <c r="AX108" s="55">
        <v>-100.13896039603961</v>
      </c>
      <c r="AY108" s="55">
        <v>-99.352288557213939</v>
      </c>
      <c r="AZ108" s="55">
        <v>-98.619950248756226</v>
      </c>
      <c r="BA108" s="55">
        <v>-97.892029702970291</v>
      </c>
      <c r="BB108" s="55">
        <v>-97.198960396039595</v>
      </c>
      <c r="BC108" s="55">
        <v>-96.5058910891089</v>
      </c>
      <c r="BD108" s="55">
        <v>-95.837950495049498</v>
      </c>
      <c r="BE108" s="55">
        <v>-95.187653465346528</v>
      </c>
      <c r="BF108" s="55">
        <v>-94.560574257425742</v>
      </c>
      <c r="BG108" s="55">
        <v>-94.281762376237637</v>
      </c>
      <c r="BH108" s="55">
        <v>-94.002950495049518</v>
      </c>
      <c r="BI108" s="55">
        <v>-93.829297029702985</v>
      </c>
      <c r="BJ108" s="55">
        <v>-93.746128712871297</v>
      </c>
      <c r="BK108" s="55">
        <v>-93.663801980198016</v>
      </c>
      <c r="BL108" s="55">
        <v>-93.647960396039608</v>
      </c>
      <c r="BM108" s="55">
        <v>-93.632118811881185</v>
      </c>
      <c r="BN108" s="55">
        <v>-93.812435643564356</v>
      </c>
      <c r="BO108" s="55">
        <v>-94.198970297029703</v>
      </c>
      <c r="BP108" s="55">
        <v>-94.58550495049505</v>
      </c>
      <c r="BQ108" s="55">
        <v>-94.973564356435631</v>
      </c>
      <c r="BR108" s="55">
        <v>-95.361683168316816</v>
      </c>
      <c r="BS108" s="55">
        <v>-95.746629491945455</v>
      </c>
      <c r="BT108" s="55">
        <v>-96.127496902106557</v>
      </c>
      <c r="BU108" s="55">
        <v>-96.508364312267645</v>
      </c>
      <c r="BV108" s="55">
        <v>-96.889231722428732</v>
      </c>
      <c r="BW108" s="55">
        <v>-97.270099132589834</v>
      </c>
      <c r="BX108" s="55">
        <v>-97.650966542750922</v>
      </c>
      <c r="BY108" s="55">
        <v>-98.03183395291201</v>
      </c>
      <c r="BZ108" s="55">
        <v>-98.412701363073097</v>
      </c>
      <c r="CA108" s="55">
        <v>-98.793568773234199</v>
      </c>
      <c r="CB108" s="55">
        <v>-99.174436183395287</v>
      </c>
      <c r="CC108" s="55">
        <v>-100.32663366336634</v>
      </c>
      <c r="CD108" s="55">
        <v>-100.71158415841583</v>
      </c>
      <c r="CE108" s="55">
        <v>-101.09653465346534</v>
      </c>
      <c r="CF108" s="55">
        <v>-101.48148514851485</v>
      </c>
      <c r="CG108" s="55">
        <v>-101.86643564356436</v>
      </c>
      <c r="CH108" s="55">
        <v>-102.25138613861387</v>
      </c>
      <c r="CI108" s="55">
        <v>-102.63633663366336</v>
      </c>
      <c r="CJ108" s="55">
        <v>-103.02128712871287</v>
      </c>
      <c r="CK108" s="55"/>
      <c r="CL108" s="55"/>
      <c r="CM108" s="55"/>
      <c r="CN108" s="55"/>
      <c r="CO108" s="55"/>
      <c r="CP108" s="55"/>
    </row>
    <row r="109" spans="1:94" ht="21.75" thickBot="1" x14ac:dyDescent="0.4">
      <c r="A109" s="48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>
        <v>-68.937920792079197</v>
      </c>
      <c r="AJ109" s="55">
        <v>-67.551089108910887</v>
      </c>
      <c r="AK109" s="55">
        <v>-66.184752475247521</v>
      </c>
      <c r="AL109" s="55">
        <v>-64.840198019801974</v>
      </c>
      <c r="AM109" s="55">
        <v>-63.560990099009906</v>
      </c>
      <c r="AN109" s="55">
        <v>-62.281782178217831</v>
      </c>
      <c r="AO109" s="55">
        <v>-61.130346534653476</v>
      </c>
      <c r="AP109" s="55">
        <v>-60.027376237623777</v>
      </c>
      <c r="AQ109" s="55">
        <v>-58.92440594059407</v>
      </c>
      <c r="AR109" s="55">
        <v>-57.821435643564364</v>
      </c>
      <c r="AS109" s="55">
        <v>-56.718465346534664</v>
      </c>
      <c r="AT109" s="55">
        <v>-55.615495049504958</v>
      </c>
      <c r="AU109" s="55">
        <v>-54.512524752475258</v>
      </c>
      <c r="AV109" s="55">
        <v>-53.409554455445551</v>
      </c>
      <c r="AW109" s="55">
        <v>-52.306584158415845</v>
      </c>
      <c r="AX109" s="55">
        <v>-51.203613861386145</v>
      </c>
      <c r="AY109" s="55">
        <v>-50.192985074626868</v>
      </c>
      <c r="AZ109" s="55">
        <v>-49.237761194029858</v>
      </c>
      <c r="BA109" s="55">
        <v>-48.287970297029709</v>
      </c>
      <c r="BB109" s="55">
        <v>-47.381039603960396</v>
      </c>
      <c r="BC109" s="55">
        <v>-46.474108910891083</v>
      </c>
      <c r="BD109" s="55">
        <v>-45.592306930693063</v>
      </c>
      <c r="BE109" s="55">
        <v>-44.728148514851483</v>
      </c>
      <c r="BF109" s="55">
        <v>-43.887207920792079</v>
      </c>
      <c r="BG109" s="55">
        <v>-43.39453465346535</v>
      </c>
      <c r="BH109" s="55">
        <v>-42.90186138613862</v>
      </c>
      <c r="BI109" s="55">
        <v>-42.51434653465347</v>
      </c>
      <c r="BJ109" s="55">
        <v>-42.217316831683171</v>
      </c>
      <c r="BK109" s="55">
        <v>-41.921227722772279</v>
      </c>
      <c r="BL109" s="55">
        <v>-41.699445544554457</v>
      </c>
      <c r="BM109" s="55">
        <v>-41.477663366336628</v>
      </c>
      <c r="BN109" s="55">
        <v>-41.452039603960394</v>
      </c>
      <c r="BO109" s="55">
        <v>-41.632633663366335</v>
      </c>
      <c r="BP109" s="55">
        <v>-41.813227722772275</v>
      </c>
      <c r="BQ109" s="55">
        <v>-41.995346534653464</v>
      </c>
      <c r="BR109" s="55">
        <v>-42.17752475247525</v>
      </c>
      <c r="BS109" s="55">
        <v>-42.359888475836435</v>
      </c>
      <c r="BT109" s="55">
        <v>-42.542490706319704</v>
      </c>
      <c r="BU109" s="55">
        <v>-42.725092936802973</v>
      </c>
      <c r="BV109" s="55">
        <v>-42.907695167286249</v>
      </c>
      <c r="BW109" s="55">
        <v>-43.090297397769518</v>
      </c>
      <c r="BX109" s="55">
        <v>-43.272899628252787</v>
      </c>
      <c r="BY109" s="55">
        <v>-43.455501858736056</v>
      </c>
      <c r="BZ109" s="55">
        <v>-43.638104089219333</v>
      </c>
      <c r="CA109" s="55">
        <v>-43.820706319702602</v>
      </c>
      <c r="CB109" s="55">
        <v>-44.003308550185871</v>
      </c>
      <c r="CC109" s="55">
        <v>-44.575247524752477</v>
      </c>
      <c r="CD109" s="55">
        <v>-44.768118811881187</v>
      </c>
      <c r="CE109" s="55">
        <v>-44.960990099009898</v>
      </c>
      <c r="CF109" s="55">
        <v>-45.153861386138615</v>
      </c>
      <c r="CG109" s="55">
        <v>-45.346732673267326</v>
      </c>
      <c r="CH109" s="55">
        <v>-45.539603960396036</v>
      </c>
      <c r="CI109" s="55">
        <v>-45.732475247524754</v>
      </c>
      <c r="CJ109" s="55">
        <v>-45.925346534653464</v>
      </c>
      <c r="CK109" s="55"/>
      <c r="CL109" s="55"/>
      <c r="CM109" s="55"/>
      <c r="CN109" s="55"/>
      <c r="CO109" s="55"/>
      <c r="CP109" s="55"/>
    </row>
    <row r="110" spans="1:94" ht="21.75" thickBot="1" x14ac:dyDescent="0.4">
      <c r="A110" s="48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>
        <v>-19.186435643564359</v>
      </c>
      <c r="AJ110" s="55">
        <v>-19.202277227722774</v>
      </c>
      <c r="AK110" s="55">
        <v>-19.21811881188119</v>
      </c>
      <c r="AL110" s="55">
        <v>-19.234950495049507</v>
      </c>
      <c r="AM110" s="55">
        <v>-19.254752475247525</v>
      </c>
      <c r="AN110" s="55">
        <v>-19.274554455445546</v>
      </c>
      <c r="AO110" s="55">
        <v>-19.291485148514852</v>
      </c>
      <c r="AP110" s="55">
        <v>-19.307326732673268</v>
      </c>
      <c r="AQ110" s="55">
        <v>-19.323168316831683</v>
      </c>
      <c r="AR110" s="55">
        <v>-19.339009900990099</v>
      </c>
      <c r="AS110" s="55">
        <v>-19.354851485148515</v>
      </c>
      <c r="AT110" s="55">
        <v>-19.370693069306931</v>
      </c>
      <c r="AU110" s="55">
        <v>-19.386534653465347</v>
      </c>
      <c r="AV110" s="55">
        <v>-19.402376237623763</v>
      </c>
      <c r="AW110" s="55">
        <v>-19.418217821782179</v>
      </c>
      <c r="AX110" s="55">
        <v>-19.434059405940594</v>
      </c>
      <c r="AY110" s="55">
        <v>-19.452437810945273</v>
      </c>
      <c r="AZ110" s="55">
        <v>-19.472338308457712</v>
      </c>
      <c r="BA110" s="55">
        <v>-19.491782178217822</v>
      </c>
      <c r="BB110" s="55">
        <v>-19.507623762376237</v>
      </c>
      <c r="BC110" s="55">
        <v>-19.523465346534653</v>
      </c>
      <c r="BD110" s="55">
        <v>-19.539306930693069</v>
      </c>
      <c r="BE110" s="55">
        <v>-19.555148514851485</v>
      </c>
      <c r="BF110" s="55">
        <v>-19.568267326732673</v>
      </c>
      <c r="BG110" s="55">
        <v>-19.540544554455447</v>
      </c>
      <c r="BH110" s="55">
        <v>-19.512821782178218</v>
      </c>
      <c r="BI110" s="55">
        <v>-19.497871287128714</v>
      </c>
      <c r="BJ110" s="55">
        <v>-19.493910891089108</v>
      </c>
      <c r="BK110" s="55">
        <v>-19.490099009900987</v>
      </c>
      <c r="BL110" s="55">
        <v>-19.498019801980199</v>
      </c>
      <c r="BM110" s="55">
        <v>-19.505940594059407</v>
      </c>
      <c r="BN110" s="55">
        <v>-19.517722772277228</v>
      </c>
      <c r="BO110" s="55">
        <v>-19.533564356435644</v>
      </c>
      <c r="BP110" s="55">
        <v>-19.54940594059406</v>
      </c>
      <c r="BQ110" s="55">
        <v>-19.565247524752476</v>
      </c>
      <c r="BR110" s="55">
        <v>-19.581089108910891</v>
      </c>
      <c r="BS110" s="55">
        <v>-19.596505576208177</v>
      </c>
      <c r="BT110" s="55">
        <v>-19.611375464684013</v>
      </c>
      <c r="BU110" s="55">
        <v>-19.626245353159852</v>
      </c>
      <c r="BV110" s="55">
        <v>-19.641115241635688</v>
      </c>
      <c r="BW110" s="55">
        <v>-19.655985130111524</v>
      </c>
      <c r="BX110" s="55">
        <v>-19.670855018587361</v>
      </c>
      <c r="BY110" s="55">
        <v>-19.685724907063197</v>
      </c>
      <c r="BZ110" s="55">
        <v>-19.700594795539033</v>
      </c>
      <c r="CA110" s="55">
        <v>-19.715464684014869</v>
      </c>
      <c r="CB110" s="55">
        <v>-19.730334572490705</v>
      </c>
      <c r="CC110" s="55">
        <v>-19.772574257425742</v>
      </c>
      <c r="CD110" s="55">
        <v>-19.786435643564356</v>
      </c>
      <c r="CE110" s="55">
        <v>-19.800297029702968</v>
      </c>
      <c r="CF110" s="55">
        <v>-19.814158415841582</v>
      </c>
      <c r="CG110" s="55">
        <v>-19.828019801980197</v>
      </c>
      <c r="CH110" s="55">
        <v>-19.841881188118812</v>
      </c>
      <c r="CI110" s="55">
        <v>-19.855742574257423</v>
      </c>
      <c r="CJ110" s="55">
        <v>-19.869603960396038</v>
      </c>
      <c r="CK110" s="55"/>
      <c r="CL110" s="55"/>
      <c r="CM110" s="55"/>
      <c r="CN110" s="55"/>
      <c r="CO110" s="55"/>
      <c r="CP110" s="55"/>
    </row>
    <row r="111" spans="1:94" ht="21.75" thickBot="1" x14ac:dyDescent="0.4">
      <c r="A111" s="48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>
        <v>-23.087326732673262</v>
      </c>
      <c r="AJ111" s="55">
        <v>-22.336039603960394</v>
      </c>
      <c r="AK111" s="55">
        <v>-21.595445544554455</v>
      </c>
      <c r="AL111" s="55">
        <v>-20.865742574257425</v>
      </c>
      <c r="AM111" s="55">
        <v>-20.168712871287131</v>
      </c>
      <c r="AN111" s="55">
        <v>-19.471683168316837</v>
      </c>
      <c r="AO111" s="55">
        <v>-18.839257425742577</v>
      </c>
      <c r="AP111" s="55">
        <v>-18.231336633663371</v>
      </c>
      <c r="AQ111" s="55">
        <v>-17.623415841584162</v>
      </c>
      <c r="AR111" s="55">
        <v>-17.015495049504953</v>
      </c>
      <c r="AS111" s="55">
        <v>-16.407574257425743</v>
      </c>
      <c r="AT111" s="55">
        <v>-15.799653465346537</v>
      </c>
      <c r="AU111" s="55">
        <v>-15.191732673267328</v>
      </c>
      <c r="AV111" s="55">
        <v>-14.583811881188119</v>
      </c>
      <c r="AW111" s="55">
        <v>-13.975891089108913</v>
      </c>
      <c r="AX111" s="55">
        <v>-13.367970297029704</v>
      </c>
      <c r="AY111" s="55">
        <v>-12.806666666666668</v>
      </c>
      <c r="AZ111" s="55">
        <v>-12.273333333333335</v>
      </c>
      <c r="BA111" s="55">
        <v>-11.742970297029705</v>
      </c>
      <c r="BB111" s="55">
        <v>-11.236039603960396</v>
      </c>
      <c r="BC111" s="55">
        <v>-10.729108910891087</v>
      </c>
      <c r="BD111" s="55">
        <v>-10.234742574257423</v>
      </c>
      <c r="BE111" s="55">
        <v>-9.7491980198019785</v>
      </c>
      <c r="BF111" s="55">
        <v>-9.2752623762376238</v>
      </c>
      <c r="BG111" s="55">
        <v>-8.9754603960396047</v>
      </c>
      <c r="BH111" s="55">
        <v>-8.6756584158415855</v>
      </c>
      <c r="BI111" s="55">
        <v>-8.4284356435643577</v>
      </c>
      <c r="BJ111" s="55">
        <v>-8.2264554455445538</v>
      </c>
      <c r="BK111" s="55">
        <v>-8.0249702970297019</v>
      </c>
      <c r="BL111" s="55">
        <v>-7.8625940594059402</v>
      </c>
      <c r="BM111" s="55">
        <v>-7.7002178217821786</v>
      </c>
      <c r="BN111" s="55">
        <v>-7.635920792079208</v>
      </c>
      <c r="BO111" s="55">
        <v>-7.6747326732673269</v>
      </c>
      <c r="BP111" s="55">
        <v>-7.7135445544554457</v>
      </c>
      <c r="BQ111" s="55">
        <v>-7.7531188118811887</v>
      </c>
      <c r="BR111" s="55">
        <v>-7.7927227722772283</v>
      </c>
      <c r="BS111" s="55">
        <v>-7.8332589838909543</v>
      </c>
      <c r="BT111" s="55">
        <v>-7.8749938042131351</v>
      </c>
      <c r="BU111" s="55">
        <v>-7.9167286245353168</v>
      </c>
      <c r="BV111" s="55">
        <v>-7.9584634448574976</v>
      </c>
      <c r="BW111" s="55">
        <v>-8.0001982651796784</v>
      </c>
      <c r="BX111" s="55">
        <v>-8.04193308550186</v>
      </c>
      <c r="BY111" s="55">
        <v>-8.0836679058240399</v>
      </c>
      <c r="BZ111" s="55">
        <v>-8.1254027261462216</v>
      </c>
      <c r="CA111" s="55">
        <v>-8.1671375464684015</v>
      </c>
      <c r="CB111" s="55">
        <v>-8.2088723667905832</v>
      </c>
      <c r="CC111" s="55">
        <v>-8.3497772277227718</v>
      </c>
      <c r="CD111" s="55">
        <v>-8.3981930693069309</v>
      </c>
      <c r="CE111" s="55">
        <v>-8.44660891089109</v>
      </c>
      <c r="CF111" s="55">
        <v>-8.4950247524752474</v>
      </c>
      <c r="CG111" s="55">
        <v>-8.5434405940594065</v>
      </c>
      <c r="CH111" s="55">
        <v>-8.5918564356435638</v>
      </c>
      <c r="CI111" s="55">
        <v>-8.640272277227723</v>
      </c>
      <c r="CJ111" s="55">
        <v>-8.6886881188118803</v>
      </c>
      <c r="CK111" s="55"/>
      <c r="CL111" s="55"/>
      <c r="CM111" s="55"/>
      <c r="CN111" s="55"/>
      <c r="CO111" s="55"/>
      <c r="CP111" s="55"/>
    </row>
    <row r="112" spans="1:94" ht="21.75" thickBot="1" x14ac:dyDescent="0.4">
      <c r="A112" s="48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>
        <v>-4.1955445544554459</v>
      </c>
      <c r="AJ112" s="55">
        <v>-4.2150396039603963</v>
      </c>
      <c r="AK112" s="55">
        <v>-4.2344455445544549</v>
      </c>
      <c r="AL112" s="55">
        <v>-4.2539504950495051</v>
      </c>
      <c r="AM112" s="55">
        <v>-4.2737524752475249</v>
      </c>
      <c r="AN112" s="55">
        <v>-4.2935544554455447</v>
      </c>
      <c r="AO112" s="55">
        <v>-4.3133564356435645</v>
      </c>
      <c r="AP112" s="55">
        <v>-4.3331584158415843</v>
      </c>
      <c r="AQ112" s="55">
        <v>-4.3529603960396042</v>
      </c>
      <c r="AR112" s="55">
        <v>-4.372762376237624</v>
      </c>
      <c r="AS112" s="55">
        <v>-4.3925643564356438</v>
      </c>
      <c r="AT112" s="55">
        <v>-4.4123663366336636</v>
      </c>
      <c r="AU112" s="55">
        <v>-4.4321683168316834</v>
      </c>
      <c r="AV112" s="55">
        <v>-4.4519702970297024</v>
      </c>
      <c r="AW112" s="55">
        <v>-4.4717722772277222</v>
      </c>
      <c r="AX112" s="55">
        <v>-4.491574257425742</v>
      </c>
      <c r="AY112" s="55">
        <v>-4.5114378109452735</v>
      </c>
      <c r="AZ112" s="55">
        <v>-4.5313383084577117</v>
      </c>
      <c r="BA112" s="55">
        <v>-4.5511831683168316</v>
      </c>
      <c r="BB112" s="55">
        <v>-4.570589108910891</v>
      </c>
      <c r="BC112" s="55">
        <v>-4.5899950495049504</v>
      </c>
      <c r="BD112" s="55">
        <v>-4.6094009900990098</v>
      </c>
      <c r="BE112" s="55">
        <v>-4.6288069306930693</v>
      </c>
      <c r="BF112" s="55">
        <v>-4.6482128712871287</v>
      </c>
      <c r="BG112" s="55">
        <v>-4.6676188118811881</v>
      </c>
      <c r="BH112" s="55">
        <v>-4.6870247524752475</v>
      </c>
      <c r="BI112" s="55">
        <v>-4.706217821782178</v>
      </c>
      <c r="BJ112" s="55">
        <v>-4.725227722772277</v>
      </c>
      <c r="BK112" s="55">
        <v>-4.744237623762376</v>
      </c>
      <c r="BL112" s="55">
        <v>-4.763247524752475</v>
      </c>
      <c r="BM112" s="55">
        <v>-4.7822574257425741</v>
      </c>
      <c r="BN112" s="55">
        <v>-4.8012673267326731</v>
      </c>
      <c r="BO112" s="55">
        <v>-4.8202772277227721</v>
      </c>
      <c r="BP112" s="55">
        <v>-4.8392871287128711</v>
      </c>
      <c r="BQ112" s="55">
        <v>-4.8579158415841581</v>
      </c>
      <c r="BR112" s="55">
        <v>-4.8765297029702968</v>
      </c>
      <c r="BS112" s="55">
        <v>-4.8949801734820317</v>
      </c>
      <c r="BT112" s="55">
        <v>-4.913220570012391</v>
      </c>
      <c r="BU112" s="55">
        <v>-4.9314609665427502</v>
      </c>
      <c r="BV112" s="55">
        <v>-4.9497013630731095</v>
      </c>
      <c r="BW112" s="55">
        <v>-4.9679417596034696</v>
      </c>
      <c r="BX112" s="55">
        <v>-4.9861821561338289</v>
      </c>
      <c r="BY112" s="55">
        <v>-5.0044225526641881</v>
      </c>
      <c r="BZ112" s="55">
        <v>-5.0226629491945474</v>
      </c>
      <c r="CA112" s="55">
        <v>-5.0409033457249066</v>
      </c>
      <c r="CB112" s="55">
        <v>-5.0591437422552659</v>
      </c>
      <c r="CC112" s="55">
        <v>-5.1124158415841583</v>
      </c>
      <c r="CD112" s="55">
        <v>-5.1300396039603955</v>
      </c>
      <c r="CE112" s="55">
        <v>-5.1476633663366336</v>
      </c>
      <c r="CF112" s="55">
        <v>-5.1652871287128708</v>
      </c>
      <c r="CG112" s="55">
        <v>-5.1829108910891089</v>
      </c>
      <c r="CH112" s="55">
        <v>-5.200534653465346</v>
      </c>
      <c r="CI112" s="55">
        <v>-5.2181584158415841</v>
      </c>
      <c r="CJ112" s="55">
        <v>-5.2357821782178213</v>
      </c>
      <c r="CK112" s="55"/>
      <c r="CL112" s="55"/>
      <c r="CM112" s="55"/>
      <c r="CN112" s="55"/>
      <c r="CO112" s="55"/>
      <c r="CP112" s="55"/>
    </row>
    <row r="113" spans="1:94" ht="21.75" thickBot="1" x14ac:dyDescent="0.4">
      <c r="A113" s="48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>
        <v>-19.186435643564359</v>
      </c>
      <c r="AJ113" s="55">
        <v>-19.202277227722774</v>
      </c>
      <c r="AK113" s="55">
        <v>-19.21811881188119</v>
      </c>
      <c r="AL113" s="55">
        <v>-19.234950495049507</v>
      </c>
      <c r="AM113" s="55">
        <v>-19.254752475247525</v>
      </c>
      <c r="AN113" s="55">
        <v>-19.274554455445546</v>
      </c>
      <c r="AO113" s="55">
        <v>-19.291485148514852</v>
      </c>
      <c r="AP113" s="55">
        <v>-19.307326732673268</v>
      </c>
      <c r="AQ113" s="55">
        <v>-19.323168316831683</v>
      </c>
      <c r="AR113" s="55">
        <v>-19.339009900990099</v>
      </c>
      <c r="AS113" s="55">
        <v>-19.354851485148515</v>
      </c>
      <c r="AT113" s="55">
        <v>-19.370693069306931</v>
      </c>
      <c r="AU113" s="55">
        <v>-19.386534653465347</v>
      </c>
      <c r="AV113" s="55">
        <v>-19.402376237623763</v>
      </c>
      <c r="AW113" s="55">
        <v>-19.418217821782179</v>
      </c>
      <c r="AX113" s="55">
        <v>-19.434059405940594</v>
      </c>
      <c r="AY113" s="55">
        <v>-19.452437810945273</v>
      </c>
      <c r="AZ113" s="55">
        <v>-19.472338308457712</v>
      </c>
      <c r="BA113" s="55">
        <v>-19.491782178217822</v>
      </c>
      <c r="BB113" s="55">
        <v>-19.507623762376237</v>
      </c>
      <c r="BC113" s="55">
        <v>-19.523465346534653</v>
      </c>
      <c r="BD113" s="55">
        <v>-19.539306930693069</v>
      </c>
      <c r="BE113" s="55">
        <v>-19.555148514851485</v>
      </c>
      <c r="BF113" s="55">
        <v>-19.568267326732673</v>
      </c>
      <c r="BG113" s="55">
        <v>-19.540544554455447</v>
      </c>
      <c r="BH113" s="55">
        <v>-19.512821782178218</v>
      </c>
      <c r="BI113" s="55">
        <v>-19.497871287128714</v>
      </c>
      <c r="BJ113" s="55">
        <v>-19.493910891089108</v>
      </c>
      <c r="BK113" s="55">
        <v>-19.490099009900987</v>
      </c>
      <c r="BL113" s="55">
        <v>-19.498019801980199</v>
      </c>
      <c r="BM113" s="55">
        <v>-19.505940594059407</v>
      </c>
      <c r="BN113" s="55">
        <v>-19.517722772277228</v>
      </c>
      <c r="BO113" s="55">
        <v>-19.533564356435644</v>
      </c>
      <c r="BP113" s="55">
        <v>-19.54940594059406</v>
      </c>
      <c r="BQ113" s="55">
        <v>-19.565247524752476</v>
      </c>
      <c r="BR113" s="55">
        <v>-19.581089108910891</v>
      </c>
      <c r="BS113" s="55">
        <v>-19.596505576208177</v>
      </c>
      <c r="BT113" s="55">
        <v>-19.611375464684013</v>
      </c>
      <c r="BU113" s="55">
        <v>-19.626245353159852</v>
      </c>
      <c r="BV113" s="55">
        <v>-19.641115241635688</v>
      </c>
      <c r="BW113" s="55">
        <v>-19.655985130111524</v>
      </c>
      <c r="BX113" s="55">
        <v>-19.670855018587361</v>
      </c>
      <c r="BY113" s="55">
        <v>-19.685724907063197</v>
      </c>
      <c r="BZ113" s="55">
        <v>-19.700594795539033</v>
      </c>
      <c r="CA113" s="55">
        <v>-19.715464684014869</v>
      </c>
      <c r="CB113" s="55">
        <v>-19.730334572490705</v>
      </c>
      <c r="CC113" s="55">
        <v>-19.772574257425742</v>
      </c>
      <c r="CD113" s="55">
        <v>-19.786435643564356</v>
      </c>
      <c r="CE113" s="55">
        <v>-19.800297029702968</v>
      </c>
      <c r="CF113" s="55">
        <v>-19.814158415841582</v>
      </c>
      <c r="CG113" s="55">
        <v>-19.828019801980197</v>
      </c>
      <c r="CH113" s="55">
        <v>-19.841881188118812</v>
      </c>
      <c r="CI113" s="55">
        <v>-19.855742574257423</v>
      </c>
      <c r="CJ113" s="55">
        <v>-19.869603960396038</v>
      </c>
      <c r="CK113" s="55"/>
      <c r="CL113" s="55"/>
      <c r="CM113" s="55"/>
      <c r="CN113" s="55"/>
      <c r="CO113" s="55"/>
      <c r="CP113" s="55"/>
    </row>
    <row r="114" spans="1:94" ht="21.75" thickBot="1" x14ac:dyDescent="0.4">
      <c r="A114" s="48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>
        <v>-23.087326732673262</v>
      </c>
      <c r="AJ114" s="55">
        <v>-22.336039603960394</v>
      </c>
      <c r="AK114" s="55">
        <v>-21.595445544554455</v>
      </c>
      <c r="AL114" s="55">
        <v>-20.865742574257425</v>
      </c>
      <c r="AM114" s="55">
        <v>-20.168712871287131</v>
      </c>
      <c r="AN114" s="55">
        <v>-19.471683168316837</v>
      </c>
      <c r="AO114" s="55">
        <v>-18.839257425742577</v>
      </c>
      <c r="AP114" s="55">
        <v>-18.231336633663371</v>
      </c>
      <c r="AQ114" s="55">
        <v>-17.623415841584162</v>
      </c>
      <c r="AR114" s="55">
        <v>-17.015495049504953</v>
      </c>
      <c r="AS114" s="55">
        <v>-16.407574257425743</v>
      </c>
      <c r="AT114" s="55">
        <v>-15.799653465346537</v>
      </c>
      <c r="AU114" s="55">
        <v>-15.191732673267328</v>
      </c>
      <c r="AV114" s="55">
        <v>-14.583811881188119</v>
      </c>
      <c r="AW114" s="55">
        <v>-13.975891089108913</v>
      </c>
      <c r="AX114" s="55">
        <v>-13.367970297029704</v>
      </c>
      <c r="AY114" s="55">
        <v>-12.806666666666668</v>
      </c>
      <c r="AZ114" s="55">
        <v>-12.273333333333335</v>
      </c>
      <c r="BA114" s="55">
        <v>-11.742970297029705</v>
      </c>
      <c r="BB114" s="55">
        <v>-11.236039603960396</v>
      </c>
      <c r="BC114" s="55">
        <v>-10.729108910891087</v>
      </c>
      <c r="BD114" s="55">
        <v>-10.234742574257423</v>
      </c>
      <c r="BE114" s="55">
        <v>-9.7491980198019785</v>
      </c>
      <c r="BF114" s="55">
        <v>-9.2752623762376238</v>
      </c>
      <c r="BG114" s="55">
        <v>-8.9754603960396047</v>
      </c>
      <c r="BH114" s="55">
        <v>-8.6756584158415855</v>
      </c>
      <c r="BI114" s="55">
        <v>-8.4284356435643577</v>
      </c>
      <c r="BJ114" s="55">
        <v>-8.2264554455445538</v>
      </c>
      <c r="BK114" s="55">
        <v>-8.0249702970297019</v>
      </c>
      <c r="BL114" s="55">
        <v>-7.8625940594059402</v>
      </c>
      <c r="BM114" s="55">
        <v>-7.7002178217821786</v>
      </c>
      <c r="BN114" s="55">
        <v>-7.635920792079208</v>
      </c>
      <c r="BO114" s="55">
        <v>-7.6747326732673269</v>
      </c>
      <c r="BP114" s="55">
        <v>-7.7135445544554457</v>
      </c>
      <c r="BQ114" s="55">
        <v>-7.7531188118811887</v>
      </c>
      <c r="BR114" s="55">
        <v>-7.7927227722772283</v>
      </c>
      <c r="BS114" s="55">
        <v>-7.8332589838909543</v>
      </c>
      <c r="BT114" s="55">
        <v>-7.8749938042131351</v>
      </c>
      <c r="BU114" s="55">
        <v>-7.9167286245353168</v>
      </c>
      <c r="BV114" s="55">
        <v>-7.9584634448574976</v>
      </c>
      <c r="BW114" s="55">
        <v>-8.0001982651796784</v>
      </c>
      <c r="BX114" s="55">
        <v>-8.04193308550186</v>
      </c>
      <c r="BY114" s="55">
        <v>-8.0836679058240399</v>
      </c>
      <c r="BZ114" s="55">
        <v>-8.1254027261462216</v>
      </c>
      <c r="CA114" s="55">
        <v>-8.1671375464684015</v>
      </c>
      <c r="CB114" s="55">
        <v>-8.2088723667905832</v>
      </c>
      <c r="CC114" s="55">
        <v>-8.3497772277227718</v>
      </c>
      <c r="CD114" s="55">
        <v>-8.3981930693069309</v>
      </c>
      <c r="CE114" s="55">
        <v>-8.44660891089109</v>
      </c>
      <c r="CF114" s="55">
        <v>-8.4950247524752474</v>
      </c>
      <c r="CG114" s="55">
        <v>-8.5434405940594065</v>
      </c>
      <c r="CH114" s="55">
        <v>-8.5918564356435638</v>
      </c>
      <c r="CI114" s="55">
        <v>-8.640272277227723</v>
      </c>
      <c r="CJ114" s="55">
        <v>-8.6886881188118803</v>
      </c>
      <c r="CK114" s="55"/>
      <c r="CL114" s="55"/>
      <c r="CM114" s="55"/>
      <c r="CN114" s="55"/>
      <c r="CO114" s="55"/>
      <c r="CP114" s="55"/>
    </row>
    <row r="115" spans="1:94" ht="21.75" thickBot="1" x14ac:dyDescent="0.4">
      <c r="A115" s="48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>
        <v>-4.1955445544554459</v>
      </c>
      <c r="AJ115" s="55">
        <v>-4.2150396039603963</v>
      </c>
      <c r="AK115" s="55">
        <v>-4.2344455445544549</v>
      </c>
      <c r="AL115" s="55">
        <v>-4.2539504950495051</v>
      </c>
      <c r="AM115" s="55">
        <v>-4.2737524752475249</v>
      </c>
      <c r="AN115" s="55">
        <v>-4.2935544554455447</v>
      </c>
      <c r="AO115" s="55">
        <v>-4.3133564356435645</v>
      </c>
      <c r="AP115" s="55">
        <v>-4.3331584158415843</v>
      </c>
      <c r="AQ115" s="55">
        <v>-4.3529603960396042</v>
      </c>
      <c r="AR115" s="55">
        <v>-4.372762376237624</v>
      </c>
      <c r="AS115" s="55">
        <v>-4.3925643564356438</v>
      </c>
      <c r="AT115" s="55">
        <v>-4.4123663366336636</v>
      </c>
      <c r="AU115" s="55">
        <v>-4.4321683168316834</v>
      </c>
      <c r="AV115" s="55">
        <v>-4.4519702970297024</v>
      </c>
      <c r="AW115" s="55">
        <v>-4.4717722772277222</v>
      </c>
      <c r="AX115" s="55">
        <v>-4.491574257425742</v>
      </c>
      <c r="AY115" s="55">
        <v>-4.5114378109452735</v>
      </c>
      <c r="AZ115" s="55">
        <v>-4.5313383084577117</v>
      </c>
      <c r="BA115" s="55">
        <v>-4.5511831683168316</v>
      </c>
      <c r="BB115" s="55">
        <v>-4.570589108910891</v>
      </c>
      <c r="BC115" s="55">
        <v>-4.5899950495049504</v>
      </c>
      <c r="BD115" s="55">
        <v>-4.6094009900990098</v>
      </c>
      <c r="BE115" s="55">
        <v>-4.6288069306930693</v>
      </c>
      <c r="BF115" s="55">
        <v>-4.6482128712871287</v>
      </c>
      <c r="BG115" s="55">
        <v>-4.6676188118811881</v>
      </c>
      <c r="BH115" s="55">
        <v>-4.6870247524752475</v>
      </c>
      <c r="BI115" s="55">
        <v>-4.706217821782178</v>
      </c>
      <c r="BJ115" s="55">
        <v>-4.725227722772277</v>
      </c>
      <c r="BK115" s="55">
        <v>-4.744237623762376</v>
      </c>
      <c r="BL115" s="55">
        <v>-4.763247524752475</v>
      </c>
      <c r="BM115" s="55">
        <v>-4.7822574257425741</v>
      </c>
      <c r="BN115" s="55">
        <v>-4.8012673267326731</v>
      </c>
      <c r="BO115" s="55">
        <v>-4.8202772277227721</v>
      </c>
      <c r="BP115" s="55">
        <v>-4.8392871287128711</v>
      </c>
      <c r="BQ115" s="55">
        <v>-4.8579158415841581</v>
      </c>
      <c r="BR115" s="55">
        <v>-4.8765297029702968</v>
      </c>
      <c r="BS115" s="55">
        <v>-4.8949801734820317</v>
      </c>
      <c r="BT115" s="55">
        <v>-4.913220570012391</v>
      </c>
      <c r="BU115" s="55">
        <v>-4.9314609665427502</v>
      </c>
      <c r="BV115" s="55">
        <v>-4.9497013630731095</v>
      </c>
      <c r="BW115" s="55">
        <v>-4.9679417596034696</v>
      </c>
      <c r="BX115" s="55">
        <v>-4.9861821561338289</v>
      </c>
      <c r="BY115" s="55">
        <v>-5.0044225526641881</v>
      </c>
      <c r="BZ115" s="55">
        <v>-5.0226629491945474</v>
      </c>
      <c r="CA115" s="55">
        <v>-5.0409033457249066</v>
      </c>
      <c r="CB115" s="55">
        <v>-5.0591437422552659</v>
      </c>
      <c r="CC115" s="55">
        <v>-5.1124158415841583</v>
      </c>
      <c r="CD115" s="55">
        <v>-5.1300396039603955</v>
      </c>
      <c r="CE115" s="55">
        <v>-5.1476633663366336</v>
      </c>
      <c r="CF115" s="55">
        <v>-5.1652871287128708</v>
      </c>
      <c r="CG115" s="55">
        <v>-5.1829108910891089</v>
      </c>
      <c r="CH115" s="55">
        <v>-5.200534653465346</v>
      </c>
      <c r="CI115" s="55">
        <v>-5.2181584158415841</v>
      </c>
      <c r="CJ115" s="55">
        <v>-5.2357821782178213</v>
      </c>
      <c r="CK115" s="55"/>
      <c r="CL115" s="55"/>
      <c r="CM115" s="55"/>
      <c r="CN115" s="55"/>
      <c r="CO115" s="55"/>
      <c r="CP115" s="55"/>
    </row>
    <row r="116" spans="1:94" ht="21.75" thickBot="1" x14ac:dyDescent="0.4">
      <c r="A116" s="48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>
        <v>-22.763267326732674</v>
      </c>
      <c r="AJ116" s="55">
        <v>-22.879009900990098</v>
      </c>
      <c r="AK116" s="55">
        <v>-22.993861386138612</v>
      </c>
      <c r="AL116" s="55">
        <v>-23.108712871287128</v>
      </c>
      <c r="AM116" s="55">
        <v>-23.223564356435642</v>
      </c>
      <c r="AN116" s="55">
        <v>-23.338415841584158</v>
      </c>
      <c r="AO116" s="55">
        <v>-23.451831683168319</v>
      </c>
      <c r="AP116" s="55">
        <v>-23.564702970297031</v>
      </c>
      <c r="AQ116" s="55">
        <v>-23.677574257425743</v>
      </c>
      <c r="AR116" s="55">
        <v>-23.790445544554455</v>
      </c>
      <c r="AS116" s="55">
        <v>-23.903316831683171</v>
      </c>
      <c r="AT116" s="55">
        <v>-24.016188118811883</v>
      </c>
      <c r="AU116" s="55">
        <v>-24.129059405940595</v>
      </c>
      <c r="AV116" s="55">
        <v>-24.241930693069307</v>
      </c>
      <c r="AW116" s="55">
        <v>-24.354801980198022</v>
      </c>
      <c r="AX116" s="55">
        <v>-24.467673267326735</v>
      </c>
      <c r="AY116" s="55">
        <v>-24.579651741293532</v>
      </c>
      <c r="AZ116" s="55">
        <v>-24.691094527363184</v>
      </c>
      <c r="BA116" s="55">
        <v>-24.802029702970295</v>
      </c>
      <c r="BB116" s="55">
        <v>-24.908960396039603</v>
      </c>
      <c r="BC116" s="55">
        <v>-25.015891089108909</v>
      </c>
      <c r="BD116" s="55">
        <v>-25.122821782178217</v>
      </c>
      <c r="BE116" s="55">
        <v>-25.229752475247523</v>
      </c>
      <c r="BF116" s="55">
        <v>-25.336683168316831</v>
      </c>
      <c r="BG116" s="55">
        <v>-25.443613861386137</v>
      </c>
      <c r="BH116" s="55">
        <v>-25.550544554455445</v>
      </c>
      <c r="BI116" s="55">
        <v>-25.657475247524754</v>
      </c>
      <c r="BJ116" s="55">
        <v>-25.76440594059406</v>
      </c>
      <c r="BK116" s="55">
        <v>-25.871287128712872</v>
      </c>
      <c r="BL116" s="55">
        <v>-25.974257425742575</v>
      </c>
      <c r="BM116" s="55">
        <v>-26.077227722772278</v>
      </c>
      <c r="BN116" s="55">
        <v>-26.180198019801978</v>
      </c>
      <c r="BO116" s="55">
        <v>-26.283168316831684</v>
      </c>
      <c r="BP116" s="55">
        <v>-26.386138613861387</v>
      </c>
      <c r="BQ116" s="55">
        <v>-26.48910891089109</v>
      </c>
      <c r="BR116" s="55">
        <v>-26.59207920792079</v>
      </c>
      <c r="BS116" s="55">
        <v>-26.693370508054521</v>
      </c>
      <c r="BT116" s="55">
        <v>-26.79250309789343</v>
      </c>
      <c r="BU116" s="55">
        <v>-26.891635687732339</v>
      </c>
      <c r="BV116" s="55">
        <v>-26.990768277571249</v>
      </c>
      <c r="BW116" s="55">
        <v>-27.089900867410158</v>
      </c>
      <c r="BX116" s="55">
        <v>-27.189033457249067</v>
      </c>
      <c r="BY116" s="55">
        <v>-27.28816604708798</v>
      </c>
      <c r="BZ116" s="55">
        <v>-27.387298636926889</v>
      </c>
      <c r="CA116" s="55">
        <v>-27.486431226765799</v>
      </c>
      <c r="CB116" s="55">
        <v>-27.585563816604708</v>
      </c>
      <c r="CC116" s="55">
        <v>-27.87569306930693</v>
      </c>
      <c r="CD116" s="55">
        <v>-27.971732673267326</v>
      </c>
      <c r="CE116" s="55">
        <v>-28.067772277227721</v>
      </c>
      <c r="CF116" s="55">
        <v>-28.163811881188117</v>
      </c>
      <c r="CG116" s="55">
        <v>-28.259851485148516</v>
      </c>
      <c r="CH116" s="55">
        <v>-28.355891089108912</v>
      </c>
      <c r="CI116" s="55">
        <v>-28.451930693069308</v>
      </c>
      <c r="CJ116" s="55">
        <v>-28.547970297029703</v>
      </c>
      <c r="CK116" s="55"/>
      <c r="CL116" s="55"/>
      <c r="CM116" s="55"/>
      <c r="CN116" s="55"/>
      <c r="CO116" s="55"/>
      <c r="CP116" s="55"/>
    </row>
    <row r="117" spans="1:94" ht="21.75" thickBot="1" x14ac:dyDescent="0.4">
      <c r="A117" s="48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  <c r="AN117" s="55"/>
      <c r="AO117" s="55"/>
      <c r="AP117" s="55"/>
      <c r="AQ117" s="55"/>
      <c r="AR117" s="55"/>
      <c r="AS117" s="55"/>
      <c r="AT117" s="55"/>
      <c r="AU117" s="55"/>
      <c r="AV117" s="55"/>
      <c r="AW117" s="55"/>
      <c r="AX117" s="55"/>
      <c r="AY117" s="55"/>
      <c r="AZ117" s="55"/>
      <c r="BA117" s="55"/>
      <c r="BB117" s="55"/>
      <c r="BC117" s="55"/>
      <c r="BD117" s="55"/>
      <c r="BE117" s="55"/>
      <c r="BF117" s="55"/>
      <c r="BG117" s="55"/>
      <c r="BH117" s="55"/>
      <c r="BI117" s="55"/>
      <c r="BJ117" s="55"/>
      <c r="BK117" s="55"/>
      <c r="BL117" s="55"/>
      <c r="BM117" s="55"/>
      <c r="BN117" s="55"/>
      <c r="BO117" s="55"/>
      <c r="BP117" s="55"/>
      <c r="BQ117" s="55"/>
      <c r="BR117" s="55"/>
      <c r="BS117" s="55"/>
      <c r="BT117" s="55"/>
      <c r="BU117" s="55"/>
      <c r="BV117" s="55"/>
      <c r="BW117" s="55"/>
      <c r="BX117" s="55"/>
      <c r="BY117" s="55"/>
      <c r="BZ117" s="55"/>
      <c r="CA117" s="55"/>
      <c r="CB117" s="55"/>
      <c r="CC117" s="55"/>
      <c r="CD117" s="55"/>
      <c r="CE117" s="55"/>
      <c r="CF117" s="55"/>
      <c r="CG117" s="55"/>
      <c r="CH117" s="55"/>
      <c r="CI117" s="55"/>
      <c r="CJ117" s="55"/>
      <c r="CK117" s="55"/>
      <c r="CL117" s="55"/>
      <c r="CM117" s="55"/>
      <c r="CN117" s="55"/>
      <c r="CO117" s="55"/>
      <c r="CP117" s="55"/>
    </row>
    <row r="118" spans="1:94" ht="21.75" thickBot="1" x14ac:dyDescent="0.4">
      <c r="A118" s="48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  <c r="BF118" s="55"/>
      <c r="BG118" s="55"/>
      <c r="BH118" s="55"/>
      <c r="BI118" s="55"/>
      <c r="BJ118" s="55"/>
      <c r="BK118" s="55"/>
      <c r="BL118" s="55"/>
      <c r="BM118" s="55"/>
      <c r="BN118" s="55"/>
      <c r="BO118" s="55"/>
      <c r="BP118" s="55"/>
      <c r="BQ118" s="55"/>
      <c r="BR118" s="55"/>
      <c r="BS118" s="55"/>
      <c r="BT118" s="55"/>
      <c r="BU118" s="55"/>
      <c r="BV118" s="55"/>
      <c r="BW118" s="55"/>
      <c r="BX118" s="55"/>
      <c r="BY118" s="55"/>
      <c r="BZ118" s="55"/>
      <c r="CA118" s="55"/>
      <c r="CB118" s="55"/>
      <c r="CC118" s="55"/>
      <c r="CD118" s="55"/>
      <c r="CE118" s="55"/>
      <c r="CF118" s="55"/>
      <c r="CG118" s="55"/>
      <c r="CH118" s="55"/>
      <c r="CI118" s="55"/>
      <c r="CJ118" s="55"/>
      <c r="CK118" s="55"/>
      <c r="CL118" s="55"/>
      <c r="CM118" s="55"/>
      <c r="CN118" s="55"/>
      <c r="CO118" s="55"/>
      <c r="CP118" s="55"/>
    </row>
    <row r="119" spans="1:94" ht="21.75" thickBot="1" x14ac:dyDescent="0.4">
      <c r="A119" s="48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  <c r="AO119" s="55"/>
      <c r="AP119" s="55"/>
      <c r="AQ119" s="55"/>
      <c r="AR119" s="55"/>
      <c r="AS119" s="55"/>
      <c r="AT119" s="55"/>
      <c r="AU119" s="55"/>
      <c r="AV119" s="55"/>
      <c r="AW119" s="55"/>
      <c r="AX119" s="55"/>
      <c r="AY119" s="55"/>
      <c r="AZ119" s="55"/>
      <c r="BA119" s="55"/>
      <c r="BB119" s="55"/>
      <c r="BC119" s="55"/>
      <c r="BD119" s="55"/>
      <c r="BE119" s="55"/>
      <c r="BF119" s="55"/>
      <c r="BG119" s="55"/>
      <c r="BH119" s="55"/>
      <c r="BI119" s="55"/>
      <c r="BJ119" s="55"/>
      <c r="BK119" s="55"/>
      <c r="BL119" s="55"/>
      <c r="BM119" s="55"/>
      <c r="BN119" s="55"/>
      <c r="BO119" s="55"/>
      <c r="BP119" s="55"/>
      <c r="BQ119" s="55"/>
      <c r="BR119" s="55"/>
      <c r="BS119" s="55"/>
      <c r="BT119" s="55"/>
      <c r="BU119" s="55"/>
      <c r="BV119" s="55"/>
      <c r="BW119" s="55"/>
      <c r="BX119" s="55"/>
      <c r="BY119" s="55"/>
      <c r="BZ119" s="55"/>
      <c r="CA119" s="55"/>
      <c r="CB119" s="55"/>
      <c r="CC119" s="55"/>
      <c r="CD119" s="55"/>
      <c r="CE119" s="55"/>
      <c r="CF119" s="55"/>
      <c r="CG119" s="55"/>
      <c r="CH119" s="55"/>
      <c r="CI119" s="55"/>
      <c r="CJ119" s="55"/>
      <c r="CK119" s="55"/>
      <c r="CL119" s="55"/>
      <c r="CM119" s="55"/>
      <c r="CN119" s="55"/>
      <c r="CO119" s="55"/>
      <c r="CP119" s="55"/>
    </row>
    <row r="120" spans="1:94" ht="21.75" thickBot="1" x14ac:dyDescent="0.4">
      <c r="A120" s="41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  <c r="AO120" s="55"/>
      <c r="AP120" s="55"/>
      <c r="AQ120" s="55"/>
      <c r="AR120" s="55"/>
      <c r="AS120" s="55"/>
      <c r="AT120" s="55"/>
      <c r="AU120" s="55"/>
      <c r="AV120" s="55"/>
      <c r="AW120" s="55"/>
      <c r="AX120" s="55"/>
      <c r="AY120" s="55"/>
      <c r="AZ120" s="55"/>
      <c r="BA120" s="55"/>
      <c r="BB120" s="55"/>
      <c r="BC120" s="55"/>
      <c r="BD120" s="55"/>
      <c r="BE120" s="55"/>
      <c r="BF120" s="55"/>
      <c r="BG120" s="55"/>
      <c r="BH120" s="55"/>
      <c r="BI120" s="55"/>
      <c r="BJ120" s="55"/>
      <c r="BK120" s="55"/>
      <c r="BL120" s="55"/>
      <c r="BM120" s="55"/>
      <c r="BN120" s="55"/>
      <c r="BO120" s="55"/>
      <c r="BP120" s="55"/>
      <c r="BQ120" s="55"/>
      <c r="BR120" s="55"/>
      <c r="BS120" s="55"/>
      <c r="BT120" s="55"/>
      <c r="BU120" s="55"/>
      <c r="BV120" s="55"/>
      <c r="BW120" s="55"/>
      <c r="BX120" s="55"/>
      <c r="BY120" s="55"/>
      <c r="BZ120" s="55"/>
      <c r="CA120" s="55"/>
      <c r="CB120" s="55"/>
      <c r="CC120" s="55"/>
      <c r="CD120" s="55"/>
      <c r="CE120" s="55"/>
      <c r="CF120" s="55"/>
      <c r="CG120" s="55"/>
      <c r="CH120" s="55"/>
      <c r="CI120" s="55"/>
      <c r="CJ120" s="55"/>
      <c r="CK120" s="55"/>
      <c r="CL120" s="55"/>
      <c r="CM120" s="55"/>
      <c r="CN120" s="55"/>
      <c r="CO120" s="55"/>
      <c r="CP120" s="55"/>
    </row>
    <row r="121" spans="1:94" ht="21.75" thickBot="1" x14ac:dyDescent="0.4">
      <c r="A121" s="41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  <c r="AN121" s="55"/>
      <c r="AO121" s="55"/>
      <c r="AP121" s="55"/>
      <c r="AQ121" s="55"/>
      <c r="AR121" s="55"/>
      <c r="AS121" s="55"/>
      <c r="AT121" s="55"/>
      <c r="AU121" s="55"/>
      <c r="AV121" s="55"/>
      <c r="AW121" s="55"/>
      <c r="AX121" s="55"/>
      <c r="AY121" s="55"/>
      <c r="AZ121" s="55"/>
      <c r="BA121" s="55"/>
      <c r="BB121" s="55"/>
      <c r="BC121" s="55"/>
      <c r="BD121" s="55"/>
      <c r="BE121" s="55"/>
      <c r="BF121" s="55"/>
      <c r="BG121" s="55"/>
      <c r="BH121" s="55"/>
      <c r="BI121" s="55"/>
      <c r="BJ121" s="55"/>
      <c r="BK121" s="55"/>
      <c r="BL121" s="55"/>
      <c r="BM121" s="55"/>
      <c r="BN121" s="55"/>
      <c r="BO121" s="55"/>
      <c r="BP121" s="55"/>
      <c r="BQ121" s="55"/>
      <c r="BR121" s="55"/>
      <c r="BS121" s="55"/>
      <c r="BT121" s="55"/>
      <c r="BU121" s="55"/>
      <c r="BV121" s="55"/>
      <c r="BW121" s="55"/>
      <c r="BX121" s="55"/>
      <c r="BY121" s="55"/>
      <c r="BZ121" s="55"/>
      <c r="CA121" s="55"/>
      <c r="CB121" s="55"/>
      <c r="CC121" s="55"/>
      <c r="CD121" s="55"/>
      <c r="CE121" s="55"/>
      <c r="CF121" s="55"/>
      <c r="CG121" s="55"/>
      <c r="CH121" s="55"/>
      <c r="CI121" s="55"/>
      <c r="CJ121" s="55"/>
      <c r="CK121" s="55"/>
      <c r="CL121" s="55"/>
      <c r="CM121" s="55"/>
      <c r="CN121" s="55"/>
      <c r="CO121" s="55"/>
      <c r="CP121" s="55"/>
    </row>
    <row r="122" spans="1:94" ht="21.75" thickBot="1" x14ac:dyDescent="0.4">
      <c r="A122" s="41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  <c r="BN122" s="55"/>
      <c r="BO122" s="55"/>
      <c r="BP122" s="55"/>
      <c r="BQ122" s="55"/>
      <c r="BR122" s="55"/>
      <c r="BS122" s="55"/>
      <c r="BT122" s="55"/>
      <c r="BU122" s="55"/>
      <c r="BV122" s="55"/>
      <c r="BW122" s="55"/>
      <c r="BX122" s="55"/>
      <c r="BY122" s="55"/>
      <c r="BZ122" s="55"/>
      <c r="CA122" s="55"/>
      <c r="CB122" s="55"/>
      <c r="CC122" s="55"/>
      <c r="CD122" s="55"/>
      <c r="CE122" s="55"/>
      <c r="CF122" s="55"/>
      <c r="CG122" s="55"/>
      <c r="CH122" s="55"/>
      <c r="CI122" s="55"/>
      <c r="CJ122" s="55"/>
      <c r="CK122" s="55"/>
      <c r="CL122" s="55"/>
      <c r="CM122" s="55"/>
      <c r="CN122" s="55"/>
      <c r="CO122" s="55"/>
      <c r="CP122" s="55"/>
    </row>
    <row r="123" spans="1:94" ht="21.75" thickBot="1" x14ac:dyDescent="0.4">
      <c r="A123" s="41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55"/>
      <c r="BA123" s="55"/>
      <c r="BB123" s="55"/>
      <c r="BC123" s="55"/>
      <c r="BD123" s="55"/>
      <c r="BE123" s="55"/>
      <c r="BF123" s="55"/>
      <c r="BG123" s="55"/>
      <c r="BH123" s="55"/>
      <c r="BI123" s="55"/>
      <c r="BJ123" s="55"/>
      <c r="BK123" s="55"/>
      <c r="BL123" s="55"/>
      <c r="BM123" s="55"/>
      <c r="BN123" s="55"/>
      <c r="BO123" s="55"/>
      <c r="BP123" s="55"/>
      <c r="BQ123" s="55"/>
      <c r="BR123" s="55"/>
      <c r="BS123" s="55"/>
      <c r="BT123" s="55"/>
      <c r="BU123" s="55"/>
      <c r="BV123" s="55"/>
      <c r="BW123" s="55"/>
      <c r="BX123" s="55"/>
      <c r="BY123" s="55"/>
      <c r="BZ123" s="55"/>
      <c r="CA123" s="55"/>
      <c r="CB123" s="55"/>
      <c r="CC123" s="55"/>
      <c r="CD123" s="55"/>
      <c r="CE123" s="55"/>
      <c r="CF123" s="55"/>
      <c r="CG123" s="55"/>
      <c r="CH123" s="55"/>
      <c r="CI123" s="55"/>
      <c r="CJ123" s="55"/>
      <c r="CK123" s="55"/>
      <c r="CL123" s="55"/>
      <c r="CM123" s="55"/>
      <c r="CN123" s="55"/>
      <c r="CO123" s="55"/>
      <c r="CP123" s="55"/>
    </row>
    <row r="124" spans="1:94" ht="21.75" thickBot="1" x14ac:dyDescent="0.4">
      <c r="A124" s="41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55"/>
      <c r="BA124" s="55"/>
      <c r="BB124" s="55"/>
      <c r="BC124" s="55"/>
      <c r="BD124" s="55"/>
      <c r="BE124" s="55"/>
      <c r="BF124" s="55"/>
      <c r="BG124" s="55"/>
      <c r="BH124" s="55"/>
      <c r="BI124" s="55"/>
      <c r="BJ124" s="55"/>
      <c r="BK124" s="55"/>
      <c r="BL124" s="55"/>
      <c r="BM124" s="55"/>
      <c r="BN124" s="55"/>
      <c r="BO124" s="55"/>
      <c r="BP124" s="55"/>
      <c r="BQ124" s="55"/>
      <c r="BR124" s="55"/>
      <c r="BS124" s="55"/>
      <c r="BT124" s="55"/>
      <c r="BU124" s="55"/>
      <c r="BV124" s="55"/>
      <c r="BW124" s="55"/>
      <c r="BX124" s="55"/>
      <c r="BY124" s="55"/>
      <c r="BZ124" s="55"/>
      <c r="CA124" s="55"/>
      <c r="CB124" s="55"/>
      <c r="CC124" s="55"/>
      <c r="CD124" s="55"/>
      <c r="CE124" s="55"/>
      <c r="CF124" s="55"/>
      <c r="CG124" s="55"/>
      <c r="CH124" s="55"/>
      <c r="CI124" s="55"/>
      <c r="CJ124" s="55"/>
      <c r="CK124" s="55"/>
      <c r="CL124" s="55"/>
      <c r="CM124" s="55"/>
      <c r="CN124" s="55"/>
      <c r="CO124" s="55"/>
      <c r="CP124" s="55"/>
    </row>
    <row r="125" spans="1:94" ht="21.75" thickBot="1" x14ac:dyDescent="0.4">
      <c r="A125" s="41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55"/>
      <c r="BA125" s="55"/>
      <c r="BB125" s="55"/>
      <c r="BC125" s="55"/>
      <c r="BD125" s="55"/>
      <c r="BE125" s="55"/>
      <c r="BF125" s="55"/>
      <c r="BG125" s="55"/>
      <c r="BH125" s="55"/>
      <c r="BI125" s="55"/>
      <c r="BJ125" s="55"/>
      <c r="BK125" s="55"/>
      <c r="BL125" s="55"/>
      <c r="BM125" s="55"/>
      <c r="BN125" s="55"/>
      <c r="BO125" s="55"/>
      <c r="BP125" s="55"/>
      <c r="BQ125" s="55"/>
      <c r="BR125" s="55"/>
      <c r="BS125" s="55"/>
      <c r="BT125" s="55"/>
      <c r="BU125" s="55"/>
      <c r="BV125" s="55"/>
      <c r="BW125" s="55"/>
      <c r="BX125" s="55"/>
      <c r="BY125" s="55"/>
      <c r="BZ125" s="55"/>
      <c r="CA125" s="55"/>
      <c r="CB125" s="55"/>
      <c r="CC125" s="55"/>
      <c r="CD125" s="55"/>
      <c r="CE125" s="55"/>
      <c r="CF125" s="55"/>
      <c r="CG125" s="55"/>
      <c r="CH125" s="55"/>
      <c r="CI125" s="55"/>
      <c r="CJ125" s="55"/>
      <c r="CK125" s="55"/>
      <c r="CL125" s="55"/>
      <c r="CM125" s="55"/>
      <c r="CN125" s="55"/>
      <c r="CO125" s="55"/>
      <c r="CP125" s="55"/>
    </row>
    <row r="126" spans="1:94" ht="21.75" thickBot="1" x14ac:dyDescent="0.4">
      <c r="A126" s="41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  <c r="BJ126" s="55"/>
      <c r="BK126" s="55"/>
      <c r="BL126" s="55"/>
      <c r="BM126" s="55"/>
      <c r="BN126" s="55"/>
      <c r="BO126" s="55"/>
      <c r="BP126" s="55"/>
      <c r="BQ126" s="55"/>
      <c r="BR126" s="55"/>
      <c r="BS126" s="55"/>
      <c r="BT126" s="55"/>
      <c r="BU126" s="55"/>
      <c r="BV126" s="55"/>
      <c r="BW126" s="55"/>
      <c r="BX126" s="55"/>
      <c r="BY126" s="55"/>
      <c r="BZ126" s="55"/>
      <c r="CA126" s="55"/>
      <c r="CB126" s="55"/>
      <c r="CC126" s="55"/>
      <c r="CD126" s="55"/>
      <c r="CE126" s="55"/>
      <c r="CF126" s="55"/>
      <c r="CG126" s="55"/>
      <c r="CH126" s="55"/>
      <c r="CI126" s="55"/>
      <c r="CJ126" s="55"/>
      <c r="CK126" s="55"/>
      <c r="CL126" s="55"/>
      <c r="CM126" s="55"/>
      <c r="CN126" s="55"/>
      <c r="CO126" s="55"/>
      <c r="CP126" s="55"/>
    </row>
    <row r="127" spans="1:94" ht="21.75" thickBot="1" x14ac:dyDescent="0.4">
      <c r="A127" s="41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  <c r="AN127" s="55"/>
      <c r="AO127" s="55"/>
      <c r="AP127" s="55"/>
      <c r="AQ127" s="55"/>
      <c r="AR127" s="55"/>
      <c r="AS127" s="55"/>
      <c r="AT127" s="55"/>
      <c r="AU127" s="55"/>
      <c r="AV127" s="55"/>
      <c r="AW127" s="55"/>
      <c r="AX127" s="55"/>
      <c r="AY127" s="55"/>
      <c r="AZ127" s="55"/>
      <c r="BA127" s="55"/>
      <c r="BB127" s="55"/>
      <c r="BC127" s="55"/>
      <c r="BD127" s="55"/>
      <c r="BE127" s="55"/>
      <c r="BF127" s="55"/>
      <c r="BG127" s="55"/>
      <c r="BH127" s="55"/>
      <c r="BI127" s="55"/>
      <c r="BJ127" s="55"/>
      <c r="BK127" s="55"/>
      <c r="BL127" s="55"/>
      <c r="BM127" s="55"/>
      <c r="BN127" s="55"/>
      <c r="BO127" s="55"/>
      <c r="BP127" s="55"/>
      <c r="BQ127" s="55"/>
      <c r="BR127" s="55"/>
      <c r="BS127" s="55"/>
      <c r="BT127" s="55"/>
      <c r="BU127" s="55"/>
      <c r="BV127" s="55"/>
      <c r="BW127" s="55"/>
      <c r="BX127" s="55"/>
      <c r="BY127" s="55"/>
      <c r="BZ127" s="55"/>
      <c r="CA127" s="55"/>
      <c r="CB127" s="55"/>
      <c r="CC127" s="55"/>
      <c r="CD127" s="55"/>
      <c r="CE127" s="55"/>
      <c r="CF127" s="55"/>
      <c r="CG127" s="55"/>
      <c r="CH127" s="55"/>
      <c r="CI127" s="55"/>
      <c r="CJ127" s="55"/>
      <c r="CK127" s="55"/>
      <c r="CL127" s="55"/>
      <c r="CM127" s="55"/>
      <c r="CN127" s="55"/>
      <c r="CO127" s="55"/>
      <c r="CP127" s="55"/>
    </row>
    <row r="128" spans="1:94" ht="21.75" thickBot="1" x14ac:dyDescent="0.4">
      <c r="A128" s="41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  <c r="AN128" s="55"/>
      <c r="AO128" s="55"/>
      <c r="AP128" s="55"/>
      <c r="AQ128" s="55"/>
      <c r="AR128" s="55"/>
      <c r="AS128" s="55"/>
      <c r="AT128" s="55"/>
      <c r="AU128" s="55"/>
      <c r="AV128" s="55"/>
      <c r="AW128" s="55"/>
      <c r="AX128" s="55"/>
      <c r="AY128" s="55"/>
      <c r="AZ128" s="55"/>
      <c r="BA128" s="55"/>
      <c r="BB128" s="55"/>
      <c r="BC128" s="55"/>
      <c r="BD128" s="55"/>
      <c r="BE128" s="55"/>
      <c r="BF128" s="55"/>
      <c r="BG128" s="55"/>
      <c r="BH128" s="55"/>
      <c r="BI128" s="55"/>
      <c r="BJ128" s="55"/>
      <c r="BK128" s="55"/>
      <c r="BL128" s="55"/>
      <c r="BM128" s="55"/>
      <c r="BN128" s="55"/>
      <c r="BO128" s="55"/>
      <c r="BP128" s="55"/>
      <c r="BQ128" s="55"/>
      <c r="BR128" s="55"/>
      <c r="BS128" s="55"/>
      <c r="BT128" s="55"/>
      <c r="BU128" s="55"/>
      <c r="BV128" s="55"/>
      <c r="BW128" s="55"/>
      <c r="BX128" s="55"/>
      <c r="BY128" s="55"/>
      <c r="BZ128" s="55"/>
      <c r="CA128" s="55"/>
      <c r="CB128" s="55"/>
      <c r="CC128" s="55"/>
      <c r="CD128" s="55"/>
      <c r="CE128" s="55"/>
      <c r="CF128" s="55"/>
      <c r="CG128" s="55"/>
      <c r="CH128" s="55"/>
      <c r="CI128" s="55"/>
      <c r="CJ128" s="55"/>
      <c r="CK128" s="55"/>
      <c r="CL128" s="55"/>
      <c r="CM128" s="55"/>
      <c r="CN128" s="55"/>
      <c r="CO128" s="55"/>
      <c r="CP128" s="55"/>
    </row>
    <row r="129" spans="1:94" ht="21.75" thickBot="1" x14ac:dyDescent="0.4">
      <c r="A129" s="41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  <c r="AN129" s="55"/>
      <c r="AO129" s="55"/>
      <c r="AP129" s="55"/>
      <c r="AQ129" s="55"/>
      <c r="AR129" s="55"/>
      <c r="AS129" s="55"/>
      <c r="AT129" s="55"/>
      <c r="AU129" s="55"/>
      <c r="AV129" s="55"/>
      <c r="AW129" s="55"/>
      <c r="AX129" s="55"/>
      <c r="AY129" s="55"/>
      <c r="AZ129" s="55"/>
      <c r="BA129" s="55"/>
      <c r="BB129" s="55"/>
      <c r="BC129" s="55"/>
      <c r="BD129" s="55"/>
      <c r="BE129" s="55"/>
      <c r="BF129" s="55"/>
      <c r="BG129" s="55"/>
      <c r="BH129" s="55"/>
      <c r="BI129" s="55"/>
      <c r="BJ129" s="55"/>
      <c r="BK129" s="55"/>
      <c r="BL129" s="55"/>
      <c r="BM129" s="55"/>
      <c r="BN129" s="55"/>
      <c r="BO129" s="55"/>
      <c r="BP129" s="55"/>
      <c r="BQ129" s="55"/>
      <c r="BR129" s="55"/>
      <c r="BS129" s="55"/>
      <c r="BT129" s="55"/>
      <c r="BU129" s="55"/>
      <c r="BV129" s="55"/>
      <c r="BW129" s="55"/>
      <c r="BX129" s="55"/>
      <c r="BY129" s="55"/>
      <c r="BZ129" s="55"/>
      <c r="CA129" s="55"/>
      <c r="CB129" s="55"/>
      <c r="CC129" s="55"/>
      <c r="CD129" s="55"/>
      <c r="CE129" s="55"/>
      <c r="CF129" s="55"/>
      <c r="CG129" s="55"/>
      <c r="CH129" s="55"/>
      <c r="CI129" s="55"/>
      <c r="CJ129" s="55"/>
      <c r="CK129" s="55"/>
      <c r="CL129" s="55"/>
      <c r="CM129" s="55"/>
      <c r="CN129" s="55"/>
      <c r="CO129" s="55"/>
      <c r="CP129" s="55"/>
    </row>
    <row r="130" spans="1:94" ht="21.75" thickBot="1" x14ac:dyDescent="0.4">
      <c r="A130" s="41" t="s">
        <v>41</v>
      </c>
      <c r="B130" s="38">
        <v>0</v>
      </c>
      <c r="C130" s="38">
        <v>0</v>
      </c>
      <c r="D130" s="38">
        <v>0</v>
      </c>
      <c r="E130" s="38">
        <v>0</v>
      </c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>
        <v>0</v>
      </c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  <c r="BL130" s="55"/>
      <c r="BM130" s="55"/>
      <c r="BN130" s="55"/>
      <c r="BO130" s="55"/>
      <c r="BP130" s="55"/>
      <c r="BQ130" s="55"/>
      <c r="BR130" s="55"/>
      <c r="BS130" s="55"/>
      <c r="BT130" s="55"/>
      <c r="BU130" s="55"/>
      <c r="BV130" s="55"/>
      <c r="BW130" s="55"/>
      <c r="BX130" s="55"/>
      <c r="BY130" s="55"/>
      <c r="BZ130" s="55"/>
      <c r="CA130" s="55"/>
      <c r="CB130" s="55"/>
      <c r="CC130" s="55"/>
      <c r="CD130" s="55"/>
      <c r="CE130" s="55"/>
      <c r="CF130" s="55"/>
      <c r="CG130" s="55"/>
      <c r="CH130" s="55"/>
      <c r="CI130" s="55"/>
      <c r="CJ130" s="55"/>
      <c r="CK130" s="55"/>
      <c r="CL130" s="55"/>
      <c r="CM130" s="55"/>
      <c r="CN130" s="55"/>
      <c r="CO130" s="55"/>
      <c r="CP130" s="55">
        <v>0</v>
      </c>
    </row>
    <row r="131" spans="1:94" ht="21.75" thickBot="1" x14ac:dyDescent="0.4">
      <c r="A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>
        <v>554</v>
      </c>
      <c r="AJ131" s="55">
        <v>562</v>
      </c>
      <c r="AK131" s="55">
        <v>570</v>
      </c>
      <c r="AL131" s="55">
        <v>578</v>
      </c>
      <c r="AM131" s="55">
        <v>586</v>
      </c>
      <c r="AN131" s="55">
        <v>594</v>
      </c>
      <c r="AO131" s="55">
        <v>602</v>
      </c>
      <c r="AP131" s="55">
        <v>610</v>
      </c>
      <c r="AQ131" s="55">
        <v>618</v>
      </c>
      <c r="AR131" s="55">
        <v>626</v>
      </c>
      <c r="AS131" s="55">
        <v>634</v>
      </c>
      <c r="AT131" s="55">
        <v>642</v>
      </c>
      <c r="AU131" s="55">
        <v>650</v>
      </c>
      <c r="AV131" s="55">
        <v>658</v>
      </c>
      <c r="AW131" s="55">
        <v>666</v>
      </c>
      <c r="AX131" s="55">
        <v>674</v>
      </c>
      <c r="AY131" s="55">
        <v>682</v>
      </c>
      <c r="AZ131" s="55">
        <v>690</v>
      </c>
      <c r="BA131" s="55">
        <v>698</v>
      </c>
      <c r="BB131" s="55">
        <v>706</v>
      </c>
      <c r="BC131" s="55">
        <v>714</v>
      </c>
      <c r="BD131" s="55">
        <v>722</v>
      </c>
      <c r="BE131" s="55">
        <v>730</v>
      </c>
      <c r="BF131" s="55">
        <v>738</v>
      </c>
      <c r="BG131" s="55">
        <v>746</v>
      </c>
      <c r="BH131" s="55">
        <v>754</v>
      </c>
      <c r="BI131" s="55">
        <v>762</v>
      </c>
      <c r="BJ131" s="55">
        <v>770</v>
      </c>
      <c r="BK131" s="55">
        <v>778</v>
      </c>
      <c r="BL131" s="55">
        <v>786</v>
      </c>
      <c r="BM131" s="55">
        <v>794</v>
      </c>
      <c r="BN131" s="55">
        <v>802</v>
      </c>
      <c r="BO131" s="55">
        <v>810</v>
      </c>
      <c r="BP131" s="55">
        <v>818</v>
      </c>
      <c r="BQ131" s="55">
        <v>826</v>
      </c>
      <c r="BR131" s="55">
        <v>834</v>
      </c>
      <c r="BS131" s="55">
        <v>842</v>
      </c>
      <c r="BT131" s="55">
        <v>850</v>
      </c>
      <c r="BU131" s="55">
        <v>858</v>
      </c>
      <c r="BV131" s="55">
        <v>866</v>
      </c>
      <c r="BW131" s="55">
        <v>874</v>
      </c>
      <c r="BX131" s="55">
        <v>882</v>
      </c>
      <c r="BY131" s="55">
        <v>890</v>
      </c>
      <c r="BZ131" s="55">
        <v>898</v>
      </c>
      <c r="CA131" s="55">
        <v>906</v>
      </c>
      <c r="CB131" s="55">
        <v>914</v>
      </c>
      <c r="CC131" s="55">
        <v>922</v>
      </c>
      <c r="CD131" s="55">
        <v>930</v>
      </c>
      <c r="CE131" s="55">
        <v>938</v>
      </c>
      <c r="CF131" s="55">
        <v>946</v>
      </c>
      <c r="CG131" s="55">
        <v>954</v>
      </c>
      <c r="CH131" s="55">
        <v>962</v>
      </c>
      <c r="CI131" s="55">
        <v>970</v>
      </c>
      <c r="CJ131" s="55">
        <v>978</v>
      </c>
      <c r="CK131" s="55">
        <v>986</v>
      </c>
      <c r="CL131" s="55">
        <v>994</v>
      </c>
      <c r="CM131" s="55"/>
      <c r="CN131" s="55"/>
      <c r="CO131" s="55"/>
      <c r="CP131" s="55"/>
    </row>
    <row r="132" spans="1:94" ht="21.75" thickBot="1" x14ac:dyDescent="0.4">
      <c r="A132" s="18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>
        <v>-29.223980198019802</v>
      </c>
      <c r="AJ132" s="55">
        <v>-29.349138613861388</v>
      </c>
      <c r="AK132" s="55">
        <v>-29.477059405940594</v>
      </c>
      <c r="AL132" s="55">
        <v>-29.605871287128714</v>
      </c>
      <c r="AM132" s="55">
        <v>-29.737356435643566</v>
      </c>
      <c r="AN132" s="55">
        <v>-29.868841584158417</v>
      </c>
      <c r="AO132" s="55">
        <v>-29.998603960396039</v>
      </c>
      <c r="AP132" s="55">
        <v>-30.127712871287127</v>
      </c>
      <c r="AQ132" s="55">
        <v>-30.257851485148514</v>
      </c>
      <c r="AR132" s="55">
        <v>-30.392108910891089</v>
      </c>
      <c r="AS132" s="55">
        <v>-30.526366336633664</v>
      </c>
      <c r="AT132" s="55">
        <v>-30.659019801980197</v>
      </c>
      <c r="AU132" s="55">
        <v>-30.790900990099008</v>
      </c>
      <c r="AV132" s="55">
        <v>-30.922722772277226</v>
      </c>
      <c r="AW132" s="55">
        <v>-31.054207920792077</v>
      </c>
      <c r="AX132" s="55">
        <v>-31.185693069306929</v>
      </c>
      <c r="AY132" s="55">
        <v>-31.319200743494424</v>
      </c>
      <c r="AZ132" s="55">
        <v>-31.4539219330855</v>
      </c>
      <c r="BA132" s="55">
        <v>-31.588643122676579</v>
      </c>
      <c r="BB132" s="55">
        <v>-31.723364312267659</v>
      </c>
      <c r="BC132" s="55">
        <v>-31.858085501858735</v>
      </c>
      <c r="BD132" s="55">
        <v>-31.992806691449815</v>
      </c>
      <c r="BE132" s="55">
        <v>-32.127527881040891</v>
      </c>
      <c r="BF132" s="55">
        <v>-32.262249070631974</v>
      </c>
      <c r="BG132" s="55">
        <v>-32.39697026022305</v>
      </c>
      <c r="BH132" s="55">
        <v>-32.531691449814126</v>
      </c>
      <c r="BI132" s="55">
        <v>-32.66126732673267</v>
      </c>
      <c r="BJ132" s="55">
        <v>-32.786415841584159</v>
      </c>
      <c r="BK132" s="55">
        <v>-32.911613861386137</v>
      </c>
      <c r="BL132" s="55">
        <v>-33.040722772277228</v>
      </c>
      <c r="BM132" s="55">
        <v>-33.169831683168312</v>
      </c>
      <c r="BN132" s="55">
        <v>-33.296816831683167</v>
      </c>
      <c r="BO132" s="55">
        <v>-33.421569306930692</v>
      </c>
      <c r="BP132" s="55">
        <v>-33.546321782178218</v>
      </c>
      <c r="BQ132" s="55">
        <v>-33.671836633663368</v>
      </c>
      <c r="BR132" s="55">
        <v>-33.797381188118806</v>
      </c>
      <c r="BS132" s="55">
        <v>-33.920846534653464</v>
      </c>
      <c r="BT132" s="55">
        <v>-34.041638613861387</v>
      </c>
      <c r="BU132" s="55">
        <v>-34.162430693069311</v>
      </c>
      <c r="BV132" s="55">
        <v>-34.263707920792079</v>
      </c>
      <c r="BW132" s="55">
        <v>-34.36311386138614</v>
      </c>
      <c r="BX132" s="55">
        <v>-34.465641791044774</v>
      </c>
      <c r="BY132" s="55">
        <v>-34.573104477611942</v>
      </c>
      <c r="BZ132" s="55">
        <v>-34.680567164179109</v>
      </c>
      <c r="CA132" s="55">
        <v>-34.791029702970299</v>
      </c>
      <c r="CB132" s="55">
        <v>-34.901920792079203</v>
      </c>
      <c r="CC132" s="55">
        <v>-35.012465346534647</v>
      </c>
      <c r="CD132" s="55">
        <v>-35.122366336633661</v>
      </c>
      <c r="CE132" s="55">
        <v>-35.232267326732668</v>
      </c>
      <c r="CF132" s="55">
        <v>-35.342168316831682</v>
      </c>
      <c r="CG132" s="55">
        <v>-35.452069306930689</v>
      </c>
      <c r="CH132" s="55">
        <v>-35.561970297029703</v>
      </c>
      <c r="CI132" s="55">
        <v>-35.671871287128717</v>
      </c>
      <c r="CJ132" s="55">
        <v>-35.781772277227724</v>
      </c>
      <c r="CK132" s="55">
        <v>-35.891673267326738</v>
      </c>
      <c r="CL132" s="55">
        <v>-36.001574257425744</v>
      </c>
      <c r="CM132" s="55"/>
      <c r="CN132" s="55"/>
      <c r="CO132" s="55"/>
      <c r="CP132" s="55"/>
    </row>
    <row r="133" spans="1:94" ht="21.75" thickBot="1" x14ac:dyDescent="0.4">
      <c r="A133" s="18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>
        <v>-22.834653465346531</v>
      </c>
      <c r="AJ133" s="55">
        <v>-22.092178217821779</v>
      </c>
      <c r="AK133" s="55">
        <v>-21.359504950495047</v>
      </c>
      <c r="AL133" s="55">
        <v>-20.636732673267325</v>
      </c>
      <c r="AM133" s="55">
        <v>-19.943663366336633</v>
      </c>
      <c r="AN133" s="55">
        <v>-19.250594059405941</v>
      </c>
      <c r="AO133" s="55">
        <v>-18.583366336633663</v>
      </c>
      <c r="AP133" s="55">
        <v>-17.925940594059405</v>
      </c>
      <c r="AQ133" s="55">
        <v>-17.275643564356432</v>
      </c>
      <c r="AR133" s="55">
        <v>-16.653861386138612</v>
      </c>
      <c r="AS133" s="55">
        <v>-16.032079207920795</v>
      </c>
      <c r="AT133" s="55">
        <v>-15.437029702970298</v>
      </c>
      <c r="AU133" s="55">
        <v>-14.854851485148513</v>
      </c>
      <c r="AV133" s="55">
        <v>-14.279801980198016</v>
      </c>
      <c r="AW133" s="55">
        <v>-13.745148514851483</v>
      </c>
      <c r="AX133" s="55">
        <v>-13.210495049504949</v>
      </c>
      <c r="AY133" s="55">
        <v>-12.811301115241635</v>
      </c>
      <c r="AZ133" s="55">
        <v>-12.493382899628253</v>
      </c>
      <c r="BA133" s="55">
        <v>-12.175464684014869</v>
      </c>
      <c r="BB133" s="55">
        <v>-11.857546468401488</v>
      </c>
      <c r="BC133" s="55">
        <v>-11.539628252788106</v>
      </c>
      <c r="BD133" s="55">
        <v>-11.221710037174722</v>
      </c>
      <c r="BE133" s="55">
        <v>-10.90379182156134</v>
      </c>
      <c r="BF133" s="55">
        <v>-10.585873605947958</v>
      </c>
      <c r="BG133" s="55">
        <v>-10.267955390334574</v>
      </c>
      <c r="BH133" s="55">
        <v>-9.9500371747211922</v>
      </c>
      <c r="BI133" s="55">
        <v>-9.6984801980198032</v>
      </c>
      <c r="BJ133" s="55">
        <v>-9.5040247524752477</v>
      </c>
      <c r="BK133" s="55">
        <v>-9.3097524752475245</v>
      </c>
      <c r="BL133" s="55">
        <v>-9.1299504950495045</v>
      </c>
      <c r="BM133" s="55">
        <v>-8.9501485148514863</v>
      </c>
      <c r="BN133" s="55">
        <v>-8.7771039603960403</v>
      </c>
      <c r="BO133" s="55">
        <v>-8.6111633663366334</v>
      </c>
      <c r="BP133" s="55">
        <v>-8.4452227722772264</v>
      </c>
      <c r="BQ133" s="55">
        <v>-8.2907178217821773</v>
      </c>
      <c r="BR133" s="55">
        <v>-8.136658415841584</v>
      </c>
      <c r="BS133" s="55">
        <v>-7.9902227722772281</v>
      </c>
      <c r="BT133" s="55">
        <v>-7.8535891089108922</v>
      </c>
      <c r="BU133" s="55">
        <v>-7.7169554455445555</v>
      </c>
      <c r="BV133" s="55">
        <v>-7.7299356435643567</v>
      </c>
      <c r="BW133" s="55">
        <v>-7.757262376237624</v>
      </c>
      <c r="BX133" s="55">
        <v>-7.7849502487562185</v>
      </c>
      <c r="BY133" s="55">
        <v>-7.8132089552238808</v>
      </c>
      <c r="BZ133" s="55">
        <v>-7.8414676616915422</v>
      </c>
      <c r="CA133" s="55">
        <v>-7.8692574257425738</v>
      </c>
      <c r="CB133" s="55">
        <v>-7.8969801980198016</v>
      </c>
      <c r="CC133" s="55">
        <v>-7.9244257425742575</v>
      </c>
      <c r="CD133" s="55">
        <v>-7.9513564356435644</v>
      </c>
      <c r="CE133" s="55">
        <v>-7.9782871287128714</v>
      </c>
      <c r="CF133" s="55">
        <v>-8.0052178217821783</v>
      </c>
      <c r="CG133" s="55">
        <v>-8.0321485148514853</v>
      </c>
      <c r="CH133" s="55">
        <v>-8.0590792079207922</v>
      </c>
      <c r="CI133" s="55">
        <v>-8.0860099009900992</v>
      </c>
      <c r="CJ133" s="55">
        <v>-8.1129405940594062</v>
      </c>
      <c r="CK133" s="55">
        <v>-8.1398712871287131</v>
      </c>
      <c r="CL133" s="55">
        <v>-8.1668019801980201</v>
      </c>
      <c r="CM133" s="55"/>
      <c r="CN133" s="55"/>
      <c r="CO133" s="55"/>
      <c r="CP133" s="55"/>
    </row>
    <row r="134" spans="1:94" ht="21.75" thickBot="1" x14ac:dyDescent="0.4">
      <c r="A134" s="18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>
        <v>-23.335049504950494</v>
      </c>
      <c r="AJ134" s="55">
        <v>-23.449009900990099</v>
      </c>
      <c r="AK134" s="55">
        <v>-23.563861386138612</v>
      </c>
      <c r="AL134" s="55">
        <v>-23.678712871287129</v>
      </c>
      <c r="AM134" s="55">
        <v>-23.793564356435642</v>
      </c>
      <c r="AN134" s="55">
        <v>-23.908415841584159</v>
      </c>
      <c r="AO134" s="55">
        <v>-24.020396039603959</v>
      </c>
      <c r="AP134" s="55">
        <v>-24.13128712871287</v>
      </c>
      <c r="AQ134" s="55">
        <v>-24.242970297029704</v>
      </c>
      <c r="AR134" s="55">
        <v>-24.357821782178217</v>
      </c>
      <c r="AS134" s="55">
        <v>-24.472673267326734</v>
      </c>
      <c r="AT134" s="55">
        <v>-24.584851485148516</v>
      </c>
      <c r="AU134" s="55">
        <v>-24.695742574257427</v>
      </c>
      <c r="AV134" s="55">
        <v>-24.806039603960397</v>
      </c>
      <c r="AW134" s="55">
        <v>-24.912970297029702</v>
      </c>
      <c r="AX134" s="55">
        <v>-25.019900990099007</v>
      </c>
      <c r="AY134" s="55">
        <v>-25.124436183395289</v>
      </c>
      <c r="AZ134" s="55">
        <v>-25.227534076827755</v>
      </c>
      <c r="BA134" s="55">
        <v>-25.330631970260221</v>
      </c>
      <c r="BB134" s="55">
        <v>-25.433729863692687</v>
      </c>
      <c r="BC134" s="55">
        <v>-25.536827757125156</v>
      </c>
      <c r="BD134" s="55">
        <v>-25.639925650557622</v>
      </c>
      <c r="BE134" s="55">
        <v>-25.743023543990088</v>
      </c>
      <c r="BF134" s="55">
        <v>-25.846121437422553</v>
      </c>
      <c r="BG134" s="55">
        <v>-25.949219330855019</v>
      </c>
      <c r="BH134" s="55">
        <v>-26.052317224287485</v>
      </c>
      <c r="BI134" s="55">
        <v>-26.155346534653464</v>
      </c>
      <c r="BJ134" s="55">
        <v>-26.258316831683167</v>
      </c>
      <c r="BK134" s="55">
        <v>-26.361336633663367</v>
      </c>
      <c r="BL134" s="55">
        <v>-26.468267326732672</v>
      </c>
      <c r="BM134" s="55">
        <v>-26.575198019801981</v>
      </c>
      <c r="BN134" s="55">
        <v>-26.680198019801978</v>
      </c>
      <c r="BO134" s="55">
        <v>-26.783168316831684</v>
      </c>
      <c r="BP134" s="55">
        <v>-26.886138613861387</v>
      </c>
      <c r="BQ134" s="55">
        <v>-26.98910891089109</v>
      </c>
      <c r="BR134" s="55">
        <v>-27.09207920792079</v>
      </c>
      <c r="BS134" s="55">
        <v>-27.193316831683166</v>
      </c>
      <c r="BT134" s="55">
        <v>-27.292326732673267</v>
      </c>
      <c r="BU134" s="55">
        <v>-27.391336633663364</v>
      </c>
      <c r="BV134" s="55">
        <v>-27.475891089108909</v>
      </c>
      <c r="BW134" s="55">
        <v>-27.559059405940594</v>
      </c>
      <c r="BX134" s="55">
        <v>-27.645472636815921</v>
      </c>
      <c r="BY134" s="55">
        <v>-27.737014925373135</v>
      </c>
      <c r="BZ134" s="55">
        <v>-27.828557213930349</v>
      </c>
      <c r="CA134" s="55">
        <v>-27.923168316831681</v>
      </c>
      <c r="CB134" s="55">
        <v>-28.018217821782176</v>
      </c>
      <c r="CC134" s="55">
        <v>-28.112574257425742</v>
      </c>
      <c r="CD134" s="55">
        <v>-28.205643564356432</v>
      </c>
      <c r="CE134" s="55">
        <v>-28.298712871287126</v>
      </c>
      <c r="CF134" s="55">
        <v>-28.39178217821782</v>
      </c>
      <c r="CG134" s="55">
        <v>-28.484851485148514</v>
      </c>
      <c r="CH134" s="55">
        <v>-28.577920792079208</v>
      </c>
      <c r="CI134" s="55">
        <v>-28.670990099009899</v>
      </c>
      <c r="CJ134" s="55">
        <v>-28.764059405940593</v>
      </c>
      <c r="CK134" s="55">
        <v>-28.857128712871287</v>
      </c>
      <c r="CL134" s="55">
        <v>-28.950198019801981</v>
      </c>
      <c r="CM134" s="55"/>
      <c r="CN134" s="55"/>
      <c r="CO134" s="55"/>
      <c r="CP134" s="55"/>
    </row>
    <row r="135" spans="1:94" ht="21.75" thickBot="1" x14ac:dyDescent="0.4">
      <c r="A135" s="18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>
        <v>-52.5590297029703</v>
      </c>
      <c r="AJ135" s="55">
        <v>-52.798148514851484</v>
      </c>
      <c r="AK135" s="55">
        <v>-53.040920792079206</v>
      </c>
      <c r="AL135" s="55">
        <v>-53.284584158415839</v>
      </c>
      <c r="AM135" s="55">
        <v>-53.530920792079208</v>
      </c>
      <c r="AN135" s="55">
        <v>-53.777257425742569</v>
      </c>
      <c r="AO135" s="55">
        <v>-54.018999999999998</v>
      </c>
      <c r="AP135" s="55">
        <v>-54.259</v>
      </c>
      <c r="AQ135" s="55">
        <v>-54.500821782178221</v>
      </c>
      <c r="AR135" s="55">
        <v>-54.749930693069309</v>
      </c>
      <c r="AS135" s="55">
        <v>-54.999039603960398</v>
      </c>
      <c r="AT135" s="55">
        <v>-55.243871287128719</v>
      </c>
      <c r="AU135" s="55">
        <v>-55.486643564356434</v>
      </c>
      <c r="AV135" s="55">
        <v>-55.728762376237626</v>
      </c>
      <c r="AW135" s="55">
        <v>-55.967178217821782</v>
      </c>
      <c r="AX135" s="55">
        <v>-56.205594059405939</v>
      </c>
      <c r="AY135" s="55">
        <v>-56.44363692688971</v>
      </c>
      <c r="AZ135" s="55">
        <v>-56.681456009913255</v>
      </c>
      <c r="BA135" s="55">
        <v>-56.9192750929368</v>
      </c>
      <c r="BB135" s="55">
        <v>-57.157094175960346</v>
      </c>
      <c r="BC135" s="55">
        <v>-57.394913258983891</v>
      </c>
      <c r="BD135" s="55">
        <v>-57.632732342007436</v>
      </c>
      <c r="BE135" s="55">
        <v>-57.870551425030975</v>
      </c>
      <c r="BF135" s="55">
        <v>-58.10837050805452</v>
      </c>
      <c r="BG135" s="55">
        <v>-58.346189591078065</v>
      </c>
      <c r="BH135" s="55">
        <v>-58.584008674101611</v>
      </c>
      <c r="BI135" s="55">
        <v>-58.816613861386138</v>
      </c>
      <c r="BJ135" s="55">
        <v>-59.044732673267326</v>
      </c>
      <c r="BK135" s="55">
        <v>-59.2729504950495</v>
      </c>
      <c r="BL135" s="55">
        <v>-59.5089900990099</v>
      </c>
      <c r="BM135" s="55">
        <v>-59.745029702970292</v>
      </c>
      <c r="BN135" s="55">
        <v>-59.977014851485151</v>
      </c>
      <c r="BO135" s="55">
        <v>-60.204737623762377</v>
      </c>
      <c r="BP135" s="55">
        <v>-60.432460396039609</v>
      </c>
      <c r="BQ135" s="55">
        <v>-60.660945544554458</v>
      </c>
      <c r="BR135" s="55">
        <v>-60.889460396039603</v>
      </c>
      <c r="BS135" s="55">
        <v>-61.114163366336633</v>
      </c>
      <c r="BT135" s="55">
        <v>-61.333965346534647</v>
      </c>
      <c r="BU135" s="55">
        <v>-61.553767326732668</v>
      </c>
      <c r="BV135" s="55">
        <v>-61.739599009900985</v>
      </c>
      <c r="BW135" s="55">
        <v>-61.922173267326727</v>
      </c>
      <c r="BX135" s="55">
        <v>-62.111114427860699</v>
      </c>
      <c r="BY135" s="55">
        <v>-62.310119402985073</v>
      </c>
      <c r="BZ135" s="55">
        <v>-62.509124378109455</v>
      </c>
      <c r="CA135" s="55">
        <v>-62.714198019801977</v>
      </c>
      <c r="CB135" s="55">
        <v>-62.920138613861383</v>
      </c>
      <c r="CC135" s="55">
        <v>-63.125039603960388</v>
      </c>
      <c r="CD135" s="55">
        <v>-63.328009900990097</v>
      </c>
      <c r="CE135" s="55">
        <v>-63.530980198019797</v>
      </c>
      <c r="CF135" s="55">
        <v>-63.733950495049498</v>
      </c>
      <c r="CG135" s="55">
        <v>-63.936920792079206</v>
      </c>
      <c r="CH135" s="55">
        <v>-64.139891089108914</v>
      </c>
      <c r="CI135" s="55">
        <v>-64.342861386138608</v>
      </c>
      <c r="CJ135" s="55">
        <v>-64.545831683168316</v>
      </c>
      <c r="CK135" s="55">
        <v>-64.748801980198024</v>
      </c>
      <c r="CL135" s="55">
        <v>-64.951772277227718</v>
      </c>
      <c r="CM135" s="55"/>
      <c r="CN135" s="55"/>
      <c r="CO135" s="55"/>
      <c r="CP135" s="55"/>
    </row>
    <row r="136" spans="1:94" ht="21.75" thickBot="1" x14ac:dyDescent="0.4">
      <c r="A136" s="18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>
        <v>-115.67445544554455</v>
      </c>
      <c r="AJ136" s="55">
        <v>-114.53138613861385</v>
      </c>
      <c r="AK136" s="55">
        <v>-113.41059405940594</v>
      </c>
      <c r="AL136" s="55">
        <v>-112.30960396039603</v>
      </c>
      <c r="AM136" s="55">
        <v>-111.2680198019802</v>
      </c>
      <c r="AN136" s="55">
        <v>-110.22643564356436</v>
      </c>
      <c r="AO136" s="55">
        <v>-109.2279207920792</v>
      </c>
      <c r="AP136" s="55">
        <v>-108.24574257425742</v>
      </c>
      <c r="AQ136" s="55">
        <v>-107.28019801980197</v>
      </c>
      <c r="AR136" s="55">
        <v>-106.38118811881188</v>
      </c>
      <c r="AS136" s="55">
        <v>-105.48217821782178</v>
      </c>
      <c r="AT136" s="55">
        <v>-104.62861386138614</v>
      </c>
      <c r="AU136" s="55">
        <v>-103.7969306930693</v>
      </c>
      <c r="AV136" s="55">
        <v>-102.97772277227723</v>
      </c>
      <c r="AW136" s="55">
        <v>-102.22920792079208</v>
      </c>
      <c r="AX136" s="55">
        <v>-101.48069306930692</v>
      </c>
      <c r="AY136" s="55">
        <v>-100.99591078066913</v>
      </c>
      <c r="AZ136" s="55">
        <v>-100.66936802973977</v>
      </c>
      <c r="BA136" s="55">
        <v>-100.34282527881041</v>
      </c>
      <c r="BB136" s="55">
        <v>-100.01628252788103</v>
      </c>
      <c r="BC136" s="55">
        <v>-99.689739776951669</v>
      </c>
      <c r="BD136" s="55">
        <v>-99.363197026022306</v>
      </c>
      <c r="BE136" s="55">
        <v>-99.036654275092943</v>
      </c>
      <c r="BF136" s="55">
        <v>-98.710111524163565</v>
      </c>
      <c r="BG136" s="55">
        <v>-98.383568773234202</v>
      </c>
      <c r="BH136" s="55">
        <v>-98.057026022304839</v>
      </c>
      <c r="BI136" s="55">
        <v>-97.863</v>
      </c>
      <c r="BJ136" s="55">
        <v>-97.783000000000001</v>
      </c>
      <c r="BK136" s="55">
        <v>-97.703514851485139</v>
      </c>
      <c r="BL136" s="55">
        <v>-97.664702970297029</v>
      </c>
      <c r="BM136" s="55">
        <v>-97.625891089108904</v>
      </c>
      <c r="BN136" s="55">
        <v>-97.594801980198014</v>
      </c>
      <c r="BO136" s="55">
        <v>-97.571831683168313</v>
      </c>
      <c r="BP136" s="55">
        <v>-97.548861386138611</v>
      </c>
      <c r="BQ136" s="55">
        <v>-97.548762376237619</v>
      </c>
      <c r="BR136" s="55">
        <v>-97.549554455445531</v>
      </c>
      <c r="BS136" s="55">
        <v>-97.560396039603944</v>
      </c>
      <c r="BT136" s="55">
        <v>-97.584158415841571</v>
      </c>
      <c r="BU136" s="55">
        <v>-97.607920792079199</v>
      </c>
      <c r="BV136" s="55">
        <v>-97.887544554455431</v>
      </c>
      <c r="BW136" s="55">
        <v>-98.19170297029703</v>
      </c>
      <c r="BX136" s="55">
        <v>-98.506318407960194</v>
      </c>
      <c r="BY136" s="55">
        <v>-98.837462686567164</v>
      </c>
      <c r="BZ136" s="55">
        <v>-99.168606965174121</v>
      </c>
      <c r="CA136" s="55">
        <v>-99.508019801980197</v>
      </c>
      <c r="CB136" s="55">
        <v>-99.848613861386127</v>
      </c>
      <c r="CC136" s="55">
        <v>-100.18657425742573</v>
      </c>
      <c r="CD136" s="55">
        <v>-100.51964356435643</v>
      </c>
      <c r="CE136" s="55">
        <v>-100.85271287128712</v>
      </c>
      <c r="CF136" s="55">
        <v>-101.18578217821782</v>
      </c>
      <c r="CG136" s="55">
        <v>-101.5188514851485</v>
      </c>
      <c r="CH136" s="55">
        <v>-101.8519207920792</v>
      </c>
      <c r="CI136" s="55">
        <v>-102.18499009900989</v>
      </c>
      <c r="CJ136" s="55">
        <v>-102.51805940594059</v>
      </c>
      <c r="CK136" s="55">
        <v>-102.85112871287129</v>
      </c>
      <c r="CL136" s="55">
        <v>-103.18419801980198</v>
      </c>
      <c r="CM136" s="55"/>
      <c r="CN136" s="55"/>
      <c r="CO136" s="55"/>
      <c r="CP136" s="55"/>
    </row>
    <row r="137" spans="1:94" ht="21.75" thickBot="1" x14ac:dyDescent="0.4">
      <c r="A137" s="18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>
        <v>-69.004356435643558</v>
      </c>
      <c r="AJ137" s="55">
        <v>-67.633366336633657</v>
      </c>
      <c r="AK137" s="55">
        <v>-66.282871287128714</v>
      </c>
      <c r="AL137" s="55">
        <v>-64.952178217821782</v>
      </c>
      <c r="AM137" s="55">
        <v>-63.680891089108911</v>
      </c>
      <c r="AN137" s="55">
        <v>-62.409603960396048</v>
      </c>
      <c r="AO137" s="55">
        <v>-61.187128712871292</v>
      </c>
      <c r="AP137" s="55">
        <v>-59.98316831683168</v>
      </c>
      <c r="AQ137" s="55">
        <v>-58.794257425742565</v>
      </c>
      <c r="AR137" s="55">
        <v>-57.665544554455444</v>
      </c>
      <c r="AS137" s="55">
        <v>-56.536831683168323</v>
      </c>
      <c r="AT137" s="55">
        <v>-55.458910891089111</v>
      </c>
      <c r="AU137" s="55">
        <v>-54.405445544554453</v>
      </c>
      <c r="AV137" s="55">
        <v>-53.365643564356425</v>
      </c>
      <c r="AW137" s="55">
        <v>-52.403267326732667</v>
      </c>
      <c r="AX137" s="55">
        <v>-51.440891089108909</v>
      </c>
      <c r="AY137" s="55">
        <v>-50.747038413878563</v>
      </c>
      <c r="AZ137" s="55">
        <v>-50.214299876084262</v>
      </c>
      <c r="BA137" s="55">
        <v>-49.68156133828996</v>
      </c>
      <c r="BB137" s="55">
        <v>-49.148822800495665</v>
      </c>
      <c r="BC137" s="55">
        <v>-48.616084262701364</v>
      </c>
      <c r="BD137" s="55">
        <v>-48.083345724907062</v>
      </c>
      <c r="BE137" s="55">
        <v>-47.550607187112767</v>
      </c>
      <c r="BF137" s="55">
        <v>-47.017868649318466</v>
      </c>
      <c r="BG137" s="55">
        <v>-46.485130111524171</v>
      </c>
      <c r="BH137" s="55">
        <v>-45.952391573729869</v>
      </c>
      <c r="BI137" s="55">
        <v>-45.552306930693071</v>
      </c>
      <c r="BJ137" s="55">
        <v>-45.266366336633659</v>
      </c>
      <c r="BK137" s="55">
        <v>-44.980841584158412</v>
      </c>
      <c r="BL137" s="55">
        <v>-44.728168316831685</v>
      </c>
      <c r="BM137" s="55">
        <v>-44.47549504950495</v>
      </c>
      <c r="BN137" s="55">
        <v>-44.234405940594065</v>
      </c>
      <c r="BO137" s="55">
        <v>-44.005495049504951</v>
      </c>
      <c r="BP137" s="55">
        <v>-43.776584158415844</v>
      </c>
      <c r="BQ137" s="55">
        <v>-43.570544554455445</v>
      </c>
      <c r="BR137" s="55">
        <v>-43.365396039603958</v>
      </c>
      <c r="BS137" s="55">
        <v>-43.173762376237626</v>
      </c>
      <c r="BT137" s="55">
        <v>-42.999504950495052</v>
      </c>
      <c r="BU137" s="55">
        <v>-42.825247524752477</v>
      </c>
      <c r="BV137" s="55">
        <v>-42.935762376237626</v>
      </c>
      <c r="BW137" s="55">
        <v>-43.073584158415841</v>
      </c>
      <c r="BX137" s="55">
        <v>-43.21537313432836</v>
      </c>
      <c r="BY137" s="55">
        <v>-43.363432835820895</v>
      </c>
      <c r="BZ137" s="55">
        <v>-43.511492537313437</v>
      </c>
      <c r="CA137" s="55">
        <v>-43.661683168316834</v>
      </c>
      <c r="CB137" s="55">
        <v>-43.812178217821781</v>
      </c>
      <c r="CC137" s="55">
        <v>-43.961425742574257</v>
      </c>
      <c r="CD137" s="55">
        <v>-44.108356435643557</v>
      </c>
      <c r="CE137" s="55">
        <v>-44.255287128712865</v>
      </c>
      <c r="CF137" s="55">
        <v>-44.402217821782173</v>
      </c>
      <c r="CG137" s="55">
        <v>-44.549148514851481</v>
      </c>
      <c r="CH137" s="55">
        <v>-44.696079207920789</v>
      </c>
      <c r="CI137" s="55">
        <v>-44.843009900990097</v>
      </c>
      <c r="CJ137" s="55">
        <v>-44.989940594059405</v>
      </c>
      <c r="CK137" s="55">
        <v>-45.136871287128713</v>
      </c>
      <c r="CL137" s="55">
        <v>-45.283801980198021</v>
      </c>
      <c r="CM137" s="55"/>
      <c r="CN137" s="55"/>
      <c r="CO137" s="55"/>
      <c r="CP137" s="55"/>
    </row>
    <row r="138" spans="1:94" ht="21.75" thickBot="1" x14ac:dyDescent="0.4">
      <c r="A138" s="18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>
        <v>-22.834653465346531</v>
      </c>
      <c r="AJ138" s="55">
        <v>-22.092178217821779</v>
      </c>
      <c r="AK138" s="55">
        <v>-21.359504950495047</v>
      </c>
      <c r="AL138" s="55">
        <v>-20.636732673267325</v>
      </c>
      <c r="AM138" s="55">
        <v>-19.943663366336633</v>
      </c>
      <c r="AN138" s="55">
        <v>-19.250594059405941</v>
      </c>
      <c r="AO138" s="55">
        <v>-18.583366336633663</v>
      </c>
      <c r="AP138" s="55">
        <v>-17.925940594059405</v>
      </c>
      <c r="AQ138" s="55">
        <v>-17.275643564356432</v>
      </c>
      <c r="AR138" s="55">
        <v>-16.653861386138612</v>
      </c>
      <c r="AS138" s="55">
        <v>-16.032079207920795</v>
      </c>
      <c r="AT138" s="55">
        <v>-15.437029702970298</v>
      </c>
      <c r="AU138" s="55">
        <v>-14.854851485148513</v>
      </c>
      <c r="AV138" s="55">
        <v>-14.279801980198016</v>
      </c>
      <c r="AW138" s="55">
        <v>-13.745148514851483</v>
      </c>
      <c r="AX138" s="55">
        <v>-13.210495049504949</v>
      </c>
      <c r="AY138" s="55">
        <v>-12.811301115241635</v>
      </c>
      <c r="AZ138" s="55">
        <v>-12.493382899628253</v>
      </c>
      <c r="BA138" s="55">
        <v>-12.175464684014869</v>
      </c>
      <c r="BB138" s="55">
        <v>-11.857546468401488</v>
      </c>
      <c r="BC138" s="55">
        <v>-11.539628252788106</v>
      </c>
      <c r="BD138" s="55">
        <v>-11.221710037174722</v>
      </c>
      <c r="BE138" s="55">
        <v>-10.90379182156134</v>
      </c>
      <c r="BF138" s="55">
        <v>-10.585873605947958</v>
      </c>
      <c r="BG138" s="55">
        <v>-10.267955390334574</v>
      </c>
      <c r="BH138" s="55">
        <v>-9.9500371747211922</v>
      </c>
      <c r="BI138" s="55">
        <v>-9.6984801980198032</v>
      </c>
      <c r="BJ138" s="55">
        <v>-9.5040247524752477</v>
      </c>
      <c r="BK138" s="55">
        <v>-9.3097524752475245</v>
      </c>
      <c r="BL138" s="55">
        <v>-9.1299504950495045</v>
      </c>
      <c r="BM138" s="55">
        <v>-8.9501485148514863</v>
      </c>
      <c r="BN138" s="55">
        <v>-8.7771039603960403</v>
      </c>
      <c r="BO138" s="55">
        <v>-8.6111633663366334</v>
      </c>
      <c r="BP138" s="55">
        <v>-8.4452227722772264</v>
      </c>
      <c r="BQ138" s="55">
        <v>-8.2907178217821773</v>
      </c>
      <c r="BR138" s="55">
        <v>-8.136658415841584</v>
      </c>
      <c r="BS138" s="55">
        <v>-7.9902227722772281</v>
      </c>
      <c r="BT138" s="55">
        <v>-7.8535891089108922</v>
      </c>
      <c r="BU138" s="55">
        <v>-7.7169554455445555</v>
      </c>
      <c r="BV138" s="55">
        <v>-7.7299356435643567</v>
      </c>
      <c r="BW138" s="55">
        <v>-7.757262376237624</v>
      </c>
      <c r="BX138" s="55">
        <v>-7.7849502487562185</v>
      </c>
      <c r="BY138" s="55">
        <v>-7.8132089552238808</v>
      </c>
      <c r="BZ138" s="55">
        <v>-7.8414676616915422</v>
      </c>
      <c r="CA138" s="55">
        <v>-7.8692574257425738</v>
      </c>
      <c r="CB138" s="55">
        <v>-7.8969801980198016</v>
      </c>
      <c r="CC138" s="55">
        <v>-7.9244257425742575</v>
      </c>
      <c r="CD138" s="55">
        <v>-7.9513564356435644</v>
      </c>
      <c r="CE138" s="55">
        <v>-7.9782871287128714</v>
      </c>
      <c r="CF138" s="55">
        <v>-8.0052178217821783</v>
      </c>
      <c r="CG138" s="55">
        <v>-8.0321485148514853</v>
      </c>
      <c r="CH138" s="55">
        <v>-8.0590792079207922</v>
      </c>
      <c r="CI138" s="55">
        <v>-8.0860099009900992</v>
      </c>
      <c r="CJ138" s="55">
        <v>-8.1129405940594062</v>
      </c>
      <c r="CK138" s="55">
        <v>-8.1398712871287131</v>
      </c>
      <c r="CL138" s="55">
        <v>-8.1668019801980201</v>
      </c>
      <c r="CM138" s="55"/>
      <c r="CN138" s="55"/>
      <c r="CO138" s="55"/>
      <c r="CP138" s="55"/>
    </row>
    <row r="139" spans="1:94" ht="21.75" thickBot="1" x14ac:dyDescent="0.4">
      <c r="A139" s="18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>
        <v>-19.056435643564356</v>
      </c>
      <c r="AJ139" s="55">
        <v>-19.072277227722772</v>
      </c>
      <c r="AK139" s="55">
        <v>-19.088118811881188</v>
      </c>
      <c r="AL139" s="55">
        <v>-19.103960396039604</v>
      </c>
      <c r="AM139" s="55">
        <v>-19.119801980198019</v>
      </c>
      <c r="AN139" s="55">
        <v>-19.135643564356435</v>
      </c>
      <c r="AO139" s="55">
        <v>-19.151485148514851</v>
      </c>
      <c r="AP139" s="55">
        <v>-19.167326732673267</v>
      </c>
      <c r="AQ139" s="55">
        <v>-19.183960396039605</v>
      </c>
      <c r="AR139" s="55">
        <v>-19.203762376237623</v>
      </c>
      <c r="AS139" s="55">
        <v>-19.223564356435645</v>
      </c>
      <c r="AT139" s="55">
        <v>-19.240693069306932</v>
      </c>
      <c r="AU139" s="55">
        <v>-19.256534653465348</v>
      </c>
      <c r="AV139" s="55">
        <v>-19.271782178217823</v>
      </c>
      <c r="AW139" s="55">
        <v>-19.283663366336633</v>
      </c>
      <c r="AX139" s="55">
        <v>-19.295544554455446</v>
      </c>
      <c r="AY139" s="55">
        <v>-19.308054522924412</v>
      </c>
      <c r="AZ139" s="55">
        <v>-19.320941759603471</v>
      </c>
      <c r="BA139" s="55">
        <v>-19.333828996282527</v>
      </c>
      <c r="BB139" s="55">
        <v>-19.346716232961587</v>
      </c>
      <c r="BC139" s="55">
        <v>-19.359603469640646</v>
      </c>
      <c r="BD139" s="55">
        <v>-19.372490706319702</v>
      </c>
      <c r="BE139" s="55">
        <v>-19.385377942998762</v>
      </c>
      <c r="BF139" s="55">
        <v>-19.398265179677818</v>
      </c>
      <c r="BG139" s="55">
        <v>-19.411152416356877</v>
      </c>
      <c r="BH139" s="55">
        <v>-19.424039653035937</v>
      </c>
      <c r="BI139" s="55">
        <v>-19.438514851485149</v>
      </c>
      <c r="BJ139" s="55">
        <v>-19.454356435643565</v>
      </c>
      <c r="BK139" s="55">
        <v>-19.47019801980198</v>
      </c>
      <c r="BL139" s="55">
        <v>-19.486039603960396</v>
      </c>
      <c r="BM139" s="55">
        <v>-19.501881188118812</v>
      </c>
      <c r="BN139" s="55">
        <v>-19.517722772277228</v>
      </c>
      <c r="BO139" s="55">
        <v>-19.533564356435644</v>
      </c>
      <c r="BP139" s="55">
        <v>-19.54940594059406</v>
      </c>
      <c r="BQ139" s="55">
        <v>-19.565247524752476</v>
      </c>
      <c r="BR139" s="55">
        <v>-19.581089108910891</v>
      </c>
      <c r="BS139" s="55">
        <v>-19.59519801980198</v>
      </c>
      <c r="BT139" s="55">
        <v>-19.607079207920794</v>
      </c>
      <c r="BU139" s="55">
        <v>-19.618960396039604</v>
      </c>
      <c r="BV139" s="55">
        <v>-19.634455445544557</v>
      </c>
      <c r="BW139" s="55">
        <v>-19.650297029702969</v>
      </c>
      <c r="BX139" s="55">
        <v>-19.666169154228857</v>
      </c>
      <c r="BY139" s="55">
        <v>-19.682089552238807</v>
      </c>
      <c r="BZ139" s="55">
        <v>-19.698009950248757</v>
      </c>
      <c r="CA139" s="55">
        <v>-19.713861386138614</v>
      </c>
      <c r="CB139" s="55">
        <v>-19.72970297029703</v>
      </c>
      <c r="CC139" s="55">
        <v>-19.744851485148512</v>
      </c>
      <c r="CD139" s="55">
        <v>-19.758712871287127</v>
      </c>
      <c r="CE139" s="55">
        <v>-19.772574257425742</v>
      </c>
      <c r="CF139" s="55">
        <v>-19.786435643564356</v>
      </c>
      <c r="CG139" s="55">
        <v>-19.800297029702968</v>
      </c>
      <c r="CH139" s="55">
        <v>-19.814158415841582</v>
      </c>
      <c r="CI139" s="55">
        <v>-19.828019801980197</v>
      </c>
      <c r="CJ139" s="55">
        <v>-19.841881188118812</v>
      </c>
      <c r="CK139" s="55">
        <v>-19.855742574257423</v>
      </c>
      <c r="CL139" s="55">
        <v>-19.869603960396038</v>
      </c>
      <c r="CM139" s="55"/>
      <c r="CN139" s="55"/>
      <c r="CO139" s="55"/>
      <c r="CP139" s="55"/>
    </row>
    <row r="140" spans="1:94" ht="21.75" thickBot="1" x14ac:dyDescent="0.4">
      <c r="A140" s="18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>
        <v>-52.5590297029703</v>
      </c>
      <c r="AJ140" s="55">
        <v>-52.798148514851484</v>
      </c>
      <c r="AK140" s="55">
        <v>-53.040920792079206</v>
      </c>
      <c r="AL140" s="55">
        <v>-53.284584158415839</v>
      </c>
      <c r="AM140" s="55">
        <v>-53.530920792079208</v>
      </c>
      <c r="AN140" s="55">
        <v>-53.777257425742569</v>
      </c>
      <c r="AO140" s="55">
        <v>-54.018999999999998</v>
      </c>
      <c r="AP140" s="55">
        <v>-54.259</v>
      </c>
      <c r="AQ140" s="55">
        <v>-54.500821782178221</v>
      </c>
      <c r="AR140" s="55">
        <v>-54.749930693069309</v>
      </c>
      <c r="AS140" s="55">
        <v>-54.999039603960398</v>
      </c>
      <c r="AT140" s="55">
        <v>-55.243871287128719</v>
      </c>
      <c r="AU140" s="55">
        <v>-55.486643564356434</v>
      </c>
      <c r="AV140" s="55">
        <v>-55.728762376237626</v>
      </c>
      <c r="AW140" s="55">
        <v>-55.967178217821782</v>
      </c>
      <c r="AX140" s="55">
        <v>-56.205594059405939</v>
      </c>
      <c r="AY140" s="55">
        <v>-56.44363692688971</v>
      </c>
      <c r="AZ140" s="55">
        <v>-56.681456009913255</v>
      </c>
      <c r="BA140" s="55">
        <v>-56.9192750929368</v>
      </c>
      <c r="BB140" s="55">
        <v>-57.157094175960346</v>
      </c>
      <c r="BC140" s="55">
        <v>-57.394913258983891</v>
      </c>
      <c r="BD140" s="55">
        <v>-57.632732342007436</v>
      </c>
      <c r="BE140" s="55">
        <v>-57.870551425030975</v>
      </c>
      <c r="BF140" s="55">
        <v>-58.10837050805452</v>
      </c>
      <c r="BG140" s="55">
        <v>-58.346189591078065</v>
      </c>
      <c r="BH140" s="55">
        <v>-58.584008674101611</v>
      </c>
      <c r="BI140" s="55">
        <v>-58.816613861386138</v>
      </c>
      <c r="BJ140" s="55">
        <v>-59.044732673267326</v>
      </c>
      <c r="BK140" s="55">
        <v>-59.2729504950495</v>
      </c>
      <c r="BL140" s="55">
        <v>-59.5089900990099</v>
      </c>
      <c r="BM140" s="55">
        <v>-59.745029702970292</v>
      </c>
      <c r="BN140" s="55">
        <v>-59.977014851485151</v>
      </c>
      <c r="BO140" s="55">
        <v>-60.204737623762377</v>
      </c>
      <c r="BP140" s="55">
        <v>-60.432460396039609</v>
      </c>
      <c r="BQ140" s="55">
        <v>-60.660945544554458</v>
      </c>
      <c r="BR140" s="55">
        <v>-60.889460396039603</v>
      </c>
      <c r="BS140" s="55">
        <v>-61.114163366336633</v>
      </c>
      <c r="BT140" s="55">
        <v>-61.333965346534647</v>
      </c>
      <c r="BU140" s="55">
        <v>-61.553767326732668</v>
      </c>
      <c r="BV140" s="55">
        <v>-61.739599009900985</v>
      </c>
      <c r="BW140" s="55">
        <v>-61.922173267326727</v>
      </c>
      <c r="BX140" s="55">
        <v>-62.111114427860699</v>
      </c>
      <c r="BY140" s="55">
        <v>-62.310119402985073</v>
      </c>
      <c r="BZ140" s="55">
        <v>-62.509124378109455</v>
      </c>
      <c r="CA140" s="55">
        <v>-62.714198019801977</v>
      </c>
      <c r="CB140" s="55">
        <v>-62.920138613861383</v>
      </c>
      <c r="CC140" s="55">
        <v>-63.125039603960388</v>
      </c>
      <c r="CD140" s="55">
        <v>-63.328009900990097</v>
      </c>
      <c r="CE140" s="55">
        <v>-63.530980198019797</v>
      </c>
      <c r="CF140" s="55">
        <v>-63.733950495049498</v>
      </c>
      <c r="CG140" s="55">
        <v>-63.936920792079206</v>
      </c>
      <c r="CH140" s="55">
        <v>-64.139891089108914</v>
      </c>
      <c r="CI140" s="55">
        <v>-64.342861386138608</v>
      </c>
      <c r="CJ140" s="55">
        <v>-64.545831683168316</v>
      </c>
      <c r="CK140" s="55">
        <v>-64.748801980198024</v>
      </c>
      <c r="CL140" s="55">
        <v>-64.951772277227718</v>
      </c>
      <c r="CM140" s="55"/>
      <c r="CN140" s="55"/>
      <c r="CO140" s="55"/>
      <c r="CP140" s="55"/>
    </row>
    <row r="141" spans="1:94" ht="21.75" thickBot="1" x14ac:dyDescent="0.4">
      <c r="A141" s="18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>
        <v>-29.223980198019802</v>
      </c>
      <c r="AJ141" s="55">
        <v>-29.349138613861388</v>
      </c>
      <c r="AK141" s="55">
        <v>-29.477059405940594</v>
      </c>
      <c r="AL141" s="55">
        <v>-29.605871287128714</v>
      </c>
      <c r="AM141" s="55">
        <v>-29.737356435643566</v>
      </c>
      <c r="AN141" s="55">
        <v>-29.868841584158417</v>
      </c>
      <c r="AO141" s="55">
        <v>-29.998603960396039</v>
      </c>
      <c r="AP141" s="55">
        <v>-30.127712871287127</v>
      </c>
      <c r="AQ141" s="55">
        <v>-30.257851485148514</v>
      </c>
      <c r="AR141" s="55">
        <v>-30.392108910891089</v>
      </c>
      <c r="AS141" s="55">
        <v>-30.526366336633664</v>
      </c>
      <c r="AT141" s="55">
        <v>-30.659019801980197</v>
      </c>
      <c r="AU141" s="55">
        <v>-30.790900990099008</v>
      </c>
      <c r="AV141" s="55">
        <v>-30.922722772277226</v>
      </c>
      <c r="AW141" s="55">
        <v>-31.054207920792077</v>
      </c>
      <c r="AX141" s="55">
        <v>-31.185693069306929</v>
      </c>
      <c r="AY141" s="55">
        <v>-31.319200743494424</v>
      </c>
      <c r="AZ141" s="55">
        <v>-31.4539219330855</v>
      </c>
      <c r="BA141" s="55">
        <v>-31.588643122676579</v>
      </c>
      <c r="BB141" s="55">
        <v>-31.723364312267659</v>
      </c>
      <c r="BC141" s="55">
        <v>-31.858085501858735</v>
      </c>
      <c r="BD141" s="55">
        <v>-31.992806691449815</v>
      </c>
      <c r="BE141" s="55">
        <v>-32.127527881040891</v>
      </c>
      <c r="BF141" s="55">
        <v>-32.262249070631974</v>
      </c>
      <c r="BG141" s="55">
        <v>-32.39697026022305</v>
      </c>
      <c r="BH141" s="55">
        <v>-32.531691449814126</v>
      </c>
      <c r="BI141" s="55">
        <v>-32.66126732673267</v>
      </c>
      <c r="BJ141" s="55">
        <v>-32.786415841584159</v>
      </c>
      <c r="BK141" s="55">
        <v>-32.911613861386137</v>
      </c>
      <c r="BL141" s="55">
        <v>-33.040722772277228</v>
      </c>
      <c r="BM141" s="55">
        <v>-33.169831683168312</v>
      </c>
      <c r="BN141" s="55">
        <v>-33.296816831683167</v>
      </c>
      <c r="BO141" s="55">
        <v>-33.421569306930692</v>
      </c>
      <c r="BP141" s="55">
        <v>-33.546321782178218</v>
      </c>
      <c r="BQ141" s="55">
        <v>-33.671836633663368</v>
      </c>
      <c r="BR141" s="55">
        <v>-33.797381188118806</v>
      </c>
      <c r="BS141" s="55">
        <v>-33.920846534653464</v>
      </c>
      <c r="BT141" s="55">
        <v>-34.041638613861387</v>
      </c>
      <c r="BU141" s="55">
        <v>-34.162430693069311</v>
      </c>
      <c r="BV141" s="55">
        <v>-34.263707920792079</v>
      </c>
      <c r="BW141" s="55">
        <v>-34.36311386138614</v>
      </c>
      <c r="BX141" s="55">
        <v>-34.465641791044774</v>
      </c>
      <c r="BY141" s="55">
        <v>-34.573104477611942</v>
      </c>
      <c r="BZ141" s="55">
        <v>-34.680567164179109</v>
      </c>
      <c r="CA141" s="55">
        <v>-34.791029702970299</v>
      </c>
      <c r="CB141" s="55">
        <v>-34.901920792079203</v>
      </c>
      <c r="CC141" s="55">
        <v>-35.012465346534647</v>
      </c>
      <c r="CD141" s="55">
        <v>-35.122366336633661</v>
      </c>
      <c r="CE141" s="55">
        <v>-35.232267326732668</v>
      </c>
      <c r="CF141" s="55">
        <v>-35.342168316831682</v>
      </c>
      <c r="CG141" s="55">
        <v>-35.452069306930689</v>
      </c>
      <c r="CH141" s="55">
        <v>-35.561970297029703</v>
      </c>
      <c r="CI141" s="55">
        <v>-35.671871287128717</v>
      </c>
      <c r="CJ141" s="55">
        <v>-35.781772277227724</v>
      </c>
      <c r="CK141" s="55">
        <v>-35.891673267326738</v>
      </c>
      <c r="CL141" s="55">
        <v>-36.001574257425744</v>
      </c>
      <c r="CM141" s="55"/>
      <c r="CN141" s="55"/>
      <c r="CO141" s="55"/>
      <c r="CP141" s="55"/>
    </row>
    <row r="142" spans="1:94" ht="21.75" thickBot="1" x14ac:dyDescent="0.4">
      <c r="A142" s="18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>
        <v>-115.67445544554455</v>
      </c>
      <c r="AJ142" s="55">
        <v>-114.53138613861385</v>
      </c>
      <c r="AK142" s="55">
        <v>-113.41059405940594</v>
      </c>
      <c r="AL142" s="55">
        <v>-112.30960396039603</v>
      </c>
      <c r="AM142" s="55">
        <v>-111.2680198019802</v>
      </c>
      <c r="AN142" s="55">
        <v>-110.22643564356436</v>
      </c>
      <c r="AO142" s="55">
        <v>-109.2279207920792</v>
      </c>
      <c r="AP142" s="55">
        <v>-108.24574257425742</v>
      </c>
      <c r="AQ142" s="55">
        <v>-107.28019801980197</v>
      </c>
      <c r="AR142" s="55">
        <v>-106.38118811881188</v>
      </c>
      <c r="AS142" s="55">
        <v>-105.48217821782178</v>
      </c>
      <c r="AT142" s="55">
        <v>-104.62861386138614</v>
      </c>
      <c r="AU142" s="55">
        <v>-103.7969306930693</v>
      </c>
      <c r="AV142" s="55">
        <v>-102.97772277227723</v>
      </c>
      <c r="AW142" s="55">
        <v>-102.22920792079208</v>
      </c>
      <c r="AX142" s="55">
        <v>-101.48069306930692</v>
      </c>
      <c r="AY142" s="55">
        <v>-100.99591078066913</v>
      </c>
      <c r="AZ142" s="55">
        <v>-100.66936802973977</v>
      </c>
      <c r="BA142" s="55">
        <v>-100.34282527881041</v>
      </c>
      <c r="BB142" s="55">
        <v>-100.01628252788103</v>
      </c>
      <c r="BC142" s="55">
        <v>-99.689739776951669</v>
      </c>
      <c r="BD142" s="55">
        <v>-99.363197026022306</v>
      </c>
      <c r="BE142" s="55">
        <v>-99.036654275092943</v>
      </c>
      <c r="BF142" s="55">
        <v>-98.710111524163565</v>
      </c>
      <c r="BG142" s="55">
        <v>-98.383568773234202</v>
      </c>
      <c r="BH142" s="55">
        <v>-98.057026022304839</v>
      </c>
      <c r="BI142" s="55">
        <v>-97.863</v>
      </c>
      <c r="BJ142" s="55">
        <v>-97.783000000000001</v>
      </c>
      <c r="BK142" s="55">
        <v>-97.703514851485139</v>
      </c>
      <c r="BL142" s="55">
        <v>-97.664702970297029</v>
      </c>
      <c r="BM142" s="55">
        <v>-97.625891089108904</v>
      </c>
      <c r="BN142" s="55">
        <v>-97.594801980198014</v>
      </c>
      <c r="BO142" s="55">
        <v>-97.571831683168313</v>
      </c>
      <c r="BP142" s="55">
        <v>-97.548861386138611</v>
      </c>
      <c r="BQ142" s="55">
        <v>-97.548762376237619</v>
      </c>
      <c r="BR142" s="55">
        <v>-97.549554455445531</v>
      </c>
      <c r="BS142" s="55">
        <v>-97.560396039603944</v>
      </c>
      <c r="BT142" s="55">
        <v>-97.584158415841571</v>
      </c>
      <c r="BU142" s="55">
        <v>-97.607920792079199</v>
      </c>
      <c r="BV142" s="55">
        <v>-97.887544554455431</v>
      </c>
      <c r="BW142" s="55">
        <v>-98.19170297029703</v>
      </c>
      <c r="BX142" s="55">
        <v>-98.506318407960194</v>
      </c>
      <c r="BY142" s="55">
        <v>-98.837462686567164</v>
      </c>
      <c r="BZ142" s="55">
        <v>-99.168606965174121</v>
      </c>
      <c r="CA142" s="55">
        <v>-99.508019801980197</v>
      </c>
      <c r="CB142" s="55">
        <v>-99.848613861386127</v>
      </c>
      <c r="CC142" s="55">
        <v>-100.18657425742573</v>
      </c>
      <c r="CD142" s="55">
        <v>-100.51964356435643</v>
      </c>
      <c r="CE142" s="55">
        <v>-100.85271287128712</v>
      </c>
      <c r="CF142" s="55">
        <v>-101.18578217821782</v>
      </c>
      <c r="CG142" s="55">
        <v>-101.5188514851485</v>
      </c>
      <c r="CH142" s="55">
        <v>-101.8519207920792</v>
      </c>
      <c r="CI142" s="55">
        <v>-102.18499009900989</v>
      </c>
      <c r="CJ142" s="55">
        <v>-102.51805940594059</v>
      </c>
      <c r="CK142" s="55">
        <v>-102.85112871287129</v>
      </c>
      <c r="CL142" s="55">
        <v>-103.18419801980198</v>
      </c>
      <c r="CM142" s="55"/>
      <c r="CN142" s="55"/>
      <c r="CO142" s="55"/>
      <c r="CP142" s="55"/>
    </row>
    <row r="143" spans="1:94" ht="21.75" thickBot="1" x14ac:dyDescent="0.4">
      <c r="A143" s="18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>
        <v>-69.004356435643558</v>
      </c>
      <c r="AJ143" s="55">
        <v>-67.633366336633657</v>
      </c>
      <c r="AK143" s="55">
        <v>-66.282871287128714</v>
      </c>
      <c r="AL143" s="55">
        <v>-64.952178217821782</v>
      </c>
      <c r="AM143" s="55">
        <v>-63.680891089108911</v>
      </c>
      <c r="AN143" s="55">
        <v>-62.409603960396048</v>
      </c>
      <c r="AO143" s="55">
        <v>-61.187128712871292</v>
      </c>
      <c r="AP143" s="55">
        <v>-59.98316831683168</v>
      </c>
      <c r="AQ143" s="55">
        <v>-58.794257425742565</v>
      </c>
      <c r="AR143" s="55">
        <v>-57.665544554455444</v>
      </c>
      <c r="AS143" s="55">
        <v>-56.536831683168323</v>
      </c>
      <c r="AT143" s="55">
        <v>-55.458910891089111</v>
      </c>
      <c r="AU143" s="55">
        <v>-54.405445544554453</v>
      </c>
      <c r="AV143" s="55">
        <v>-53.365643564356425</v>
      </c>
      <c r="AW143" s="55">
        <v>-52.403267326732667</v>
      </c>
      <c r="AX143" s="55">
        <v>-51.440891089108909</v>
      </c>
      <c r="AY143" s="55">
        <v>-50.747038413878563</v>
      </c>
      <c r="AZ143" s="55">
        <v>-50.214299876084262</v>
      </c>
      <c r="BA143" s="55">
        <v>-49.68156133828996</v>
      </c>
      <c r="BB143" s="55">
        <v>-49.148822800495665</v>
      </c>
      <c r="BC143" s="55">
        <v>-48.616084262701364</v>
      </c>
      <c r="BD143" s="55">
        <v>-48.083345724907062</v>
      </c>
      <c r="BE143" s="55">
        <v>-47.550607187112767</v>
      </c>
      <c r="BF143" s="55">
        <v>-47.017868649318466</v>
      </c>
      <c r="BG143" s="55">
        <v>-46.485130111524171</v>
      </c>
      <c r="BH143" s="55">
        <v>-45.952391573729869</v>
      </c>
      <c r="BI143" s="55">
        <v>-45.552306930693071</v>
      </c>
      <c r="BJ143" s="55">
        <v>-45.266366336633659</v>
      </c>
      <c r="BK143" s="55">
        <v>-44.980841584158412</v>
      </c>
      <c r="BL143" s="55">
        <v>-44.728168316831685</v>
      </c>
      <c r="BM143" s="55">
        <v>-44.47549504950495</v>
      </c>
      <c r="BN143" s="55">
        <v>-44.234405940594065</v>
      </c>
      <c r="BO143" s="55">
        <v>-44.005495049504951</v>
      </c>
      <c r="BP143" s="55">
        <v>-43.776584158415844</v>
      </c>
      <c r="BQ143" s="55">
        <v>-43.570544554455445</v>
      </c>
      <c r="BR143" s="55">
        <v>-43.365396039603958</v>
      </c>
      <c r="BS143" s="55">
        <v>-43.173762376237626</v>
      </c>
      <c r="BT143" s="55">
        <v>-42.999504950495052</v>
      </c>
      <c r="BU143" s="55">
        <v>-42.825247524752477</v>
      </c>
      <c r="BV143" s="55">
        <v>-42.935762376237626</v>
      </c>
      <c r="BW143" s="55">
        <v>-43.073584158415841</v>
      </c>
      <c r="BX143" s="55">
        <v>-43.21537313432836</v>
      </c>
      <c r="BY143" s="55">
        <v>-43.363432835820895</v>
      </c>
      <c r="BZ143" s="55">
        <v>-43.511492537313437</v>
      </c>
      <c r="CA143" s="55">
        <v>-43.661683168316834</v>
      </c>
      <c r="CB143" s="55">
        <v>-43.812178217821781</v>
      </c>
      <c r="CC143" s="55">
        <v>-43.961425742574257</v>
      </c>
      <c r="CD143" s="55">
        <v>-44.108356435643557</v>
      </c>
      <c r="CE143" s="55">
        <v>-44.255287128712865</v>
      </c>
      <c r="CF143" s="55">
        <v>-44.402217821782173</v>
      </c>
      <c r="CG143" s="55">
        <v>-44.549148514851481</v>
      </c>
      <c r="CH143" s="55">
        <v>-44.696079207920789</v>
      </c>
      <c r="CI143" s="55">
        <v>-44.843009900990097</v>
      </c>
      <c r="CJ143" s="55">
        <v>-44.989940594059405</v>
      </c>
      <c r="CK143" s="55">
        <v>-45.136871287128713</v>
      </c>
      <c r="CL143" s="55">
        <v>-45.283801980198021</v>
      </c>
      <c r="CM143" s="55"/>
      <c r="CN143" s="55"/>
      <c r="CO143" s="55"/>
      <c r="CP143" s="55"/>
    </row>
    <row r="144" spans="1:94" ht="21.75" thickBot="1" x14ac:dyDescent="0.4">
      <c r="A144" s="18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>
        <v>-5.8889306930693071</v>
      </c>
      <c r="AJ144" s="55">
        <v>-5.9001287128712869</v>
      </c>
      <c r="AK144" s="55">
        <v>-5.91319801980198</v>
      </c>
      <c r="AL144" s="55">
        <v>-5.9271584158415838</v>
      </c>
      <c r="AM144" s="55">
        <v>-5.9437920792079204</v>
      </c>
      <c r="AN144" s="55">
        <v>-5.9604257425742571</v>
      </c>
      <c r="AO144" s="55">
        <v>-5.9782079207920793</v>
      </c>
      <c r="AP144" s="55">
        <v>-5.9964257425742575</v>
      </c>
      <c r="AQ144" s="55">
        <v>-6.014881188118812</v>
      </c>
      <c r="AR144" s="55">
        <v>-6.0342871287128714</v>
      </c>
      <c r="AS144" s="55">
        <v>-6.05369306930693</v>
      </c>
      <c r="AT144" s="55">
        <v>-6.0741683168316829</v>
      </c>
      <c r="AU144" s="55">
        <v>-6.0951584158415848</v>
      </c>
      <c r="AV144" s="55">
        <v>-6.1166831683168326</v>
      </c>
      <c r="AW144" s="55">
        <v>-6.1412376237623763</v>
      </c>
      <c r="AX144" s="55">
        <v>-6.1657920792079208</v>
      </c>
      <c r="AY144" s="55">
        <v>-6.1947645600991326</v>
      </c>
      <c r="AZ144" s="55">
        <v>-6.2263878562577446</v>
      </c>
      <c r="BA144" s="55">
        <v>-6.2580111524163566</v>
      </c>
      <c r="BB144" s="55">
        <v>-6.2896344485749687</v>
      </c>
      <c r="BC144" s="55">
        <v>-6.3212577447335807</v>
      </c>
      <c r="BD144" s="55">
        <v>-6.3528810408921927</v>
      </c>
      <c r="BE144" s="55">
        <v>-6.3845043370508048</v>
      </c>
      <c r="BF144" s="55">
        <v>-6.4161276332094168</v>
      </c>
      <c r="BG144" s="55">
        <v>-6.4477509293680297</v>
      </c>
      <c r="BH144" s="55">
        <v>-6.4793742255266418</v>
      </c>
      <c r="BI144" s="55">
        <v>-6.5059207920792073</v>
      </c>
      <c r="BJ144" s="55">
        <v>-6.5280990099009895</v>
      </c>
      <c r="BK144" s="55">
        <v>-6.5502772277227725</v>
      </c>
      <c r="BL144" s="55">
        <v>-6.5724554455445547</v>
      </c>
      <c r="BM144" s="55">
        <v>-6.5946336633663361</v>
      </c>
      <c r="BN144" s="55">
        <v>-6.6166188118811879</v>
      </c>
      <c r="BO144" s="55">
        <v>-6.6384009900990097</v>
      </c>
      <c r="BP144" s="55">
        <v>-6.6601831683168315</v>
      </c>
      <c r="BQ144" s="55">
        <v>-6.6827277227722774</v>
      </c>
      <c r="BR144" s="55">
        <v>-6.70530198019802</v>
      </c>
      <c r="BS144" s="55">
        <v>-6.7275297029702967</v>
      </c>
      <c r="BT144" s="55">
        <v>-6.7493118811881185</v>
      </c>
      <c r="BU144" s="55">
        <v>-6.7710940594059403</v>
      </c>
      <c r="BV144" s="55">
        <v>-6.787816831683168</v>
      </c>
      <c r="BW144" s="55">
        <v>-6.8040544554455442</v>
      </c>
      <c r="BX144" s="55">
        <v>-6.8201691542288554</v>
      </c>
      <c r="BY144" s="55">
        <v>-6.8360895522388061</v>
      </c>
      <c r="BZ144" s="55">
        <v>-6.8520099502487559</v>
      </c>
      <c r="CA144" s="55">
        <v>-6.867861386138614</v>
      </c>
      <c r="CB144" s="55">
        <v>-6.8837029702970298</v>
      </c>
      <c r="CC144" s="55">
        <v>-6.8998910891089107</v>
      </c>
      <c r="CD144" s="55">
        <v>-6.916722772277228</v>
      </c>
      <c r="CE144" s="55">
        <v>-6.9335544554455444</v>
      </c>
      <c r="CF144" s="55">
        <v>-6.9503861386138617</v>
      </c>
      <c r="CG144" s="55">
        <v>-6.9672178217821781</v>
      </c>
      <c r="CH144" s="55">
        <v>-6.9840495049504954</v>
      </c>
      <c r="CI144" s="55">
        <v>-7.0008811881188118</v>
      </c>
      <c r="CJ144" s="55">
        <v>-7.0177128712871291</v>
      </c>
      <c r="CK144" s="55">
        <v>-7.0345445544554455</v>
      </c>
      <c r="CL144" s="55">
        <v>-7.0513762376237628</v>
      </c>
      <c r="CM144" s="55"/>
      <c r="CN144" s="55"/>
      <c r="CO144" s="55"/>
      <c r="CP144" s="55"/>
    </row>
    <row r="145" spans="1:94" ht="21.75" thickBot="1" x14ac:dyDescent="0.4">
      <c r="A145" s="18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>
        <v>-22.834653465346531</v>
      </c>
      <c r="AJ145" s="55">
        <v>-22.092178217821779</v>
      </c>
      <c r="AK145" s="55">
        <v>-21.359504950495047</v>
      </c>
      <c r="AL145" s="55">
        <v>-20.636732673267325</v>
      </c>
      <c r="AM145" s="55">
        <v>-19.943663366336633</v>
      </c>
      <c r="AN145" s="55">
        <v>-19.250594059405941</v>
      </c>
      <c r="AO145" s="55">
        <v>-18.583366336633663</v>
      </c>
      <c r="AP145" s="55">
        <v>-17.925940594059405</v>
      </c>
      <c r="AQ145" s="55">
        <v>-17.275643564356432</v>
      </c>
      <c r="AR145" s="55">
        <v>-16.653861386138612</v>
      </c>
      <c r="AS145" s="55">
        <v>-16.032079207920795</v>
      </c>
      <c r="AT145" s="55">
        <v>-15.437029702970298</v>
      </c>
      <c r="AU145" s="55">
        <v>-14.854851485148513</v>
      </c>
      <c r="AV145" s="55">
        <v>-14.279801980198016</v>
      </c>
      <c r="AW145" s="55">
        <v>-13.745148514851483</v>
      </c>
      <c r="AX145" s="55">
        <v>-13.210495049504949</v>
      </c>
      <c r="AY145" s="55">
        <v>-12.811301115241635</v>
      </c>
      <c r="AZ145" s="55">
        <v>-12.493382899628253</v>
      </c>
      <c r="BA145" s="55">
        <v>-12.175464684014869</v>
      </c>
      <c r="BB145" s="55">
        <v>-11.857546468401488</v>
      </c>
      <c r="BC145" s="55">
        <v>-11.539628252788106</v>
      </c>
      <c r="BD145" s="55">
        <v>-11.221710037174722</v>
      </c>
      <c r="BE145" s="55">
        <v>-10.90379182156134</v>
      </c>
      <c r="BF145" s="55">
        <v>-10.585873605947958</v>
      </c>
      <c r="BG145" s="55">
        <v>-10.267955390334574</v>
      </c>
      <c r="BH145" s="55">
        <v>-9.9500371747211922</v>
      </c>
      <c r="BI145" s="55">
        <v>-9.6984801980198032</v>
      </c>
      <c r="BJ145" s="55">
        <v>-9.5040247524752477</v>
      </c>
      <c r="BK145" s="55">
        <v>-9.3097524752475245</v>
      </c>
      <c r="BL145" s="55">
        <v>-9.1299504950495045</v>
      </c>
      <c r="BM145" s="55">
        <v>-8.9501485148514863</v>
      </c>
      <c r="BN145" s="55">
        <v>-8.7771039603960403</v>
      </c>
      <c r="BO145" s="55">
        <v>-8.6111633663366334</v>
      </c>
      <c r="BP145" s="55">
        <v>-8.4452227722772264</v>
      </c>
      <c r="BQ145" s="55">
        <v>-8.2907178217821773</v>
      </c>
      <c r="BR145" s="55">
        <v>-8.136658415841584</v>
      </c>
      <c r="BS145" s="55">
        <v>-7.9902227722772281</v>
      </c>
      <c r="BT145" s="55">
        <v>-7.8535891089108922</v>
      </c>
      <c r="BU145" s="55">
        <v>-7.7169554455445555</v>
      </c>
      <c r="BV145" s="55">
        <v>-7.7299356435643567</v>
      </c>
      <c r="BW145" s="55">
        <v>-7.757262376237624</v>
      </c>
      <c r="BX145" s="55">
        <v>-7.7849502487562185</v>
      </c>
      <c r="BY145" s="55">
        <v>-7.8132089552238808</v>
      </c>
      <c r="BZ145" s="55">
        <v>-7.8414676616915422</v>
      </c>
      <c r="CA145" s="55">
        <v>-7.8692574257425738</v>
      </c>
      <c r="CB145" s="55">
        <v>-7.8969801980198016</v>
      </c>
      <c r="CC145" s="55">
        <v>-7.9244257425742575</v>
      </c>
      <c r="CD145" s="55">
        <v>-7.9513564356435644</v>
      </c>
      <c r="CE145" s="55">
        <v>-7.9782871287128714</v>
      </c>
      <c r="CF145" s="55">
        <v>-8.0052178217821783</v>
      </c>
      <c r="CG145" s="55">
        <v>-8.0321485148514853</v>
      </c>
      <c r="CH145" s="55">
        <v>-8.0590792079207922</v>
      </c>
      <c r="CI145" s="55">
        <v>-8.0860099009900992</v>
      </c>
      <c r="CJ145" s="55">
        <v>-8.1129405940594062</v>
      </c>
      <c r="CK145" s="55">
        <v>-8.1398712871287131</v>
      </c>
      <c r="CL145" s="55">
        <v>-8.1668019801980201</v>
      </c>
      <c r="CM145" s="55"/>
      <c r="CN145" s="55"/>
      <c r="CO145" s="55"/>
      <c r="CP145" s="55"/>
    </row>
    <row r="146" spans="1:94" ht="21.75" thickBot="1" x14ac:dyDescent="0.4">
      <c r="A146" s="18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>
        <v>-23.335049504950494</v>
      </c>
      <c r="AJ146" s="55">
        <v>-23.449009900990099</v>
      </c>
      <c r="AK146" s="55">
        <v>-23.563861386138612</v>
      </c>
      <c r="AL146" s="55">
        <v>-23.678712871287129</v>
      </c>
      <c r="AM146" s="55">
        <v>-23.793564356435642</v>
      </c>
      <c r="AN146" s="55">
        <v>-23.908415841584159</v>
      </c>
      <c r="AO146" s="55">
        <v>-24.020396039603959</v>
      </c>
      <c r="AP146" s="55">
        <v>-24.13128712871287</v>
      </c>
      <c r="AQ146" s="55">
        <v>-24.242970297029704</v>
      </c>
      <c r="AR146" s="55">
        <v>-24.357821782178217</v>
      </c>
      <c r="AS146" s="55">
        <v>-24.472673267326734</v>
      </c>
      <c r="AT146" s="55">
        <v>-24.584851485148516</v>
      </c>
      <c r="AU146" s="55">
        <v>-24.695742574257427</v>
      </c>
      <c r="AV146" s="55">
        <v>-24.806039603960397</v>
      </c>
      <c r="AW146" s="55">
        <v>-24.912970297029702</v>
      </c>
      <c r="AX146" s="55">
        <v>-25.019900990099007</v>
      </c>
      <c r="AY146" s="55">
        <v>-25.124436183395289</v>
      </c>
      <c r="AZ146" s="55">
        <v>-25.227534076827755</v>
      </c>
      <c r="BA146" s="55">
        <v>-25.330631970260221</v>
      </c>
      <c r="BB146" s="55">
        <v>-25.433729863692687</v>
      </c>
      <c r="BC146" s="55">
        <v>-25.536827757125156</v>
      </c>
      <c r="BD146" s="55">
        <v>-25.639925650557622</v>
      </c>
      <c r="BE146" s="55">
        <v>-25.743023543990088</v>
      </c>
      <c r="BF146" s="55">
        <v>-25.846121437422553</v>
      </c>
      <c r="BG146" s="55">
        <v>-25.949219330855019</v>
      </c>
      <c r="BH146" s="55">
        <v>-26.052317224287485</v>
      </c>
      <c r="BI146" s="55">
        <v>-26.155346534653464</v>
      </c>
      <c r="BJ146" s="55">
        <v>-26.258316831683167</v>
      </c>
      <c r="BK146" s="55">
        <v>-26.361336633663367</v>
      </c>
      <c r="BL146" s="55">
        <v>-26.468267326732672</v>
      </c>
      <c r="BM146" s="55">
        <v>-26.575198019801981</v>
      </c>
      <c r="BN146" s="55">
        <v>-26.680198019801978</v>
      </c>
      <c r="BO146" s="55">
        <v>-26.783168316831684</v>
      </c>
      <c r="BP146" s="55">
        <v>-26.886138613861387</v>
      </c>
      <c r="BQ146" s="55">
        <v>-26.98910891089109</v>
      </c>
      <c r="BR146" s="55">
        <v>-27.09207920792079</v>
      </c>
      <c r="BS146" s="55">
        <v>-27.193316831683166</v>
      </c>
      <c r="BT146" s="55">
        <v>-27.292326732673267</v>
      </c>
      <c r="BU146" s="55">
        <v>-27.391336633663364</v>
      </c>
      <c r="BV146" s="55">
        <v>-27.475891089108909</v>
      </c>
      <c r="BW146" s="55">
        <v>-27.559059405940594</v>
      </c>
      <c r="BX146" s="55">
        <v>-27.645472636815921</v>
      </c>
      <c r="BY146" s="55">
        <v>-27.737014925373135</v>
      </c>
      <c r="BZ146" s="55">
        <v>-27.828557213930349</v>
      </c>
      <c r="CA146" s="55">
        <v>-27.923168316831681</v>
      </c>
      <c r="CB146" s="55">
        <v>-28.018217821782176</v>
      </c>
      <c r="CC146" s="55">
        <v>-28.112574257425742</v>
      </c>
      <c r="CD146" s="55">
        <v>-28.205643564356432</v>
      </c>
      <c r="CE146" s="55">
        <v>-28.298712871287126</v>
      </c>
      <c r="CF146" s="55">
        <v>-28.39178217821782</v>
      </c>
      <c r="CG146" s="55">
        <v>-28.484851485148514</v>
      </c>
      <c r="CH146" s="55">
        <v>-28.577920792079208</v>
      </c>
      <c r="CI146" s="55">
        <v>-28.670990099009899</v>
      </c>
      <c r="CJ146" s="55">
        <v>-28.764059405940593</v>
      </c>
      <c r="CK146" s="55">
        <v>-28.857128712871287</v>
      </c>
      <c r="CL146" s="55">
        <v>-28.950198019801981</v>
      </c>
      <c r="CM146" s="55"/>
      <c r="CN146" s="55"/>
      <c r="CO146" s="55"/>
      <c r="CP146" s="55"/>
    </row>
    <row r="147" spans="1:94" ht="21.75" thickBot="1" x14ac:dyDescent="0.4">
      <c r="A147" s="18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>
        <v>-23.335049504950494</v>
      </c>
      <c r="AJ147" s="55">
        <v>-23.449009900990099</v>
      </c>
      <c r="AK147" s="55">
        <v>-23.563861386138612</v>
      </c>
      <c r="AL147" s="55">
        <v>-23.678712871287129</v>
      </c>
      <c r="AM147" s="55">
        <v>-23.793564356435642</v>
      </c>
      <c r="AN147" s="55">
        <v>-23.908415841584159</v>
      </c>
      <c r="AO147" s="55">
        <v>-24.020396039603959</v>
      </c>
      <c r="AP147" s="55">
        <v>-24.13128712871287</v>
      </c>
      <c r="AQ147" s="55">
        <v>-24.242970297029704</v>
      </c>
      <c r="AR147" s="55">
        <v>-24.357821782178217</v>
      </c>
      <c r="AS147" s="55">
        <v>-24.472673267326734</v>
      </c>
      <c r="AT147" s="55">
        <v>-24.584851485148516</v>
      </c>
      <c r="AU147" s="55">
        <v>-24.695742574257427</v>
      </c>
      <c r="AV147" s="55">
        <v>-24.806039603960397</v>
      </c>
      <c r="AW147" s="55">
        <v>-24.912970297029702</v>
      </c>
      <c r="AX147" s="55">
        <v>-25.019900990099007</v>
      </c>
      <c r="AY147" s="55">
        <v>-25.124436183395289</v>
      </c>
      <c r="AZ147" s="55">
        <v>-25.227534076827755</v>
      </c>
      <c r="BA147" s="55">
        <v>-25.330631970260221</v>
      </c>
      <c r="BB147" s="55">
        <v>-25.433729863692687</v>
      </c>
      <c r="BC147" s="55">
        <v>-25.536827757125156</v>
      </c>
      <c r="BD147" s="55">
        <v>-25.639925650557622</v>
      </c>
      <c r="BE147" s="55">
        <v>-25.743023543990088</v>
      </c>
      <c r="BF147" s="55">
        <v>-25.846121437422553</v>
      </c>
      <c r="BG147" s="55">
        <v>-25.949219330855019</v>
      </c>
      <c r="BH147" s="55">
        <v>-26.052317224287485</v>
      </c>
      <c r="BI147" s="55">
        <v>-26.155346534653464</v>
      </c>
      <c r="BJ147" s="55">
        <v>-26.258316831683167</v>
      </c>
      <c r="BK147" s="55">
        <v>-26.361336633663367</v>
      </c>
      <c r="BL147" s="55">
        <v>-26.468267326732672</v>
      </c>
      <c r="BM147" s="55">
        <v>-26.575198019801981</v>
      </c>
      <c r="BN147" s="55">
        <v>-26.680198019801978</v>
      </c>
      <c r="BO147" s="55">
        <v>-26.783168316831684</v>
      </c>
      <c r="BP147" s="55">
        <v>-26.886138613861387</v>
      </c>
      <c r="BQ147" s="55">
        <v>-26.98910891089109</v>
      </c>
      <c r="BR147" s="55">
        <v>-27.09207920792079</v>
      </c>
      <c r="BS147" s="55">
        <v>-27.193316831683166</v>
      </c>
      <c r="BT147" s="55">
        <v>-27.292326732673267</v>
      </c>
      <c r="BU147" s="55">
        <v>-27.391336633663364</v>
      </c>
      <c r="BV147" s="55">
        <v>-27.475891089108909</v>
      </c>
      <c r="BW147" s="55">
        <v>-27.559059405940594</v>
      </c>
      <c r="BX147" s="55">
        <v>-27.645472636815921</v>
      </c>
      <c r="BY147" s="55">
        <v>-27.737014925373135</v>
      </c>
      <c r="BZ147" s="55">
        <v>-27.828557213930349</v>
      </c>
      <c r="CA147" s="55">
        <v>-27.923168316831681</v>
      </c>
      <c r="CB147" s="55">
        <v>-28.018217821782176</v>
      </c>
      <c r="CC147" s="55">
        <v>-28.112574257425742</v>
      </c>
      <c r="CD147" s="55">
        <v>-28.205643564356432</v>
      </c>
      <c r="CE147" s="55">
        <v>-28.298712871287126</v>
      </c>
      <c r="CF147" s="55">
        <v>-28.39178217821782</v>
      </c>
      <c r="CG147" s="55">
        <v>-28.484851485148514</v>
      </c>
      <c r="CH147" s="55">
        <v>-28.577920792079208</v>
      </c>
      <c r="CI147" s="55">
        <v>-28.670990099009899</v>
      </c>
      <c r="CJ147" s="55">
        <v>-28.764059405940593</v>
      </c>
      <c r="CK147" s="55">
        <v>-28.857128712871287</v>
      </c>
      <c r="CL147" s="55">
        <v>-28.950198019801981</v>
      </c>
      <c r="CM147" s="55"/>
      <c r="CN147" s="55"/>
      <c r="CO147" s="55"/>
      <c r="CP147" s="55"/>
    </row>
    <row r="148" spans="1:94" ht="21.75" thickBot="1" x14ac:dyDescent="0.4">
      <c r="A148" s="18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>
        <v>-23.335049504950494</v>
      </c>
      <c r="AJ148" s="55">
        <v>-23.449009900990099</v>
      </c>
      <c r="AK148" s="55">
        <v>-23.563861386138612</v>
      </c>
      <c r="AL148" s="55">
        <v>-23.678712871287129</v>
      </c>
      <c r="AM148" s="55">
        <v>-23.793564356435642</v>
      </c>
      <c r="AN148" s="55">
        <v>-23.908415841584159</v>
      </c>
      <c r="AO148" s="55">
        <v>-24.020396039603959</v>
      </c>
      <c r="AP148" s="55">
        <v>-24.13128712871287</v>
      </c>
      <c r="AQ148" s="55">
        <v>-24.242970297029704</v>
      </c>
      <c r="AR148" s="55">
        <v>-24.357821782178217</v>
      </c>
      <c r="AS148" s="55">
        <v>-24.472673267326734</v>
      </c>
      <c r="AT148" s="55">
        <v>-24.584851485148516</v>
      </c>
      <c r="AU148" s="55">
        <v>-24.695742574257427</v>
      </c>
      <c r="AV148" s="55">
        <v>-24.806039603960397</v>
      </c>
      <c r="AW148" s="55">
        <v>-24.912970297029702</v>
      </c>
      <c r="AX148" s="55">
        <v>-25.019900990099007</v>
      </c>
      <c r="AY148" s="55">
        <v>-25.124436183395289</v>
      </c>
      <c r="AZ148" s="55">
        <v>-25.227534076827755</v>
      </c>
      <c r="BA148" s="55">
        <v>-25.330631970260221</v>
      </c>
      <c r="BB148" s="55">
        <v>-25.433729863692687</v>
      </c>
      <c r="BC148" s="55">
        <v>-25.536827757125156</v>
      </c>
      <c r="BD148" s="55">
        <v>-25.639925650557622</v>
      </c>
      <c r="BE148" s="55">
        <v>-25.743023543990088</v>
      </c>
      <c r="BF148" s="55">
        <v>-25.846121437422553</v>
      </c>
      <c r="BG148" s="55">
        <v>-25.949219330855019</v>
      </c>
      <c r="BH148" s="55">
        <v>-26.052317224287485</v>
      </c>
      <c r="BI148" s="55">
        <v>-26.155346534653464</v>
      </c>
      <c r="BJ148" s="55">
        <v>-26.258316831683167</v>
      </c>
      <c r="BK148" s="55">
        <v>-26.361336633663367</v>
      </c>
      <c r="BL148" s="55">
        <v>-26.468267326732672</v>
      </c>
      <c r="BM148" s="55">
        <v>-26.575198019801981</v>
      </c>
      <c r="BN148" s="55">
        <v>-26.680198019801978</v>
      </c>
      <c r="BO148" s="55">
        <v>-26.783168316831684</v>
      </c>
      <c r="BP148" s="55">
        <v>-26.886138613861387</v>
      </c>
      <c r="BQ148" s="55">
        <v>-26.98910891089109</v>
      </c>
      <c r="BR148" s="55">
        <v>-27.09207920792079</v>
      </c>
      <c r="BS148" s="55">
        <v>-27.193316831683166</v>
      </c>
      <c r="BT148" s="55">
        <v>-27.292326732673267</v>
      </c>
      <c r="BU148" s="55">
        <v>-27.391336633663364</v>
      </c>
      <c r="BV148" s="55">
        <v>-27.475891089108909</v>
      </c>
      <c r="BW148" s="55">
        <v>-27.559059405940594</v>
      </c>
      <c r="BX148" s="55">
        <v>-27.645472636815921</v>
      </c>
      <c r="BY148" s="55">
        <v>-27.737014925373135</v>
      </c>
      <c r="BZ148" s="55">
        <v>-27.828557213930349</v>
      </c>
      <c r="CA148" s="55">
        <v>-27.923168316831681</v>
      </c>
      <c r="CB148" s="55">
        <v>-28.018217821782176</v>
      </c>
      <c r="CC148" s="55">
        <v>-28.112574257425742</v>
      </c>
      <c r="CD148" s="55">
        <v>-28.205643564356432</v>
      </c>
      <c r="CE148" s="55">
        <v>-28.298712871287126</v>
      </c>
      <c r="CF148" s="55">
        <v>-28.39178217821782</v>
      </c>
      <c r="CG148" s="55">
        <v>-28.484851485148514</v>
      </c>
      <c r="CH148" s="55">
        <v>-28.577920792079208</v>
      </c>
      <c r="CI148" s="55">
        <v>-28.670990099009899</v>
      </c>
      <c r="CJ148" s="55">
        <v>-28.764059405940593</v>
      </c>
      <c r="CK148" s="55">
        <v>-28.857128712871287</v>
      </c>
      <c r="CL148" s="55">
        <v>-28.950198019801981</v>
      </c>
      <c r="CM148" s="55"/>
      <c r="CN148" s="55"/>
      <c r="CO148" s="55"/>
      <c r="CP148" s="55"/>
    </row>
    <row r="149" spans="1:94" ht="21.75" thickBot="1" x14ac:dyDescent="0.4">
      <c r="A149" s="18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>
        <v>-23.335049504950494</v>
      </c>
      <c r="AJ149" s="55">
        <v>-23.449009900990099</v>
      </c>
      <c r="AK149" s="55">
        <v>-23.563861386138612</v>
      </c>
      <c r="AL149" s="55">
        <v>-23.678712871287129</v>
      </c>
      <c r="AM149" s="55">
        <v>-23.793564356435642</v>
      </c>
      <c r="AN149" s="55">
        <v>-23.908415841584159</v>
      </c>
      <c r="AO149" s="55">
        <v>-24.020396039603959</v>
      </c>
      <c r="AP149" s="55">
        <v>-24.13128712871287</v>
      </c>
      <c r="AQ149" s="55">
        <v>-24.242970297029704</v>
      </c>
      <c r="AR149" s="55">
        <v>-24.357821782178217</v>
      </c>
      <c r="AS149" s="55">
        <v>-24.472673267326734</v>
      </c>
      <c r="AT149" s="55">
        <v>-24.584851485148516</v>
      </c>
      <c r="AU149" s="55">
        <v>-24.695742574257427</v>
      </c>
      <c r="AV149" s="55">
        <v>-24.806039603960397</v>
      </c>
      <c r="AW149" s="55">
        <v>-24.912970297029702</v>
      </c>
      <c r="AX149" s="55">
        <v>-25.019900990099007</v>
      </c>
      <c r="AY149" s="55">
        <v>-25.124436183395289</v>
      </c>
      <c r="AZ149" s="55">
        <v>-25.227534076827755</v>
      </c>
      <c r="BA149" s="55">
        <v>-25.330631970260221</v>
      </c>
      <c r="BB149" s="55">
        <v>-25.433729863692687</v>
      </c>
      <c r="BC149" s="55">
        <v>-25.536827757125156</v>
      </c>
      <c r="BD149" s="55">
        <v>-25.639925650557622</v>
      </c>
      <c r="BE149" s="55">
        <v>-25.743023543990088</v>
      </c>
      <c r="BF149" s="55">
        <v>-25.846121437422553</v>
      </c>
      <c r="BG149" s="55">
        <v>-25.949219330855019</v>
      </c>
      <c r="BH149" s="55">
        <v>-26.052317224287485</v>
      </c>
      <c r="BI149" s="55">
        <v>-26.155346534653464</v>
      </c>
      <c r="BJ149" s="55">
        <v>-26.258316831683167</v>
      </c>
      <c r="BK149" s="55">
        <v>-26.361336633663367</v>
      </c>
      <c r="BL149" s="55">
        <v>-26.468267326732672</v>
      </c>
      <c r="BM149" s="55">
        <v>-26.575198019801981</v>
      </c>
      <c r="BN149" s="55">
        <v>-26.680198019801978</v>
      </c>
      <c r="BO149" s="55">
        <v>-26.783168316831684</v>
      </c>
      <c r="BP149" s="55">
        <v>-26.886138613861387</v>
      </c>
      <c r="BQ149" s="55">
        <v>-26.98910891089109</v>
      </c>
      <c r="BR149" s="55">
        <v>-27.09207920792079</v>
      </c>
      <c r="BS149" s="55">
        <v>-27.193316831683166</v>
      </c>
      <c r="BT149" s="55">
        <v>-27.292326732673267</v>
      </c>
      <c r="BU149" s="55">
        <v>-27.391336633663364</v>
      </c>
      <c r="BV149" s="55">
        <v>-27.475891089108909</v>
      </c>
      <c r="BW149" s="55">
        <v>-27.559059405940594</v>
      </c>
      <c r="BX149" s="55">
        <v>-27.645472636815921</v>
      </c>
      <c r="BY149" s="55">
        <v>-27.737014925373135</v>
      </c>
      <c r="BZ149" s="55">
        <v>-27.828557213930349</v>
      </c>
      <c r="CA149" s="55">
        <v>-27.923168316831681</v>
      </c>
      <c r="CB149" s="55">
        <v>-28.018217821782176</v>
      </c>
      <c r="CC149" s="55">
        <v>-28.112574257425742</v>
      </c>
      <c r="CD149" s="55">
        <v>-28.205643564356432</v>
      </c>
      <c r="CE149" s="55">
        <v>-28.298712871287126</v>
      </c>
      <c r="CF149" s="55">
        <v>-28.39178217821782</v>
      </c>
      <c r="CG149" s="55">
        <v>-28.484851485148514</v>
      </c>
      <c r="CH149" s="55">
        <v>-28.577920792079208</v>
      </c>
      <c r="CI149" s="55">
        <v>-28.670990099009899</v>
      </c>
      <c r="CJ149" s="55">
        <v>-28.764059405940593</v>
      </c>
      <c r="CK149" s="55">
        <v>-28.857128712871287</v>
      </c>
      <c r="CL149" s="55">
        <v>-28.950198019801981</v>
      </c>
      <c r="CM149" s="55"/>
      <c r="CN149" s="55"/>
      <c r="CO149" s="55"/>
      <c r="CP149" s="55"/>
    </row>
    <row r="150" spans="1:94" ht="21.75" thickBot="1" x14ac:dyDescent="0.4">
      <c r="A150" s="18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>
        <v>-5.8889306930693071</v>
      </c>
      <c r="AJ150" s="55">
        <v>-5.9001287128712869</v>
      </c>
      <c r="AK150" s="55">
        <v>-5.91319801980198</v>
      </c>
      <c r="AL150" s="55">
        <v>-5.9271584158415838</v>
      </c>
      <c r="AM150" s="55">
        <v>-5.9437920792079204</v>
      </c>
      <c r="AN150" s="55">
        <v>-5.9604257425742571</v>
      </c>
      <c r="AO150" s="55">
        <v>-5.9782079207920793</v>
      </c>
      <c r="AP150" s="55">
        <v>-5.9964257425742575</v>
      </c>
      <c r="AQ150" s="55">
        <v>-6.014881188118812</v>
      </c>
      <c r="AR150" s="55">
        <v>-6.0342871287128714</v>
      </c>
      <c r="AS150" s="55">
        <v>-6.05369306930693</v>
      </c>
      <c r="AT150" s="55">
        <v>-6.0741683168316829</v>
      </c>
      <c r="AU150" s="55">
        <v>-6.0951584158415848</v>
      </c>
      <c r="AV150" s="55">
        <v>-6.1166831683168326</v>
      </c>
      <c r="AW150" s="55">
        <v>-6.1412376237623763</v>
      </c>
      <c r="AX150" s="55">
        <v>-6.1657920792079208</v>
      </c>
      <c r="AY150" s="55">
        <v>-6.1947645600991326</v>
      </c>
      <c r="AZ150" s="55">
        <v>-6.2263878562577446</v>
      </c>
      <c r="BA150" s="55">
        <v>-6.2580111524163566</v>
      </c>
      <c r="BB150" s="55">
        <v>-6.2896344485749687</v>
      </c>
      <c r="BC150" s="55">
        <v>-6.3212577447335807</v>
      </c>
      <c r="BD150" s="55">
        <v>-6.3528810408921927</v>
      </c>
      <c r="BE150" s="55">
        <v>-6.3845043370508048</v>
      </c>
      <c r="BF150" s="55">
        <v>-6.4161276332094168</v>
      </c>
      <c r="BG150" s="55">
        <v>-6.4477509293680297</v>
      </c>
      <c r="BH150" s="55">
        <v>-6.4793742255266418</v>
      </c>
      <c r="BI150" s="55">
        <v>-6.5059207920792073</v>
      </c>
      <c r="BJ150" s="55">
        <v>-6.5280990099009895</v>
      </c>
      <c r="BK150" s="55">
        <v>-6.5502772277227725</v>
      </c>
      <c r="BL150" s="55">
        <v>-6.5724554455445547</v>
      </c>
      <c r="BM150" s="55">
        <v>-6.5946336633663361</v>
      </c>
      <c r="BN150" s="55">
        <v>-6.6166188118811879</v>
      </c>
      <c r="BO150" s="55">
        <v>-6.6384009900990097</v>
      </c>
      <c r="BP150" s="55">
        <v>-6.6601831683168315</v>
      </c>
      <c r="BQ150" s="55">
        <v>-6.6827277227722774</v>
      </c>
      <c r="BR150" s="55">
        <v>-6.70530198019802</v>
      </c>
      <c r="BS150" s="55">
        <v>-6.7275297029702967</v>
      </c>
      <c r="BT150" s="55">
        <v>-6.7493118811881185</v>
      </c>
      <c r="BU150" s="55">
        <v>-6.7710940594059403</v>
      </c>
      <c r="BV150" s="55">
        <v>-6.787816831683168</v>
      </c>
      <c r="BW150" s="55">
        <v>-6.8040544554455442</v>
      </c>
      <c r="BX150" s="55">
        <v>-6.8201691542288554</v>
      </c>
      <c r="BY150" s="55">
        <v>-6.8360895522388061</v>
      </c>
      <c r="BZ150" s="55">
        <v>-6.8520099502487559</v>
      </c>
      <c r="CA150" s="55">
        <v>-6.867861386138614</v>
      </c>
      <c r="CB150" s="55">
        <v>-6.8837029702970298</v>
      </c>
      <c r="CC150" s="55">
        <v>-6.8998910891089107</v>
      </c>
      <c r="CD150" s="55">
        <v>-6.916722772277228</v>
      </c>
      <c r="CE150" s="55">
        <v>-6.9335544554455444</v>
      </c>
      <c r="CF150" s="55">
        <v>-6.9503861386138617</v>
      </c>
      <c r="CG150" s="55">
        <v>-6.9672178217821781</v>
      </c>
      <c r="CH150" s="55">
        <v>-6.9840495049504954</v>
      </c>
      <c r="CI150" s="55">
        <v>-7.0008811881188118</v>
      </c>
      <c r="CJ150" s="55">
        <v>-7.0177128712871291</v>
      </c>
      <c r="CK150" s="55">
        <v>-7.0345445544554455</v>
      </c>
      <c r="CL150" s="55">
        <v>-7.0513762376237628</v>
      </c>
      <c r="CM150" s="55"/>
      <c r="CN150" s="55"/>
      <c r="CO150" s="55"/>
      <c r="CP150" s="55"/>
    </row>
    <row r="151" spans="1:94" ht="21.75" thickBot="1" x14ac:dyDescent="0.4">
      <c r="A151" s="18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>
        <v>-22.834653465346531</v>
      </c>
      <c r="AJ151" s="55">
        <v>-22.092178217821779</v>
      </c>
      <c r="AK151" s="55">
        <v>-21.359504950495047</v>
      </c>
      <c r="AL151" s="55">
        <v>-20.636732673267325</v>
      </c>
      <c r="AM151" s="55">
        <v>-19.943663366336633</v>
      </c>
      <c r="AN151" s="55">
        <v>-19.250594059405941</v>
      </c>
      <c r="AO151" s="55">
        <v>-18.583366336633663</v>
      </c>
      <c r="AP151" s="55">
        <v>-17.925940594059405</v>
      </c>
      <c r="AQ151" s="55">
        <v>-17.275643564356432</v>
      </c>
      <c r="AR151" s="55">
        <v>-16.653861386138612</v>
      </c>
      <c r="AS151" s="55">
        <v>-16.032079207920795</v>
      </c>
      <c r="AT151" s="55">
        <v>-15.437029702970298</v>
      </c>
      <c r="AU151" s="55">
        <v>-14.854851485148513</v>
      </c>
      <c r="AV151" s="55">
        <v>-14.279801980198016</v>
      </c>
      <c r="AW151" s="55">
        <v>-13.745148514851483</v>
      </c>
      <c r="AX151" s="55">
        <v>-13.210495049504949</v>
      </c>
      <c r="AY151" s="55">
        <v>-12.811301115241635</v>
      </c>
      <c r="AZ151" s="55">
        <v>-12.493382899628253</v>
      </c>
      <c r="BA151" s="55">
        <v>-12.175464684014869</v>
      </c>
      <c r="BB151" s="55">
        <v>-11.857546468401488</v>
      </c>
      <c r="BC151" s="55">
        <v>-11.539628252788106</v>
      </c>
      <c r="BD151" s="55">
        <v>-11.221710037174722</v>
      </c>
      <c r="BE151" s="55">
        <v>-10.90379182156134</v>
      </c>
      <c r="BF151" s="55">
        <v>-10.585873605947958</v>
      </c>
      <c r="BG151" s="55">
        <v>-10.267955390334574</v>
      </c>
      <c r="BH151" s="55">
        <v>-9.9500371747211922</v>
      </c>
      <c r="BI151" s="55">
        <v>-9.6984801980198032</v>
      </c>
      <c r="BJ151" s="55">
        <v>-9.5040247524752477</v>
      </c>
      <c r="BK151" s="55">
        <v>-9.3097524752475245</v>
      </c>
      <c r="BL151" s="55">
        <v>-9.1299504950495045</v>
      </c>
      <c r="BM151" s="55">
        <v>-8.9501485148514863</v>
      </c>
      <c r="BN151" s="55">
        <v>-8.7771039603960403</v>
      </c>
      <c r="BO151" s="55">
        <v>-8.6111633663366334</v>
      </c>
      <c r="BP151" s="55">
        <v>-8.4452227722772264</v>
      </c>
      <c r="BQ151" s="55">
        <v>-8.2907178217821773</v>
      </c>
      <c r="BR151" s="55">
        <v>-8.136658415841584</v>
      </c>
      <c r="BS151" s="55">
        <v>-7.9902227722772281</v>
      </c>
      <c r="BT151" s="55">
        <v>-7.8535891089108922</v>
      </c>
      <c r="BU151" s="55">
        <v>-7.7169554455445555</v>
      </c>
      <c r="BV151" s="55">
        <v>-7.7299356435643567</v>
      </c>
      <c r="BW151" s="55">
        <v>-7.757262376237624</v>
      </c>
      <c r="BX151" s="55">
        <v>-7.7849502487562185</v>
      </c>
      <c r="BY151" s="55">
        <v>-7.8132089552238808</v>
      </c>
      <c r="BZ151" s="55">
        <v>-7.8414676616915422</v>
      </c>
      <c r="CA151" s="55">
        <v>-7.8692574257425738</v>
      </c>
      <c r="CB151" s="55">
        <v>-7.8969801980198016</v>
      </c>
      <c r="CC151" s="55">
        <v>-7.9244257425742575</v>
      </c>
      <c r="CD151" s="55">
        <v>-7.9513564356435644</v>
      </c>
      <c r="CE151" s="55">
        <v>-7.9782871287128714</v>
      </c>
      <c r="CF151" s="55">
        <v>-8.0052178217821783</v>
      </c>
      <c r="CG151" s="55">
        <v>-8.0321485148514853</v>
      </c>
      <c r="CH151" s="55">
        <v>-8.0590792079207922</v>
      </c>
      <c r="CI151" s="55">
        <v>-8.0860099009900992</v>
      </c>
      <c r="CJ151" s="55">
        <v>-8.1129405940594062</v>
      </c>
      <c r="CK151" s="55">
        <v>-8.1398712871287131</v>
      </c>
      <c r="CL151" s="55">
        <v>-8.1668019801980201</v>
      </c>
      <c r="CM151" s="55"/>
      <c r="CN151" s="55"/>
      <c r="CO151" s="55"/>
      <c r="CP151" s="55"/>
    </row>
    <row r="152" spans="1:94" ht="21.75" thickBot="1" x14ac:dyDescent="0.4">
      <c r="A152" s="18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>
        <v>-5.8889306930693071</v>
      </c>
      <c r="AJ152" s="55">
        <v>-5.9001287128712869</v>
      </c>
      <c r="AK152" s="55">
        <v>-5.91319801980198</v>
      </c>
      <c r="AL152" s="55">
        <v>-5.9271584158415838</v>
      </c>
      <c r="AM152" s="55">
        <v>-5.9437920792079204</v>
      </c>
      <c r="AN152" s="55">
        <v>-5.9604257425742571</v>
      </c>
      <c r="AO152" s="55">
        <v>-5.9782079207920793</v>
      </c>
      <c r="AP152" s="55">
        <v>-5.9964257425742575</v>
      </c>
      <c r="AQ152" s="55">
        <v>-6.014881188118812</v>
      </c>
      <c r="AR152" s="55">
        <v>-6.0342871287128714</v>
      </c>
      <c r="AS152" s="55">
        <v>-6.05369306930693</v>
      </c>
      <c r="AT152" s="55">
        <v>-6.0741683168316829</v>
      </c>
      <c r="AU152" s="55">
        <v>-6.0951584158415848</v>
      </c>
      <c r="AV152" s="55">
        <v>-6.1166831683168326</v>
      </c>
      <c r="AW152" s="55">
        <v>-6.1412376237623763</v>
      </c>
      <c r="AX152" s="55">
        <v>-6.1657920792079208</v>
      </c>
      <c r="AY152" s="55">
        <v>-6.1947645600991326</v>
      </c>
      <c r="AZ152" s="55">
        <v>-6.2263878562577446</v>
      </c>
      <c r="BA152" s="55">
        <v>-6.2580111524163566</v>
      </c>
      <c r="BB152" s="55">
        <v>-6.2896344485749687</v>
      </c>
      <c r="BC152" s="55">
        <v>-6.3212577447335807</v>
      </c>
      <c r="BD152" s="55">
        <v>-6.3528810408921927</v>
      </c>
      <c r="BE152" s="55">
        <v>-6.3845043370508048</v>
      </c>
      <c r="BF152" s="55">
        <v>-6.4161276332094168</v>
      </c>
      <c r="BG152" s="55">
        <v>-6.4477509293680297</v>
      </c>
      <c r="BH152" s="55">
        <v>-6.4793742255266418</v>
      </c>
      <c r="BI152" s="55">
        <v>-6.5059207920792073</v>
      </c>
      <c r="BJ152" s="55">
        <v>-6.5280990099009895</v>
      </c>
      <c r="BK152" s="55">
        <v>-6.5502772277227725</v>
      </c>
      <c r="BL152" s="55">
        <v>-6.5724554455445547</v>
      </c>
      <c r="BM152" s="55">
        <v>-6.5946336633663361</v>
      </c>
      <c r="BN152" s="55">
        <v>-6.6166188118811879</v>
      </c>
      <c r="BO152" s="55">
        <v>-6.6384009900990097</v>
      </c>
      <c r="BP152" s="55">
        <v>-6.6601831683168315</v>
      </c>
      <c r="BQ152" s="55">
        <v>-6.6827277227722774</v>
      </c>
      <c r="BR152" s="55">
        <v>-6.70530198019802</v>
      </c>
      <c r="BS152" s="55">
        <v>-6.7275297029702967</v>
      </c>
      <c r="BT152" s="55">
        <v>-6.7493118811881185</v>
      </c>
      <c r="BU152" s="55">
        <v>-6.7710940594059403</v>
      </c>
      <c r="BV152" s="55">
        <v>-6.787816831683168</v>
      </c>
      <c r="BW152" s="55">
        <v>-6.8040544554455442</v>
      </c>
      <c r="BX152" s="55">
        <v>-6.8201691542288554</v>
      </c>
      <c r="BY152" s="55">
        <v>-6.8360895522388061</v>
      </c>
      <c r="BZ152" s="55">
        <v>-6.8520099502487559</v>
      </c>
      <c r="CA152" s="55">
        <v>-6.867861386138614</v>
      </c>
      <c r="CB152" s="55">
        <v>-6.8837029702970298</v>
      </c>
      <c r="CC152" s="55">
        <v>-6.8998910891089107</v>
      </c>
      <c r="CD152" s="55">
        <v>-6.916722772277228</v>
      </c>
      <c r="CE152" s="55">
        <v>-6.9335544554455444</v>
      </c>
      <c r="CF152" s="55">
        <v>-6.9503861386138617</v>
      </c>
      <c r="CG152" s="55">
        <v>-6.9672178217821781</v>
      </c>
      <c r="CH152" s="55">
        <v>-6.9840495049504954</v>
      </c>
      <c r="CI152" s="55">
        <v>-7.0008811881188118</v>
      </c>
      <c r="CJ152" s="55">
        <v>-7.0177128712871291</v>
      </c>
      <c r="CK152" s="55">
        <v>-7.0345445544554455</v>
      </c>
      <c r="CL152" s="55">
        <v>-7.0513762376237628</v>
      </c>
      <c r="CM152" s="55"/>
      <c r="CN152" s="55"/>
      <c r="CO152" s="55"/>
      <c r="CP152" s="55"/>
    </row>
    <row r="153" spans="1:94" ht="21.75" thickBot="1" x14ac:dyDescent="0.4">
      <c r="A153" s="18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>
        <v>-19.056435643564356</v>
      </c>
      <c r="AJ153" s="55">
        <v>-19.072277227722772</v>
      </c>
      <c r="AK153" s="55">
        <v>-19.088118811881188</v>
      </c>
      <c r="AL153" s="55">
        <v>-19.103960396039604</v>
      </c>
      <c r="AM153" s="55">
        <v>-19.119801980198019</v>
      </c>
      <c r="AN153" s="55">
        <v>-19.135643564356435</v>
      </c>
      <c r="AO153" s="55">
        <v>-19.151485148514851</v>
      </c>
      <c r="AP153" s="55">
        <v>-19.167326732673267</v>
      </c>
      <c r="AQ153" s="55">
        <v>-19.183960396039605</v>
      </c>
      <c r="AR153" s="55">
        <v>-19.203762376237623</v>
      </c>
      <c r="AS153" s="55">
        <v>-19.223564356435645</v>
      </c>
      <c r="AT153" s="55">
        <v>-19.240693069306932</v>
      </c>
      <c r="AU153" s="55">
        <v>-19.256534653465348</v>
      </c>
      <c r="AV153" s="55">
        <v>-19.271782178217823</v>
      </c>
      <c r="AW153" s="55">
        <v>-19.283663366336633</v>
      </c>
      <c r="AX153" s="55">
        <v>-19.295544554455446</v>
      </c>
      <c r="AY153" s="55">
        <v>-19.308054522924412</v>
      </c>
      <c r="AZ153" s="55">
        <v>-19.320941759603471</v>
      </c>
      <c r="BA153" s="55">
        <v>-19.333828996282527</v>
      </c>
      <c r="BB153" s="55">
        <v>-19.346716232961587</v>
      </c>
      <c r="BC153" s="55">
        <v>-19.359603469640646</v>
      </c>
      <c r="BD153" s="55">
        <v>-19.372490706319702</v>
      </c>
      <c r="BE153" s="55">
        <v>-19.385377942998762</v>
      </c>
      <c r="BF153" s="55">
        <v>-19.398265179677818</v>
      </c>
      <c r="BG153" s="55">
        <v>-19.411152416356877</v>
      </c>
      <c r="BH153" s="55">
        <v>-19.424039653035937</v>
      </c>
      <c r="BI153" s="55">
        <v>-19.438514851485149</v>
      </c>
      <c r="BJ153" s="55">
        <v>-19.454356435643565</v>
      </c>
      <c r="BK153" s="55">
        <v>-19.47019801980198</v>
      </c>
      <c r="BL153" s="55">
        <v>-19.486039603960396</v>
      </c>
      <c r="BM153" s="55">
        <v>-19.501881188118812</v>
      </c>
      <c r="BN153" s="55">
        <v>-19.517722772277228</v>
      </c>
      <c r="BO153" s="55">
        <v>-19.533564356435644</v>
      </c>
      <c r="BP153" s="55">
        <v>-19.54940594059406</v>
      </c>
      <c r="BQ153" s="55">
        <v>-19.565247524752476</v>
      </c>
      <c r="BR153" s="55">
        <v>-19.581089108910891</v>
      </c>
      <c r="BS153" s="55">
        <v>-19.59519801980198</v>
      </c>
      <c r="BT153" s="55">
        <v>-19.607079207920794</v>
      </c>
      <c r="BU153" s="55">
        <v>-19.618960396039604</v>
      </c>
      <c r="BV153" s="55">
        <v>-19.634455445544557</v>
      </c>
      <c r="BW153" s="55">
        <v>-19.650297029702969</v>
      </c>
      <c r="BX153" s="55">
        <v>-19.666169154228857</v>
      </c>
      <c r="BY153" s="55">
        <v>-19.682089552238807</v>
      </c>
      <c r="BZ153" s="55">
        <v>-19.698009950248757</v>
      </c>
      <c r="CA153" s="55">
        <v>-19.713861386138614</v>
      </c>
      <c r="CB153" s="55">
        <v>-19.72970297029703</v>
      </c>
      <c r="CC153" s="55">
        <v>-19.744851485148512</v>
      </c>
      <c r="CD153" s="55">
        <v>-19.758712871287127</v>
      </c>
      <c r="CE153" s="55">
        <v>-19.772574257425742</v>
      </c>
      <c r="CF153" s="55">
        <v>-19.786435643564356</v>
      </c>
      <c r="CG153" s="55">
        <v>-19.800297029702968</v>
      </c>
      <c r="CH153" s="55">
        <v>-19.814158415841582</v>
      </c>
      <c r="CI153" s="55">
        <v>-19.828019801980197</v>
      </c>
      <c r="CJ153" s="55">
        <v>-19.841881188118812</v>
      </c>
      <c r="CK153" s="55">
        <v>-19.855742574257423</v>
      </c>
      <c r="CL153" s="55">
        <v>-19.869603960396038</v>
      </c>
      <c r="CM153" s="55"/>
      <c r="CN153" s="55"/>
      <c r="CO153" s="55"/>
      <c r="CP153" s="55"/>
    </row>
    <row r="154" spans="1:94" ht="21.75" thickBot="1" x14ac:dyDescent="0.4">
      <c r="A154" s="18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>
        <v>-22.834653465346531</v>
      </c>
      <c r="AJ154" s="55">
        <v>-22.092178217821779</v>
      </c>
      <c r="AK154" s="55">
        <v>-21.359504950495047</v>
      </c>
      <c r="AL154" s="55">
        <v>-20.636732673267325</v>
      </c>
      <c r="AM154" s="55">
        <v>-19.943663366336633</v>
      </c>
      <c r="AN154" s="55">
        <v>-19.250594059405941</v>
      </c>
      <c r="AO154" s="55">
        <v>-18.583366336633663</v>
      </c>
      <c r="AP154" s="55">
        <v>-17.925940594059405</v>
      </c>
      <c r="AQ154" s="55">
        <v>-17.275643564356432</v>
      </c>
      <c r="AR154" s="55">
        <v>-16.653861386138612</v>
      </c>
      <c r="AS154" s="55">
        <v>-16.032079207920795</v>
      </c>
      <c r="AT154" s="55">
        <v>-15.437029702970298</v>
      </c>
      <c r="AU154" s="55">
        <v>-14.854851485148513</v>
      </c>
      <c r="AV154" s="55">
        <v>-14.279801980198016</v>
      </c>
      <c r="AW154" s="55">
        <v>-13.745148514851483</v>
      </c>
      <c r="AX154" s="55">
        <v>-13.210495049504949</v>
      </c>
      <c r="AY154" s="55">
        <v>-12.811301115241635</v>
      </c>
      <c r="AZ154" s="55">
        <v>-12.493382899628253</v>
      </c>
      <c r="BA154" s="55">
        <v>-12.175464684014869</v>
      </c>
      <c r="BB154" s="55">
        <v>-11.857546468401488</v>
      </c>
      <c r="BC154" s="55">
        <v>-11.539628252788106</v>
      </c>
      <c r="BD154" s="55">
        <v>-11.221710037174722</v>
      </c>
      <c r="BE154" s="55">
        <v>-10.90379182156134</v>
      </c>
      <c r="BF154" s="55">
        <v>-10.585873605947958</v>
      </c>
      <c r="BG154" s="55">
        <v>-10.267955390334574</v>
      </c>
      <c r="BH154" s="55">
        <v>-9.9500371747211922</v>
      </c>
      <c r="BI154" s="55">
        <v>-9.6984801980198032</v>
      </c>
      <c r="BJ154" s="55">
        <v>-9.5040247524752477</v>
      </c>
      <c r="BK154" s="55">
        <v>-9.3097524752475245</v>
      </c>
      <c r="BL154" s="55">
        <v>-9.1299504950495045</v>
      </c>
      <c r="BM154" s="55">
        <v>-8.9501485148514863</v>
      </c>
      <c r="BN154" s="55">
        <v>-8.7771039603960403</v>
      </c>
      <c r="BO154" s="55">
        <v>-8.6111633663366334</v>
      </c>
      <c r="BP154" s="55">
        <v>-8.4452227722772264</v>
      </c>
      <c r="BQ154" s="55">
        <v>-8.2907178217821773</v>
      </c>
      <c r="BR154" s="55">
        <v>-8.136658415841584</v>
      </c>
      <c r="BS154" s="55">
        <v>-7.9902227722772281</v>
      </c>
      <c r="BT154" s="55">
        <v>-7.8535891089108922</v>
      </c>
      <c r="BU154" s="55">
        <v>-7.7169554455445555</v>
      </c>
      <c r="BV154" s="55">
        <v>-7.7299356435643567</v>
      </c>
      <c r="BW154" s="55">
        <v>-7.757262376237624</v>
      </c>
      <c r="BX154" s="55">
        <v>-7.7849502487562185</v>
      </c>
      <c r="BY154" s="55">
        <v>-7.8132089552238808</v>
      </c>
      <c r="BZ154" s="55">
        <v>-7.8414676616915422</v>
      </c>
      <c r="CA154" s="55">
        <v>-7.8692574257425738</v>
      </c>
      <c r="CB154" s="55">
        <v>-7.8969801980198016</v>
      </c>
      <c r="CC154" s="55">
        <v>-7.9244257425742575</v>
      </c>
      <c r="CD154" s="55">
        <v>-7.9513564356435644</v>
      </c>
      <c r="CE154" s="55">
        <v>-7.9782871287128714</v>
      </c>
      <c r="CF154" s="55">
        <v>-8.0052178217821783</v>
      </c>
      <c r="CG154" s="55">
        <v>-8.0321485148514853</v>
      </c>
      <c r="CH154" s="55">
        <v>-8.0590792079207922</v>
      </c>
      <c r="CI154" s="55">
        <v>-8.0860099009900992</v>
      </c>
      <c r="CJ154" s="55">
        <v>-8.1129405940594062</v>
      </c>
      <c r="CK154" s="55">
        <v>-8.1398712871287131</v>
      </c>
      <c r="CL154" s="55">
        <v>-8.1668019801980201</v>
      </c>
      <c r="CM154" s="55"/>
      <c r="CN154" s="55"/>
      <c r="CO154" s="55"/>
      <c r="CP154" s="55"/>
    </row>
    <row r="155" spans="1:94" ht="21.75" thickBot="1" x14ac:dyDescent="0.4">
      <c r="A155" s="18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>
        <v>-5.8889306930693071</v>
      </c>
      <c r="AJ155" s="55">
        <v>-5.9001287128712869</v>
      </c>
      <c r="AK155" s="55">
        <v>-5.91319801980198</v>
      </c>
      <c r="AL155" s="55">
        <v>-5.9271584158415838</v>
      </c>
      <c r="AM155" s="55">
        <v>-5.9437920792079204</v>
      </c>
      <c r="AN155" s="55">
        <v>-5.9604257425742571</v>
      </c>
      <c r="AO155" s="55">
        <v>-5.9782079207920793</v>
      </c>
      <c r="AP155" s="55">
        <v>-5.9964257425742575</v>
      </c>
      <c r="AQ155" s="55">
        <v>-6.014881188118812</v>
      </c>
      <c r="AR155" s="55">
        <v>-6.0342871287128714</v>
      </c>
      <c r="AS155" s="55">
        <v>-6.05369306930693</v>
      </c>
      <c r="AT155" s="55">
        <v>-6.0741683168316829</v>
      </c>
      <c r="AU155" s="55">
        <v>-6.0951584158415848</v>
      </c>
      <c r="AV155" s="55">
        <v>-6.1166831683168326</v>
      </c>
      <c r="AW155" s="55">
        <v>-6.1412376237623763</v>
      </c>
      <c r="AX155" s="55">
        <v>-6.1657920792079208</v>
      </c>
      <c r="AY155" s="55">
        <v>-6.1947645600991326</v>
      </c>
      <c r="AZ155" s="55">
        <v>-6.2263878562577446</v>
      </c>
      <c r="BA155" s="55">
        <v>-6.2580111524163566</v>
      </c>
      <c r="BB155" s="55">
        <v>-6.2896344485749687</v>
      </c>
      <c r="BC155" s="55">
        <v>-6.3212577447335807</v>
      </c>
      <c r="BD155" s="55">
        <v>-6.3528810408921927</v>
      </c>
      <c r="BE155" s="55">
        <v>-6.3845043370508048</v>
      </c>
      <c r="BF155" s="55">
        <v>-6.4161276332094168</v>
      </c>
      <c r="BG155" s="55">
        <v>-6.4477509293680297</v>
      </c>
      <c r="BH155" s="55">
        <v>-6.4793742255266418</v>
      </c>
      <c r="BI155" s="55">
        <v>-6.5059207920792073</v>
      </c>
      <c r="BJ155" s="55">
        <v>-6.5280990099009895</v>
      </c>
      <c r="BK155" s="55">
        <v>-6.5502772277227725</v>
      </c>
      <c r="BL155" s="55">
        <v>-6.5724554455445547</v>
      </c>
      <c r="BM155" s="55">
        <v>-6.5946336633663361</v>
      </c>
      <c r="BN155" s="55">
        <v>-6.6166188118811879</v>
      </c>
      <c r="BO155" s="55">
        <v>-6.6384009900990097</v>
      </c>
      <c r="BP155" s="55">
        <v>-6.6601831683168315</v>
      </c>
      <c r="BQ155" s="55">
        <v>-6.6827277227722774</v>
      </c>
      <c r="BR155" s="55">
        <v>-6.70530198019802</v>
      </c>
      <c r="BS155" s="55">
        <v>-6.7275297029702967</v>
      </c>
      <c r="BT155" s="55">
        <v>-6.7493118811881185</v>
      </c>
      <c r="BU155" s="55">
        <v>-6.7710940594059403</v>
      </c>
      <c r="BV155" s="55">
        <v>-6.787816831683168</v>
      </c>
      <c r="BW155" s="55">
        <v>-6.8040544554455442</v>
      </c>
      <c r="BX155" s="55">
        <v>-6.8201691542288554</v>
      </c>
      <c r="BY155" s="55">
        <v>-6.8360895522388061</v>
      </c>
      <c r="BZ155" s="55">
        <v>-6.8520099502487559</v>
      </c>
      <c r="CA155" s="55">
        <v>-6.867861386138614</v>
      </c>
      <c r="CB155" s="55">
        <v>-6.8837029702970298</v>
      </c>
      <c r="CC155" s="55">
        <v>-6.8998910891089107</v>
      </c>
      <c r="CD155" s="55">
        <v>-6.916722772277228</v>
      </c>
      <c r="CE155" s="55">
        <v>-6.9335544554455444</v>
      </c>
      <c r="CF155" s="55">
        <v>-6.9503861386138617</v>
      </c>
      <c r="CG155" s="55">
        <v>-6.9672178217821781</v>
      </c>
      <c r="CH155" s="55">
        <v>-6.9840495049504954</v>
      </c>
      <c r="CI155" s="55">
        <v>-7.0008811881188118</v>
      </c>
      <c r="CJ155" s="55">
        <v>-7.0177128712871291</v>
      </c>
      <c r="CK155" s="55">
        <v>-7.0345445544554455</v>
      </c>
      <c r="CL155" s="55">
        <v>-7.0513762376237628</v>
      </c>
      <c r="CM155" s="55"/>
      <c r="CN155" s="55"/>
      <c r="CO155" s="55"/>
      <c r="CP155" s="55"/>
    </row>
    <row r="156" spans="1:94" ht="21.75" thickBot="1" x14ac:dyDescent="0.4">
      <c r="A156" s="18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>
        <v>-23.335049504950494</v>
      </c>
      <c r="AJ156" s="55">
        <v>-23.449009900990099</v>
      </c>
      <c r="AK156" s="55">
        <v>-23.563861386138612</v>
      </c>
      <c r="AL156" s="55">
        <v>-23.678712871287129</v>
      </c>
      <c r="AM156" s="55">
        <v>-23.793564356435642</v>
      </c>
      <c r="AN156" s="55">
        <v>-23.908415841584159</v>
      </c>
      <c r="AO156" s="55">
        <v>-24.020396039603959</v>
      </c>
      <c r="AP156" s="55">
        <v>-24.13128712871287</v>
      </c>
      <c r="AQ156" s="55">
        <v>-24.242970297029704</v>
      </c>
      <c r="AR156" s="55">
        <v>-24.357821782178217</v>
      </c>
      <c r="AS156" s="55">
        <v>-24.472673267326734</v>
      </c>
      <c r="AT156" s="55">
        <v>-24.584851485148516</v>
      </c>
      <c r="AU156" s="55">
        <v>-24.695742574257427</v>
      </c>
      <c r="AV156" s="55">
        <v>-24.806039603960397</v>
      </c>
      <c r="AW156" s="55">
        <v>-24.912970297029702</v>
      </c>
      <c r="AX156" s="55">
        <v>-25.019900990099007</v>
      </c>
      <c r="AY156" s="55">
        <v>-25.124436183395289</v>
      </c>
      <c r="AZ156" s="55">
        <v>-25.227534076827755</v>
      </c>
      <c r="BA156" s="55">
        <v>-25.330631970260221</v>
      </c>
      <c r="BB156" s="55">
        <v>-25.433729863692687</v>
      </c>
      <c r="BC156" s="55">
        <v>-25.536827757125156</v>
      </c>
      <c r="BD156" s="55">
        <v>-25.639925650557622</v>
      </c>
      <c r="BE156" s="55">
        <v>-25.743023543990088</v>
      </c>
      <c r="BF156" s="55">
        <v>-25.846121437422553</v>
      </c>
      <c r="BG156" s="55">
        <v>-25.949219330855019</v>
      </c>
      <c r="BH156" s="55">
        <v>-26.052317224287485</v>
      </c>
      <c r="BI156" s="55">
        <v>-26.155346534653464</v>
      </c>
      <c r="BJ156" s="55">
        <v>-26.258316831683167</v>
      </c>
      <c r="BK156" s="55">
        <v>-26.361336633663367</v>
      </c>
      <c r="BL156" s="55">
        <v>-26.468267326732672</v>
      </c>
      <c r="BM156" s="55">
        <v>-26.575198019801981</v>
      </c>
      <c r="BN156" s="55">
        <v>-26.680198019801978</v>
      </c>
      <c r="BO156" s="55">
        <v>-26.783168316831684</v>
      </c>
      <c r="BP156" s="55">
        <v>-26.886138613861387</v>
      </c>
      <c r="BQ156" s="55">
        <v>-26.98910891089109</v>
      </c>
      <c r="BR156" s="55">
        <v>-27.09207920792079</v>
      </c>
      <c r="BS156" s="55">
        <v>-27.193316831683166</v>
      </c>
      <c r="BT156" s="55">
        <v>-27.292326732673267</v>
      </c>
      <c r="BU156" s="55">
        <v>-27.391336633663364</v>
      </c>
      <c r="BV156" s="55">
        <v>-27.475891089108909</v>
      </c>
      <c r="BW156" s="55">
        <v>-27.559059405940594</v>
      </c>
      <c r="BX156" s="55">
        <v>-27.645472636815921</v>
      </c>
      <c r="BY156" s="55">
        <v>-27.737014925373135</v>
      </c>
      <c r="BZ156" s="55">
        <v>-27.828557213930349</v>
      </c>
      <c r="CA156" s="55">
        <v>-27.923168316831681</v>
      </c>
      <c r="CB156" s="55">
        <v>-28.018217821782176</v>
      </c>
      <c r="CC156" s="55">
        <v>-28.112574257425742</v>
      </c>
      <c r="CD156" s="55">
        <v>-28.205643564356432</v>
      </c>
      <c r="CE156" s="55">
        <v>-28.298712871287126</v>
      </c>
      <c r="CF156" s="55">
        <v>-28.39178217821782</v>
      </c>
      <c r="CG156" s="55">
        <v>-28.484851485148514</v>
      </c>
      <c r="CH156" s="55">
        <v>-28.577920792079208</v>
      </c>
      <c r="CI156" s="55">
        <v>-28.670990099009899</v>
      </c>
      <c r="CJ156" s="55">
        <v>-28.764059405940593</v>
      </c>
      <c r="CK156" s="55">
        <v>-28.857128712871287</v>
      </c>
      <c r="CL156" s="55">
        <v>-28.950198019801981</v>
      </c>
      <c r="CM156" s="55"/>
      <c r="CN156" s="55"/>
      <c r="CO156" s="55"/>
      <c r="CP156" s="55"/>
    </row>
    <row r="157" spans="1:94" ht="21.75" thickBot="1" x14ac:dyDescent="0.4">
      <c r="A157" s="18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  <c r="AY157" s="55"/>
      <c r="AZ157" s="55"/>
      <c r="BA157" s="55"/>
      <c r="BB157" s="55"/>
      <c r="BC157" s="55"/>
      <c r="BD157" s="55"/>
      <c r="BE157" s="55"/>
      <c r="BF157" s="55"/>
      <c r="BG157" s="55"/>
      <c r="BH157" s="55"/>
      <c r="BI157" s="55"/>
      <c r="BJ157" s="55"/>
      <c r="BK157" s="55"/>
      <c r="BL157" s="55"/>
      <c r="BM157" s="55"/>
      <c r="BN157" s="55"/>
      <c r="BO157" s="55"/>
      <c r="BP157" s="55"/>
      <c r="BQ157" s="55"/>
      <c r="BR157" s="55"/>
      <c r="BS157" s="55"/>
      <c r="BT157" s="55"/>
      <c r="BU157" s="55"/>
      <c r="BV157" s="55"/>
      <c r="BW157" s="55"/>
      <c r="BX157" s="55"/>
      <c r="BY157" s="55"/>
      <c r="BZ157" s="55"/>
      <c r="CA157" s="55"/>
      <c r="CB157" s="55"/>
      <c r="CC157" s="55"/>
      <c r="CD157" s="55"/>
      <c r="CE157" s="55"/>
      <c r="CF157" s="55"/>
      <c r="CG157" s="55"/>
      <c r="CH157" s="55"/>
      <c r="CI157" s="55"/>
      <c r="CJ157" s="55"/>
      <c r="CK157" s="55"/>
      <c r="CL157" s="55"/>
      <c r="CM157" s="55"/>
      <c r="CN157" s="55"/>
      <c r="CO157" s="55"/>
      <c r="CP157" s="55"/>
    </row>
    <row r="158" spans="1:94" ht="21.75" thickBot="1" x14ac:dyDescent="0.4">
      <c r="A158" s="18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  <c r="BF158" s="55"/>
      <c r="BG158" s="55"/>
      <c r="BH158" s="55"/>
      <c r="BI158" s="55"/>
      <c r="BJ158" s="55"/>
      <c r="BK158" s="55"/>
      <c r="BL158" s="55"/>
      <c r="BM158" s="55"/>
      <c r="BN158" s="55"/>
      <c r="BO158" s="55"/>
      <c r="BP158" s="55"/>
      <c r="BQ158" s="55"/>
      <c r="BR158" s="55"/>
      <c r="BS158" s="55"/>
      <c r="BT158" s="55"/>
      <c r="BU158" s="55"/>
      <c r="BV158" s="55"/>
      <c r="BW158" s="55"/>
      <c r="BX158" s="55"/>
      <c r="BY158" s="55"/>
      <c r="BZ158" s="55"/>
      <c r="CA158" s="55"/>
      <c r="CB158" s="55"/>
      <c r="CC158" s="55"/>
      <c r="CD158" s="55"/>
      <c r="CE158" s="55"/>
      <c r="CF158" s="55"/>
      <c r="CG158" s="55"/>
      <c r="CH158" s="55"/>
      <c r="CI158" s="55"/>
      <c r="CJ158" s="55"/>
      <c r="CK158" s="55"/>
      <c r="CL158" s="55"/>
      <c r="CM158" s="55"/>
      <c r="CN158" s="55"/>
      <c r="CO158" s="55"/>
      <c r="CP158" s="55"/>
    </row>
    <row r="159" spans="1:94" ht="21.75" thickBot="1" x14ac:dyDescent="0.4">
      <c r="A159" s="18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55"/>
      <c r="AT159" s="55"/>
      <c r="AU159" s="55"/>
      <c r="AV159" s="55"/>
      <c r="AW159" s="55"/>
      <c r="AX159" s="55"/>
      <c r="AY159" s="55"/>
      <c r="AZ159" s="55"/>
      <c r="BA159" s="55"/>
      <c r="BB159" s="55"/>
      <c r="BC159" s="55"/>
      <c r="BD159" s="55"/>
      <c r="BE159" s="55"/>
      <c r="BF159" s="55"/>
      <c r="BG159" s="55"/>
      <c r="BH159" s="55"/>
      <c r="BI159" s="55"/>
      <c r="BJ159" s="55"/>
      <c r="BK159" s="55"/>
      <c r="BL159" s="55"/>
      <c r="BM159" s="55"/>
      <c r="BN159" s="55"/>
      <c r="BO159" s="55"/>
      <c r="BP159" s="55"/>
      <c r="BQ159" s="55"/>
      <c r="BR159" s="55"/>
      <c r="BS159" s="55"/>
      <c r="BT159" s="55"/>
      <c r="BU159" s="55"/>
      <c r="BV159" s="55"/>
      <c r="BW159" s="55"/>
      <c r="BX159" s="55"/>
      <c r="BY159" s="55"/>
      <c r="BZ159" s="55"/>
      <c r="CA159" s="55"/>
      <c r="CB159" s="55"/>
      <c r="CC159" s="55"/>
      <c r="CD159" s="55"/>
      <c r="CE159" s="55"/>
      <c r="CF159" s="55"/>
      <c r="CG159" s="55"/>
      <c r="CH159" s="55"/>
      <c r="CI159" s="55"/>
      <c r="CJ159" s="55"/>
      <c r="CK159" s="55"/>
      <c r="CL159" s="55"/>
      <c r="CM159" s="55"/>
      <c r="CN159" s="55"/>
      <c r="CO159" s="55"/>
      <c r="CP159" s="55"/>
    </row>
    <row r="160" spans="1:94" ht="21.75" thickBot="1" x14ac:dyDescent="0.4">
      <c r="A160" s="18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  <c r="BI160" s="55"/>
      <c r="BJ160" s="55"/>
      <c r="BK160" s="55"/>
      <c r="BL160" s="55"/>
      <c r="BM160" s="55"/>
      <c r="BN160" s="55"/>
      <c r="BO160" s="55"/>
      <c r="BP160" s="55"/>
      <c r="BQ160" s="55"/>
      <c r="BR160" s="55"/>
      <c r="BS160" s="55"/>
      <c r="BT160" s="55"/>
      <c r="BU160" s="55"/>
      <c r="BV160" s="55"/>
      <c r="BW160" s="55"/>
      <c r="BX160" s="55"/>
      <c r="BY160" s="55"/>
      <c r="BZ160" s="55"/>
      <c r="CA160" s="55"/>
      <c r="CB160" s="55"/>
      <c r="CC160" s="55"/>
      <c r="CD160" s="55"/>
      <c r="CE160" s="55"/>
      <c r="CF160" s="55"/>
      <c r="CG160" s="55"/>
      <c r="CH160" s="55"/>
      <c r="CI160" s="55"/>
      <c r="CJ160" s="55"/>
      <c r="CK160" s="55"/>
      <c r="CL160" s="55"/>
      <c r="CM160" s="55"/>
      <c r="CN160" s="55"/>
      <c r="CO160" s="55"/>
      <c r="CP160" s="55"/>
    </row>
    <row r="161" spans="1:94" ht="21.75" thickBot="1" x14ac:dyDescent="0.4">
      <c r="A161" s="18" t="s">
        <v>43</v>
      </c>
      <c r="B161" s="38">
        <v>0</v>
      </c>
      <c r="C161" s="38">
        <v>0</v>
      </c>
      <c r="D161" s="38">
        <v>0</v>
      </c>
      <c r="E161" s="38">
        <v>0</v>
      </c>
      <c r="F161" s="38">
        <v>0</v>
      </c>
      <c r="G161" s="38">
        <v>0</v>
      </c>
      <c r="H161" s="38">
        <v>0</v>
      </c>
      <c r="I161" s="38">
        <v>0</v>
      </c>
      <c r="J161" s="38">
        <v>0</v>
      </c>
      <c r="K161" s="38">
        <v>0</v>
      </c>
      <c r="L161" s="38">
        <v>0</v>
      </c>
      <c r="M161" s="38">
        <v>0</v>
      </c>
      <c r="N161" s="38">
        <v>0</v>
      </c>
      <c r="O161" s="38">
        <v>0</v>
      </c>
      <c r="P161" s="38">
        <v>0</v>
      </c>
      <c r="Q161" s="38">
        <v>0</v>
      </c>
      <c r="R161" s="38">
        <v>0</v>
      </c>
      <c r="S161" s="38">
        <v>0</v>
      </c>
      <c r="T161" s="38">
        <v>0</v>
      </c>
      <c r="U161" s="38">
        <v>0</v>
      </c>
      <c r="V161" s="38">
        <v>0</v>
      </c>
      <c r="W161" s="38">
        <v>0</v>
      </c>
      <c r="X161" s="38">
        <v>0</v>
      </c>
      <c r="Y161" s="38">
        <v>0</v>
      </c>
      <c r="Z161" s="38">
        <v>0</v>
      </c>
      <c r="AA161" s="38">
        <v>0</v>
      </c>
      <c r="AB161" s="38">
        <v>0</v>
      </c>
      <c r="AC161" s="38">
        <v>0</v>
      </c>
      <c r="AD161" s="38">
        <v>0</v>
      </c>
      <c r="AE161" s="38">
        <v>0</v>
      </c>
      <c r="AF161" s="38">
        <v>0</v>
      </c>
      <c r="AG161" s="38">
        <v>0</v>
      </c>
      <c r="AH161" s="38">
        <v>0</v>
      </c>
      <c r="AI161" s="38">
        <v>0</v>
      </c>
      <c r="AJ161" s="38">
        <v>0</v>
      </c>
      <c r="AK161" s="38">
        <v>0</v>
      </c>
      <c r="AL161" s="38">
        <v>0</v>
      </c>
      <c r="AM161" s="38">
        <v>0</v>
      </c>
      <c r="AN161" s="38">
        <v>0</v>
      </c>
      <c r="AO161" s="38">
        <v>0</v>
      </c>
      <c r="AP161" s="38">
        <v>0</v>
      </c>
      <c r="AQ161" s="38">
        <v>0</v>
      </c>
      <c r="AR161" s="38">
        <v>0</v>
      </c>
      <c r="AS161" s="38">
        <v>0</v>
      </c>
      <c r="AT161" s="38">
        <v>0</v>
      </c>
      <c r="AU161" s="38">
        <v>0</v>
      </c>
      <c r="AV161" s="38">
        <v>0</v>
      </c>
      <c r="AW161" s="38">
        <v>0</v>
      </c>
      <c r="AX161" s="38">
        <v>0</v>
      </c>
      <c r="AY161" s="38">
        <v>0</v>
      </c>
      <c r="AZ161" s="38">
        <v>0</v>
      </c>
      <c r="BA161" s="38">
        <v>0</v>
      </c>
      <c r="BB161" s="38">
        <v>0</v>
      </c>
      <c r="BC161" s="38">
        <v>0</v>
      </c>
      <c r="BD161" s="38">
        <v>0</v>
      </c>
      <c r="BE161" s="38">
        <v>0</v>
      </c>
      <c r="BF161" s="38">
        <v>0</v>
      </c>
      <c r="BG161" s="38">
        <v>0</v>
      </c>
      <c r="BH161" s="38">
        <v>0</v>
      </c>
      <c r="BI161" s="38">
        <v>0</v>
      </c>
      <c r="BJ161" s="38">
        <v>0</v>
      </c>
      <c r="BK161" s="38">
        <v>0</v>
      </c>
      <c r="BL161" s="38">
        <v>0</v>
      </c>
      <c r="BM161" s="38">
        <v>0</v>
      </c>
      <c r="BN161" s="38">
        <v>0</v>
      </c>
      <c r="BO161" s="38">
        <v>0</v>
      </c>
      <c r="BP161" s="38">
        <v>0</v>
      </c>
      <c r="BQ161" s="38">
        <v>0</v>
      </c>
      <c r="BR161" s="38">
        <v>0</v>
      </c>
      <c r="BS161" s="38">
        <v>0</v>
      </c>
      <c r="BT161" s="38">
        <v>0</v>
      </c>
      <c r="BU161" s="38">
        <v>0</v>
      </c>
      <c r="BV161" s="38">
        <v>0</v>
      </c>
      <c r="BW161" s="38">
        <v>0</v>
      </c>
      <c r="BX161" s="38">
        <v>0</v>
      </c>
      <c r="BY161" s="38">
        <v>0</v>
      </c>
      <c r="BZ161" s="38">
        <v>0</v>
      </c>
      <c r="CA161" s="38">
        <v>0</v>
      </c>
      <c r="CB161" s="38">
        <v>0</v>
      </c>
      <c r="CC161" s="38">
        <v>0</v>
      </c>
      <c r="CD161" s="38">
        <v>0</v>
      </c>
      <c r="CE161" s="38">
        <v>0</v>
      </c>
      <c r="CF161" s="38">
        <v>0</v>
      </c>
      <c r="CG161" s="38">
        <v>0</v>
      </c>
      <c r="CH161" s="38">
        <v>0</v>
      </c>
      <c r="CI161" s="38">
        <v>0</v>
      </c>
      <c r="CJ161" s="38">
        <v>0</v>
      </c>
      <c r="CK161" s="38">
        <v>0</v>
      </c>
      <c r="CL161" s="38">
        <v>0</v>
      </c>
      <c r="CM161" s="38">
        <v>0</v>
      </c>
      <c r="CN161" s="38">
        <v>0</v>
      </c>
      <c r="CO161" s="38">
        <v>0</v>
      </c>
      <c r="CP161" s="38">
        <v>0</v>
      </c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95</xdr:col>
                    <xdr:colOff>676275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tabSelected="1" workbookViewId="0">
      <pane xSplit="1" topLeftCell="B1" activePane="topRight" state="frozen"/>
      <selection pane="topRight" activeCell="F27" sqref="F27"/>
    </sheetView>
  </sheetViews>
  <sheetFormatPr defaultRowHeight="21" x14ac:dyDescent="0.35"/>
  <cols>
    <col min="1" max="1" width="4.81640625" customWidth="1"/>
  </cols>
  <sheetData>
    <row r="1" spans="1:12" ht="28.5" x14ac:dyDescent="0.45">
      <c r="A1" s="45">
        <v>0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</row>
    <row r="2" spans="1:12" ht="21.75" customHeight="1" x14ac:dyDescent="0.35">
      <c r="A2" s="46" t="s">
        <v>31</v>
      </c>
      <c r="B2" s="58"/>
      <c r="C2" s="56"/>
      <c r="D2" s="56"/>
      <c r="E2" s="56"/>
      <c r="F2" s="56"/>
      <c r="G2" s="56"/>
      <c r="H2" s="56"/>
      <c r="I2" s="56"/>
      <c r="J2" s="56"/>
      <c r="K2" s="56"/>
      <c r="L2" s="56"/>
    </row>
    <row r="3" spans="1:12" x14ac:dyDescent="0.35">
      <c r="B3" s="57"/>
      <c r="C3" s="56"/>
      <c r="D3" s="56"/>
      <c r="E3" s="56"/>
      <c r="F3" s="57"/>
      <c r="G3" s="56"/>
      <c r="H3" s="56"/>
      <c r="I3" s="56"/>
      <c r="J3" s="57"/>
      <c r="K3" s="56"/>
      <c r="L3" s="56"/>
    </row>
    <row r="4" spans="1:12" x14ac:dyDescent="0.35">
      <c r="B4" s="58"/>
      <c r="C4" s="56"/>
      <c r="D4" s="56"/>
      <c r="E4" s="56"/>
      <c r="F4" s="56"/>
      <c r="G4" s="56"/>
      <c r="H4" s="56"/>
      <c r="I4" s="56"/>
      <c r="J4" s="56"/>
      <c r="K4" s="56"/>
      <c r="L4" s="56"/>
    </row>
    <row r="5" spans="1:12" x14ac:dyDescent="0.35">
      <c r="B5" s="57"/>
      <c r="C5" s="56"/>
      <c r="D5" s="56"/>
      <c r="E5" s="56"/>
      <c r="F5" s="57"/>
      <c r="G5" s="56"/>
      <c r="H5" s="56"/>
      <c r="I5" s="56"/>
      <c r="J5" s="57"/>
      <c r="K5" s="56"/>
      <c r="L5" s="56"/>
    </row>
    <row r="6" spans="1:12" x14ac:dyDescent="0.35">
      <c r="B6" s="58"/>
      <c r="C6" s="56"/>
      <c r="D6" s="56"/>
      <c r="E6" s="56"/>
      <c r="F6" s="56"/>
      <c r="G6" s="56"/>
      <c r="H6" s="56"/>
      <c r="I6" s="56"/>
      <c r="J6" s="56"/>
      <c r="K6" s="56"/>
      <c r="L6" s="56"/>
    </row>
    <row r="7" spans="1:12" x14ac:dyDescent="0.35">
      <c r="B7" s="57"/>
      <c r="C7" s="56"/>
      <c r="D7" s="56"/>
      <c r="E7" s="56"/>
      <c r="F7" s="56"/>
      <c r="G7" s="56"/>
      <c r="H7" s="56"/>
      <c r="I7" s="56"/>
      <c r="J7" s="57"/>
      <c r="K7" s="56"/>
      <c r="L7" s="56"/>
    </row>
    <row r="8" spans="1:12" x14ac:dyDescent="0.35">
      <c r="B8" s="58"/>
      <c r="C8" s="56"/>
      <c r="D8" s="56"/>
      <c r="E8" s="56"/>
      <c r="F8" s="56"/>
      <c r="G8" s="56"/>
      <c r="H8" s="56"/>
      <c r="I8" s="56"/>
      <c r="J8" s="56"/>
      <c r="K8" s="56"/>
      <c r="L8" s="56"/>
    </row>
    <row r="9" spans="1:12" x14ac:dyDescent="0.35">
      <c r="B9" s="58"/>
      <c r="C9" s="56"/>
      <c r="D9" s="56"/>
      <c r="E9" s="56"/>
      <c r="F9" s="56"/>
      <c r="G9" s="56"/>
      <c r="H9" s="56"/>
      <c r="I9" s="56"/>
      <c r="J9" s="57"/>
      <c r="K9" s="56"/>
      <c r="L9" s="56"/>
    </row>
    <row r="10" spans="1:12" x14ac:dyDescent="0.35">
      <c r="B10" s="57"/>
      <c r="C10" s="56"/>
      <c r="D10" s="56"/>
      <c r="E10" s="56"/>
      <c r="F10" s="56"/>
      <c r="G10" s="56"/>
      <c r="H10" s="56"/>
      <c r="I10" s="56"/>
      <c r="J10" s="56"/>
      <c r="K10" s="56"/>
      <c r="L10" s="56"/>
    </row>
    <row r="11" spans="1:12" x14ac:dyDescent="0.35">
      <c r="B11" s="58"/>
      <c r="C11" s="56"/>
      <c r="D11" s="56"/>
      <c r="E11" s="56"/>
      <c r="F11" s="56"/>
      <c r="G11" s="56"/>
      <c r="H11" s="56"/>
      <c r="I11" s="56"/>
      <c r="J11" s="57"/>
      <c r="K11" s="56"/>
      <c r="L11" s="56"/>
    </row>
    <row r="12" spans="1:12" x14ac:dyDescent="0.35">
      <c r="B12" s="57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2" x14ac:dyDescent="0.35">
      <c r="B13" s="58"/>
      <c r="C13" s="56"/>
      <c r="D13" s="56"/>
      <c r="E13" s="56"/>
      <c r="F13" s="57"/>
      <c r="G13" s="56"/>
      <c r="H13" s="56"/>
      <c r="I13" s="56"/>
      <c r="J13" s="57"/>
      <c r="K13" s="56"/>
      <c r="L13" s="56"/>
    </row>
    <row r="14" spans="1:12" x14ac:dyDescent="0.35">
      <c r="B14" s="57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2" x14ac:dyDescent="0.35">
      <c r="B15" s="58"/>
      <c r="C15" s="56"/>
      <c r="D15" s="56"/>
      <c r="E15" s="56"/>
      <c r="F15" s="56"/>
      <c r="G15" s="56"/>
      <c r="H15" s="56"/>
      <c r="I15" s="56"/>
      <c r="J15" s="57"/>
      <c r="K15" s="56"/>
      <c r="L15" s="56"/>
    </row>
    <row r="16" spans="1:12" x14ac:dyDescent="0.35">
      <c r="B16" s="58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35">
      <c r="B17" s="57"/>
      <c r="C17" s="56"/>
      <c r="D17" s="56"/>
      <c r="E17" s="56"/>
      <c r="F17" s="57"/>
      <c r="G17" s="56"/>
      <c r="H17" s="56"/>
      <c r="I17" s="56"/>
      <c r="J17" s="57"/>
      <c r="K17" s="56"/>
      <c r="L17" s="56"/>
    </row>
    <row r="18" spans="1:12" x14ac:dyDescent="0.35">
      <c r="B18" s="58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35">
      <c r="B19" s="58"/>
      <c r="C19" s="56"/>
      <c r="D19" s="56"/>
      <c r="E19" s="56"/>
      <c r="F19" s="57"/>
      <c r="G19" s="56"/>
      <c r="H19" s="56"/>
      <c r="I19" s="56"/>
      <c r="J19" s="57"/>
      <c r="K19" s="56"/>
      <c r="L19" s="56"/>
    </row>
    <row r="20" spans="1:12" x14ac:dyDescent="0.35">
      <c r="B20" s="57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Values</vt:lpstr>
      <vt:lpstr>ALL</vt:lpstr>
      <vt:lpstr>FLUID</vt:lpstr>
      <vt:lpstr>SOLID</vt:lpstr>
      <vt:lpstr>EVALUATION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2021-03-08T12:14:31Z</dcterms:modified>
</cp:coreProperties>
</file>